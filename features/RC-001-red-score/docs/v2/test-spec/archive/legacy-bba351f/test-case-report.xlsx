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siness Index" sheetId="2" state="visible" r:id="rId2"/>
    <sheet xmlns:r="http://schemas.openxmlformats.org/officeDocument/2006/relationships" name="Run" sheetId="3" state="visible" r:id="rId3"/>
    <sheet xmlns:r="http://schemas.openxmlformats.org/officeDocument/2006/relationships" name="Cases" sheetId="4" state="visible" r:id="rId4"/>
    <sheet xmlns:r="http://schemas.openxmlformats.org/officeDocument/2006/relationships" name="Data" sheetId="5" state="visible" r:id="rId5"/>
    <sheet xmlns:r="http://schemas.openxmlformats.org/officeDocument/2006/relationships" name="Run Log" sheetId="6" state="visible" r:id="rId6"/>
    <sheet xmlns:r="http://schemas.openxmlformats.org/officeDocument/2006/relationships" name="A. Functional" sheetId="7" state="visible" r:id="rId7"/>
    <sheet xmlns:r="http://schemas.openxmlformats.org/officeDocument/2006/relationships" name="B. Validation" sheetId="8" state="visible" r:id="rId8"/>
    <sheet xmlns:r="http://schemas.openxmlformats.org/officeDocument/2006/relationships" name="C. Business Rules" sheetId="9" state="visible" r:id="rId9"/>
    <sheet xmlns:r="http://schemas.openxmlformats.org/officeDocument/2006/relationships" name="D. Calculation" sheetId="10" state="visible" r:id="rId10"/>
    <sheet xmlns:r="http://schemas.openxmlformats.org/officeDocument/2006/relationships" name="E. UI・Visual" sheetId="11" state="visible" r:id="rId11"/>
    <sheet xmlns:r="http://schemas.openxmlformats.org/officeDocument/2006/relationships" name="F. State・Error" sheetId="12" state="visible" r:id="rId12"/>
    <sheet xmlns:r="http://schemas.openxmlformats.org/officeDocument/2006/relationships" name="G. Data・Persistence" sheetId="13" state="visible" r:id="rId13"/>
    <sheet xmlns:r="http://schemas.openxmlformats.org/officeDocument/2006/relationships" name="H. Regression" sheetId="14" state="visible" r:id="rId14"/>
  </sheets>
  <definedNames>
    <definedName name="_xlnm._FilterDatabase" localSheetId="0" hidden="1">'Business Index'!$A$1:$E$219</definedName>
    <definedName name="_xlnm._FilterDatabase" localSheetId="2" hidden="1">'Cases'!$A$1:$J$205</definedName>
    <definedName name="_xlnm._FilterDatabase" localSheetId="3" hidden="1">'Data'!$A$4:$B$79</definedName>
    <definedName name="_xlnm._FilterDatabase" localSheetId="4" hidden="1">'Run Log'!$A$1:$M$1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Open Sans"/>
      <b val="1"/>
      <sz val="14"/>
    </font>
    <font>
      <name val="Open Sans"/>
      <b val="1"/>
      <sz val="11"/>
    </font>
    <font>
      <name val="Open Sans"/>
      <sz val="11"/>
    </font>
    <font>
      <name val="Open Sans"/>
      <b val="1"/>
      <sz val="10"/>
    </font>
    <font>
      <name val="Open Sans"/>
      <sz val="10"/>
    </font>
    <font>
      <name val="Open Sans"/>
      <b val="1"/>
      <color rgb="00FFFFFF"/>
      <sz val="10"/>
    </font>
    <font>
      <name val="Calibri"/>
      <family val="2"/>
      <color theme="10"/>
      <sz val="12"/>
      <scheme val="minor"/>
    </font>
    <font>
      <name val="Open Sans"/>
      <color rgb="00595959"/>
      <sz val="11"/>
    </font>
    <font>
      <name val="Calibri"/>
      <family val="2"/>
      <color theme="1"/>
      <sz val="10"/>
      <scheme val="minor"/>
    </font>
    <font>
      <name val="Calibri"/>
      <family val="2"/>
      <color theme="10"/>
      <sz val="10"/>
      <scheme val="minor"/>
    </font>
    <font>
      <name val="Open Sans"/>
      <color rgb="00595959"/>
      <sz val="10"/>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D9E1F2"/>
      </left>
      <right style="thin">
        <color rgb="00D9E1F2"/>
      </right>
      <top style="thin">
        <color rgb="00D9E1F2"/>
      </top>
      <bottom style="thin">
        <color rgb="00D9E1F2"/>
      </bottom>
    </border>
  </borders>
  <cellStyleXfs count="2">
    <xf numFmtId="0" fontId="0" fillId="0" borderId="0"/>
    <xf numFmtId="0" fontId="7" fillId="0" borderId="0"/>
  </cellStyleXfs>
  <cellXfs count="17">
    <xf numFmtId="0" fontId="0" fillId="0" borderId="0" pivotButton="0" quotePrefix="0" xfId="0"/>
    <xf numFmtId="0" fontId="4" fillId="0" borderId="1" applyAlignment="1" pivotButton="0" quotePrefix="0" xfId="0">
      <alignment vertical="top" wrapText="1"/>
    </xf>
    <xf numFmtId="0" fontId="0" fillId="0" borderId="0" applyAlignment="1" pivotButton="0" quotePrefix="0" xfId="0">
      <alignment vertical="top" wrapText="1"/>
    </xf>
    <xf numFmtId="0" fontId="5" fillId="0" borderId="1"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xf numFmtId="0" fontId="4" fillId="0" borderId="1" pivotButton="0" quotePrefix="0" xfId="0"/>
    <xf numFmtId="0" fontId="9" fillId="0" borderId="1" pivotButton="0" quotePrefix="0" xfId="0"/>
    <xf numFmtId="0" fontId="6" fillId="2" borderId="1"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1">
      <alignment vertical="top" wrapText="1"/>
    </xf>
    <xf numFmtId="0" fontId="6" fillId="2" borderId="1" pivotButton="0" quotePrefix="0" xfId="0"/>
    <xf numFmtId="0" fontId="6" fillId="2" borderId="1" applyAlignment="1" pivotButton="0" quotePrefix="0" xfId="0">
      <alignment vertical="center" wrapText="1"/>
    </xf>
    <xf numFmtId="0" fontId="5" fillId="3" borderId="1" applyAlignment="1" pivotButton="0" quotePrefix="0" xfId="0">
      <alignment vertical="top" wrapText="1"/>
    </xf>
    <xf numFmtId="0" fontId="5" fillId="3" borderId="0" applyAlignment="1" pivotButton="0" quotePrefix="0" xfId="0">
      <alignment vertical="top" wrapText="1"/>
    </xf>
    <xf numFmtId="0" fontId="11" fillId="0" borderId="1" applyAlignment="1" pivotButton="0" quotePrefix="0" xfId="0">
      <alignment vertical="top" wrapText="1"/>
    </xf>
    <xf numFmtId="0" fontId="3"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test-cases.vi.md#tc-rs-func-001" TargetMode="External" Id="rId1"/><Relationship Type="http://schemas.openxmlformats.org/officeDocument/2006/relationships/hyperlink" Target="test-cases.vi.md#tc-rs-func-002" TargetMode="External" Id="rId2"/><Relationship Type="http://schemas.openxmlformats.org/officeDocument/2006/relationships/hyperlink" Target="test-cases.vi.md#tc-rs-func-002" TargetMode="External" Id="rId3"/><Relationship Type="http://schemas.openxmlformats.org/officeDocument/2006/relationships/hyperlink" Target="test-cases.vi.md#tc-rs-func-004" TargetMode="External" Id="rId4"/><Relationship Type="http://schemas.openxmlformats.org/officeDocument/2006/relationships/hyperlink" Target="test-cases.vi.md#tc-rs-func-004" TargetMode="External" Id="rId5"/><Relationship Type="http://schemas.openxmlformats.org/officeDocument/2006/relationships/hyperlink" Target="test-cases.vi.md#tc-rs-func-005" TargetMode="External" Id="rId6"/><Relationship Type="http://schemas.openxmlformats.org/officeDocument/2006/relationships/hyperlink" Target="test-cases.vi.md#tc-rs-func-006" TargetMode="External" Id="rId7"/><Relationship Type="http://schemas.openxmlformats.org/officeDocument/2006/relationships/hyperlink" Target="test-cases.vi.md#tc-rs-func-007" TargetMode="External" Id="rId8"/><Relationship Type="http://schemas.openxmlformats.org/officeDocument/2006/relationships/hyperlink" Target="test-cases.vi.md#tc-rs-func-008" TargetMode="External" Id="rId9"/><Relationship Type="http://schemas.openxmlformats.org/officeDocument/2006/relationships/hyperlink" Target="test-cases.vi.md#tc-rs-func-009" TargetMode="External" Id="rId10"/><Relationship Type="http://schemas.openxmlformats.org/officeDocument/2006/relationships/hyperlink" Target="test-cases.vi.md#tc-rs-func-010" TargetMode="External" Id="rId11"/><Relationship Type="http://schemas.openxmlformats.org/officeDocument/2006/relationships/hyperlink" Target="test-cases.vi.md#tc-rs-func-011" TargetMode="External" Id="rId12"/><Relationship Type="http://schemas.openxmlformats.org/officeDocument/2006/relationships/hyperlink" Target="test-cases.vi.md#tc-rs-func-012" TargetMode="External" Id="rId13"/><Relationship Type="http://schemas.openxmlformats.org/officeDocument/2006/relationships/hyperlink" Target="test-cases.vi.md#tc-rs-func-013" TargetMode="External" Id="rId14"/><Relationship Type="http://schemas.openxmlformats.org/officeDocument/2006/relationships/hyperlink" Target="test-cases.vi.md#tc-rs-func-014" TargetMode="External" Id="rId15"/><Relationship Type="http://schemas.openxmlformats.org/officeDocument/2006/relationships/hyperlink" Target="test-cases.vi.md#tc-rs-func-015" TargetMode="External" Id="rId16"/><Relationship Type="http://schemas.openxmlformats.org/officeDocument/2006/relationships/hyperlink" Target="test-cases.vi.md#tc-rs-func-016" TargetMode="External" Id="rId17"/><Relationship Type="http://schemas.openxmlformats.org/officeDocument/2006/relationships/hyperlink" Target="test-cases.vi.md#tc-rs-func-016" TargetMode="External" Id="rId18"/><Relationship Type="http://schemas.openxmlformats.org/officeDocument/2006/relationships/hyperlink" Target="test-cases.vi.md#tc-rs-func-017" TargetMode="External" Id="rId19"/><Relationship Type="http://schemas.openxmlformats.org/officeDocument/2006/relationships/hyperlink" Target="test-cases.vi.md#tc-rs-func-018" TargetMode="External" Id="rId20"/><Relationship Type="http://schemas.openxmlformats.org/officeDocument/2006/relationships/hyperlink" Target="test-cases.vi.md#tc-rs-func-019" TargetMode="External" Id="rId21"/><Relationship Type="http://schemas.openxmlformats.org/officeDocument/2006/relationships/hyperlink" Target="test-cases.vi.md#tc-rs-func-020" TargetMode="External" Id="rId22"/><Relationship Type="http://schemas.openxmlformats.org/officeDocument/2006/relationships/hyperlink" Target="test-cases.vi.md#tc-rs-func-021" TargetMode="External" Id="rId23"/><Relationship Type="http://schemas.openxmlformats.org/officeDocument/2006/relationships/hyperlink" Target="test-cases.vi.md#tc-rs-func-022" TargetMode="External" Id="rId24"/><Relationship Type="http://schemas.openxmlformats.org/officeDocument/2006/relationships/hyperlink" Target="test-cases.vi.md#tc-rs-func-023" TargetMode="External" Id="rId25"/><Relationship Type="http://schemas.openxmlformats.org/officeDocument/2006/relationships/hyperlink" Target="test-cases.vi.md#tc-rs-func-023" TargetMode="External" Id="rId26"/><Relationship Type="http://schemas.openxmlformats.org/officeDocument/2006/relationships/hyperlink" Target="test-cases.vi.md#tc-rs-func-024" TargetMode="External" Id="rId27"/><Relationship Type="http://schemas.openxmlformats.org/officeDocument/2006/relationships/hyperlink" Target="test-cases.vi.md#tc-rs-func-025" TargetMode="External" Id="rId28"/><Relationship Type="http://schemas.openxmlformats.org/officeDocument/2006/relationships/hyperlink" Target="test-cases.vi.md#tc-rs-func-026" TargetMode="External" Id="rId29"/><Relationship Type="http://schemas.openxmlformats.org/officeDocument/2006/relationships/hyperlink" Target="test-cases.vi.md#tc-rs-func-026" TargetMode="External" Id="rId30"/><Relationship Type="http://schemas.openxmlformats.org/officeDocument/2006/relationships/hyperlink" Target="test-cases.vi.md#tc-rs-func-027" TargetMode="External" Id="rId31"/><Relationship Type="http://schemas.openxmlformats.org/officeDocument/2006/relationships/hyperlink" Target="test-cases.vi.md#tc-rs-func-028" TargetMode="External" Id="rId32"/><Relationship Type="http://schemas.openxmlformats.org/officeDocument/2006/relationships/hyperlink" Target="test-cases.vi.md#tc-rs-func-029" TargetMode="External" Id="rId33"/><Relationship Type="http://schemas.openxmlformats.org/officeDocument/2006/relationships/hyperlink" Target="test-cases.vi.md#tc-rs-func-029" TargetMode="External" Id="rId34"/><Relationship Type="http://schemas.openxmlformats.org/officeDocument/2006/relationships/hyperlink" Target="test-cases.vi.md#tc-rs-func-030" TargetMode="External" Id="rId35"/><Relationship Type="http://schemas.openxmlformats.org/officeDocument/2006/relationships/hyperlink" Target="test-cases.vi.md#tc-rs-func-031" TargetMode="External" Id="rId36"/><Relationship Type="http://schemas.openxmlformats.org/officeDocument/2006/relationships/hyperlink" Target="test-cases.vi.md#tc-rs-func-032" TargetMode="External" Id="rId37"/><Relationship Type="http://schemas.openxmlformats.org/officeDocument/2006/relationships/hyperlink" Target="test-cases.vi.md#tc-rs-func-032" TargetMode="External" Id="rId38"/><Relationship Type="http://schemas.openxmlformats.org/officeDocument/2006/relationships/hyperlink" Target="test-cases.vi.md#tc-rs-func-033" TargetMode="External" Id="rId39"/><Relationship Type="http://schemas.openxmlformats.org/officeDocument/2006/relationships/hyperlink" Target="test-cases.vi.md#tc-rs-func-034" TargetMode="External" Id="rId40"/><Relationship Type="http://schemas.openxmlformats.org/officeDocument/2006/relationships/hyperlink" Target="test-cases.vi.md#tc-rs-func-035" TargetMode="External" Id="rId41"/><Relationship Type="http://schemas.openxmlformats.org/officeDocument/2006/relationships/hyperlink" Target="test-cases.vi.md#tc-rs-func-036" TargetMode="External" Id="rId42"/><Relationship Type="http://schemas.openxmlformats.org/officeDocument/2006/relationships/hyperlink" Target="test-cases.vi.md#tc-rs-func-037" TargetMode="External" Id="rId43"/><Relationship Type="http://schemas.openxmlformats.org/officeDocument/2006/relationships/hyperlink" Target="test-cases.vi.md#tc-rs-br-001" TargetMode="External" Id="rId44"/><Relationship Type="http://schemas.openxmlformats.org/officeDocument/2006/relationships/hyperlink" Target="test-cases.vi.md#tc-rs-br-002" TargetMode="External" Id="rId45"/><Relationship Type="http://schemas.openxmlformats.org/officeDocument/2006/relationships/hyperlink" Target="test-cases.vi.md#tc-rs-br-003" TargetMode="External" Id="rId46"/><Relationship Type="http://schemas.openxmlformats.org/officeDocument/2006/relationships/hyperlink" Target="test-cases.vi.md#tc-rs-br-004" TargetMode="External" Id="rId47"/><Relationship Type="http://schemas.openxmlformats.org/officeDocument/2006/relationships/hyperlink" Target="test-cases.vi.md#tc-rs-br-041" TargetMode="External" Id="rId48"/><Relationship Type="http://schemas.openxmlformats.org/officeDocument/2006/relationships/hyperlink" Target="test-cases.vi.md#tc-rs-br-005" TargetMode="External" Id="rId49"/><Relationship Type="http://schemas.openxmlformats.org/officeDocument/2006/relationships/hyperlink" Target="test-cases.vi.md#tc-rs-br-006" TargetMode="External" Id="rId50"/><Relationship Type="http://schemas.openxmlformats.org/officeDocument/2006/relationships/hyperlink" Target="test-cases.vi.md#tc-rs-br-007" TargetMode="External" Id="rId51"/><Relationship Type="http://schemas.openxmlformats.org/officeDocument/2006/relationships/hyperlink" Target="test-cases.vi.md#tc-rs-br-008" TargetMode="External" Id="rId52"/><Relationship Type="http://schemas.openxmlformats.org/officeDocument/2006/relationships/hyperlink" Target="test-cases.vi.md#tc-rs-br-009" TargetMode="External" Id="rId53"/><Relationship Type="http://schemas.openxmlformats.org/officeDocument/2006/relationships/hyperlink" Target="test-cases.vi.md#tc-rs-br-010" TargetMode="External" Id="rId54"/><Relationship Type="http://schemas.openxmlformats.org/officeDocument/2006/relationships/hyperlink" Target="test-cases.vi.md#tc-rs-br-011" TargetMode="External" Id="rId55"/><Relationship Type="http://schemas.openxmlformats.org/officeDocument/2006/relationships/hyperlink" Target="test-cases.vi.md#tc-rs-br-012" TargetMode="External" Id="rId56"/><Relationship Type="http://schemas.openxmlformats.org/officeDocument/2006/relationships/hyperlink" Target="test-cases.vi.md#tc-rs-br-013" TargetMode="External" Id="rId57"/><Relationship Type="http://schemas.openxmlformats.org/officeDocument/2006/relationships/hyperlink" Target="test-cases.vi.md#tc-rs-br-014" TargetMode="External" Id="rId58"/><Relationship Type="http://schemas.openxmlformats.org/officeDocument/2006/relationships/hyperlink" Target="test-cases.vi.md#tc-rs-br-015" TargetMode="External" Id="rId59"/><Relationship Type="http://schemas.openxmlformats.org/officeDocument/2006/relationships/hyperlink" Target="test-cases.vi.md#tc-rs-br-015" TargetMode="External" Id="rId60"/><Relationship Type="http://schemas.openxmlformats.org/officeDocument/2006/relationships/hyperlink" Target="test-cases.vi.md#tc-rs-br-016" TargetMode="External" Id="rId61"/><Relationship Type="http://schemas.openxmlformats.org/officeDocument/2006/relationships/hyperlink" Target="test-cases.vi.md#tc-rs-br-017" TargetMode="External" Id="rId62"/><Relationship Type="http://schemas.openxmlformats.org/officeDocument/2006/relationships/hyperlink" Target="test-cases.vi.md#tc-rs-br-018" TargetMode="External" Id="rId63"/><Relationship Type="http://schemas.openxmlformats.org/officeDocument/2006/relationships/hyperlink" Target="test-cases.vi.md#tc-rs-br-019" TargetMode="External" Id="rId64"/><Relationship Type="http://schemas.openxmlformats.org/officeDocument/2006/relationships/hyperlink" Target="test-cases.vi.md#tc-rs-br-019" TargetMode="External" Id="rId65"/><Relationship Type="http://schemas.openxmlformats.org/officeDocument/2006/relationships/hyperlink" Target="test-cases.vi.md#tc-rs-br-020" TargetMode="External" Id="rId66"/><Relationship Type="http://schemas.openxmlformats.org/officeDocument/2006/relationships/hyperlink" Target="test-cases.vi.md#tc-rs-br-021" TargetMode="External" Id="rId67"/><Relationship Type="http://schemas.openxmlformats.org/officeDocument/2006/relationships/hyperlink" Target="test-cases.vi.md#tc-rs-br-022" TargetMode="External" Id="rId68"/><Relationship Type="http://schemas.openxmlformats.org/officeDocument/2006/relationships/hyperlink" Target="test-cases.vi.md#tc-rs-br-023" TargetMode="External" Id="rId69"/><Relationship Type="http://schemas.openxmlformats.org/officeDocument/2006/relationships/hyperlink" Target="test-cases.vi.md#tc-rs-br-024" TargetMode="External" Id="rId70"/><Relationship Type="http://schemas.openxmlformats.org/officeDocument/2006/relationships/hyperlink" Target="test-cases.vi.md#tc-rs-br-024" TargetMode="External" Id="rId71"/><Relationship Type="http://schemas.openxmlformats.org/officeDocument/2006/relationships/hyperlink" Target="test-cases.vi.md#tc-rs-br-025" TargetMode="External" Id="rId72"/><Relationship Type="http://schemas.openxmlformats.org/officeDocument/2006/relationships/hyperlink" Target="test-cases.vi.md#tc-rs-br-027" TargetMode="External" Id="rId73"/><Relationship Type="http://schemas.openxmlformats.org/officeDocument/2006/relationships/hyperlink" Target="test-cases.vi.md#tc-rs-br-028" TargetMode="External" Id="rId74"/><Relationship Type="http://schemas.openxmlformats.org/officeDocument/2006/relationships/hyperlink" Target="test-cases.vi.md#tc-rs-br-029" TargetMode="External" Id="rId75"/><Relationship Type="http://schemas.openxmlformats.org/officeDocument/2006/relationships/hyperlink" Target="test-cases.vi.md#tc-rs-br-030" TargetMode="External" Id="rId76"/><Relationship Type="http://schemas.openxmlformats.org/officeDocument/2006/relationships/hyperlink" Target="test-cases.vi.md#tc-rs-br-031" TargetMode="External" Id="rId77"/><Relationship Type="http://schemas.openxmlformats.org/officeDocument/2006/relationships/hyperlink" Target="test-cases.vi.md#tc-rs-br-032" TargetMode="External" Id="rId78"/><Relationship Type="http://schemas.openxmlformats.org/officeDocument/2006/relationships/hyperlink" Target="test-cases.vi.md#tc-rs-br-033" TargetMode="External" Id="rId79"/><Relationship Type="http://schemas.openxmlformats.org/officeDocument/2006/relationships/hyperlink" Target="test-cases.vi.md#tc-rs-br-034" TargetMode="External" Id="rId80"/><Relationship Type="http://schemas.openxmlformats.org/officeDocument/2006/relationships/hyperlink" Target="test-cases.vi.md#tc-rs-br-035" TargetMode="External" Id="rId81"/><Relationship Type="http://schemas.openxmlformats.org/officeDocument/2006/relationships/hyperlink" Target="test-cases.vi.md#tc-rs-br-036" TargetMode="External" Id="rId82"/><Relationship Type="http://schemas.openxmlformats.org/officeDocument/2006/relationships/hyperlink" Target="test-cases.vi.md#tc-rs-br-037" TargetMode="External" Id="rId83"/><Relationship Type="http://schemas.openxmlformats.org/officeDocument/2006/relationships/hyperlink" Target="test-cases.vi.md#tc-rs-br-038" TargetMode="External" Id="rId84"/><Relationship Type="http://schemas.openxmlformats.org/officeDocument/2006/relationships/hyperlink" Target="test-cases.vi.md#tc-rs-br-039" TargetMode="External" Id="rId85"/><Relationship Type="http://schemas.openxmlformats.org/officeDocument/2006/relationships/hyperlink" Target="test-cases.vi.md#tc-rs-br-040" TargetMode="External" Id="rId86"/><Relationship Type="http://schemas.openxmlformats.org/officeDocument/2006/relationships/hyperlink" Target="test-cases.vi.md#tc-rs-val-001" TargetMode="External" Id="rId87"/><Relationship Type="http://schemas.openxmlformats.org/officeDocument/2006/relationships/hyperlink" Target="test-cases.vi.md#tc-rs-val-002" TargetMode="External" Id="rId88"/><Relationship Type="http://schemas.openxmlformats.org/officeDocument/2006/relationships/hyperlink" Target="test-cases.vi.md#tc-rs-val-003" TargetMode="External" Id="rId89"/><Relationship Type="http://schemas.openxmlformats.org/officeDocument/2006/relationships/hyperlink" Target="test-cases.vi.md#tc-rs-val-004" TargetMode="External" Id="rId90"/><Relationship Type="http://schemas.openxmlformats.org/officeDocument/2006/relationships/hyperlink" Target="test-cases.vi.md#tc-rs-val-005" TargetMode="External" Id="rId91"/><Relationship Type="http://schemas.openxmlformats.org/officeDocument/2006/relationships/hyperlink" Target="test-cases.vi.md#tc-rs-val-006" TargetMode="External" Id="rId92"/><Relationship Type="http://schemas.openxmlformats.org/officeDocument/2006/relationships/hyperlink" Target="test-cases.vi.md#tc-rs-val-007" TargetMode="External" Id="rId93"/><Relationship Type="http://schemas.openxmlformats.org/officeDocument/2006/relationships/hyperlink" Target="test-cases.vi.md#tc-rs-val-008" TargetMode="External" Id="rId94"/><Relationship Type="http://schemas.openxmlformats.org/officeDocument/2006/relationships/hyperlink" Target="test-cases.vi.md#tc-rs-val-009" TargetMode="External" Id="rId95"/><Relationship Type="http://schemas.openxmlformats.org/officeDocument/2006/relationships/hyperlink" Target="test-cases.vi.md#tc-rs-val-010" TargetMode="External" Id="rId96"/><Relationship Type="http://schemas.openxmlformats.org/officeDocument/2006/relationships/hyperlink" Target="test-cases.vi.md#tc-rs-val-011" TargetMode="External" Id="rId97"/><Relationship Type="http://schemas.openxmlformats.org/officeDocument/2006/relationships/hyperlink" Target="test-cases.vi.md#tc-rs-val-012" TargetMode="External" Id="rId98"/><Relationship Type="http://schemas.openxmlformats.org/officeDocument/2006/relationships/hyperlink" Target="test-cases.vi.md#tc-rs-val-013" TargetMode="External" Id="rId99"/><Relationship Type="http://schemas.openxmlformats.org/officeDocument/2006/relationships/hyperlink" Target="test-cases.vi.md#tc-rs-val-014" TargetMode="External" Id="rId100"/><Relationship Type="http://schemas.openxmlformats.org/officeDocument/2006/relationships/hyperlink" Target="test-cases.vi.md#tc-rs-val-015" TargetMode="External" Id="rId101"/><Relationship Type="http://schemas.openxmlformats.org/officeDocument/2006/relationships/hyperlink" Target="test-cases.vi.md#tc-rs-val-016" TargetMode="External" Id="rId102"/><Relationship Type="http://schemas.openxmlformats.org/officeDocument/2006/relationships/hyperlink" Target="test-cases.vi.md#tc-rs-val-016" TargetMode="External" Id="rId103"/><Relationship Type="http://schemas.openxmlformats.org/officeDocument/2006/relationships/hyperlink" Target="test-cases.vi.md#tc-rs-val-017" TargetMode="External" Id="rId104"/><Relationship Type="http://schemas.openxmlformats.org/officeDocument/2006/relationships/hyperlink" Target="test-cases.vi.md#tc-rs-val-018" TargetMode="External" Id="rId105"/><Relationship Type="http://schemas.openxmlformats.org/officeDocument/2006/relationships/hyperlink" Target="test-cases.vi.md#tc-rs-val-019" TargetMode="External" Id="rId106"/><Relationship Type="http://schemas.openxmlformats.org/officeDocument/2006/relationships/hyperlink" Target="test-cases.vi.md#tc-rs-val-020" TargetMode="External" Id="rId107"/><Relationship Type="http://schemas.openxmlformats.org/officeDocument/2006/relationships/hyperlink" Target="test-cases.vi.md#tc-rs-val-021" TargetMode="External" Id="rId108"/><Relationship Type="http://schemas.openxmlformats.org/officeDocument/2006/relationships/hyperlink" Target="test-cases.vi.md#tc-rs-val-022" TargetMode="External" Id="rId109"/><Relationship Type="http://schemas.openxmlformats.org/officeDocument/2006/relationships/hyperlink" Target="test-cases.vi.md#tc-rs-val-023" TargetMode="External" Id="rId110"/><Relationship Type="http://schemas.openxmlformats.org/officeDocument/2006/relationships/hyperlink" Target="test-cases.vi.md#tc-rs-val-024" TargetMode="External" Id="rId111"/><Relationship Type="http://schemas.openxmlformats.org/officeDocument/2006/relationships/hyperlink" Target="test-cases.vi.md#tc-rs-val-025" TargetMode="External" Id="rId112"/><Relationship Type="http://schemas.openxmlformats.org/officeDocument/2006/relationships/hyperlink" Target="test-cases.vi.md#tc-rs-data-001" TargetMode="External" Id="rId113"/><Relationship Type="http://schemas.openxmlformats.org/officeDocument/2006/relationships/hyperlink" Target="test-cases.vi.md#tc-rs-data-002" TargetMode="External" Id="rId114"/><Relationship Type="http://schemas.openxmlformats.org/officeDocument/2006/relationships/hyperlink" Target="test-cases.vi.md#tc-rs-data-003" TargetMode="External" Id="rId115"/><Relationship Type="http://schemas.openxmlformats.org/officeDocument/2006/relationships/hyperlink" Target="test-cases.vi.md#tc-rs-data-004" TargetMode="External" Id="rId116"/><Relationship Type="http://schemas.openxmlformats.org/officeDocument/2006/relationships/hyperlink" Target="test-cases.vi.md#tc-rs-data-005" TargetMode="External" Id="rId117"/><Relationship Type="http://schemas.openxmlformats.org/officeDocument/2006/relationships/hyperlink" Target="test-cases.vi.md#tc-rs-data-007" TargetMode="External" Id="rId118"/><Relationship Type="http://schemas.openxmlformats.org/officeDocument/2006/relationships/hyperlink" Target="test-cases.vi.md#tc-rs-data-008" TargetMode="External" Id="rId119"/><Relationship Type="http://schemas.openxmlformats.org/officeDocument/2006/relationships/hyperlink" Target="test-cases.vi.md#tc-rs-data-010" TargetMode="External" Id="rId120"/><Relationship Type="http://schemas.openxmlformats.org/officeDocument/2006/relationships/hyperlink" Target="test-cases.vi.md#tc-rs-data-011" TargetMode="External" Id="rId121"/><Relationship Type="http://schemas.openxmlformats.org/officeDocument/2006/relationships/hyperlink" Target="test-cases.vi.md#tc-rs-data-012" TargetMode="External" Id="rId122"/><Relationship Type="http://schemas.openxmlformats.org/officeDocument/2006/relationships/hyperlink" Target="test-cases.vi.md#tc-rs-data-013" TargetMode="External" Id="rId123"/><Relationship Type="http://schemas.openxmlformats.org/officeDocument/2006/relationships/hyperlink" Target="test-cases.vi.md#tc-rs-calc-001" TargetMode="External" Id="rId124"/><Relationship Type="http://schemas.openxmlformats.org/officeDocument/2006/relationships/hyperlink" Target="test-cases.vi.md#tc-rs-calc-002" TargetMode="External" Id="rId125"/><Relationship Type="http://schemas.openxmlformats.org/officeDocument/2006/relationships/hyperlink" Target="test-cases.vi.md#tc-rs-calc-003" TargetMode="External" Id="rId126"/><Relationship Type="http://schemas.openxmlformats.org/officeDocument/2006/relationships/hyperlink" Target="test-cases.vi.md#tc-rs-calc-004" TargetMode="External" Id="rId127"/><Relationship Type="http://schemas.openxmlformats.org/officeDocument/2006/relationships/hyperlink" Target="test-cases.vi.md#tc-rs-calc-005" TargetMode="External" Id="rId128"/><Relationship Type="http://schemas.openxmlformats.org/officeDocument/2006/relationships/hyperlink" Target="test-cases.vi.md#tc-rs-calc-006" TargetMode="External" Id="rId129"/><Relationship Type="http://schemas.openxmlformats.org/officeDocument/2006/relationships/hyperlink" Target="test-cases.vi.md#tc-rs-calc-007" TargetMode="External" Id="rId130"/><Relationship Type="http://schemas.openxmlformats.org/officeDocument/2006/relationships/hyperlink" Target="test-cases.vi.md#tc-rs-calc-008" TargetMode="External" Id="rId131"/><Relationship Type="http://schemas.openxmlformats.org/officeDocument/2006/relationships/hyperlink" Target="test-cases.vi.md#tc-rs-calc-009" TargetMode="External" Id="rId132"/><Relationship Type="http://schemas.openxmlformats.org/officeDocument/2006/relationships/hyperlink" Target="test-cases.vi.md#tc-rs-calc-010" TargetMode="External" Id="rId133"/><Relationship Type="http://schemas.openxmlformats.org/officeDocument/2006/relationships/hyperlink" Target="test-cases.vi.md#tc-rs-calc-011" TargetMode="External" Id="rId134"/><Relationship Type="http://schemas.openxmlformats.org/officeDocument/2006/relationships/hyperlink" Target="test-cases.vi.md#tc-rs-calc-012" TargetMode="External" Id="rId135"/><Relationship Type="http://schemas.openxmlformats.org/officeDocument/2006/relationships/hyperlink" Target="test-cases.vi.md#tc-rs-calc-013" TargetMode="External" Id="rId136"/><Relationship Type="http://schemas.openxmlformats.org/officeDocument/2006/relationships/hyperlink" Target="test-cases.vi.md#tc-rs-calc-014" TargetMode="External" Id="rId137"/><Relationship Type="http://schemas.openxmlformats.org/officeDocument/2006/relationships/hyperlink" Target="test-cases.vi.md#tc-rs-calc-015" TargetMode="External" Id="rId138"/><Relationship Type="http://schemas.openxmlformats.org/officeDocument/2006/relationships/hyperlink" Target="test-cases.vi.md#tc-rs-calc-016" TargetMode="External" Id="rId139"/><Relationship Type="http://schemas.openxmlformats.org/officeDocument/2006/relationships/hyperlink" Target="test-cases.vi.md#tc-rs-calc-017" TargetMode="External" Id="rId140"/><Relationship Type="http://schemas.openxmlformats.org/officeDocument/2006/relationships/hyperlink" Target="test-cases.vi.md#tc-rs-calc-018" TargetMode="External" Id="rId141"/><Relationship Type="http://schemas.openxmlformats.org/officeDocument/2006/relationships/hyperlink" Target="test-cases.vi.md#tc-rs-calc-019" TargetMode="External" Id="rId142"/><Relationship Type="http://schemas.openxmlformats.org/officeDocument/2006/relationships/hyperlink" Target="test-cases.vi.md#tc-rs-calc-020" TargetMode="External" Id="rId143"/><Relationship Type="http://schemas.openxmlformats.org/officeDocument/2006/relationships/hyperlink" Target="test-cases.vi.md#tc-rs-calc-021" TargetMode="External" Id="rId144"/><Relationship Type="http://schemas.openxmlformats.org/officeDocument/2006/relationships/hyperlink" Target="test-cases.vi.md#tc-rs-calc-022" TargetMode="External" Id="rId145"/><Relationship Type="http://schemas.openxmlformats.org/officeDocument/2006/relationships/hyperlink" Target="test-cases.vi.md#tc-rs-calc-023" TargetMode="External" Id="rId146"/><Relationship Type="http://schemas.openxmlformats.org/officeDocument/2006/relationships/hyperlink" Target="test-cases.vi.md#tc-rs-calc-024" TargetMode="External" Id="rId147"/><Relationship Type="http://schemas.openxmlformats.org/officeDocument/2006/relationships/hyperlink" Target="test-cases.vi.md#tc-rs-calc-025" TargetMode="External" Id="rId148"/><Relationship Type="http://schemas.openxmlformats.org/officeDocument/2006/relationships/hyperlink" Target="test-cases.vi.md#tc-rs-calc-026" TargetMode="External" Id="rId149"/><Relationship Type="http://schemas.openxmlformats.org/officeDocument/2006/relationships/hyperlink" Target="test-cases.vi.md#tc-rs-calc-027" TargetMode="External" Id="rId150"/><Relationship Type="http://schemas.openxmlformats.org/officeDocument/2006/relationships/hyperlink" Target="test-cases.vi.md#tc-rs-calc-028" TargetMode="External" Id="rId151"/><Relationship Type="http://schemas.openxmlformats.org/officeDocument/2006/relationships/hyperlink" Target="test-cases.vi.md#tc-rs-calc-029" TargetMode="External" Id="rId152"/><Relationship Type="http://schemas.openxmlformats.org/officeDocument/2006/relationships/hyperlink" Target="test-cases.vi.md#tc-rs-calc-030" TargetMode="External" Id="rId153"/><Relationship Type="http://schemas.openxmlformats.org/officeDocument/2006/relationships/hyperlink" Target="test-cases.vi.md#tc-rs-calc-030" TargetMode="External" Id="rId154"/><Relationship Type="http://schemas.openxmlformats.org/officeDocument/2006/relationships/hyperlink" Target="test-cases.vi.md#tc-rs-calc-031" TargetMode="External" Id="rId155"/><Relationship Type="http://schemas.openxmlformats.org/officeDocument/2006/relationships/hyperlink" Target="test-cases.vi.md#tc-rs-calc-032" TargetMode="External" Id="rId156"/><Relationship Type="http://schemas.openxmlformats.org/officeDocument/2006/relationships/hyperlink" Target="test-cases.vi.md#tc-rs-ui-001" TargetMode="External" Id="rId157"/><Relationship Type="http://schemas.openxmlformats.org/officeDocument/2006/relationships/hyperlink" Target="test-cases.vi.md#tc-rs-ui-002" TargetMode="External" Id="rId158"/><Relationship Type="http://schemas.openxmlformats.org/officeDocument/2006/relationships/hyperlink" Target="test-cases.vi.md#tc-rs-ui-003" TargetMode="External" Id="rId159"/><Relationship Type="http://schemas.openxmlformats.org/officeDocument/2006/relationships/hyperlink" Target="test-cases.vi.md#tc-rs-ui-004" TargetMode="External" Id="rId160"/><Relationship Type="http://schemas.openxmlformats.org/officeDocument/2006/relationships/hyperlink" Target="test-cases.vi.md#tc-rs-ui-005" TargetMode="External" Id="rId161"/><Relationship Type="http://schemas.openxmlformats.org/officeDocument/2006/relationships/hyperlink" Target="test-cases.vi.md#tc-rs-ui-006" TargetMode="External" Id="rId162"/><Relationship Type="http://schemas.openxmlformats.org/officeDocument/2006/relationships/hyperlink" Target="test-cases.vi.md#tc-rs-ui-007" TargetMode="External" Id="rId163"/><Relationship Type="http://schemas.openxmlformats.org/officeDocument/2006/relationships/hyperlink" Target="test-cases.vi.md#tc-rs-ui-008" TargetMode="External" Id="rId164"/><Relationship Type="http://schemas.openxmlformats.org/officeDocument/2006/relationships/hyperlink" Target="test-cases.vi.md#tc-rs-ui-009" TargetMode="External" Id="rId165"/><Relationship Type="http://schemas.openxmlformats.org/officeDocument/2006/relationships/hyperlink" Target="test-cases.vi.md#tc-rs-ui-010" TargetMode="External" Id="rId166"/><Relationship Type="http://schemas.openxmlformats.org/officeDocument/2006/relationships/hyperlink" Target="test-cases.vi.md#tc-rs-ui-011" TargetMode="External" Id="rId167"/><Relationship Type="http://schemas.openxmlformats.org/officeDocument/2006/relationships/hyperlink" Target="test-cases.vi.md#tc-rs-ui-012" TargetMode="External" Id="rId168"/><Relationship Type="http://schemas.openxmlformats.org/officeDocument/2006/relationships/hyperlink" Target="test-cases.vi.md#tc-rs-ui-013" TargetMode="External" Id="rId169"/><Relationship Type="http://schemas.openxmlformats.org/officeDocument/2006/relationships/hyperlink" Target="test-cases.vi.md#tc-rs-ui-014" TargetMode="External" Id="rId170"/><Relationship Type="http://schemas.openxmlformats.org/officeDocument/2006/relationships/hyperlink" Target="test-cases.vi.md#tc-rs-ui-015" TargetMode="External" Id="rId171"/><Relationship Type="http://schemas.openxmlformats.org/officeDocument/2006/relationships/hyperlink" Target="test-cases.vi.md#tc-rs-ui-016" TargetMode="External" Id="rId172"/><Relationship Type="http://schemas.openxmlformats.org/officeDocument/2006/relationships/hyperlink" Target="test-cases.vi.md#tc-rs-ui-017" TargetMode="External" Id="rId173"/><Relationship Type="http://schemas.openxmlformats.org/officeDocument/2006/relationships/hyperlink" Target="test-cases.vi.md#tc-rs-ui-018" TargetMode="External" Id="rId174"/><Relationship Type="http://schemas.openxmlformats.org/officeDocument/2006/relationships/hyperlink" Target="test-cases.vi.md#tc-rs-ui-019" TargetMode="External" Id="rId175"/><Relationship Type="http://schemas.openxmlformats.org/officeDocument/2006/relationships/hyperlink" Target="test-cases.vi.md#tc-rs-ui-020" TargetMode="External" Id="rId176"/><Relationship Type="http://schemas.openxmlformats.org/officeDocument/2006/relationships/hyperlink" Target="test-cases.vi.md#tc-rs-ui-021" TargetMode="External" Id="rId177"/><Relationship Type="http://schemas.openxmlformats.org/officeDocument/2006/relationships/hyperlink" Target="test-cases.vi.md#tc-rs-ui-022" TargetMode="External" Id="rId178"/><Relationship Type="http://schemas.openxmlformats.org/officeDocument/2006/relationships/hyperlink" Target="test-cases.vi.md#tc-rs-ui-023" TargetMode="External" Id="rId179"/><Relationship Type="http://schemas.openxmlformats.org/officeDocument/2006/relationships/hyperlink" Target="test-cases.vi.md#tc-rs-ui-024" TargetMode="External" Id="rId180"/><Relationship Type="http://schemas.openxmlformats.org/officeDocument/2006/relationships/hyperlink" Target="test-cases.vi.md#tc-rs-ui-026" TargetMode="External" Id="rId181"/><Relationship Type="http://schemas.openxmlformats.org/officeDocument/2006/relationships/hyperlink" Target="test-cases.vi.md#tc-rs-ui-025" TargetMode="External" Id="rId182"/><Relationship Type="http://schemas.openxmlformats.org/officeDocument/2006/relationships/hyperlink" Target="test-cases.vi.md#tc-rs-err-001" TargetMode="External" Id="rId183"/><Relationship Type="http://schemas.openxmlformats.org/officeDocument/2006/relationships/hyperlink" Target="test-cases.vi.md#tc-rs-err-001" TargetMode="External" Id="rId184"/><Relationship Type="http://schemas.openxmlformats.org/officeDocument/2006/relationships/hyperlink" Target="test-cases.vi.md#tc-rs-err-002" TargetMode="External" Id="rId185"/><Relationship Type="http://schemas.openxmlformats.org/officeDocument/2006/relationships/hyperlink" Target="test-cases.vi.md#tc-rs-err-003" TargetMode="External" Id="rId186"/><Relationship Type="http://schemas.openxmlformats.org/officeDocument/2006/relationships/hyperlink" Target="test-cases.vi.md#tc-rs-err-004" TargetMode="External" Id="rId187"/><Relationship Type="http://schemas.openxmlformats.org/officeDocument/2006/relationships/hyperlink" Target="test-cases.vi.md#tc-rs-err-005" TargetMode="External" Id="rId188"/><Relationship Type="http://schemas.openxmlformats.org/officeDocument/2006/relationships/hyperlink" Target="test-cases.vi.md#tc-rs-err-006" TargetMode="External" Id="rId189"/><Relationship Type="http://schemas.openxmlformats.org/officeDocument/2006/relationships/hyperlink" Target="test-cases.vi.md#tc-rs-err-007" TargetMode="External" Id="rId190"/><Relationship Type="http://schemas.openxmlformats.org/officeDocument/2006/relationships/hyperlink" Target="test-cases.vi.md#tc-rs-err-008" TargetMode="External" Id="rId191"/><Relationship Type="http://schemas.openxmlformats.org/officeDocument/2006/relationships/hyperlink" Target="test-cases.vi.md#tc-rs-err-009" TargetMode="External" Id="rId192"/><Relationship Type="http://schemas.openxmlformats.org/officeDocument/2006/relationships/hyperlink" Target="test-cases.vi.md#tc-rs-err-010" TargetMode="External" Id="rId193"/><Relationship Type="http://schemas.openxmlformats.org/officeDocument/2006/relationships/hyperlink" Target="test-cases.vi.md#tc-rs-err-011" TargetMode="External" Id="rId194"/><Relationship Type="http://schemas.openxmlformats.org/officeDocument/2006/relationships/hyperlink" Target="test-cases.vi.md#tc-rs-err-012" TargetMode="External" Id="rId195"/><Relationship Type="http://schemas.openxmlformats.org/officeDocument/2006/relationships/hyperlink" Target="test-cases.vi.md#tc-rs-err-013" TargetMode="External" Id="rId196"/><Relationship Type="http://schemas.openxmlformats.org/officeDocument/2006/relationships/hyperlink" Target="test-cases.vi.md#tc-rs-err-014" TargetMode="External" Id="rId197"/><Relationship Type="http://schemas.openxmlformats.org/officeDocument/2006/relationships/hyperlink" Target="test-cases.vi.md#tc-rs-err-015" TargetMode="External" Id="rId198"/><Relationship Type="http://schemas.openxmlformats.org/officeDocument/2006/relationships/hyperlink" Target="test-cases.vi.md#tc-rs-err-016" TargetMode="External" Id="rId199"/><Relationship Type="http://schemas.openxmlformats.org/officeDocument/2006/relationships/hyperlink" Target="test-cases.vi.md#tc-rs-err-017" TargetMode="External" Id="rId200"/><Relationship Type="http://schemas.openxmlformats.org/officeDocument/2006/relationships/hyperlink" Target="test-cases.vi.md#tc-rs-err-018" TargetMode="External" Id="rId201"/><Relationship Type="http://schemas.openxmlformats.org/officeDocument/2006/relationships/hyperlink" Target="test-cases.vi.md#tc-rs-err-019" TargetMode="External" Id="rId202"/><Relationship Type="http://schemas.openxmlformats.org/officeDocument/2006/relationships/hyperlink" Target="test-cases.vi.md#tc-rs-reg-001" TargetMode="External" Id="rId203"/><Relationship Type="http://schemas.openxmlformats.org/officeDocument/2006/relationships/hyperlink" Target="test-cases.vi.md#tc-rs-reg-002" TargetMode="External" Id="rId204"/><Relationship Type="http://schemas.openxmlformats.org/officeDocument/2006/relationships/hyperlink" Target="test-cases.vi.md#tc-rs-reg-003" TargetMode="External" Id="rId205"/><Relationship Type="http://schemas.openxmlformats.org/officeDocument/2006/relationships/hyperlink" Target="test-cases.vi.md#tc-rs-reg-003" TargetMode="External" Id="rId206"/><Relationship Type="http://schemas.openxmlformats.org/officeDocument/2006/relationships/hyperlink" Target="test-cases.vi.md#tc-rs-reg-004" TargetMode="External" Id="rId207"/><Relationship Type="http://schemas.openxmlformats.org/officeDocument/2006/relationships/hyperlink" Target="test-cases.vi.md#tc-rs-reg-005" TargetMode="External" Id="rId208"/><Relationship Type="http://schemas.openxmlformats.org/officeDocument/2006/relationships/hyperlink" Target="test-cases.vi.md#tc-rs-reg-006" TargetMode="External" Id="rId209"/><Relationship Type="http://schemas.openxmlformats.org/officeDocument/2006/relationships/hyperlink" Target="test-cases.vi.md#tc-rs-reg-007" TargetMode="External" Id="rId210"/><Relationship Type="http://schemas.openxmlformats.org/officeDocument/2006/relationships/hyperlink" Target="test-cases.vi.md#tc-rs-reg-008" TargetMode="External" Id="rId211"/><Relationship Type="http://schemas.openxmlformats.org/officeDocument/2006/relationships/hyperlink" Target="test-cases.vi.md#tc-rs-reg-009" TargetMode="External" Id="rId212"/><Relationship Type="http://schemas.openxmlformats.org/officeDocument/2006/relationships/hyperlink" Target="test-cases.vi.md#tc-rs-reg-010" TargetMode="External" Id="rId213"/><Relationship Type="http://schemas.openxmlformats.org/officeDocument/2006/relationships/hyperlink" Target="test-cases.vi.md#tc-rs-reg-013" TargetMode="External" Id="rId214"/><Relationship Type="http://schemas.openxmlformats.org/officeDocument/2006/relationships/hyperlink" Target="test-cases.vi.md#tc-rs-reg-014" TargetMode="External" Id="rId215"/><Relationship Type="http://schemas.openxmlformats.org/officeDocument/2006/relationships/hyperlink" Target="test-cases.vi.md#tc-rs-reg-015" TargetMode="External" Id="rId216"/><Relationship Type="http://schemas.openxmlformats.org/officeDocument/2006/relationships/hyperlink" Target="test-cases.vi.md#tc-rs-reg-016" TargetMode="External" Id="rId217"/><Relationship Type="http://schemas.openxmlformats.org/officeDocument/2006/relationships/hyperlink" Target="test-cases.vi.md#tc-rs-reg-017" TargetMode="External" Id="rId218"/></Relationships>
</file>

<file path=xl/worksheets/sheet2.xml><?xml version="1.0" encoding="utf-8"?>
<worksheet xmlns="http://schemas.openxmlformats.org/spreadsheetml/2006/main">
  <sheetPr>
    <outlinePr summaryBelow="1" summaryRight="1"/>
    <pageSetUpPr/>
  </sheetPr>
  <dimension ref="A1:E23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46" customWidth="1" min="3" max="3"/>
    <col width="18" customWidth="1" min="4" max="4"/>
    <col width="28" customWidth="1" min="5" max="5"/>
  </cols>
  <sheetData>
    <row r="1">
      <c r="A1" s="8" t="inlineStr">
        <is>
          <t>Business Scenario</t>
        </is>
      </c>
      <c r="B1" s="8" t="inlineStr">
        <is>
          <t>Test Case ID</t>
        </is>
      </c>
      <c r="C1" s="8" t="inlineStr">
        <is>
          <t>Test Case</t>
        </is>
      </c>
      <c r="D1" s="8" t="inlineStr">
        <is>
          <t>Category</t>
        </is>
      </c>
      <c r="E1" s="8" t="inlineStr">
        <is>
          <t>Source File</t>
        </is>
      </c>
    </row>
    <row r="2">
      <c r="A2" s="9" t="inlineStr">
        <is>
          <t>TS-RS-001</t>
        </is>
      </c>
      <c r="B2" s="9" t="inlineStr">
        <is>
          <t>TC-RS-DATA-001</t>
        </is>
      </c>
      <c r="C2" s="9" t="inlineStr">
        <is>
          <t>Cấu hình lưu và mở lại đầy đủ, không cắt/làm tròn âm thầm</t>
        </is>
      </c>
      <c r="D2" s="9" t="inlineStr">
        <is>
          <t>G. Data • Persistence</t>
        </is>
      </c>
      <c r="E2" s="9" t="inlineStr">
        <is>
          <t>test-cases.vi.md</t>
        </is>
      </c>
    </row>
    <row r="3">
      <c r="A3" s="9" t="inlineStr">
        <is>
          <t>TS-RS-001</t>
        </is>
      </c>
      <c r="B3" s="9" t="inlineStr">
        <is>
          <t>TC-RS-DATA-004</t>
        </is>
      </c>
      <c r="C3" s="9" t="inlineStr">
        <is>
          <t>Xóa quy tắc không xóa dây chuyền kết quả hay điểm</t>
        </is>
      </c>
      <c r="D3" s="9" t="inlineStr">
        <is>
          <t>G. Data • Persistence</t>
        </is>
      </c>
      <c r="E3" s="9" t="inlineStr">
        <is>
          <t>test-cases.vi.md</t>
        </is>
      </c>
    </row>
    <row r="4">
      <c r="A4" s="9" t="inlineStr">
        <is>
          <t>TS-RS-001</t>
        </is>
      </c>
      <c r="B4" s="9" t="inlineStr">
        <is>
          <t>TC-RS-FUNC-001</t>
        </is>
      </c>
      <c r="C4" s="9" t="inlineStr">
        <is>
          <t>Hàng Thiết lập điểm đỏ（赤点設定） xuất hiện trong Thiết lập ô nhập（入力欄設定） cho mục điểm số</t>
        </is>
      </c>
      <c r="D4" s="9" t="inlineStr">
        <is>
          <t>A. Functional</t>
        </is>
      </c>
      <c r="E4" s="9" t="inlineStr">
        <is>
          <t>test-cases.vi.md</t>
        </is>
      </c>
    </row>
    <row r="5">
      <c r="A5" s="9" t="inlineStr">
        <is>
          <t>TS-RS-001</t>
        </is>
      </c>
      <c r="B5" s="9" t="inlineStr">
        <is>
          <t>TC-RS-FUNC-002</t>
        </is>
      </c>
      <c r="C5" s="9" t="inlineStr">
        <is>
          <t>Mục kiểu lựa chọn và Đạt/không đạt（合否） không có thao tác tạo quy tắc đỏ có hiệu lực</t>
        </is>
      </c>
      <c r="D5" s="9" t="inlineStr">
        <is>
          <t>A. Functional</t>
        </is>
      </c>
      <c r="E5" s="9" t="inlineStr">
        <is>
          <t>test-cases.vi.md</t>
        </is>
      </c>
    </row>
    <row r="6">
      <c r="A6" s="9" t="inlineStr">
        <is>
          <t>TS-RS-001</t>
        </is>
      </c>
      <c r="B6" s="9" t="inlineStr">
        <is>
          <t>TC-RS-FUNC-003</t>
        </is>
      </c>
      <c r="C6" s="9" t="inlineStr">
        <is>
          <t>Danh sách trống không tự dựng rule từ cấu hình legacy</t>
        </is>
      </c>
      <c r="D6" s="9" t="inlineStr">
        <is>
          <t>A. Functional</t>
        </is>
      </c>
      <c r="E6" s="9" t="inlineStr">
        <is>
          <t>test-cases.vi.md</t>
        </is>
      </c>
    </row>
    <row r="7">
      <c r="A7" s="9" t="inlineStr">
        <is>
          <t>TS-RS-001</t>
        </is>
      </c>
      <c r="B7" s="9" t="inlineStr">
        <is>
          <t>TC-RS-FUNC-004</t>
        </is>
      </c>
      <c r="C7" s="9" t="inlineStr">
        <is>
          <t>Thêm quy tắc qua Điều kiện áp dụng（適用条件） và Ngưỡng（基準設定） rồi quay lại danh sách</t>
        </is>
      </c>
      <c r="D7" s="9" t="inlineStr">
        <is>
          <t>A. Functional</t>
        </is>
      </c>
      <c r="E7" s="9" t="inlineStr">
        <is>
          <t>test-cases.vi.md</t>
        </is>
      </c>
    </row>
    <row r="8">
      <c r="A8" s="9" t="inlineStr">
        <is>
          <t>TS-RS-001</t>
        </is>
      </c>
      <c r="B8" s="9" t="inlineStr">
        <is>
          <t>TC-RS-FUNC-005</t>
        </is>
      </c>
      <c r="C8" s="9" t="inlineStr">
        <is>
          <t>Nhiều quy tắc hiển thị theo ưu tiên; đổi thứ tự bằng ▲▼ được lưu</t>
        </is>
      </c>
      <c r="D8" s="9" t="inlineStr">
        <is>
          <t>A. Functional</t>
        </is>
      </c>
      <c r="E8" s="9" t="inlineStr">
        <is>
          <t>test-cases.vi.md</t>
        </is>
      </c>
    </row>
    <row r="9">
      <c r="A9" s="9" t="inlineStr">
        <is>
          <t>TS-RS-001</t>
        </is>
      </c>
      <c r="B9" s="9" t="inlineStr">
        <is>
          <t>TC-RS-FUNC-006</t>
        </is>
      </c>
      <c r="C9" s="9" t="inlineStr">
        <is>
          <t>Xóa một quy tắc có xác nhận; Hủy（キャンセル） giữ nguyên</t>
        </is>
      </c>
      <c r="D9" s="9" t="inlineStr">
        <is>
          <t>A. Functional</t>
        </is>
      </c>
      <c r="E9" s="9" t="inlineStr">
        <is>
          <t>test-cases.vi.md</t>
        </is>
      </c>
    </row>
    <row r="10">
      <c r="A10" s="9" t="inlineStr">
        <is>
          <t>TS-RS-001</t>
        </is>
      </c>
      <c r="B10" s="9" t="inlineStr">
        <is>
          <t>TC-RS-FUNC-007</t>
        </is>
      </c>
      <c r="C10" s="9" t="inlineStr">
        <is>
          <t>Quay lại（戻る）/hủy chỉnh sửa không lưu dữ liệu đang nhập</t>
        </is>
      </c>
      <c r="D10" s="9" t="inlineStr">
        <is>
          <t>A. Functional</t>
        </is>
      </c>
      <c r="E10" s="9" t="inlineStr">
        <is>
          <t>test-cases.vi.md</t>
        </is>
      </c>
    </row>
    <row r="11">
      <c r="A11" s="9" t="inlineStr">
        <is>
          <t>TS-RS-001</t>
        </is>
      </c>
      <c r="B11" s="9" t="inlineStr">
        <is>
          <t>TC-RS-FUNC-014</t>
        </is>
      </c>
      <c r="C11" s="9" t="inlineStr">
        <is>
          <t>Quy tắc mới chỉ có điều kiện, chưa có ngưỡng, không tham gia xét</t>
        </is>
      </c>
      <c r="D11" s="9" t="inlineStr">
        <is>
          <t>A. Functional</t>
        </is>
      </c>
      <c r="E11" s="9" t="inlineStr">
        <is>
          <t>test-cases.vi.md</t>
        </is>
      </c>
    </row>
    <row r="12">
      <c r="A12" s="9" t="inlineStr">
        <is>
          <t>TS-RS-001</t>
        </is>
      </c>
      <c r="B12" s="9" t="inlineStr">
        <is>
          <t>TC-RS-FUNC-033</t>
        </is>
      </c>
      <c r="C12" s="9" t="inlineStr">
        <is>
          <t>Đổi tên quy tắc: giữ liên kết, thứ tự và kết quả</t>
        </is>
      </c>
      <c r="D12" s="9" t="inlineStr">
        <is>
          <t>A. Functional</t>
        </is>
      </c>
      <c r="E12" s="9" t="inlineStr">
        <is>
          <t>test-cases.vi.md</t>
        </is>
      </c>
    </row>
    <row r="13">
      <c r="A13" s="9" t="inlineStr">
        <is>
          <t>TS-RS-001</t>
        </is>
      </c>
      <c r="B13" s="9" t="inlineStr">
        <is>
          <t>TC-RS-UI-001</t>
        </is>
      </c>
      <c r="C13" s="9" t="inlineStr">
        <is>
          <t>Nhãn trạng thái ở hàng Thiết lập điểm đỏ（赤点設定） trong Thiết lập ô nhập（入力欄設定）</t>
        </is>
      </c>
      <c r="D13" s="9" t="inlineStr">
        <is>
          <t>E. UI • Visual</t>
        </is>
      </c>
      <c r="E13" s="9" t="inlineStr">
        <is>
          <t>test-cases.vi.md</t>
        </is>
      </c>
    </row>
    <row r="14">
      <c r="A14" s="9" t="inlineStr">
        <is>
          <t>TS-RS-001</t>
        </is>
      </c>
      <c r="B14" s="9" t="inlineStr">
        <is>
          <t>TC-RS-UI-002</t>
        </is>
      </c>
      <c r="C14" s="9" t="inlineStr">
        <is>
          <t>Cấu trúc màn danh sách Thiết lập điểm đỏ（赤点設定）</t>
        </is>
      </c>
      <c r="D14" s="9" t="inlineStr">
        <is>
          <t>E. UI • Visual</t>
        </is>
      </c>
      <c r="E14" s="9" t="inlineStr">
        <is>
          <t>test-cases.vi.md</t>
        </is>
      </c>
    </row>
    <row r="15">
      <c r="A15" s="9" t="inlineStr">
        <is>
          <t>TS-RS-001</t>
        </is>
      </c>
      <c r="B15" s="9" t="inlineStr">
        <is>
          <t>TC-RS-UI-003</t>
        </is>
      </c>
      <c r="C15" s="9" t="inlineStr">
        <is>
          <t>Định dạng tiêu đề màn danh sách</t>
        </is>
      </c>
      <c r="D15" s="9" t="inlineStr">
        <is>
          <t>E. UI • Visual</t>
        </is>
      </c>
      <c r="E15" s="9" t="inlineStr">
        <is>
          <t>test-cases.vi.md</t>
        </is>
      </c>
    </row>
    <row r="16">
      <c r="A16" s="9" t="inlineStr">
        <is>
          <t>TS-RS-001</t>
        </is>
      </c>
      <c r="B16" s="9" t="inlineStr">
        <is>
          <t>TC-RS-UI-004</t>
        </is>
      </c>
      <c r="C16" s="9" t="inlineStr">
        <is>
          <t>Tóm tắt điều kiện và ngưỡng trên từng dòng danh sách</t>
        </is>
      </c>
      <c r="D16" s="9" t="inlineStr">
        <is>
          <t>E. UI • Visual</t>
        </is>
      </c>
      <c r="E16" s="9" t="inlineStr">
        <is>
          <t>test-cases.vi.md</t>
        </is>
      </c>
    </row>
    <row r="17">
      <c r="A17" s="9" t="inlineStr">
        <is>
          <t>TS-RS-001</t>
        </is>
      </c>
      <c r="B17" s="9" t="inlineStr">
        <is>
          <t>TC-RS-UI-005</t>
        </is>
      </c>
      <c r="C17" s="9" t="inlineStr">
        <is>
          <t>Trạng thái danh sách trống</t>
        </is>
      </c>
      <c r="D17" s="9" t="inlineStr">
        <is>
          <t>E. UI • Visual</t>
        </is>
      </c>
      <c r="E17" s="9" t="inlineStr">
        <is>
          <t>test-cases.vi.md</t>
        </is>
      </c>
    </row>
    <row r="18">
      <c r="A18" s="9" t="inlineStr">
        <is>
          <t>TS-RS-001</t>
        </is>
      </c>
      <c r="B18" s="9" t="inlineStr">
        <is>
          <t>TC-RS-UI-006</t>
        </is>
      </c>
      <c r="C18" s="9" t="inlineStr">
        <is>
          <t>Hộp xác nhận khi xóa quy tắc cuối</t>
        </is>
      </c>
      <c r="D18" s="9" t="inlineStr">
        <is>
          <t>E. UI • Visual</t>
        </is>
      </c>
      <c r="E18" s="9" t="inlineStr">
        <is>
          <t>test-cases.vi.md</t>
        </is>
      </c>
    </row>
    <row r="19">
      <c r="A19" s="9" t="inlineStr">
        <is>
          <t>TS-RS-001</t>
        </is>
      </c>
      <c r="B19" s="9" t="inlineStr">
        <is>
          <t>TC-RS-UI-007</t>
        </is>
      </c>
      <c r="C19" s="9" t="inlineStr">
        <is>
          <t>Dòng quy tắc mới chỉ có điều kiện, chưa có ngưỡng</t>
        </is>
      </c>
      <c r="D19" s="9" t="inlineStr">
        <is>
          <t>E. UI • Visual</t>
        </is>
      </c>
      <c r="E19" s="9" t="inlineStr">
        <is>
          <t>test-cases.vi.md</t>
        </is>
      </c>
    </row>
    <row r="20">
      <c r="A20" s="9" t="inlineStr">
        <is>
          <t>TS-RS-001</t>
        </is>
      </c>
      <c r="B20" s="9" t="inlineStr">
        <is>
          <t>TC-RS-VAL-014</t>
        </is>
      </c>
      <c r="C20" s="9" t="inlineStr">
        <is>
          <t>Tên thiết lập: bắt buộc, độ dài, trùng tên</t>
        </is>
      </c>
      <c r="D20" s="9" t="inlineStr">
        <is>
          <t>B. Validation</t>
        </is>
      </c>
      <c r="E20" s="9" t="inlineStr">
        <is>
          <t>test-cases.vi.md</t>
        </is>
      </c>
    </row>
    <row r="21">
      <c r="A21" s="9" t="inlineStr">
        <is>
          <t>TS-RS-001</t>
        </is>
      </c>
      <c r="B21" s="9" t="inlineStr">
        <is>
          <t>TC-RS-VAL-016</t>
        </is>
      </c>
      <c r="C21" s="9" t="inlineStr">
        <is>
          <t>Lỗi khi lưu không làm mất cấu hình/kết quả đã lưu</t>
        </is>
      </c>
      <c r="D21" s="9" t="inlineStr">
        <is>
          <t>B. Validation</t>
        </is>
      </c>
      <c r="E21" s="9" t="inlineStr">
        <is>
          <t>test-cases.vi.md</t>
        </is>
      </c>
    </row>
    <row r="22">
      <c r="A22" s="9" t="inlineStr">
        <is>
          <t>TS-RS-002</t>
        </is>
      </c>
      <c r="B22" s="9" t="inlineStr">
        <is>
          <t>TC-RS-BR-004</t>
        </is>
      </c>
      <c r="C22" s="9" t="inlineStr">
        <is>
          <t>Kết hợp bộ lọc: HOẶC trong cùng loại, VÀ giữa các loại</t>
        </is>
      </c>
      <c r="D22" s="9" t="inlineStr">
        <is>
          <t>C. Business Rules</t>
        </is>
      </c>
      <c r="E22" s="9" t="inlineStr">
        <is>
          <t>test-cases.vi.md</t>
        </is>
      </c>
    </row>
    <row r="23">
      <c r="A23" s="9" t="inlineStr">
        <is>
          <t>TS-RS-002</t>
        </is>
      </c>
      <c r="B23" s="9" t="inlineStr">
        <is>
          <t>TC-RS-BR-005</t>
        </is>
      </c>
      <c r="C23" s="9" t="inlineStr">
        <is>
          <t>Toàn bộ đối tượng（全員が対象） không vượt phạm vi mục, trường, năm</t>
        </is>
      </c>
      <c r="D23" s="9" t="inlineStr">
        <is>
          <t>C. Business Rules</t>
        </is>
      </c>
      <c r="E23" s="9" t="inlineStr">
        <is>
          <t>test-cases.vi.md</t>
        </is>
      </c>
    </row>
    <row r="24">
      <c r="A24" s="9" t="inlineStr">
        <is>
          <t>TS-RS-002</t>
        </is>
      </c>
      <c r="B24" s="9" t="inlineStr">
        <is>
          <t>TC-RS-BR-029</t>
        </is>
      </c>
      <c r="C24" s="9" t="inlineStr">
        <is>
          <t>Mục lựa chọn không được xét, nhưng bộ lọc theo lựa chọn vẫn dùng để chọn đối tượng</t>
        </is>
      </c>
      <c r="D24" s="9" t="inlineStr">
        <is>
          <t>C. Business Rules</t>
        </is>
      </c>
      <c r="E24" s="9" t="inlineStr">
        <is>
          <t>test-cases.vi.md</t>
        </is>
      </c>
    </row>
    <row r="25">
      <c r="A25" s="9" t="inlineStr">
        <is>
          <t>TS-RS-002</t>
        </is>
      </c>
      <c r="B25" s="9" t="inlineStr">
        <is>
          <t>TC-RS-BR-035</t>
        </is>
      </c>
      <c r="C25" s="9" t="inlineStr">
        <is>
          <t>Bộ lọc nhóm tổng hợp khác loại phải kết hợp VÀ</t>
        </is>
      </c>
      <c r="D25" s="9" t="inlineStr">
        <is>
          <t>C. Business Rules</t>
        </is>
      </c>
      <c r="E25" s="9" t="inlineStr">
        <is>
          <t>test-cases.vi.md</t>
        </is>
      </c>
    </row>
    <row r="26">
      <c r="A26" s="9" t="inlineStr">
        <is>
          <t>TS-RS-002</t>
        </is>
      </c>
      <c r="B26" s="9" t="inlineStr">
        <is>
          <t>TC-RS-BR-041</t>
        </is>
      </c>
      <c r="C26" s="9" t="inlineStr">
        <is>
          <t>Điều kiện trung bình cùng nguồn kết hợp AND</t>
        </is>
      </c>
      <c r="D26" s="9" t="inlineStr">
        <is>
          <t>C. Business Rules</t>
        </is>
      </c>
      <c r="E26" s="9" t="inlineStr">
        <is>
          <t>test-cases.vi.md</t>
        </is>
      </c>
    </row>
    <row r="27">
      <c r="A27" s="9" t="inlineStr">
        <is>
          <t>TS-RS-002</t>
        </is>
      </c>
      <c r="B27" s="9" t="inlineStr">
        <is>
          <t>TC-RS-FUNC-008</t>
        </is>
      </c>
      <c r="C27" s="9" t="inlineStr">
        <is>
          <t>Điều kiện áp dụng: Toàn bộ đối tượng hoặc giới hạn bằng bộ lọc kế thừa từ tính tự động</t>
        </is>
      </c>
      <c r="D27" s="9" t="inlineStr">
        <is>
          <t>A. Functional</t>
        </is>
      </c>
      <c r="E27" s="9" t="inlineStr">
        <is>
          <t>test-cases.vi.md</t>
        </is>
      </c>
    </row>
    <row r="28">
      <c r="A28" s="9" t="inlineStr">
        <is>
          <t>TS-RS-002</t>
        </is>
      </c>
      <c r="B28" s="9" t="inlineStr">
        <is>
          <t>TC-RS-FUNC-009</t>
        </is>
      </c>
      <c r="C28" s="9" t="inlineStr">
        <is>
          <t>Điều kiện phân nhánh theo Trung bình（平均点） được lưu cùng bộ nguồn</t>
        </is>
      </c>
      <c r="D28" s="9" t="inlineStr">
        <is>
          <t>A. Functional</t>
        </is>
      </c>
      <c r="E28" s="9" t="inlineStr">
        <is>
          <t>test-cases.vi.md</t>
        </is>
      </c>
    </row>
    <row r="29">
      <c r="A29" s="9" t="inlineStr">
        <is>
          <t>TS-RS-002</t>
        </is>
      </c>
      <c r="B29" s="9" t="inlineStr">
        <is>
          <t>TC-RS-FUNC-010</t>
        </is>
      </c>
      <c r="C29" s="9" t="inlineStr">
        <is>
          <t>Điều kiện Tỷ lệ điểm của nhóm（集団の得点率） được lưu cùng bộ nguồn</t>
        </is>
      </c>
      <c r="D29" s="9" t="inlineStr">
        <is>
          <t>A. Functional</t>
        </is>
      </c>
      <c r="E29" s="9" t="inlineStr">
        <is>
          <t>test-cases.vi.md</t>
        </is>
      </c>
    </row>
    <row r="30">
      <c r="A30" s="9" t="inlineStr">
        <is>
          <t>TS-RS-002</t>
        </is>
      </c>
      <c r="B30" s="9" t="inlineStr">
        <is>
          <t>TC-RS-UI-008</t>
        </is>
      </c>
      <c r="C30" s="9" t="inlineStr">
        <is>
          <t>Màn Điều kiện áp dụng（適用条件設定）: bố cục và chuyển Toàn bộ/Bộ lọc</t>
        </is>
      </c>
      <c r="D30" s="9" t="inlineStr">
        <is>
          <t>E. UI • Visual</t>
        </is>
      </c>
      <c r="E30" s="9" t="inlineStr">
        <is>
          <t>test-cases.vi.md</t>
        </is>
      </c>
    </row>
    <row r="31">
      <c r="A31" s="9" t="inlineStr">
        <is>
          <t>TS-RS-002</t>
        </is>
      </c>
      <c r="B31" s="9" t="inlineStr">
        <is>
          <t>TC-RS-UI-009</t>
        </is>
      </c>
      <c r="C31" s="9" t="inlineStr">
        <is>
          <t>Khối điều kiện Trung bình（平均点） và nguồn tham chiếu, không có ô chọn "kết quả tổng hợp dùng để tham chiếu"</t>
        </is>
      </c>
      <c r="D31" s="9" t="inlineStr">
        <is>
          <t>E. UI • Visual</t>
        </is>
      </c>
      <c r="E31" s="9" t="inlineStr">
        <is>
          <t>test-cases.vi.md</t>
        </is>
      </c>
    </row>
    <row r="32">
      <c r="A32" s="9" t="inlineStr">
        <is>
          <t>TS-RS-002</t>
        </is>
      </c>
      <c r="B32" s="9" t="inlineStr">
        <is>
          <t>TC-RS-UI-010</t>
        </is>
      </c>
      <c r="C32" s="9" t="inlineStr">
        <is>
          <t>Khối điều kiện Tỷ lệ điểm của nhóm（集団の得点率）</t>
        </is>
      </c>
      <c r="D32" s="9" t="inlineStr">
        <is>
          <t>E. UI • Visual</t>
        </is>
      </c>
      <c r="E32" s="9" t="inlineStr">
        <is>
          <t>test-cases.vi.md</t>
        </is>
      </c>
    </row>
    <row r="33">
      <c r="A33" s="9" t="inlineStr">
        <is>
          <t>TS-RS-002</t>
        </is>
      </c>
      <c r="B33" s="9" t="inlineStr">
        <is>
          <t>TC-RS-VAL-015</t>
        </is>
      </c>
      <c r="C33" s="9" t="inlineStr">
        <is>
          <t>Chọn giới hạn bằng bộ lọc nhưng không có bộ lọc nào</t>
        </is>
      </c>
      <c r="D33" s="9" t="inlineStr">
        <is>
          <t>B. Validation</t>
        </is>
      </c>
      <c r="E33" s="9" t="inlineStr">
        <is>
          <t>test-cases.vi.md</t>
        </is>
      </c>
    </row>
    <row r="34">
      <c r="A34" s="9" t="inlineStr">
        <is>
          <t>TS-RS-002</t>
        </is>
      </c>
      <c r="B34" s="9" t="inlineStr">
        <is>
          <t>TC-RS-VAL-022</t>
        </is>
      </c>
      <c r="C34" s="9" t="inlineStr">
        <is>
          <t>Giá trị điều kiện phân nhánh (trung bình/tỷ lệ nhóm)</t>
        </is>
      </c>
      <c r="D34" s="9" t="inlineStr">
        <is>
          <t>B. Validation</t>
        </is>
      </c>
      <c r="E34" s="9" t="inlineStr">
        <is>
          <t>test-cases.vi.md</t>
        </is>
      </c>
    </row>
    <row r="35">
      <c r="A35" s="9" t="inlineStr">
        <is>
          <t>TS-RS-003</t>
        </is>
      </c>
      <c r="B35" s="9" t="inlineStr">
        <is>
          <t>TC-RS-CALC-001</t>
        </is>
      </c>
      <c r="C35" s="9" t="inlineStr">
        <is>
          <t>Ngưỡng cố định 30: S = 29 / 30 / 31 với `&lt;` và `≤`</t>
        </is>
      </c>
      <c r="D35" s="9" t="inlineStr">
        <is>
          <t>D. Calculation</t>
        </is>
      </c>
      <c r="E35" s="9" t="inlineStr">
        <is>
          <t>test-cases.vi.md</t>
        </is>
      </c>
    </row>
    <row r="36">
      <c r="A36" s="9" t="inlineStr">
        <is>
          <t>TS-RS-003</t>
        </is>
      </c>
      <c r="B36" s="9" t="inlineStr">
        <is>
          <t>TC-RS-CALC-002</t>
        </is>
      </c>
      <c r="C36" s="9" t="inlineStr">
        <is>
          <t>Điểm 0 với ngưỡng 0 và 30</t>
        </is>
      </c>
      <c r="D36" s="9" t="inlineStr">
        <is>
          <t>D. Calculation</t>
        </is>
      </c>
      <c r="E36" s="9" t="inlineStr">
        <is>
          <t>test-cases.vi.md</t>
        </is>
      </c>
    </row>
    <row r="37">
      <c r="A37" s="9" t="inlineStr">
        <is>
          <t>TS-RS-003</t>
        </is>
      </c>
      <c r="B37" s="9" t="inlineStr">
        <is>
          <t>TC-RS-CALC-003</t>
        </is>
      </c>
      <c r="C37" s="9" t="inlineStr">
        <is>
          <t>Điểm thập phân sát ngưỡng</t>
        </is>
      </c>
      <c r="D37" s="9" t="inlineStr">
        <is>
          <t>D. Calculation</t>
        </is>
      </c>
      <c r="E37" s="9" t="inlineStr">
        <is>
          <t>test-cases.vi.md</t>
        </is>
      </c>
    </row>
    <row r="38">
      <c r="A38" s="9" t="inlineStr">
        <is>
          <t>TS-RS-003</t>
        </is>
      </c>
      <c r="B38" s="9" t="inlineStr">
        <is>
          <t>TC-RS-CALC-004</t>
        </is>
      </c>
      <c r="C38" s="9" t="inlineStr">
        <is>
          <t>Ngưỡng cố định giữ `T=N` khi M đổi về sau</t>
        </is>
      </c>
      <c r="D38" s="9" t="inlineStr">
        <is>
          <t>D. Calculation</t>
        </is>
      </c>
      <c r="E38" s="9" t="inlineStr">
        <is>
          <t>test-cases.vi.md</t>
        </is>
      </c>
    </row>
    <row r="39">
      <c r="A39" s="9" t="inlineStr">
        <is>
          <t>TS-RS-003</t>
        </is>
      </c>
      <c r="B39" s="9" t="inlineStr">
        <is>
          <t>TC-RS-FUNC-011</t>
        </is>
      </c>
      <c r="C39" s="9" t="inlineStr">
        <is>
          <t>Chọn loại ngưỡng làm thay đổi vùng nhập</t>
        </is>
      </c>
      <c r="D39" s="9" t="inlineStr">
        <is>
          <t>A. Functional</t>
        </is>
      </c>
      <c r="E39" s="9" t="inlineStr">
        <is>
          <t>test-cases.vi.md</t>
        </is>
      </c>
    </row>
    <row r="40">
      <c r="A40" s="9" t="inlineStr">
        <is>
          <t>TS-RS-003</t>
        </is>
      </c>
      <c r="B40" s="9" t="inlineStr">
        <is>
          <t>TC-RS-FUNC-013</t>
        </is>
      </c>
      <c r="C40" s="9" t="inlineStr">
        <is>
          <t>Dấu so sánh Nhỏ hơn（未満）/Nhỏ hơn hoặc bằng（以下） được lưu và hiển thị</t>
        </is>
      </c>
      <c r="D40" s="9" t="inlineStr">
        <is>
          <t>A. Functional</t>
        </is>
      </c>
      <c r="E40" s="9" t="inlineStr">
        <is>
          <t>test-cases.vi.md</t>
        </is>
      </c>
    </row>
    <row r="41">
      <c r="A41" s="9" t="inlineStr">
        <is>
          <t>TS-RS-003</t>
        </is>
      </c>
      <c r="B41" s="9" t="inlineStr">
        <is>
          <t>TC-RS-UI-011</t>
        </is>
      </c>
      <c r="C41" s="9" t="inlineStr">
        <is>
          <t>Màn Ngưỡng（基準設定）: ba loại, dấu so sánh và câu giải thích đổi theo dấu</t>
        </is>
      </c>
      <c r="D41" s="9" t="inlineStr">
        <is>
          <t>E. UI • Visual</t>
        </is>
      </c>
      <c r="E41" s="9" t="inlineStr">
        <is>
          <t>test-cases.vi.md</t>
        </is>
      </c>
    </row>
    <row r="42">
      <c r="A42" s="9" t="inlineStr">
        <is>
          <t>TS-RS-003</t>
        </is>
      </c>
      <c r="B42" s="9" t="inlineStr">
        <is>
          <t>TC-RS-UI-012</t>
        </is>
      </c>
      <c r="C42" s="9" t="inlineStr">
        <is>
          <t>Mặc định khi tạo quy tắc mới</t>
        </is>
      </c>
      <c r="D42" s="9" t="inlineStr">
        <is>
          <t>E. UI • Visual</t>
        </is>
      </c>
      <c r="E42" s="9" t="inlineStr">
        <is>
          <t>test-cases.vi.md</t>
        </is>
      </c>
    </row>
    <row r="43">
      <c r="A43" s="9" t="inlineStr">
        <is>
          <t>TS-RS-003</t>
        </is>
      </c>
      <c r="B43" s="9" t="inlineStr">
        <is>
          <t>TC-RS-UI-013</t>
        </is>
      </c>
      <c r="C43" s="9" t="inlineStr">
        <is>
          <t>Ngưỡng cố định không hiển thị nguồn trung bình</t>
        </is>
      </c>
      <c r="D43" s="9" t="inlineStr">
        <is>
          <t>E. UI • Visual</t>
        </is>
      </c>
      <c r="E43" s="9" t="inlineStr">
        <is>
          <t>test-cases.vi.md</t>
        </is>
      </c>
    </row>
    <row r="44">
      <c r="A44" s="9" t="inlineStr">
        <is>
          <t>TS-RS-003</t>
        </is>
      </c>
      <c r="B44" s="9" t="inlineStr">
        <is>
          <t>TC-RS-VAL-001</t>
        </is>
      </c>
      <c r="C44" s="9" t="inlineStr">
        <is>
          <t>Điểm cố định: biên −1 / 0 / 100 / 101 với M=100</t>
        </is>
      </c>
      <c r="D44" s="9" t="inlineStr">
        <is>
          <t>B. Validation</t>
        </is>
      </c>
      <c r="E44" s="9" t="inlineStr">
        <is>
          <t>test-cases.vi.md</t>
        </is>
      </c>
    </row>
    <row r="45">
      <c r="A45" s="9" t="inlineStr">
        <is>
          <t>TS-RS-003</t>
        </is>
      </c>
      <c r="B45" s="9" t="inlineStr">
        <is>
          <t>TC-RS-VAL-002</t>
        </is>
      </c>
      <c r="C45" s="9" t="inlineStr">
        <is>
          <t>Điểm cố định phải ≤ M của mọi đối tượng (M=20 và M=100)</t>
        </is>
      </c>
      <c r="D45" s="9" t="inlineStr">
        <is>
          <t>B. Validation</t>
        </is>
      </c>
      <c r="E45" s="9" t="inlineStr">
        <is>
          <t>test-cases.vi.md</t>
        </is>
      </c>
    </row>
    <row r="46">
      <c r="A46" s="9" t="inlineStr">
        <is>
          <t>TS-RS-003</t>
        </is>
      </c>
      <c r="B46" s="9" t="inlineStr">
        <is>
          <t>TC-RS-VAL-003</t>
        </is>
      </c>
      <c r="C46" s="9" t="inlineStr">
        <is>
          <t>Mở rộng phạm vi sau khi lưu: kiểm lại ngưỡng cố định với M của đối tượng mới</t>
        </is>
      </c>
      <c r="D46" s="9" t="inlineStr">
        <is>
          <t>B. Validation</t>
        </is>
      </c>
      <c r="E46" s="9" t="inlineStr">
        <is>
          <t>test-cases.vi.md</t>
        </is>
      </c>
    </row>
    <row r="47">
      <c r="A47" s="9" t="inlineStr">
        <is>
          <t>TS-RS-003</t>
        </is>
      </c>
      <c r="B47" s="9" t="inlineStr">
        <is>
          <t>TC-RS-VAL-004</t>
        </is>
      </c>
      <c r="C47" s="9" t="inlineStr">
        <is>
          <t>Ngưỡng cố định/tỷ lệ trống hoặc không phải số</t>
        </is>
      </c>
      <c r="D47" s="9" t="inlineStr">
        <is>
          <t>B. Validation</t>
        </is>
      </c>
      <c r="E47" s="9" t="inlineStr">
        <is>
          <t>test-cases.vi.md</t>
        </is>
      </c>
    </row>
    <row r="48">
      <c r="A48" s="9" t="inlineStr">
        <is>
          <t>TS-RS-003</t>
        </is>
      </c>
      <c r="B48" s="9" t="inlineStr">
        <is>
          <t>TC-RS-VAL-005</t>
        </is>
      </c>
      <c r="C48" s="9" t="inlineStr">
        <is>
          <t>Điểm cố định thập phân</t>
        </is>
      </c>
      <c r="D48" s="9" t="inlineStr">
        <is>
          <t>B. Validation</t>
        </is>
      </c>
      <c r="E48" s="9" t="inlineStr">
        <is>
          <t>test-cases.vi.md</t>
        </is>
      </c>
    </row>
    <row r="49">
      <c r="A49" s="9" t="inlineStr">
        <is>
          <t>TS-RS-004</t>
        </is>
      </c>
      <c r="B49" s="9" t="inlineStr">
        <is>
          <t>TC-RS-CALC-005</t>
        </is>
      </c>
      <c r="C49" s="9" t="inlineStr">
        <is>
          <t>Tỷ lệ 30% với M=100</t>
        </is>
      </c>
      <c r="D49" s="9" t="inlineStr">
        <is>
          <t>D. Calculation</t>
        </is>
      </c>
      <c r="E49" s="9" t="inlineStr">
        <is>
          <t>test-cases.vi.md</t>
        </is>
      </c>
    </row>
    <row r="50">
      <c r="A50" s="9" t="inlineStr">
        <is>
          <t>TS-RS-004</t>
        </is>
      </c>
      <c r="B50" s="9" t="inlineStr">
        <is>
          <t>TC-RS-CALC-006</t>
        </is>
      </c>
      <c r="C50" s="9" t="inlineStr">
        <is>
          <t>Tỷ lệ cho ngưỡng lẻ: M=45, N=30 → T=13.5</t>
        </is>
      </c>
      <c r="D50" s="9" t="inlineStr">
        <is>
          <t>D. Calculation</t>
        </is>
      </c>
      <c r="E50" s="9" t="inlineStr">
        <is>
          <t>test-cases.vi.md</t>
        </is>
      </c>
    </row>
    <row r="51">
      <c r="A51" s="9" t="inlineStr">
        <is>
          <t>TS-RS-004</t>
        </is>
      </c>
      <c r="B51" s="9" t="inlineStr">
        <is>
          <t>TC-RS-CALC-007</t>
        </is>
      </c>
      <c r="C51" s="9" t="inlineStr">
        <is>
          <t>Tỷ lệ có xử lý phần lẻ: xuống / gần nhất / lên tại p1</t>
        </is>
      </c>
      <c r="D51" s="9" t="inlineStr">
        <is>
          <t>D. Calculation</t>
        </is>
      </c>
      <c r="E51" s="9" t="inlineStr">
        <is>
          <t>test-cases.vi.md</t>
        </is>
      </c>
    </row>
    <row r="52">
      <c r="A52" s="9" t="inlineStr">
        <is>
          <t>TS-RS-004</t>
        </is>
      </c>
      <c r="B52" s="9" t="inlineStr">
        <is>
          <t>TC-RS-CALC-008</t>
        </is>
      </c>
      <c r="C52" s="9" t="inlineStr">
        <is>
          <t>Ví dụ đặc tả v2: M=75, N=30, S=22.2</t>
        </is>
      </c>
      <c r="D52" s="9" t="inlineStr">
        <is>
          <t>D. Calculation</t>
        </is>
      </c>
      <c r="E52" s="9" t="inlineStr">
        <is>
          <t>test-cases.vi.md</t>
        </is>
      </c>
    </row>
    <row r="53">
      <c r="A53" s="9" t="inlineStr">
        <is>
          <t>TS-RS-004</t>
        </is>
      </c>
      <c r="B53" s="9" t="inlineStr">
        <is>
          <t>TC-RS-CALC-009</t>
        </is>
      </c>
      <c r="C53" s="9" t="inlineStr">
        <is>
          <t>Tỷ lệ biên N=0 và N=100</t>
        </is>
      </c>
      <c r="D53" s="9" t="inlineStr">
        <is>
          <t>D. Calculation</t>
        </is>
      </c>
      <c r="E53" s="9" t="inlineStr">
        <is>
          <t>test-cases.vi.md</t>
        </is>
      </c>
    </row>
    <row r="54">
      <c r="A54" s="9" t="inlineStr">
        <is>
          <t>TS-RS-004</t>
        </is>
      </c>
      <c r="B54" s="9" t="inlineStr">
        <is>
          <t>TC-RS-CALC-010</t>
        </is>
      </c>
      <c r="C54" s="9" t="inlineStr">
        <is>
          <t>Tỷ lệ với M = 0, M &lt; 0 hoặc không xác định → Chưa xét được; cố định vẫn xét</t>
        </is>
      </c>
      <c r="D54" s="9" t="inlineStr">
        <is>
          <t>D. Calculation</t>
        </is>
      </c>
      <c r="E54" s="9" t="inlineStr">
        <is>
          <t>test-cases.vi.md</t>
        </is>
      </c>
    </row>
    <row r="55">
      <c r="A55" s="9" t="inlineStr">
        <is>
          <t>TS-RS-004</t>
        </is>
      </c>
      <c r="B55" s="9" t="inlineStr">
        <is>
          <t>TC-RS-CALC-011</t>
        </is>
      </c>
      <c r="C55" s="9" t="inlineStr">
        <is>
          <t>Phân giải M: mặc định → đơn vị → lựa chọn lớp</t>
        </is>
      </c>
      <c r="D55" s="9" t="inlineStr">
        <is>
          <t>D. Calculation</t>
        </is>
      </c>
      <c r="E55" s="9" t="inlineStr">
        <is>
          <t>test-cases.vi.md</t>
        </is>
      </c>
    </row>
    <row r="56">
      <c r="A56" s="9" t="inlineStr">
        <is>
          <t>TS-RS-004</t>
        </is>
      </c>
      <c r="B56" s="9" t="inlineStr">
        <is>
          <t>TC-RS-CALC-012</t>
        </is>
      </c>
      <c r="C56" s="9" t="inlineStr">
        <is>
          <t>Tỷ lệ dùng M hiện hành, không dùng M của bản tổng hợp đã chốt</t>
        </is>
      </c>
      <c r="D56" s="9" t="inlineStr">
        <is>
          <t>D. Calculation</t>
        </is>
      </c>
      <c r="E56" s="9" t="inlineStr">
        <is>
          <t>test-cases.vi.md</t>
        </is>
      </c>
    </row>
    <row r="57">
      <c r="A57" s="9" t="inlineStr">
        <is>
          <t>TS-RS-004</t>
        </is>
      </c>
      <c r="B57" s="9" t="inlineStr">
        <is>
          <t>TC-RS-UI-014</t>
        </is>
      </c>
      <c r="C57" s="9" t="inlineStr">
        <is>
          <t>Màn Tỷ lệ điểm tối đa（得点率）: mô tả M và xử lý phần lẻ</t>
        </is>
      </c>
      <c r="D57" s="9" t="inlineStr">
        <is>
          <t>E. UI • Visual</t>
        </is>
      </c>
      <c r="E57" s="9" t="inlineStr">
        <is>
          <t>test-cases.vi.md</t>
        </is>
      </c>
    </row>
    <row r="58">
      <c r="A58" s="9" t="inlineStr">
        <is>
          <t>TS-RS-004</t>
        </is>
      </c>
      <c r="B58" s="9" t="inlineStr">
        <is>
          <t>TC-RS-VAL-006</t>
        </is>
      </c>
      <c r="C58" s="9" t="inlineStr">
        <is>
          <t>Tỷ lệ N: biên −1 / 0 / 100 / 101</t>
        </is>
      </c>
      <c r="D58" s="9" t="inlineStr">
        <is>
          <t>B. Validation</t>
        </is>
      </c>
      <c r="E58" s="9" t="inlineStr">
        <is>
          <t>test-cases.vi.md</t>
        </is>
      </c>
    </row>
    <row r="59">
      <c r="A59" s="9" t="inlineStr">
        <is>
          <t>TS-RS-004</t>
        </is>
      </c>
      <c r="B59" s="9" t="inlineStr">
        <is>
          <t>TC-RS-VAL-007</t>
        </is>
      </c>
      <c r="C59" s="9" t="inlineStr">
        <is>
          <t>Xử lý phần lẻ: bắt buộc chọn cách làm tròn; p = 0 / 1 / 9 / 10; lần đầu p=1</t>
        </is>
      </c>
      <c r="D59" s="9" t="inlineStr">
        <is>
          <t>B. Validation</t>
        </is>
      </c>
      <c r="E59" s="9" t="inlineStr">
        <is>
          <t>test-cases.vi.md</t>
        </is>
      </c>
    </row>
    <row r="60">
      <c r="A60" s="9" t="inlineStr">
        <is>
          <t>TS-RS-005</t>
        </is>
      </c>
      <c r="B60" s="9" t="inlineStr">
        <is>
          <t>TC-RS-CALC-013</t>
        </is>
      </c>
      <c r="C60" s="9" t="inlineStr">
        <is>
          <t>Công thức một dòng với A=50</t>
        </is>
      </c>
      <c r="D60" s="9" t="inlineStr">
        <is>
          <t>D. Calculation</t>
        </is>
      </c>
      <c r="E60" s="9" t="inlineStr">
        <is>
          <t>test-cases.vi.md</t>
        </is>
      </c>
    </row>
    <row r="61">
      <c r="A61" s="9" t="inlineStr">
        <is>
          <t>TS-RS-005</t>
        </is>
      </c>
      <c r="B61" s="9" t="inlineStr">
        <is>
          <t>TC-RS-CALC-014</t>
        </is>
      </c>
      <c r="C61" s="9" t="inlineStr">
        <is>
          <t>Làm tròn theo từng dòng: A=49.7</t>
        </is>
      </c>
      <c r="D61" s="9" t="inlineStr">
        <is>
          <t>D. Calculation</t>
        </is>
      </c>
      <c r="E61" s="9" t="inlineStr">
        <is>
          <t>test-cases.vi.md</t>
        </is>
      </c>
    </row>
    <row r="62">
      <c r="A62" s="9" t="inlineStr">
        <is>
          <t>TS-RS-005</t>
        </is>
      </c>
      <c r="B62" s="9" t="inlineStr">
        <is>
          <t>TC-RS-CALC-015</t>
        </is>
      </c>
      <c r="C62" s="9" t="inlineStr">
        <is>
          <t>Công thức hai dòng theo Figma: (A÷2)×0.8, dòng 1 làm tròn xuống</t>
        </is>
      </c>
      <c r="D62" s="9" t="inlineStr">
        <is>
          <t>D. Calculation</t>
        </is>
      </c>
      <c r="E62" s="9" t="inlineStr">
        <is>
          <t>test-cases.vi.md</t>
        </is>
      </c>
    </row>
    <row r="63">
      <c r="A63" s="9" t="inlineStr">
        <is>
          <t>TS-RS-005</t>
        </is>
      </c>
      <c r="B63" s="9" t="inlineStr">
        <is>
          <t>TC-RS-CALC-016</t>
        </is>
      </c>
      <c r="C63" s="9" t="inlineStr">
        <is>
          <t>Ngưỡng âm: A=15, A−20 → T=−5</t>
        </is>
      </c>
      <c r="D63" s="9" t="inlineStr">
        <is>
          <t>D. Calculation</t>
        </is>
      </c>
      <c r="E63" s="9" t="inlineStr">
        <is>
          <t>test-cases.vi.md</t>
        </is>
      </c>
    </row>
    <row r="64">
      <c r="A64" s="9" t="inlineStr">
        <is>
          <t>TS-RS-005</t>
        </is>
      </c>
      <c r="B64" s="9" t="inlineStr">
        <is>
          <t>TC-RS-CALC-017</t>
        </is>
      </c>
      <c r="C64" s="9" t="inlineStr">
        <is>
          <t>Ngưỡng công thức vượt M vẫn hợp lệ</t>
        </is>
      </c>
      <c r="D64" s="9" t="inlineStr">
        <is>
          <t>D. Calculation</t>
        </is>
      </c>
      <c r="E64" s="9" t="inlineStr">
        <is>
          <t>test-cases.vi.md</t>
        </is>
      </c>
    </row>
    <row r="65">
      <c r="A65" s="9" t="inlineStr">
        <is>
          <t>TS-RS-005</t>
        </is>
      </c>
      <c r="B65" s="9" t="inlineStr">
        <is>
          <t>TC-RS-CALC-018</t>
        </is>
      </c>
      <c r="C65" s="9" t="inlineStr">
        <is>
          <t>Công thức A−0 cho ngưỡng bằng A</t>
        </is>
      </c>
      <c r="D65" s="9" t="inlineStr">
        <is>
          <t>D. Calculation</t>
        </is>
      </c>
      <c r="E65" s="9" t="inlineStr">
        <is>
          <t>test-cases.vi.md</t>
        </is>
      </c>
    </row>
    <row r="66">
      <c r="A66" s="9" t="inlineStr">
        <is>
          <t>TS-RS-005</t>
        </is>
      </c>
      <c r="B66" s="9" t="inlineStr">
        <is>
          <t>TC-RS-CALC-019</t>
        </is>
      </c>
      <c r="C66" s="9" t="inlineStr">
        <is>
          <t>Định nghĩa phương thức làm tròn, số âm và p=9</t>
        </is>
      </c>
      <c r="D66" s="9" t="inlineStr">
        <is>
          <t>D. Calculation</t>
        </is>
      </c>
      <c r="E66" s="9" t="inlineStr">
        <is>
          <t>test-cases.vi.md</t>
        </is>
      </c>
    </row>
    <row r="67">
      <c r="A67" s="9" t="inlineStr">
        <is>
          <t>TS-RS-005</t>
        </is>
      </c>
      <c r="B67" s="9" t="inlineStr">
        <is>
          <t>TC-RS-CALC-020</t>
        </is>
      </c>
      <c r="C67" s="9" t="inlineStr">
        <is>
          <t>Làm tròn ngưỡng, không làm tròn điểm học sinh</t>
        </is>
      </c>
      <c r="D67" s="9" t="inlineStr">
        <is>
          <t>D. Calculation</t>
        </is>
      </c>
      <c r="E67" s="9" t="inlineStr">
        <is>
          <t>test-cases.vi.md</t>
        </is>
      </c>
    </row>
    <row r="68">
      <c r="A68" s="9" t="inlineStr">
        <is>
          <t>TS-RS-005</t>
        </is>
      </c>
      <c r="B68" s="9" t="inlineStr">
        <is>
          <t>TC-RS-CALC-021</t>
        </is>
      </c>
      <c r="C68" s="9" t="inlineStr">
        <is>
          <t>Chia 0 phát sinh khi chạy → Chưa xét được</t>
        </is>
      </c>
      <c r="D68" s="9" t="inlineStr">
        <is>
          <t>D. Calculation</t>
        </is>
      </c>
      <c r="E68" s="9" t="inlineStr">
        <is>
          <t>test-cases.vi.md</t>
        </is>
      </c>
    </row>
    <row r="69">
      <c r="A69" s="9" t="inlineStr">
        <is>
          <t>TS-RS-005</t>
        </is>
      </c>
      <c r="B69" s="9" t="inlineStr">
        <is>
          <t>TC-RS-CALC-028</t>
        </is>
      </c>
      <c r="C69" s="9" t="inlineStr">
        <is>
          <t>Không sai kết quả do sai số dấu phẩy động</t>
        </is>
      </c>
      <c r="D69" s="9" t="inlineStr">
        <is>
          <t>D. Calculation</t>
        </is>
      </c>
      <c r="E69" s="9" t="inlineStr">
        <is>
          <t>test-cases.vi.md</t>
        </is>
      </c>
    </row>
    <row r="70">
      <c r="A70" s="9" t="inlineStr">
        <is>
          <t>TS-RS-005</t>
        </is>
      </c>
      <c r="B70" s="9" t="inlineStr">
        <is>
          <t>TC-RS-CALC-029</t>
        </is>
      </c>
      <c r="C70" s="9" t="inlineStr">
        <is>
          <t>Tràn số không tạo kết luận đỏ/không đỏ</t>
        </is>
      </c>
      <c r="D70" s="9" t="inlineStr">
        <is>
          <t>D. Calculation</t>
        </is>
      </c>
      <c r="E70" s="9" t="inlineStr">
        <is>
          <t>test-cases.vi.md</t>
        </is>
      </c>
    </row>
    <row r="71">
      <c r="A71" s="9" t="inlineStr">
        <is>
          <t>TS-RS-005</t>
        </is>
      </c>
      <c r="B71" s="9" t="inlineStr">
        <is>
          <t>TC-RS-CALC-030</t>
        </is>
      </c>
      <c r="C71" s="9" t="inlineStr">
        <is>
          <t>Công thức cho T=0; ô trống vẫn là Không có điểm</t>
        </is>
      </c>
      <c r="D71" s="9" t="inlineStr">
        <is>
          <t>D. Calculation</t>
        </is>
      </c>
      <c r="E71" s="9" t="inlineStr">
        <is>
          <t>test-cases.vi.md</t>
        </is>
      </c>
    </row>
    <row r="72">
      <c r="A72" s="9" t="inlineStr">
        <is>
          <t>TS-RS-005</t>
        </is>
      </c>
      <c r="B72" s="9" t="inlineStr">
        <is>
          <t>TC-RS-FUNC-012</t>
        </is>
      </c>
      <c r="C72" s="9" t="inlineStr">
        <is>
          <t>Công thức: thêm/xóa dòng, kết quả dòng cuối là ngưỡng</t>
        </is>
      </c>
      <c r="D72" s="9" t="inlineStr">
        <is>
          <t>A. Functional</t>
        </is>
      </c>
      <c r="E72" s="9" t="inlineStr">
        <is>
          <t>test-cases.vi.md</t>
        </is>
      </c>
    </row>
    <row r="73">
      <c r="A73" s="9" t="inlineStr">
        <is>
          <t>TS-RS-005</t>
        </is>
      </c>
      <c r="B73" s="9" t="inlineStr">
        <is>
          <t>TC-RS-UI-015</t>
        </is>
      </c>
      <c r="C73" s="9" t="inlineStr">
        <is>
          <t>Màn Công thức: thứ tự khối nguồn trung bình và dòng công thức</t>
        </is>
      </c>
      <c r="D73" s="9" t="inlineStr">
        <is>
          <t>E. UI • Visual</t>
        </is>
      </c>
      <c r="E73" s="9" t="inlineStr">
        <is>
          <t>test-cases.vi.md</t>
        </is>
      </c>
    </row>
    <row r="74">
      <c r="A74" s="9" t="inlineStr">
        <is>
          <t>TS-RS-005</t>
        </is>
      </c>
      <c r="B74" s="9" t="inlineStr">
        <is>
          <t>TC-RS-UI-016</t>
        </is>
      </c>
      <c r="C74" s="9" t="inlineStr">
        <is>
          <t>Bảng dòng công thức</t>
        </is>
      </c>
      <c r="D74" s="9" t="inlineStr">
        <is>
          <t>E. UI • Visual</t>
        </is>
      </c>
      <c r="E74" s="9" t="inlineStr">
        <is>
          <t>test-cases.vi.md</t>
        </is>
      </c>
    </row>
    <row r="75">
      <c r="A75" s="9" t="inlineStr">
        <is>
          <t>TS-RS-005</t>
        </is>
      </c>
      <c r="B75" s="9" t="inlineStr">
        <is>
          <t>TC-RS-UI-017</t>
        </is>
      </c>
      <c r="C75" s="9" t="inlineStr">
        <is>
          <t>Thông báo lỗi vượt điểm tối đa và chia 0</t>
        </is>
      </c>
      <c r="D75" s="9" t="inlineStr">
        <is>
          <t>E. UI • Visual</t>
        </is>
      </c>
      <c r="E75" s="9" t="inlineStr">
        <is>
          <t>test-cases.vi.md</t>
        </is>
      </c>
    </row>
    <row r="76">
      <c r="A76" s="9" t="inlineStr">
        <is>
          <t>TS-RS-005</t>
        </is>
      </c>
      <c r="B76" s="9" t="inlineStr">
        <is>
          <t>TC-RS-VAL-008</t>
        </is>
      </c>
      <c r="C76" s="9" t="inlineStr">
        <is>
          <t>Công thức phải có ít nhất một dòng</t>
        </is>
      </c>
      <c r="D76" s="9" t="inlineStr">
        <is>
          <t>B. Validation</t>
        </is>
      </c>
      <c r="E76" s="9" t="inlineStr">
        <is>
          <t>test-cases.vi.md</t>
        </is>
      </c>
    </row>
    <row r="77">
      <c r="A77" s="9" t="inlineStr">
        <is>
          <t>TS-RS-005</t>
        </is>
      </c>
      <c r="B77" s="9" t="inlineStr">
        <is>
          <t>TC-RS-VAL-009</t>
        </is>
      </c>
      <c r="C77" s="9" t="inlineStr">
        <is>
          <t>Chia cho số cố định 0 không lưu được</t>
        </is>
      </c>
      <c r="D77" s="9" t="inlineStr">
        <is>
          <t>B. Validation</t>
        </is>
      </c>
      <c r="E77" s="9" t="inlineStr">
        <is>
          <t>test-cases.vi.md</t>
        </is>
      </c>
    </row>
    <row r="78">
      <c r="A78" s="9" t="inlineStr">
        <is>
          <t>TS-RS-005</t>
        </is>
      </c>
      <c r="B78" s="9" t="inlineStr">
        <is>
          <t>TC-RS-VAL-010</t>
        </is>
      </c>
      <c r="C78" s="9" t="inlineStr">
        <is>
          <t>Toán hạng trống hoặc không phải số</t>
        </is>
      </c>
      <c r="D78" s="9" t="inlineStr">
        <is>
          <t>B. Validation</t>
        </is>
      </c>
      <c r="E78" s="9" t="inlineStr">
        <is>
          <t>test-cases.vi.md</t>
        </is>
      </c>
    </row>
    <row r="79">
      <c r="A79" s="9" t="inlineStr">
        <is>
          <t>TS-RS-005</t>
        </is>
      </c>
      <c r="B79" s="9" t="inlineStr">
        <is>
          <t>TC-RS-VAL-011</t>
        </is>
      </c>
      <c r="C79" s="9" t="inlineStr">
        <is>
          <t>Kết quả phép tính（式の結果） chỉ tham chiếu dòng phía trước</t>
        </is>
      </c>
      <c r="D79" s="9" t="inlineStr">
        <is>
          <t>B. Validation</t>
        </is>
      </c>
      <c r="E79" s="9" t="inlineStr">
        <is>
          <t>test-cases.vi.md</t>
        </is>
      </c>
    </row>
    <row r="80">
      <c r="A80" s="9" t="inlineStr">
        <is>
          <t>TS-RS-005</t>
        </is>
      </c>
      <c r="B80" s="9" t="inlineStr">
        <is>
          <t>TC-RS-VAL-012</t>
        </is>
      </c>
      <c r="C80" s="9" t="inlineStr">
        <is>
          <t>Xóa/đổi thứ tự dòng không tự nối lại tham chiếu</t>
        </is>
      </c>
      <c r="D80" s="9" t="inlineStr">
        <is>
          <t>B. Validation</t>
        </is>
      </c>
      <c r="E80" s="9" t="inlineStr">
        <is>
          <t>test-cases.vi.md</t>
        </is>
      </c>
    </row>
    <row r="81">
      <c r="A81" s="9" t="inlineStr">
        <is>
          <t>TS-RS-005</t>
        </is>
      </c>
      <c r="B81" s="9" t="inlineStr">
        <is>
          <t>TC-RS-VAL-013</t>
        </is>
      </c>
      <c r="C81" s="9" t="inlineStr">
        <is>
          <t>Số cố định trong công thức không bị giới hạn 0–100</t>
        </is>
      </c>
      <c r="D81" s="9" t="inlineStr">
        <is>
          <t>B. Validation</t>
        </is>
      </c>
      <c r="E81" s="9" t="inlineStr">
        <is>
          <t>test-cases.vi.md</t>
        </is>
      </c>
    </row>
    <row r="82">
      <c r="A82" s="9" t="inlineStr">
        <is>
          <t>TS-RS-005</t>
        </is>
      </c>
      <c r="B82" s="9" t="inlineStr">
        <is>
          <t>TC-RS-VAL-019</t>
        </is>
      </c>
      <c r="C82" s="9" t="inlineStr">
        <is>
          <t>Cảnh báo ngưỡng biên không chặn lưu</t>
        </is>
      </c>
      <c r="D82" s="9" t="inlineStr">
        <is>
          <t>B. Validation</t>
        </is>
      </c>
      <c r="E82" s="9" t="inlineStr">
        <is>
          <t>test-cases.vi.md</t>
        </is>
      </c>
    </row>
    <row r="83">
      <c r="A83" s="9" t="inlineStr">
        <is>
          <t>TS-RS-005</t>
        </is>
      </c>
      <c r="B83" s="9" t="inlineStr">
        <is>
          <t>TC-RS-VAL-020</t>
        </is>
      </c>
      <c r="C83" s="9" t="inlineStr">
        <is>
          <t>Kết quả công thức âm hoặc vượt M không phải lỗi lưu</t>
        </is>
      </c>
      <c r="D83" s="9" t="inlineStr">
        <is>
          <t>B. Validation</t>
        </is>
      </c>
      <c r="E83" s="9" t="inlineStr">
        <is>
          <t>test-cases.vi.md</t>
        </is>
      </c>
    </row>
    <row r="84">
      <c r="A84" s="9" t="inlineStr">
        <is>
          <t>TS-RS-005</t>
        </is>
      </c>
      <c r="B84" s="9" t="inlineStr">
        <is>
          <t>TC-RS-VAL-021</t>
        </is>
      </c>
      <c r="C84" s="9" t="inlineStr">
        <is>
          <t>Đổi loại ngưỡng trong cùng phiên sửa</t>
        </is>
      </c>
      <c r="D84" s="9" t="inlineStr">
        <is>
          <t>B. Validation</t>
        </is>
      </c>
      <c r="E84" s="9" t="inlineStr">
        <is>
          <t>test-cases.vi.md</t>
        </is>
      </c>
    </row>
    <row r="85">
      <c r="A85" s="9" t="inlineStr">
        <is>
          <t>TS-RS-005</t>
        </is>
      </c>
      <c r="B85" s="9" t="inlineStr">
        <is>
          <t>TC-RS-VAL-023</t>
        </is>
      </c>
      <c r="C85" s="9" t="inlineStr">
        <is>
          <t>Giới hạn công thức: 20/21 dòng và số chữ số của số cố định</t>
        </is>
      </c>
      <c r="D85" s="9" t="inlineStr">
        <is>
          <t>B. Validation</t>
        </is>
      </c>
      <c r="E85" s="9" t="inlineStr">
        <is>
          <t>test-cases.vi.md</t>
        </is>
      </c>
    </row>
    <row r="86">
      <c r="A86" s="9" t="inlineStr">
        <is>
          <t>TS-RS-006</t>
        </is>
      </c>
      <c r="B86" s="9" t="inlineStr">
        <is>
          <t>TC-RS-BR-001</t>
        </is>
      </c>
      <c r="C86" s="9" t="inlineStr">
        <is>
          <t>Chọn quy tắc khớp đầu tiên theo ưu tiên, không lấy ngưỡng nghiêm hơn</t>
        </is>
      </c>
      <c r="D86" s="9" t="inlineStr">
        <is>
          <t>C. Business Rules</t>
        </is>
      </c>
      <c r="E86" s="9" t="inlineStr">
        <is>
          <t>test-cases.vi.md</t>
        </is>
      </c>
    </row>
    <row r="87">
      <c r="A87" s="9" t="inlineStr">
        <is>
          <t>TS-RS-006</t>
        </is>
      </c>
      <c r="B87" s="9" t="inlineStr">
        <is>
          <t>TC-RS-BR-002</t>
        </is>
      </c>
      <c r="C87" s="9" t="inlineStr">
        <is>
          <t>Không quy tắc nào khớp khi đủ dữ liệu → Không áp dụng</t>
        </is>
      </c>
      <c r="D87" s="9" t="inlineStr">
        <is>
          <t>C. Business Rules</t>
        </is>
      </c>
      <c r="E87" s="9" t="inlineStr">
        <is>
          <t>test-cases.vi.md</t>
        </is>
      </c>
    </row>
    <row r="88">
      <c r="A88" s="9" t="inlineStr">
        <is>
          <t>TS-RS-006</t>
        </is>
      </c>
      <c r="B88" s="9" t="inlineStr">
        <is>
          <t>TC-RS-BR-003</t>
        </is>
      </c>
      <c r="C88" s="9" t="inlineStr">
        <is>
          <t>Ưu tiên 1 khớp nhưng thiếu dữ liệu → Chưa xét được, không chuyển xuống ưu tiên 2</t>
        </is>
      </c>
      <c r="D88" s="9" t="inlineStr">
        <is>
          <t>C. Business Rules</t>
        </is>
      </c>
      <c r="E88" s="9" t="inlineStr">
        <is>
          <t>test-cases.vi.md</t>
        </is>
      </c>
    </row>
    <row r="89">
      <c r="A89" s="9" t="inlineStr">
        <is>
          <t>TS-RS-006</t>
        </is>
      </c>
      <c r="B89" s="9" t="inlineStr">
        <is>
          <t>TC-RS-BR-036</t>
        </is>
      </c>
      <c r="C89" s="9" t="inlineStr">
        <is>
          <t>Cùng lượt đăng ký: ô thiếu nguồn chưa xét được, ô ngưỡng cố định vẫn được xét</t>
        </is>
      </c>
      <c r="D89" s="9" t="inlineStr">
        <is>
          <t>C. Business Rules</t>
        </is>
      </c>
      <c r="E89" s="9" t="inlineStr">
        <is>
          <t>test-cases.vi.md</t>
        </is>
      </c>
    </row>
    <row r="90">
      <c r="A90" s="9" t="inlineStr">
        <is>
          <t>TS-RS-006</t>
        </is>
      </c>
      <c r="B90" s="9" t="inlineStr">
        <is>
          <t>TC-RS-CALC-022</t>
        </is>
      </c>
      <c r="C90" s="9" t="inlineStr">
        <is>
          <t>Phân nhánh theo trung bình: A = 40 / 50 / 49.99 (dùng A trước làm tròn)</t>
        </is>
      </c>
      <c r="D90" s="9" t="inlineStr">
        <is>
          <t>D. Calculation</t>
        </is>
      </c>
      <c r="E90" s="9" t="inlineStr">
        <is>
          <t>test-cases.vi.md</t>
        </is>
      </c>
    </row>
    <row r="91">
      <c r="A91" s="9" t="inlineStr">
        <is>
          <t>TS-RS-006</t>
        </is>
      </c>
      <c r="B91" s="9" t="inlineStr">
        <is>
          <t>TC-RS-CALC-023</t>
        </is>
      </c>
      <c r="C91" s="9" t="inlineStr">
        <is>
          <t>Biên nhánh A=60.00 và A=59.96</t>
        </is>
      </c>
      <c r="D91" s="9" t="inlineStr">
        <is>
          <t>D. Calculation</t>
        </is>
      </c>
      <c r="E91" s="9" t="inlineStr">
        <is>
          <t>test-cases.vi.md</t>
        </is>
      </c>
    </row>
    <row r="92">
      <c r="A92" s="9" t="inlineStr">
        <is>
          <t>TS-RS-006</t>
        </is>
      </c>
      <c r="B92" s="9" t="inlineStr">
        <is>
          <t>TC-RS-CALC-024</t>
        </is>
      </c>
      <c r="C92" s="9" t="inlineStr">
        <is>
          <t>Tỷ lệ nhóm R = 70% khớp điều kiện ≥ 65%</t>
        </is>
      </c>
      <c r="D92" s="9" t="inlineStr">
        <is>
          <t>D. Calculation</t>
        </is>
      </c>
      <c r="E92" s="9" t="inlineStr">
        <is>
          <t>test-cases.vi.md</t>
        </is>
      </c>
    </row>
    <row r="93">
      <c r="A93" s="9" t="inlineStr">
        <is>
          <t>TS-RS-006</t>
        </is>
      </c>
      <c r="B93" s="9" t="inlineStr">
        <is>
          <t>TC-RS-CALC-025</t>
        </is>
      </c>
      <c r="C93" s="9" t="inlineStr">
        <is>
          <t>Tỷ lệ nhóm 64.99% (hiển thị 65.0) không khớp ≥ 65%</t>
        </is>
      </c>
      <c r="D93" s="9" t="inlineStr">
        <is>
          <t>D. Calculation</t>
        </is>
      </c>
      <c r="E93" s="9" t="inlineStr">
        <is>
          <t>test-cases.vi.md</t>
        </is>
      </c>
    </row>
    <row r="94">
      <c r="A94" s="9" t="inlineStr">
        <is>
          <t>TS-RS-007</t>
        </is>
      </c>
      <c r="B94" s="9" t="inlineStr">
        <is>
          <t>TC-RS-BR-006</t>
        </is>
      </c>
      <c r="C94" s="9" t="inlineStr">
        <is>
          <t>Nhóm tham chiếu tách khỏi đối tượng áp dụng và danh sách đang lọc ở đầu ra</t>
        </is>
      </c>
      <c r="D94" s="9" t="inlineStr">
        <is>
          <t>C. Business Rules</t>
        </is>
      </c>
      <c r="E94" s="9" t="inlineStr">
        <is>
          <t>test-cases.vi.md</t>
        </is>
      </c>
    </row>
    <row r="95">
      <c r="A95" s="9" t="inlineStr">
        <is>
          <t>TS-RS-007</t>
        </is>
      </c>
      <c r="B95" s="9" t="inlineStr">
        <is>
          <t>TC-RS-BR-007</t>
        </is>
      </c>
      <c r="C95" s="9" t="inlineStr">
        <is>
          <t>Nguồn: bản đã chốt được ưu tiên hơn tổng hợp mới hơn</t>
        </is>
      </c>
      <c r="D95" s="9" t="inlineStr">
        <is>
          <t>C. Business Rules</t>
        </is>
      </c>
      <c r="E95" s="9" t="inlineStr">
        <is>
          <t>test-cases.vi.md</t>
        </is>
      </c>
    </row>
    <row r="96">
      <c r="A96" s="9" t="inlineStr">
        <is>
          <t>TS-RS-007</t>
        </is>
      </c>
      <c r="B96" s="9" t="inlineStr">
        <is>
          <t>TC-RS-BR-008</t>
        </is>
      </c>
      <c r="C96" s="9" t="inlineStr">
        <is>
          <t>Nguồn: chưa có bản chốt → dùng tổng hợp hoàn tất mới nhất cùng phạm vi</t>
        </is>
      </c>
      <c r="D96" s="9" t="inlineStr">
        <is>
          <t>C. Business Rules</t>
        </is>
      </c>
      <c r="E96" s="9" t="inlineStr">
        <is>
          <t>test-cases.vi.md</t>
        </is>
      </c>
    </row>
    <row r="97">
      <c r="A97" s="9" t="inlineStr">
        <is>
          <t>TS-RS-007</t>
        </is>
      </c>
      <c r="B97" s="9" t="inlineStr">
        <is>
          <t>TC-RS-BR-009</t>
        </is>
      </c>
      <c r="C97" s="9" t="inlineStr">
        <is>
          <t>Nguồn: bản đã chốt thiếu dữ liệu → Chưa xét được, không chuyển sang bản thường</t>
        </is>
      </c>
      <c r="D97" s="9" t="inlineStr">
        <is>
          <t>C. Business Rules</t>
        </is>
      </c>
      <c r="E97" s="9" t="inlineStr">
        <is>
          <t>test-cases.vi.md</t>
        </is>
      </c>
    </row>
    <row r="98">
      <c r="A98" s="9" t="inlineStr">
        <is>
          <t>TS-RS-007</t>
        </is>
      </c>
      <c r="B98" s="9" t="inlineStr">
        <is>
          <t>TC-RS-BR-010</t>
        </is>
      </c>
      <c r="C98" s="9" t="inlineStr">
        <is>
          <t>Chưa có kết quả tổng hợp → Chưa xét được, không thay bằng 0 hay nhóm khác</t>
        </is>
      </c>
      <c r="D98" s="9" t="inlineStr">
        <is>
          <t>C. Business Rules</t>
        </is>
      </c>
      <c r="E98" s="9" t="inlineStr">
        <is>
          <t>test-cases.vi.md</t>
        </is>
      </c>
    </row>
    <row r="99">
      <c r="A99" s="9" t="inlineStr">
        <is>
          <t>TS-RS-007</t>
        </is>
      </c>
      <c r="B99" s="9" t="inlineStr">
        <is>
          <t>TC-RS-BR-011</t>
        </is>
      </c>
      <c r="C99" s="9" t="inlineStr">
        <is>
          <t>Nguồn chỉ cần khi quy tắc đọc trung bình/tỷ lệ nhóm</t>
        </is>
      </c>
      <c r="D99" s="9" t="inlineStr">
        <is>
          <t>C. Business Rules</t>
        </is>
      </c>
      <c r="E99" s="9" t="inlineStr">
        <is>
          <t>test-cases.vi.md</t>
        </is>
      </c>
    </row>
    <row r="100">
      <c r="A100" s="9" t="inlineStr">
        <is>
          <t>TS-RS-007</t>
        </is>
      </c>
      <c r="B100" s="9" t="inlineStr">
        <is>
          <t>TC-RS-BR-026</t>
        </is>
      </c>
      <c r="C100" s="9" t="inlineStr">
        <is>
          <t>Không fallback sang legacy khi rule mới thiếu hoặc không khớp dữ liệu</t>
        </is>
      </c>
      <c r="D100" s="9" t="inlineStr">
        <is>
          <t>C. Business Rules</t>
        </is>
      </c>
      <c r="E100" s="9" t="inlineStr">
        <is>
          <t>test-cases.vi.md</t>
        </is>
      </c>
    </row>
    <row r="101">
      <c r="A101" s="9" t="inlineStr">
        <is>
          <t>TS-RS-007</t>
        </is>
      </c>
      <c r="B101" s="9" t="inlineStr">
        <is>
          <t>TC-RS-BR-028</t>
        </is>
      </c>
      <c r="C101" s="9" t="inlineStr">
        <is>
          <t>Nhóm tham chiếu có lớp khác M không gây lỗi dừng xử lý</t>
        </is>
      </c>
      <c r="D101" s="9" t="inlineStr">
        <is>
          <t>C. Business Rules</t>
        </is>
      </c>
      <c r="E101" s="9" t="inlineStr">
        <is>
          <t>test-cases.vi.md</t>
        </is>
      </c>
    </row>
    <row r="102">
      <c r="A102" s="9" t="inlineStr">
        <is>
          <t>TS-RS-007</t>
        </is>
      </c>
      <c r="B102" s="9" t="inlineStr">
        <is>
          <t>TC-RS-BR-034</t>
        </is>
      </c>
      <c r="C102" s="9" t="inlineStr">
        <is>
          <t>Bật tự tổng hợp khi đăng ký: hệ thống không chặn; quy tắc độc lập với trung bình vẫn xét</t>
        </is>
      </c>
      <c r="D102" s="9" t="inlineStr">
        <is>
          <t>C. Business Rules</t>
        </is>
      </c>
      <c r="E102" s="9" t="inlineStr">
        <is>
          <t>test-cases.vi.md</t>
        </is>
      </c>
    </row>
    <row r="103">
      <c r="A103" s="9" t="inlineStr">
        <is>
          <t>TS-RS-007</t>
        </is>
      </c>
      <c r="B103" s="9" t="inlineStr">
        <is>
          <t>TC-RS-BR-038</t>
        </is>
      </c>
      <c r="C103" s="9" t="inlineStr">
        <is>
          <t>Nhóm lớp học（授業）: dùng kết quả tổng hợp của đúng lớp chứa ô đang xét</t>
        </is>
      </c>
      <c r="D103" s="9" t="inlineStr">
        <is>
          <t>C. Business Rules</t>
        </is>
      </c>
      <c r="E103" s="9" t="inlineStr">
        <is>
          <t>test-cases.vi.md</t>
        </is>
      </c>
    </row>
    <row r="104">
      <c r="A104" s="9" t="inlineStr">
        <is>
          <t>TS-RS-007</t>
        </is>
      </c>
      <c r="B104" s="9" t="inlineStr">
        <is>
          <t>TC-RS-BR-039</t>
        </is>
      </c>
      <c r="C104" s="9" t="inlineStr">
        <is>
          <t>Nhóm môn học（科目グループ）: dùng cấu hình riêng của môn hoặc default đã lưu; thiếu/sai thì Chưa xét được</t>
        </is>
      </c>
      <c r="D104" s="9" t="inlineStr">
        <is>
          <t>C. Business Rules</t>
        </is>
      </c>
      <c r="E104" s="9" t="inlineStr">
        <is>
          <t>test-cases.vi.md</t>
        </is>
      </c>
    </row>
    <row r="105">
      <c r="A105" s="9" t="inlineStr">
        <is>
          <t>TS-RS-007</t>
        </is>
      </c>
      <c r="B105" s="9" t="inlineStr">
        <is>
          <t>TC-RS-BR-040</t>
        </is>
      </c>
      <c r="C105" s="9" t="inlineStr">
        <is>
          <t>Loại nhóm được bật nhưng chưa có kết quả, hoặc tham chiếu đã lưu không còn hợp lệ → Chưa xét được, không tự đổi nhóm</t>
        </is>
      </c>
      <c r="D105" s="9" t="inlineStr">
        <is>
          <t>C. Business Rules</t>
        </is>
      </c>
      <c r="E105" s="9" t="inlineStr">
        <is>
          <t>test-cases.vi.md</t>
        </is>
      </c>
    </row>
    <row r="106">
      <c r="A106" s="9" t="inlineStr">
        <is>
          <t>TS-RS-007</t>
        </is>
      </c>
      <c r="B106" s="9" t="inlineStr">
        <is>
          <t>TC-RS-CALC-026</t>
        </is>
      </c>
      <c r="C106" s="9" t="inlineStr">
        <is>
          <t>Mẫu số trung bình khi có học sinh bị loại khỏi xếp hạng</t>
        </is>
      </c>
      <c r="D106" s="9" t="inlineStr">
        <is>
          <t>D. Calculation</t>
        </is>
      </c>
      <c r="E106" s="9" t="inlineStr">
        <is>
          <t>test-cases.vi.md</t>
        </is>
      </c>
    </row>
    <row r="107">
      <c r="A107" s="9" t="inlineStr">
        <is>
          <t>TS-RS-007</t>
        </is>
      </c>
      <c r="B107" s="9" t="inlineStr">
        <is>
          <t>TC-RS-CALC-027</t>
        </is>
      </c>
      <c r="C107" s="9" t="inlineStr">
        <is>
          <t>Trung bình riêng cho từng đơn vị</t>
        </is>
      </c>
      <c r="D107" s="9" t="inlineStr">
        <is>
          <t>D. Calculation</t>
        </is>
      </c>
      <c r="E107" s="9" t="inlineStr">
        <is>
          <t>test-cases.vi.md</t>
        </is>
      </c>
    </row>
    <row r="108">
      <c r="A108" s="9" t="inlineStr">
        <is>
          <t>TS-RS-007</t>
        </is>
      </c>
      <c r="B108" s="9" t="inlineStr">
        <is>
          <t>TC-RS-CALC-031</t>
        </is>
      </c>
      <c r="C108" s="9" t="inlineStr">
        <is>
          <t>Nguồn không có mẫu số hợp lệ (tổng điểm tối đa 0, số người có điểm 0) → Chưa xét được</t>
        </is>
      </c>
      <c r="D108" s="9" t="inlineStr">
        <is>
          <t>D. Calculation</t>
        </is>
      </c>
      <c r="E108" s="9" t="inlineStr">
        <is>
          <t>test-cases.vi.md</t>
        </is>
      </c>
    </row>
    <row r="109">
      <c r="A109" s="9" t="inlineStr">
        <is>
          <t>TS-RS-007</t>
        </is>
      </c>
      <c r="B109" s="9" t="inlineStr">
        <is>
          <t>TC-RS-CALC-032</t>
        </is>
      </c>
      <c r="C109" s="9" t="inlineStr">
        <is>
          <t>Tỷ lệ nhóm: tử số và mẫu số lấy cùng tập đóng góp</t>
        </is>
      </c>
      <c r="D109" s="9" t="inlineStr">
        <is>
          <t>D. Calculation</t>
        </is>
      </c>
      <c r="E109" s="9" t="inlineStr">
        <is>
          <t>test-cases.vi.md</t>
        </is>
      </c>
    </row>
    <row r="110">
      <c r="A110" s="9" t="inlineStr">
        <is>
          <t>TS-RS-007</t>
        </is>
      </c>
      <c r="B110" s="9" t="inlineStr">
        <is>
          <t>TC-RS-ERR-016</t>
        </is>
      </c>
      <c r="C110" s="9" t="inlineStr">
        <is>
          <t>Chưa xét được: sửa nguồn nhưng chỉ lưu cấu hình vẫn chưa có kết luận; xét lại mới có</t>
        </is>
      </c>
      <c r="D110" s="9" t="inlineStr">
        <is>
          <t>F. State • Error</t>
        </is>
      </c>
      <c r="E110" s="9" t="inlineStr">
        <is>
          <t>test-cases.vi.md</t>
        </is>
      </c>
    </row>
    <row r="111">
      <c r="A111" s="9" t="inlineStr">
        <is>
          <t>TS-RS-007</t>
        </is>
      </c>
      <c r="B111" s="9" t="inlineStr">
        <is>
          <t>TC-RS-FUNC-015</t>
        </is>
      </c>
      <c r="C111" s="9" t="inlineStr">
        <is>
          <t>Quy trình vận hành dùng trung bình: tắt tự tổng hợp → nút xanh → nút cam</t>
        </is>
      </c>
      <c r="D111" s="9" t="inlineStr">
        <is>
          <t>A. Functional</t>
        </is>
      </c>
      <c r="E111" s="9" t="inlineStr">
        <is>
          <t>test-cases.vi.md</t>
        </is>
      </c>
    </row>
    <row r="112">
      <c r="A112" s="9" t="inlineStr">
        <is>
          <t>TS-RS-007</t>
        </is>
      </c>
      <c r="B112" s="9" t="inlineStr">
        <is>
          <t>TC-RS-FUNC-034</t>
        </is>
      </c>
      <c r="C112" s="9" t="inlineStr">
        <is>
          <t>Nguồn của điều kiện áp dụng và nguồn của công thức lưu độc lập</t>
        </is>
      </c>
      <c r="D112" s="9" t="inlineStr">
        <is>
          <t>A. Functional</t>
        </is>
      </c>
      <c r="E112" s="9" t="inlineStr">
        <is>
          <t>test-cases.vi.md</t>
        </is>
      </c>
    </row>
    <row r="113">
      <c r="A113" s="9" t="inlineStr">
        <is>
          <t>TS-RS-007</t>
        </is>
      </c>
      <c r="B113" s="9" t="inlineStr">
        <is>
          <t>TC-RS-FUNC-036</t>
        </is>
      </c>
      <c r="C113" s="9" t="inlineStr">
        <is>
          <t>Danh sách nhóm tham chiếu theo thiết lập tổng hợp hiện hữu</t>
        </is>
      </c>
      <c r="D113" s="9" t="inlineStr">
        <is>
          <t>A. Functional</t>
        </is>
      </c>
      <c r="E113" s="9" t="inlineStr">
        <is>
          <t>test-cases.vi.md</t>
        </is>
      </c>
    </row>
    <row r="114">
      <c r="A114" s="9" t="inlineStr">
        <is>
          <t>TS-RS-007</t>
        </is>
      </c>
      <c r="B114" s="9" t="inlineStr">
        <is>
          <t>TC-RS-VAL-024</t>
        </is>
      </c>
      <c r="C114" s="9" t="inlineStr">
        <is>
          <t>Quy tắc dùng trung bình/tỷ lệ nhóm không lưu được khi thiếu nguồn</t>
        </is>
      </c>
      <c r="D114" s="9" t="inlineStr">
        <is>
          <t>B. Validation</t>
        </is>
      </c>
      <c r="E114" s="9" t="inlineStr">
        <is>
          <t>test-cases.vi.md</t>
        </is>
      </c>
    </row>
    <row r="115">
      <c r="A115" s="9" t="inlineStr">
        <is>
          <t>TS-RS-007</t>
        </is>
      </c>
      <c r="B115" s="9" t="inlineStr">
        <is>
          <t>TC-RS-VAL-025</t>
        </is>
      </c>
      <c r="C115" s="9" t="inlineStr">
        <is>
          <t>Server từ chối lưu nhóm tham chiếu không khả dụng hoặc ngoài trường/năm</t>
        </is>
      </c>
      <c r="D115" s="9" t="inlineStr">
        <is>
          <t>B. Validation</t>
        </is>
      </c>
      <c r="E115" s="9" t="inlineStr">
        <is>
          <t>test-cases.vi.md</t>
        </is>
      </c>
    </row>
    <row r="116">
      <c r="A116" s="9" t="inlineStr">
        <is>
          <t>TS-RS-008</t>
        </is>
      </c>
      <c r="B116" s="9" t="inlineStr">
        <is>
          <t>TC-RS-BR-012</t>
        </is>
      </c>
      <c r="C116" s="9" t="inlineStr">
        <is>
          <t>Điểm được xét là điểm cuối đã lưu (dự kiến, sửa tay, sau giới hạn miền điểm)</t>
        </is>
      </c>
      <c r="D116" s="9" t="inlineStr">
        <is>
          <t>C. Business Rules</t>
        </is>
      </c>
      <c r="E116" s="9" t="inlineStr">
        <is>
          <t>test-cases.vi.md</t>
        </is>
      </c>
    </row>
    <row r="117">
      <c r="A117" s="9" t="inlineStr">
        <is>
          <t>TS-RS-008</t>
        </is>
      </c>
      <c r="B117" s="9" t="inlineStr">
        <is>
          <t>TC-RS-BR-013</t>
        </is>
      </c>
      <c r="C117" s="9" t="inlineStr">
        <is>
          <t>Cờ Chưa dự thi（未受験） không loại điểm số khỏi xét</t>
        </is>
      </c>
      <c r="D117" s="9" t="inlineStr">
        <is>
          <t>C. Business Rules</t>
        </is>
      </c>
      <c r="E117" s="9" t="inlineStr">
        <is>
          <t>test-cases.vi.md</t>
        </is>
      </c>
    </row>
    <row r="118">
      <c r="A118" s="9" t="inlineStr">
        <is>
          <t>TS-RS-008</t>
        </is>
      </c>
      <c r="B118" s="9" t="inlineStr">
        <is>
          <t>TC-RS-BR-014</t>
        </is>
      </c>
      <c r="C118" s="9" t="inlineStr">
        <is>
          <t>Ô trống không bị coi là 0 (trạng thái Không có điểm)</t>
        </is>
      </c>
      <c r="D118" s="9" t="inlineStr">
        <is>
          <t>C. Business Rules</t>
        </is>
      </c>
      <c r="E118" s="9" t="inlineStr">
        <is>
          <t>test-cases.vi.md</t>
        </is>
      </c>
    </row>
    <row r="119">
      <c r="A119" s="9" t="inlineStr">
        <is>
          <t>TS-RS-008</t>
        </is>
      </c>
      <c r="B119" s="9" t="inlineStr">
        <is>
          <t>TC-RS-BR-030</t>
        </is>
      </c>
      <c r="C119" s="9" t="inlineStr">
        <is>
          <t>Ô điểm đơn vị được xét riêng theo từng đơn vị</t>
        </is>
      </c>
      <c r="D119" s="9" t="inlineStr">
        <is>
          <t>C. Business Rules</t>
        </is>
      </c>
      <c r="E119" s="9" t="inlineStr">
        <is>
          <t>test-cases.vi.md</t>
        </is>
      </c>
    </row>
    <row r="120">
      <c r="A120" s="9" t="inlineStr">
        <is>
          <t>TS-RS-008</t>
        </is>
      </c>
      <c r="B120" s="9" t="inlineStr">
        <is>
          <t>TC-RS-CALC-030</t>
        </is>
      </c>
      <c r="C120" s="9" t="inlineStr">
        <is>
          <t>Công thức cho T=0; ô trống vẫn là Không có điểm</t>
        </is>
      </c>
      <c r="D120" s="9" t="inlineStr">
        <is>
          <t>D. Calculation</t>
        </is>
      </c>
      <c r="E120" s="9" t="inlineStr">
        <is>
          <t>test-cases.vi.md</t>
        </is>
      </c>
    </row>
    <row r="121">
      <c r="A121" s="9" t="inlineStr">
        <is>
          <t>TS-RS-008</t>
        </is>
      </c>
      <c r="B121" s="9" t="inlineStr">
        <is>
          <t>TC-RS-REG-003</t>
        </is>
      </c>
      <c r="C121" s="9" t="inlineStr">
        <is>
          <t>Ô nhập tay được AutoRating bỏ qua vẫn giữ giá trị tay và vẫn được xét đỏ</t>
        </is>
      </c>
      <c r="D121" s="9" t="inlineStr">
        <is>
          <t>H. Regression</t>
        </is>
      </c>
      <c r="E121" s="9" t="inlineStr">
        <is>
          <t>test-cases.vi.md</t>
        </is>
      </c>
    </row>
    <row r="122">
      <c r="A122" s="9" t="inlineStr">
        <is>
          <t>TS-RS-009</t>
        </is>
      </c>
      <c r="B122" s="9" t="inlineStr">
        <is>
          <t>TC-RS-BR-015</t>
        </is>
      </c>
      <c r="C122" s="9" t="inlineStr">
        <is>
          <t>Lưu cấu hình không xét; kết quả trước giữ tới lần chạy lại</t>
        </is>
      </c>
      <c r="D122" s="9" t="inlineStr">
        <is>
          <t>C. Business Rules</t>
        </is>
      </c>
      <c r="E122" s="9" t="inlineStr">
        <is>
          <t>test-cases.vi.md</t>
        </is>
      </c>
    </row>
    <row r="123">
      <c r="A123" s="9" t="inlineStr">
        <is>
          <t>TS-RS-009</t>
        </is>
      </c>
      <c r="B123" s="9" t="inlineStr">
        <is>
          <t>TC-RS-BR-016</t>
        </is>
      </c>
      <c r="C123" s="9" t="inlineStr">
        <is>
          <t>Sửa điểm 29 → 40 được lưu và xét trong cùng lượt</t>
        </is>
      </c>
      <c r="D123" s="9" t="inlineStr">
        <is>
          <t>C. Business Rules</t>
        </is>
      </c>
      <c r="E123" s="9" t="inlineStr">
        <is>
          <t>test-cases.vi.md</t>
        </is>
      </c>
    </row>
    <row r="124">
      <c r="A124" s="9" t="inlineStr">
        <is>
          <t>TS-RS-009</t>
        </is>
      </c>
      <c r="B124" s="9" t="inlineStr">
        <is>
          <t>TC-RS-BR-017</t>
        </is>
      </c>
      <c r="C124" s="9" t="inlineStr">
        <is>
          <t>Chạy lại không tạo được ngưỡng hợp lệ → Chưa xét được, ngừng kết quả cũ, giữ điểm</t>
        </is>
      </c>
      <c r="D124" s="9" t="inlineStr">
        <is>
          <t>C. Business Rules</t>
        </is>
      </c>
      <c r="E124" s="9" t="inlineStr">
        <is>
          <t>test-cases.vi.md</t>
        </is>
      </c>
    </row>
    <row r="125">
      <c r="A125" s="9" t="inlineStr">
        <is>
          <t>TS-RS-009</t>
        </is>
      </c>
      <c r="B125" s="9" t="inlineStr">
        <is>
          <t>TC-RS-BR-018</t>
        </is>
      </c>
      <c r="C125" s="9" t="inlineStr">
        <is>
          <t>Đổi phạm vi làm ô không còn quy tắc áp dụng: giữ khi chưa chạy; chạy lại → Không áp dụng</t>
        </is>
      </c>
      <c r="D125" s="9" t="inlineStr">
        <is>
          <t>C. Business Rules</t>
        </is>
      </c>
      <c r="E125" s="9" t="inlineStr">
        <is>
          <t>test-cases.vi.md</t>
        </is>
      </c>
    </row>
    <row r="126">
      <c r="A126" s="9" t="inlineStr">
        <is>
          <t>TS-RS-009</t>
        </is>
      </c>
      <c r="B126" s="9" t="inlineStr">
        <is>
          <t>TC-RS-BR-019</t>
        </is>
      </c>
      <c r="C126" s="9" t="inlineStr">
        <is>
          <t>Xóa quy tắc cuối: giữ kết quả tới lần chạy lại; chạy lại → Không áp dụng</t>
        </is>
      </c>
      <c r="D126" s="9" t="inlineStr">
        <is>
          <t>C. Business Rules</t>
        </is>
      </c>
      <c r="E126" s="9" t="inlineStr">
        <is>
          <t>test-cases.vi.md</t>
        </is>
      </c>
    </row>
    <row r="127">
      <c r="A127" s="9" t="inlineStr">
        <is>
          <t>TS-RS-009</t>
        </is>
      </c>
      <c r="B127" s="9" t="inlineStr">
        <is>
          <t>TC-RS-BR-020</t>
        </is>
      </c>
      <c r="C127" s="9" t="inlineStr">
        <is>
          <t>Xóa điểm thành trống → Không có điểm, bỏ dấu đỏ cũ</t>
        </is>
      </c>
      <c r="D127" s="9" t="inlineStr">
        <is>
          <t>C. Business Rules</t>
        </is>
      </c>
      <c r="E127" s="9" t="inlineStr">
        <is>
          <t>test-cases.vi.md</t>
        </is>
      </c>
    </row>
    <row r="128">
      <c r="A128" s="9" t="inlineStr">
        <is>
          <t>TS-RS-009</t>
        </is>
      </c>
      <c r="B128" s="9" t="inlineStr">
        <is>
          <t>TC-RS-BR-021</t>
        </is>
      </c>
      <c r="C128" s="9" t="inlineStr">
        <is>
          <t>Tổng hợp lại hoặc đổi nhóm tham chiếu không tự xét lại</t>
        </is>
      </c>
      <c r="D128" s="9" t="inlineStr">
        <is>
          <t>C. Business Rules</t>
        </is>
      </c>
      <c r="E128" s="9" t="inlineStr">
        <is>
          <t>test-cases.vi.md</t>
        </is>
      </c>
    </row>
    <row r="129">
      <c r="A129" s="9" t="inlineStr">
        <is>
          <t>TS-RS-009</t>
        </is>
      </c>
      <c r="B129" s="9" t="inlineStr">
        <is>
          <t>TC-RS-BR-022</t>
        </is>
      </c>
      <c r="C129" s="9" t="inlineStr">
        <is>
          <t>Đổi M ở Thiết lập điểm tối đa（満点設定） hoặc Giá trị tối đa（最大値） không tự xét lại</t>
        </is>
      </c>
      <c r="D129" s="9" t="inlineStr">
        <is>
          <t>C. Business Rules</t>
        </is>
      </c>
      <c r="E129" s="9" t="inlineStr">
        <is>
          <t>test-cases.vi.md</t>
        </is>
      </c>
    </row>
    <row r="130">
      <c r="A130" s="9" t="inlineStr">
        <is>
          <t>TS-RS-009</t>
        </is>
      </c>
      <c r="B130" s="9" t="inlineStr">
        <is>
          <t>TC-RS-BR-023</t>
        </is>
      </c>
      <c r="C130" s="9" t="inlineStr">
        <is>
          <t>Nút xanh Thực hiện tổng hợp（集計実行） không xét điểm đỏ</t>
        </is>
      </c>
      <c r="D130" s="9" t="inlineStr">
        <is>
          <t>C. Business Rules</t>
        </is>
      </c>
      <c r="E130" s="9" t="inlineStr">
        <is>
          <t>test-cases.vi.md</t>
        </is>
      </c>
    </row>
    <row r="131">
      <c r="A131" s="9" t="inlineStr">
        <is>
          <t>TS-RS-009</t>
        </is>
      </c>
      <c r="B131" s="9" t="inlineStr">
        <is>
          <t>TC-RS-BR-024</t>
        </is>
      </c>
      <c r="C131" s="9" t="inlineStr">
        <is>
          <t>Xem, xuất, công khai, in lại không kích hoạt xét</t>
        </is>
      </c>
      <c r="D131" s="9" t="inlineStr">
        <is>
          <t>C. Business Rules</t>
        </is>
      </c>
      <c r="E131" s="9" t="inlineStr">
        <is>
          <t>test-cases.vi.md</t>
        </is>
      </c>
    </row>
    <row r="132">
      <c r="A132" s="9" t="inlineStr">
        <is>
          <t>TS-RS-009</t>
        </is>
      </c>
      <c r="B132" s="9" t="inlineStr">
        <is>
          <t>TC-RS-BR-027</t>
        </is>
      </c>
      <c r="C132" s="9" t="inlineStr">
        <is>
          <t>Chạy lại nhiều lần cho cùng kết quả, không nhân đôi dấu</t>
        </is>
      </c>
      <c r="D132" s="9" t="inlineStr">
        <is>
          <t>C. Business Rules</t>
        </is>
      </c>
      <c r="E132" s="9" t="inlineStr">
        <is>
          <t>test-cases.vi.md</t>
        </is>
      </c>
    </row>
    <row r="133">
      <c r="A133" s="9" t="inlineStr">
        <is>
          <t>TS-RS-009</t>
        </is>
      </c>
      <c r="B133" s="9" t="inlineStr">
        <is>
          <t>TC-RS-BR-037</t>
        </is>
      </c>
      <c r="C133" s="9" t="inlineStr">
        <is>
          <t>Xóa hoặc thôi dùng điểm đơn vị thì ngừng kết quả đỏ cũ của ô đó</t>
        </is>
      </c>
      <c r="D133" s="9" t="inlineStr">
        <is>
          <t>C. Business Rules</t>
        </is>
      </c>
      <c r="E133" s="9" t="inlineStr">
        <is>
          <t>test-cases.vi.md</t>
        </is>
      </c>
    </row>
    <row r="134">
      <c r="A134" s="9" t="inlineStr">
        <is>
          <t>TS-RS-009</t>
        </is>
      </c>
      <c r="B134" s="9" t="inlineStr">
        <is>
          <t>TC-RS-ERR-012</t>
        </is>
      </c>
      <c r="C134" s="9" t="inlineStr">
        <is>
          <t>Nhập CSV lựa chọn điểm tối đa của lớp</t>
        </is>
      </c>
      <c r="D134" s="9" t="inlineStr">
        <is>
          <t>F. State • Error</t>
        </is>
      </c>
      <c r="E134" s="9" t="inlineStr">
        <is>
          <t>test-cases.vi.md</t>
        </is>
      </c>
    </row>
    <row r="135">
      <c r="A135" s="9" t="inlineStr">
        <is>
          <t>TS-RS-009</t>
        </is>
      </c>
      <c r="B135" s="9" t="inlineStr">
        <is>
          <t>TC-RS-ERR-015</t>
        </is>
      </c>
      <c r="C135" s="9" t="inlineStr">
        <is>
          <t>Bản ghi điểm bị xóa rồi tạo lại không kế thừa kết quả cũ</t>
        </is>
      </c>
      <c r="D135" s="9" t="inlineStr">
        <is>
          <t>F. State • Error</t>
        </is>
      </c>
      <c r="E135" s="9" t="inlineStr">
        <is>
          <t>test-cases.vi.md</t>
        </is>
      </c>
    </row>
    <row r="136">
      <c r="A136" s="9" t="inlineStr">
        <is>
          <t>TS-RS-009</t>
        </is>
      </c>
      <c r="B136" s="9" t="inlineStr">
        <is>
          <t>TC-RS-FUNC-016</t>
        </is>
      </c>
      <c r="C136" s="9" t="inlineStr">
        <is>
          <t>Đăng ký/sửa điểm trực tiếp ở màn lớp kích hoạt xét</t>
        </is>
      </c>
      <c r="D136" s="9" t="inlineStr">
        <is>
          <t>A. Functional</t>
        </is>
      </c>
      <c r="E136" s="9" t="inlineStr">
        <is>
          <t>test-cases.vi.md</t>
        </is>
      </c>
    </row>
    <row r="137">
      <c r="A137" s="9" t="inlineStr">
        <is>
          <t>TS-RS-009</t>
        </is>
      </c>
      <c r="B137" s="9" t="inlineStr">
        <is>
          <t>TC-RS-FUNC-017</t>
        </is>
      </c>
      <c r="C137" s="9" t="inlineStr">
        <is>
          <t>Nhập CSV điểm lớp học phần (NB) kích hoạt xét</t>
        </is>
      </c>
      <c r="D137" s="9" t="inlineStr">
        <is>
          <t>A. Functional</t>
        </is>
      </c>
      <c r="E137" s="9" t="inlineStr">
        <is>
          <t>test-cases.vi.md</t>
        </is>
      </c>
    </row>
    <row r="138">
      <c r="A138" s="9" t="inlineStr">
        <is>
          <t>TS-RS-009</t>
        </is>
      </c>
      <c r="B138" s="9" t="inlineStr">
        <is>
          <t>TC-RS-FUNC-018</t>
        </is>
      </c>
      <c r="C138" s="9" t="inlineStr">
        <is>
          <t>Liên kết kết quả chấm bài thi kích hoạt xét</t>
        </is>
      </c>
      <c r="D138" s="9" t="inlineStr">
        <is>
          <t>A. Functional</t>
        </is>
      </c>
      <c r="E138" s="9" t="inlineStr">
        <is>
          <t>test-cases.vi.md</t>
        </is>
      </c>
    </row>
    <row r="139">
      <c r="A139" s="9" t="inlineStr">
        <is>
          <t>TS-RS-009</t>
        </is>
      </c>
      <c r="B139" s="9" t="inlineStr">
        <is>
          <t>TC-RS-FUNC-019</t>
        </is>
      </c>
      <c r="C139" s="9" t="inlineStr">
        <is>
          <t>Lưu lựa chọn điểm tối đa của lớp khi đăng ký điểm kích hoạt xét</t>
        </is>
      </c>
      <c r="D139" s="9" t="inlineStr">
        <is>
          <t>A. Functional</t>
        </is>
      </c>
      <c r="E139" s="9" t="inlineStr">
        <is>
          <t>test-cases.vi.md</t>
        </is>
      </c>
    </row>
    <row r="140">
      <c r="A140" s="9" t="inlineStr">
        <is>
          <t>TS-RS-009</t>
        </is>
      </c>
      <c r="B140" s="9" t="inlineStr">
        <is>
          <t>TC-RS-FUNC-020</t>
        </is>
      </c>
      <c r="C140" s="9" t="inlineStr">
        <is>
          <t>Lưu Thiết lập điểm tối đa hàng loạt（満点一括設定） xếp hàng tính toán rồi mới có kết quả mới</t>
        </is>
      </c>
      <c r="D140" s="9" t="inlineStr">
        <is>
          <t>A. Functional</t>
        </is>
      </c>
      <c r="E140" s="9" t="inlineStr">
        <is>
          <t>test-cases.vi.md</t>
        </is>
      </c>
    </row>
    <row r="141">
      <c r="A141" s="9" t="inlineStr">
        <is>
          <t>TS-RS-009</t>
        </is>
      </c>
      <c r="B141" s="9" t="inlineStr">
        <is>
          <t>TC-RS-FUNC-021</t>
        </is>
      </c>
      <c r="C141" s="9" t="inlineStr">
        <is>
          <t>Trường chỉ có quy tắc đỏ (không có tính tự động) vẫn có đường chạy hàng loạt</t>
        </is>
      </c>
      <c r="D141" s="9" t="inlineStr">
        <is>
          <t>A. Functional</t>
        </is>
      </c>
      <c r="E141" s="9" t="inlineStr">
        <is>
          <t>test-cases.vi.md</t>
        </is>
      </c>
    </row>
    <row r="142">
      <c r="A142" s="9" t="inlineStr">
        <is>
          <t>TS-RS-009</t>
        </is>
      </c>
      <c r="B142" s="9" t="inlineStr">
        <is>
          <t>TC-RS-FUNC-035</t>
        </is>
      </c>
      <c r="C142" s="9" t="inlineStr">
        <is>
          <t>Nhập CSV đăng ký điểm lớp chủ nhiệm hàng loạt（HR成績CSV一括登録） kích hoạt xét</t>
        </is>
      </c>
      <c r="D142" s="9" t="inlineStr">
        <is>
          <t>A. Functional</t>
        </is>
      </c>
      <c r="E142" s="9" t="inlineStr">
        <is>
          <t>test-cases.vi.md</t>
        </is>
      </c>
    </row>
    <row r="143">
      <c r="A143" s="9" t="inlineStr">
        <is>
          <t>TS-RS-010</t>
        </is>
      </c>
      <c r="B143" s="9" t="inlineStr">
        <is>
          <t>TC-RS-ERR-001</t>
        </is>
      </c>
      <c r="C143" s="9" t="inlineStr">
        <is>
          <t>Hiển thị theo từng trạng thái kết quả ở ba đầu ra</t>
        </is>
      </c>
      <c r="D143" s="9" t="inlineStr">
        <is>
          <t>F. State • Error</t>
        </is>
      </c>
      <c r="E143" s="9" t="inlineStr">
        <is>
          <t>test-cases.vi.md</t>
        </is>
      </c>
    </row>
    <row r="144">
      <c r="A144" s="9" t="inlineStr">
        <is>
          <t>TS-RS-010</t>
        </is>
      </c>
      <c r="B144" s="9" t="inlineStr">
        <is>
          <t>TC-RS-ERR-002</t>
        </is>
      </c>
      <c r="C144" s="9" t="inlineStr">
        <is>
          <t>Lỗi kỹ thuật khi lưu kết quả khác với Chưa xét được; không báo thành công giả</t>
        </is>
      </c>
      <c r="D144" s="9" t="inlineStr">
        <is>
          <t>F. State • Error</t>
        </is>
      </c>
      <c r="E144" s="9" t="inlineStr">
        <is>
          <t>test-cases.vi.md</t>
        </is>
      </c>
    </row>
    <row r="145">
      <c r="A145" s="9" t="inlineStr">
        <is>
          <t>TS-RS-010</t>
        </is>
      </c>
      <c r="B145" s="9" t="inlineStr">
        <is>
          <t>TC-RS-ERR-003</t>
        </is>
      </c>
      <c r="C145" s="9" t="inlineStr">
        <is>
          <t>Batch hoàn tất một phần: báo đúng phạm vi đã/không cập nhật</t>
        </is>
      </c>
      <c r="D145" s="9" t="inlineStr">
        <is>
          <t>F. State • Error</t>
        </is>
      </c>
      <c r="E145" s="9" t="inlineStr">
        <is>
          <t>test-cases.vi.md</t>
        </is>
      </c>
    </row>
    <row r="146">
      <c r="A146" s="9" t="inlineStr">
        <is>
          <t>TS-RS-010</t>
        </is>
      </c>
      <c r="B146" s="9" t="inlineStr">
        <is>
          <t>TC-RS-ERR-004</t>
        </is>
      </c>
      <c r="C146" s="9" t="inlineStr">
        <is>
          <t>Đã xếp hàng không phải đã hoàn tất; bấm chạy trùng</t>
        </is>
      </c>
      <c r="D146" s="9" t="inlineStr">
        <is>
          <t>F. State • Error</t>
        </is>
      </c>
      <c r="E146" s="9" t="inlineStr">
        <is>
          <t>test-cases.vi.md</t>
        </is>
      </c>
    </row>
    <row r="147">
      <c r="A147" s="9" t="inlineStr">
        <is>
          <t>TS-RS-010</t>
        </is>
      </c>
      <c r="B147" s="9" t="inlineStr">
        <is>
          <t>TC-RS-ERR-005</t>
        </is>
      </c>
      <c r="C147" s="9" t="inlineStr">
        <is>
          <t>Thông báo lỗi không lộ SQL, stack trace hoặc dữ liệu ngoài quyền</t>
        </is>
      </c>
      <c r="D147" s="9" t="inlineStr">
        <is>
          <t>F. State • Error</t>
        </is>
      </c>
      <c r="E147" s="9" t="inlineStr">
        <is>
          <t>test-cases.vi.md</t>
        </is>
      </c>
    </row>
    <row r="148">
      <c r="A148" s="9" t="inlineStr">
        <is>
          <t>TS-RS-010</t>
        </is>
      </c>
      <c r="B148" s="9" t="inlineStr">
        <is>
          <t>TC-RS-ERR-011</t>
        </is>
      </c>
      <c r="C148" s="9" t="inlineStr">
        <is>
          <t>Lượt cũ hoàn tất muộn không ghi đè kết quả của điểm/cấu hình mới hơn</t>
        </is>
      </c>
      <c r="D148" s="9" t="inlineStr">
        <is>
          <t>F. State • Error</t>
        </is>
      </c>
      <c r="E148" s="9" t="inlineStr">
        <is>
          <t>test-cases.vi.md</t>
        </is>
      </c>
    </row>
    <row r="149">
      <c r="A149" s="9" t="inlineStr">
        <is>
          <t>TS-RS-010</t>
        </is>
      </c>
      <c r="B149" s="9" t="inlineStr">
        <is>
          <t>TC-RS-ERR-018</t>
        </is>
      </c>
      <c r="C149" s="9" t="inlineStr">
        <is>
          <t>Hai lượt xét lần đầu đồng thời hoặc gửi lại thao tác hoàn tất chỉ tạo một kết quả</t>
        </is>
      </c>
      <c r="D149" s="9" t="inlineStr">
        <is>
          <t>F. State • Error</t>
        </is>
      </c>
      <c r="E149" s="9" t="inlineStr">
        <is>
          <t>test-cases.vi.md</t>
        </is>
      </c>
    </row>
    <row r="150">
      <c r="A150" s="9" t="inlineStr">
        <is>
          <t>TS-RS-010</t>
        </is>
      </c>
      <c r="B150" s="9" t="inlineStr">
        <is>
          <t>TC-RS-ERR-019</t>
        </is>
      </c>
      <c r="C150" s="9" t="inlineStr">
        <is>
          <t>Đăng ký lần đầu đồng thời hai mục khác nhau của cùng học sinh giữ đủ cả hai</t>
        </is>
      </c>
      <c r="D150" s="9" t="inlineStr">
        <is>
          <t>F. State • Error</t>
        </is>
      </c>
      <c r="E150" s="9" t="inlineStr">
        <is>
          <t>test-cases.vi.md</t>
        </is>
      </c>
    </row>
    <row r="151">
      <c r="A151" s="9" t="inlineStr">
        <is>
          <t>TS-RS-010</t>
        </is>
      </c>
      <c r="B151" s="9" t="inlineStr">
        <is>
          <t>TC-RS-UI-018</t>
        </is>
      </c>
      <c r="C151" s="9" t="inlineStr">
        <is>
          <t>Màn Tổng hợp thành tích（成績集計）: nút xanh/cam và lần chạy trước</t>
        </is>
      </c>
      <c r="D151" s="9" t="inlineStr">
        <is>
          <t>E. UI • Visual</t>
        </is>
      </c>
      <c r="E151" s="9" t="inlineStr">
        <is>
          <t>test-cases.vi.md</t>
        </is>
      </c>
    </row>
    <row r="152">
      <c r="A152" s="9" t="inlineStr">
        <is>
          <t>TS-RS-010</t>
        </is>
      </c>
      <c r="B152" s="9" t="inlineStr">
        <is>
          <t>TC-RS-UI-019</t>
        </is>
      </c>
      <c r="C152" s="9" t="inlineStr">
        <is>
          <t>Thông báo kết quả sau khi chạy: hoàn tất, chưa xét được, thất bại một phần</t>
        </is>
      </c>
      <c r="D152" s="9" t="inlineStr">
        <is>
          <t>E. UI • Visual</t>
        </is>
      </c>
      <c r="E152" s="9" t="inlineStr">
        <is>
          <t>test-cases.vi.md</t>
        </is>
      </c>
    </row>
    <row r="153">
      <c r="A153" s="9" t="inlineStr">
        <is>
          <t>TS-RS-010</t>
        </is>
      </c>
      <c r="B153" s="9" t="inlineStr">
        <is>
          <t>TC-RS-VAL-016</t>
        </is>
      </c>
      <c r="C153" s="9" t="inlineStr">
        <is>
          <t>Lỗi khi lưu không làm mất cấu hình/kết quả đã lưu</t>
        </is>
      </c>
      <c r="D153" s="9" t="inlineStr">
        <is>
          <t>B. Validation</t>
        </is>
      </c>
      <c r="E153" s="9" t="inlineStr">
        <is>
          <t>test-cases.vi.md</t>
        </is>
      </c>
    </row>
    <row r="154">
      <c r="A154" s="9" t="inlineStr">
        <is>
          <t>TS-RS-011</t>
        </is>
      </c>
      <c r="B154" s="9" t="inlineStr">
        <is>
          <t>TC-RS-BR-031</t>
        </is>
      </c>
      <c r="C154" s="9" t="inlineStr">
        <is>
          <t>Giáo viên có quyền sửa mục cấu hình được quy tắc đỏ</t>
        </is>
      </c>
      <c r="D154" s="9" t="inlineStr">
        <is>
          <t>C. Business Rules</t>
        </is>
      </c>
      <c r="E154" s="9" t="inlineStr">
        <is>
          <t>test-cases.vi.md</t>
        </is>
      </c>
    </row>
    <row r="155">
      <c r="A155" s="9" t="inlineStr">
        <is>
          <t>TS-RS-011</t>
        </is>
      </c>
      <c r="B155" s="9" t="inlineStr">
        <is>
          <t>TC-RS-BR-032</t>
        </is>
      </c>
      <c r="C155" s="9" t="inlineStr">
        <is>
          <t>Vào được màn nhưng không có quyền sửa mục → không sửa được quy tắc của mục đó</t>
        </is>
      </c>
      <c r="D155" s="9" t="inlineStr">
        <is>
          <t>C. Business Rules</t>
        </is>
      </c>
      <c r="E155" s="9" t="inlineStr">
        <is>
          <t>test-cases.vi.md</t>
        </is>
      </c>
    </row>
    <row r="156">
      <c r="A156" s="9" t="inlineStr">
        <is>
          <t>TS-RS-011</t>
        </is>
      </c>
      <c r="B156" s="9" t="inlineStr">
        <is>
          <t>TC-RS-BR-033</t>
        </is>
      </c>
      <c r="C156" s="9" t="inlineStr">
        <is>
          <t>Quyền sửa mục không tự cấp quyền chạy hàng loạt</t>
        </is>
      </c>
      <c r="D156" s="9" t="inlineStr">
        <is>
          <t>C. Business Rules</t>
        </is>
      </c>
      <c r="E156" s="9" t="inlineStr">
        <is>
          <t>test-cases.vi.md</t>
        </is>
      </c>
    </row>
    <row r="157">
      <c r="A157" s="9" t="inlineStr">
        <is>
          <t>TS-RS-011</t>
        </is>
      </c>
      <c r="B157" s="9" t="inlineStr">
        <is>
          <t>TC-RS-ERR-006</t>
        </is>
      </c>
      <c r="C157" s="9" t="inlineStr">
        <is>
          <t>Gửi request lưu quy tắc trực tiếp khi không có quyền sửa mục</t>
        </is>
      </c>
      <c r="D157" s="9" t="inlineStr">
        <is>
          <t>F. State • Error</t>
        </is>
      </c>
      <c r="E157" s="9" t="inlineStr">
        <is>
          <t>test-cases.vi.md</t>
        </is>
      </c>
    </row>
    <row r="158">
      <c r="A158" s="9" t="inlineStr">
        <is>
          <t>TS-RS-011</t>
        </is>
      </c>
      <c r="B158" s="9" t="inlineStr">
        <is>
          <t>TC-RS-ERR-007</t>
        </is>
      </c>
      <c r="C158" s="9" t="inlineStr">
        <is>
          <t>Giả mạo ID khác trường/năm hoặc nguồn không được phép</t>
        </is>
      </c>
      <c r="D158" s="9" t="inlineStr">
        <is>
          <t>F. State • Error</t>
        </is>
      </c>
      <c r="E158" s="9" t="inlineStr">
        <is>
          <t>test-cases.vi.md</t>
        </is>
      </c>
    </row>
    <row r="159">
      <c r="A159" s="9" t="inlineStr">
        <is>
          <t>TS-RS-011</t>
        </is>
      </c>
      <c r="B159" s="9" t="inlineStr">
        <is>
          <t>TC-RS-ERR-008</t>
        </is>
      </c>
      <c r="C159" s="9" t="inlineStr">
        <is>
          <t>Gọi trực tiếp request chạy tính toán hàng loạt khi không có quyền chạy</t>
        </is>
      </c>
      <c r="D159" s="9" t="inlineStr">
        <is>
          <t>F. State • Error</t>
        </is>
      </c>
      <c r="E159" s="9" t="inlineStr">
        <is>
          <t>test-cases.vi.md</t>
        </is>
      </c>
    </row>
    <row r="160">
      <c r="A160" s="9" t="inlineStr">
        <is>
          <t>TS-RS-011</t>
        </is>
      </c>
      <c r="B160" s="9" t="inlineStr">
        <is>
          <t>TC-RS-ERR-009</t>
        </is>
      </c>
      <c r="C160" s="9" t="inlineStr">
        <is>
          <t>Server kiểm miền giá trị khi bỏ qua kiểm tra phía trình duyệt</t>
        </is>
      </c>
      <c r="D160" s="9" t="inlineStr">
        <is>
          <t>F. State • Error</t>
        </is>
      </c>
      <c r="E160" s="9" t="inlineStr">
        <is>
          <t>test-cases.vi.md</t>
        </is>
      </c>
    </row>
    <row r="161">
      <c r="A161" s="9" t="inlineStr">
        <is>
          <t>TS-RS-011</t>
        </is>
      </c>
      <c r="B161" s="9" t="inlineStr">
        <is>
          <t>TC-RS-ERR-010</t>
        </is>
      </c>
      <c r="C161" s="9" t="inlineStr">
        <is>
          <t>Server không tin cờ đỏ hoặc ngưỡng do trình duyệt gửi lên</t>
        </is>
      </c>
      <c r="D161" s="9" t="inlineStr">
        <is>
          <t>F. State • Error</t>
        </is>
      </c>
      <c r="E161" s="9" t="inlineStr">
        <is>
          <t>test-cases.vi.md</t>
        </is>
      </c>
    </row>
    <row r="162">
      <c r="A162" s="9" t="inlineStr">
        <is>
          <t>TS-RS-011</t>
        </is>
      </c>
      <c r="B162" s="9" t="inlineStr">
        <is>
          <t>TC-RS-ERR-017</t>
        </is>
      </c>
      <c r="C162" s="9" t="inlineStr">
        <is>
          <t>Tên quy tắc và ký hiệu hiển thị như chữ, không bị thực thi</t>
        </is>
      </c>
      <c r="D162" s="9" t="inlineStr">
        <is>
          <t>F. State • Error</t>
        </is>
      </c>
      <c r="E162" s="9" t="inlineStr">
        <is>
          <t>test-cases.vi.md</t>
        </is>
      </c>
    </row>
    <row r="163">
      <c r="A163" s="9" t="inlineStr">
        <is>
          <t>TS-RS-011</t>
        </is>
      </c>
      <c r="B163" s="9" t="inlineStr">
        <is>
          <t>TC-RS-REG-015</t>
        </is>
      </c>
      <c r="C163" s="9" t="inlineStr">
        <is>
          <t>Quyền học sinh/phụ huynh giữ nguyên</t>
        </is>
      </c>
      <c r="D163" s="9" t="inlineStr">
        <is>
          <t>H. Regression</t>
        </is>
      </c>
      <c r="E163" s="9" t="inlineStr">
        <is>
          <t>test-cases.vi.md</t>
        </is>
      </c>
    </row>
    <row r="164">
      <c r="A164" s="9" t="inlineStr">
        <is>
          <t>TS-RS-012</t>
        </is>
      </c>
      <c r="B164" s="9" t="inlineStr">
        <is>
          <t>TC-RS-ERR-013</t>
        </is>
      </c>
      <c r="C164" s="9" t="inlineStr">
        <is>
          <t>Trích xuất: ô vừa thỏa điều kiện màu khác vừa là ô đỏ</t>
        </is>
      </c>
      <c r="D164" s="9" t="inlineStr">
        <is>
          <t>F. State • Error</t>
        </is>
      </c>
      <c r="E164" s="9" t="inlineStr">
        <is>
          <t>test-cases.vi.md</t>
        </is>
      </c>
    </row>
    <row r="165">
      <c r="A165" s="9" t="inlineStr">
        <is>
          <t>TS-RS-012</t>
        </is>
      </c>
      <c r="B165" s="9" t="inlineStr">
        <is>
          <t>TC-RS-FUNC-022</t>
        </is>
      </c>
      <c r="C165" s="9" t="inlineStr">
        <is>
          <t>Trích xuất thành tích（成績抽出）: các tùy chọn đỏ được lưu và mở lại đúng</t>
        </is>
      </c>
      <c r="D165" s="9" t="inlineStr">
        <is>
          <t>A. Functional</t>
        </is>
      </c>
      <c r="E165" s="9" t="inlineStr">
        <is>
          <t>test-cases.vi.md</t>
        </is>
      </c>
    </row>
    <row r="166">
      <c r="A166" s="9" t="inlineStr">
        <is>
          <t>TS-RS-012</t>
        </is>
      </c>
      <c r="B166" s="9" t="inlineStr">
        <is>
          <t>TC-RS-FUNC-023</t>
        </is>
      </c>
      <c r="C166" s="9" t="inlineStr">
        <is>
          <t>Trích xuất: lọc giữ học sinh có ít nhất một ô đỏ trong phạm vi đang xét</t>
        </is>
      </c>
      <c r="D166" s="9" t="inlineStr">
        <is>
          <t>A. Functional</t>
        </is>
      </c>
      <c r="E166" s="9" t="inlineStr">
        <is>
          <t>test-cases.vi.md</t>
        </is>
      </c>
    </row>
    <row r="167">
      <c r="A167" s="9" t="inlineStr">
        <is>
          <t>TS-RS-012</t>
        </is>
      </c>
      <c r="B167" s="9" t="inlineStr">
        <is>
          <t>TC-RS-FUNC-024</t>
        </is>
      </c>
      <c r="C167" s="9" t="inlineStr">
        <is>
          <t>Trích xuất: chỉ ô đỏ được thêm ký hiệu/tô màu</t>
        </is>
      </c>
      <c r="D167" s="9" t="inlineStr">
        <is>
          <t>A. Functional</t>
        </is>
      </c>
      <c r="E167" s="9" t="inlineStr">
        <is>
          <t>test-cases.vi.md</t>
        </is>
      </c>
    </row>
    <row r="168">
      <c r="A168" s="9" t="inlineStr">
        <is>
          <t>TS-RS-012</t>
        </is>
      </c>
      <c r="B168" s="9" t="inlineStr">
        <is>
          <t>TC-RS-FUNC-025</t>
        </is>
      </c>
      <c r="C168" s="9" t="inlineStr">
        <is>
          <t>Trích xuất: file Excel khớp màn hình</t>
        </is>
      </c>
      <c r="D168" s="9" t="inlineStr">
        <is>
          <t>A. Functional</t>
        </is>
      </c>
      <c r="E168" s="9" t="inlineStr">
        <is>
          <t>test-cases.vi.md</t>
        </is>
      </c>
    </row>
    <row r="169">
      <c r="A169" s="9" t="inlineStr">
        <is>
          <t>TS-RS-012</t>
        </is>
      </c>
      <c r="B169" s="9" t="inlineStr">
        <is>
          <t>TC-RS-REG-006</t>
        </is>
      </c>
      <c r="C169" s="9" t="inlineStr">
        <is>
          <t>Trích xuất: mẫu hiện có không cấu hình đỏ cho kết quả như trước</t>
        </is>
      </c>
      <c r="D169" s="9" t="inlineStr">
        <is>
          <t>H. Regression</t>
        </is>
      </c>
      <c r="E169" s="9" t="inlineStr">
        <is>
          <t>test-cases.vi.md</t>
        </is>
      </c>
    </row>
    <row r="170">
      <c r="A170" s="9" t="inlineStr">
        <is>
          <t>TS-RS-012</t>
        </is>
      </c>
      <c r="B170" s="9" t="inlineStr">
        <is>
          <t>TC-RS-UI-020</t>
        </is>
      </c>
      <c r="C170" s="9" t="inlineStr">
        <is>
          <t>Trích xuất: vị trí và nhãn tùy chọn đỏ</t>
        </is>
      </c>
      <c r="D170" s="9" t="inlineStr">
        <is>
          <t>E. UI • Visual</t>
        </is>
      </c>
      <c r="E170" s="9" t="inlineStr">
        <is>
          <t>test-cases.vi.md</t>
        </is>
      </c>
    </row>
    <row r="171">
      <c r="A171" s="9" t="inlineStr">
        <is>
          <t>TS-RS-012</t>
        </is>
      </c>
      <c r="B171" s="9" t="inlineStr">
        <is>
          <t>TC-RS-UI-021</t>
        </is>
      </c>
      <c r="C171" s="9" t="inlineStr">
        <is>
          <t>Trích xuất: kết quả 0 học sinh và hiển thị ô đỏ số thập phân</t>
        </is>
      </c>
      <c r="D171" s="9" t="inlineStr">
        <is>
          <t>E. UI • Visual</t>
        </is>
      </c>
      <c r="E171" s="9" t="inlineStr">
        <is>
          <t>test-cases.vi.md</t>
        </is>
      </c>
    </row>
    <row r="172">
      <c r="A172" s="9" t="inlineStr">
        <is>
          <t>TS-RS-012</t>
        </is>
      </c>
      <c r="B172" s="9" t="inlineStr">
        <is>
          <t>TC-RS-VAL-017</t>
        </is>
      </c>
      <c r="C172" s="9" t="inlineStr">
        <is>
          <t>Trích xuất: bật ký hiệu thì bắt buộc nhập ký hiệu</t>
        </is>
      </c>
      <c r="D172" s="9" t="inlineStr">
        <is>
          <t>B. Validation</t>
        </is>
      </c>
      <c r="E172" s="9" t="inlineStr">
        <is>
          <t>test-cases.vi.md</t>
        </is>
      </c>
    </row>
    <row r="173">
      <c r="A173" s="9" t="inlineStr">
        <is>
          <t>TS-RS-013</t>
        </is>
      </c>
      <c r="B173" s="9" t="inlineStr">
        <is>
          <t>TC-RS-BR-025</t>
        </is>
      </c>
      <c r="C173" s="9" t="inlineStr">
        <is>
          <t>Đầu ra không bị chặn vì chưa có hoặc chưa xét được kết quả đỏ</t>
        </is>
      </c>
      <c r="D173" s="9" t="inlineStr">
        <is>
          <t>C. Business Rules</t>
        </is>
      </c>
      <c r="E173" s="9" t="inlineStr">
        <is>
          <t>test-cases.vi.md</t>
        </is>
      </c>
    </row>
    <row r="174">
      <c r="A174" s="9" t="inlineStr">
        <is>
          <t>TS-RS-013</t>
        </is>
      </c>
      <c r="B174" s="9" t="inlineStr">
        <is>
          <t>TC-RS-FUNC-026</t>
        </is>
      </c>
      <c r="C174" s="9" t="inlineStr">
        <is>
          <t>Công khai thành tích（成績公開）: ba hiệu ứng đỏ hiển thị đúng ở màn học sinh</t>
        </is>
      </c>
      <c r="D174" s="9" t="inlineStr">
        <is>
          <t>A. Functional</t>
        </is>
      </c>
      <c r="E174" s="9" t="inlineStr">
        <is>
          <t>test-cases.vi.md</t>
        </is>
      </c>
    </row>
    <row r="175">
      <c r="A175" s="9" t="inlineStr">
        <is>
          <t>TS-RS-013</t>
        </is>
      </c>
      <c r="B175" s="9" t="inlineStr">
        <is>
          <t>TC-RS-FUNC-027</t>
        </is>
      </c>
      <c r="C175" s="9" t="inlineStr">
        <is>
          <t>Công khai: kết hợp hiệu ứng Điểm dự kiến（見込点） và điểm đỏ, khử trùng</t>
        </is>
      </c>
      <c r="D175" s="9" t="inlineStr">
        <is>
          <t>A. Functional</t>
        </is>
      </c>
      <c r="E175" s="9" t="inlineStr">
        <is>
          <t>test-cases.vi.md</t>
        </is>
      </c>
    </row>
    <row r="176">
      <c r="A176" s="9" t="inlineStr">
        <is>
          <t>TS-RS-013</t>
        </is>
      </c>
      <c r="B176" s="9" t="inlineStr">
        <is>
          <t>TC-RS-FUNC-028</t>
        </is>
      </c>
      <c r="C176" s="9" t="inlineStr">
        <is>
          <t>Công khai: web, API và PDF học sinh dùng cùng kết quả và cùng hiệu ứng</t>
        </is>
      </c>
      <c r="D176" s="9" t="inlineStr">
        <is>
          <t>A. Functional</t>
        </is>
      </c>
      <c r="E176" s="9" t="inlineStr">
        <is>
          <t>test-cases.vi.md</t>
        </is>
      </c>
    </row>
    <row r="177">
      <c r="A177" s="9" t="inlineStr">
        <is>
          <t>TS-RS-013</t>
        </is>
      </c>
      <c r="B177" s="9" t="inlineStr">
        <is>
          <t>TC-RS-FUNC-037</t>
        </is>
      </c>
      <c r="C177" s="9" t="inlineStr">
        <is>
          <t>Công khai: cùng mục dùng hiệu ứng đỏ khác nhau ở hai cấu hình công khai</t>
        </is>
      </c>
      <c r="D177" s="9" t="inlineStr">
        <is>
          <t>A. Functional</t>
        </is>
      </c>
      <c r="E177" s="9" t="inlineStr">
        <is>
          <t>test-cases.vi.md</t>
        </is>
      </c>
    </row>
    <row r="178">
      <c r="A178" s="9" t="inlineStr">
        <is>
          <t>TS-RS-013</t>
        </is>
      </c>
      <c r="B178" s="9" t="inlineStr">
        <is>
          <t>TC-RS-REG-007</t>
        </is>
      </c>
      <c r="C178" s="9" t="inlineStr">
        <is>
          <t>Công khai: hiệu ứng Điểm dự kiến（見込点） và thiết lập khác được giữ</t>
        </is>
      </c>
      <c r="D178" s="9" t="inlineStr">
        <is>
          <t>H. Regression</t>
        </is>
      </c>
      <c r="E178" s="9" t="inlineStr">
        <is>
          <t>test-cases.vi.md</t>
        </is>
      </c>
    </row>
    <row r="179">
      <c r="A179" s="9" t="inlineStr">
        <is>
          <t>TS-RS-013</t>
        </is>
      </c>
      <c r="B179" s="9" t="inlineStr">
        <is>
          <t>TC-RS-REG-008</t>
        </is>
      </c>
      <c r="C179" s="9" t="inlineStr">
        <is>
          <t>Công khai: điểm ẩn, lịch và đối tượng công khai được giữ</t>
        </is>
      </c>
      <c r="D179" s="9" t="inlineStr">
        <is>
          <t>H. Regression</t>
        </is>
      </c>
      <c r="E179" s="9" t="inlineStr">
        <is>
          <t>test-cases.vi.md</t>
        </is>
      </c>
    </row>
    <row r="180">
      <c r="A180" s="9" t="inlineStr">
        <is>
          <t>TS-RS-013</t>
        </is>
      </c>
      <c r="B180" s="9" t="inlineStr">
        <is>
          <t>TC-RS-UI-022</t>
        </is>
      </c>
      <c r="C180" s="9" t="inlineStr">
        <is>
          <t>Công khai: dòng cách hiển thị đỏ theo mục có thiết lập, kể cả khi 0 học sinh đỏ hoặc vừa xóa thiết lập cuối</t>
        </is>
      </c>
      <c r="D180" s="9" t="inlineStr">
        <is>
          <t>E. UI • Visual</t>
        </is>
      </c>
      <c r="E180" s="9" t="inlineStr">
        <is>
          <t>test-cases.vi.md</t>
        </is>
      </c>
    </row>
    <row r="181">
      <c r="A181" s="9" t="inlineStr">
        <is>
          <t>TS-RS-013</t>
        </is>
      </c>
      <c r="B181" s="9" t="inlineStr">
        <is>
          <t>TC-RS-UI-023</t>
        </is>
      </c>
      <c r="C181" s="9" t="inlineStr">
        <is>
          <t>Công khai: danh sách tùy chọn hiển thị đỏ</t>
        </is>
      </c>
      <c r="D181" s="9" t="inlineStr">
        <is>
          <t>E. UI • Visual</t>
        </is>
      </c>
      <c r="E181" s="9" t="inlineStr">
        <is>
          <t>test-cases.vi.md</t>
        </is>
      </c>
    </row>
    <row r="182">
      <c r="A182" s="9" t="inlineStr">
        <is>
          <t>TS-RS-013</t>
        </is>
      </c>
      <c r="B182" s="9" t="inlineStr">
        <is>
          <t>TC-RS-UI-026</t>
        </is>
      </c>
      <c r="C182" s="9" t="inlineStr">
        <is>
          <t>Bộ chọn hiệu ứng đỏ của điểm thường và điểm đơn vị hiển thị độc lập</t>
        </is>
      </c>
      <c r="D182" s="9" t="inlineStr">
        <is>
          <t>E. UI • Visual</t>
        </is>
      </c>
      <c r="E182" s="9" t="inlineStr">
        <is>
          <t>test-cases.vi.md</t>
        </is>
      </c>
    </row>
    <row r="183">
      <c r="A183" s="9" t="inlineStr">
        <is>
          <t>TS-RS-014</t>
        </is>
      </c>
      <c r="B183" s="9" t="inlineStr">
        <is>
          <t>TC-RS-DATA-010</t>
        </is>
      </c>
      <c r="C183" s="9" t="inlineStr">
        <is>
          <t>Sao chép mẫu phiếu điểm giữ lựa chọn hiển thị đỏ</t>
        </is>
      </c>
      <c r="D183" s="9" t="inlineStr">
        <is>
          <t>G. Data • Persistence</t>
        </is>
      </c>
      <c r="E183" s="9" t="inlineStr">
        <is>
          <t>test-cases.vi.md</t>
        </is>
      </c>
    </row>
    <row r="184">
      <c r="A184" s="9" t="inlineStr">
        <is>
          <t>TS-RS-014</t>
        </is>
      </c>
      <c r="B184" s="9" t="inlineStr">
        <is>
          <t>TC-RS-FUNC-029</t>
        </is>
      </c>
      <c r="C184" s="9" t="inlineStr">
        <is>
          <t>Công cụ phiếu điểm（通知表ツール）: bốn cách hiển thị đỏ trên PDF</t>
        </is>
      </c>
      <c r="D184" s="9" t="inlineStr">
        <is>
          <t>A. Functional</t>
        </is>
      </c>
      <c r="E184" s="9" t="inlineStr">
        <is>
          <t>test-cases.vi.md</t>
        </is>
      </c>
    </row>
    <row r="185">
      <c r="A185" s="9" t="inlineStr">
        <is>
          <t>TS-RS-014</t>
        </is>
      </c>
      <c r="B185" s="9" t="inlineStr">
        <is>
          <t>TC-RS-FUNC-030</t>
        </is>
      </c>
      <c r="C185" s="9" t="inlineStr">
        <is>
          <t>Phiếu điểm: thứ tự điều kiện và dừng ở điều kiện khớp đầu tiên</t>
        </is>
      </c>
      <c r="D185" s="9" t="inlineStr">
        <is>
          <t>A. Functional</t>
        </is>
      </c>
      <c r="E185" s="9" t="inlineStr">
        <is>
          <t>test-cases.vi.md</t>
        </is>
      </c>
    </row>
    <row r="186">
      <c r="A186" s="9" t="inlineStr">
        <is>
          <t>TS-RS-014</t>
        </is>
      </c>
      <c r="B186" s="9" t="inlineStr">
        <is>
          <t>TC-RS-FUNC-031</t>
        </is>
      </c>
      <c r="C186" s="9" t="inlineStr">
        <is>
          <t>Phiếu điểm: lưu qua Cập nhật（更新する）, mở lại giữ lựa chọn; chỉ dùng điều kiện đỏ vẫn được ghi nhận</t>
        </is>
      </c>
      <c r="D186" s="9" t="inlineStr">
        <is>
          <t>A. Functional</t>
        </is>
      </c>
      <c r="E186" s="9" t="inlineStr">
        <is>
          <t>test-cases.vi.md</t>
        </is>
      </c>
    </row>
    <row r="187">
      <c r="A187" s="9" t="inlineStr">
        <is>
          <t>TS-RS-014</t>
        </is>
      </c>
      <c r="B187" s="9" t="inlineStr">
        <is>
          <t>TC-RS-REG-009</t>
        </is>
      </c>
      <c r="C187" s="9" t="inlineStr">
        <is>
          <t>Phiếu điểm: các điều kiện hiển thị hiện có giữ hành vi</t>
        </is>
      </c>
      <c r="D187" s="9" t="inlineStr">
        <is>
          <t>H. Regression</t>
        </is>
      </c>
      <c r="E187" s="9" t="inlineStr">
        <is>
          <t>test-cases.vi.md</t>
        </is>
      </c>
    </row>
    <row r="188">
      <c r="A188" s="9" t="inlineStr">
        <is>
          <t>TS-RS-014</t>
        </is>
      </c>
      <c r="B188" s="9" t="inlineStr">
        <is>
          <t>TC-RS-REG-010</t>
        </is>
      </c>
      <c r="C188" s="9" t="inlineStr">
        <is>
          <t>PDF phiếu: bố cục template không đổi khi có dấu đỏ</t>
        </is>
      </c>
      <c r="D188" s="9" t="inlineStr">
        <is>
          <t>H. Regression</t>
        </is>
      </c>
      <c r="E188" s="9" t="inlineStr">
        <is>
          <t>test-cases.vi.md</t>
        </is>
      </c>
    </row>
    <row r="189">
      <c r="A189" s="9" t="inlineStr">
        <is>
          <t>TS-RS-014</t>
        </is>
      </c>
      <c r="B189" s="9" t="inlineStr">
        <is>
          <t>TC-RS-UI-024</t>
        </is>
      </c>
      <c r="C189" s="9" t="inlineStr">
        <is>
          <t>Phiếu điểm: hộp Thiết lập hiển thị tùy chọn mục đăng ký điểm（成績登録項目オプション表示設定）</t>
        </is>
      </c>
      <c r="D189" s="9" t="inlineStr">
        <is>
          <t>E. UI • Visual</t>
        </is>
      </c>
      <c r="E189" s="9" t="inlineStr">
        <is>
          <t>test-cases.vi.md</t>
        </is>
      </c>
    </row>
    <row r="190">
      <c r="A190" s="9" t="inlineStr">
        <is>
          <t>TS-RS-014</t>
        </is>
      </c>
      <c r="B190" s="9" t="inlineStr">
        <is>
          <t>TC-RS-VAL-018</t>
        </is>
      </c>
      <c r="C190" s="9" t="inlineStr">
        <is>
          <t>Phiếu điểm: chỉ bắt buộc ký tự khi chọn phía trước/phía sau</t>
        </is>
      </c>
      <c r="D190" s="9" t="inlineStr">
        <is>
          <t>B. Validation</t>
        </is>
      </c>
      <c r="E190" s="9" t="inlineStr">
        <is>
          <t>test-cases.vi.md</t>
        </is>
      </c>
    </row>
    <row r="191">
      <c r="A191" s="9" t="inlineStr">
        <is>
          <t>TS-RS-015</t>
        </is>
      </c>
      <c r="B191" s="9" t="inlineStr">
        <is>
          <t>TC-RS-BR-024</t>
        </is>
      </c>
      <c r="C191" s="9" t="inlineStr">
        <is>
          <t>Xem, xuất, công khai, in lại không kích hoạt xét</t>
        </is>
      </c>
      <c r="D191" s="9" t="inlineStr">
        <is>
          <t>C. Business Rules</t>
        </is>
      </c>
      <c r="E191" s="9" t="inlineStr">
        <is>
          <t>test-cases.vi.md</t>
        </is>
      </c>
    </row>
    <row r="192">
      <c r="A192" s="9" t="inlineStr">
        <is>
          <t>TS-RS-015</t>
        </is>
      </c>
      <c r="B192" s="9" t="inlineStr">
        <is>
          <t>TC-RS-ERR-001</t>
        </is>
      </c>
      <c r="C192" s="9" t="inlineStr">
        <is>
          <t>Hiển thị theo từng trạng thái kết quả ở ba đầu ra</t>
        </is>
      </c>
      <c r="D192" s="9" t="inlineStr">
        <is>
          <t>F. State • Error</t>
        </is>
      </c>
      <c r="E192" s="9" t="inlineStr">
        <is>
          <t>test-cases.vi.md</t>
        </is>
      </c>
    </row>
    <row r="193">
      <c r="A193" s="9" t="inlineStr">
        <is>
          <t>TS-RS-015</t>
        </is>
      </c>
      <c r="B193" s="9" t="inlineStr">
        <is>
          <t>TC-RS-ERR-014</t>
        </is>
      </c>
      <c r="C193" s="9" t="inlineStr">
        <is>
          <t>Mục bị ẩn theo thiết lập ẩn mục nhập</t>
        </is>
      </c>
      <c r="D193" s="9" t="inlineStr">
        <is>
          <t>F. State • Error</t>
        </is>
      </c>
      <c r="E193" s="9" t="inlineStr">
        <is>
          <t>test-cases.vi.md</t>
        </is>
      </c>
    </row>
    <row r="194">
      <c r="A194" s="9" t="inlineStr">
        <is>
          <t>TS-RS-015</t>
        </is>
      </c>
      <c r="B194" s="9" t="inlineStr">
        <is>
          <t>TC-RS-FUNC-032</t>
        </is>
      </c>
      <c r="C194" s="9" t="inlineStr">
        <is>
          <t>Ba đầu ra dùng cùng kết quả cho cùng ô</t>
        </is>
      </c>
      <c r="D194" s="9" t="inlineStr">
        <is>
          <t>A. Functional</t>
        </is>
      </c>
      <c r="E194" s="9" t="inlineStr">
        <is>
          <t>test-cases.vi.md</t>
        </is>
      </c>
    </row>
    <row r="195">
      <c r="A195" s="9" t="inlineStr">
        <is>
          <t>TS-RS-016</t>
        </is>
      </c>
      <c r="B195" s="9" t="inlineStr">
        <is>
          <t>TC-RS-DATA-002</t>
        </is>
      </c>
      <c r="C195" s="9" t="inlineStr">
        <is>
          <t>Kết quả lưu theo định danh ô; mỗi ô chỉ một kết quả hiện hành</t>
        </is>
      </c>
      <c r="D195" s="9" t="inlineStr">
        <is>
          <t>G. Data • Persistence</t>
        </is>
      </c>
      <c r="E195" s="9" t="inlineStr">
        <is>
          <t>test-cases.vi.md</t>
        </is>
      </c>
    </row>
    <row r="196">
      <c r="A196" s="9" t="inlineStr">
        <is>
          <t>TS-RS-016</t>
        </is>
      </c>
      <c r="B196" s="9" t="inlineStr">
        <is>
          <t>TC-RS-DATA-003</t>
        </is>
      </c>
      <c r="C196" s="9" t="inlineStr">
        <is>
          <t>Sáu trạng thái phân biệt được khi lưu</t>
        </is>
      </c>
      <c r="D196" s="9" t="inlineStr">
        <is>
          <t>G. Data • Persistence</t>
        </is>
      </c>
      <c r="E196" s="9" t="inlineStr">
        <is>
          <t>test-cases.vi.md</t>
        </is>
      </c>
    </row>
    <row r="197">
      <c r="A197" s="9" t="inlineStr">
        <is>
          <t>TS-RS-016</t>
        </is>
      </c>
      <c r="B197" s="9" t="inlineStr">
        <is>
          <t>TC-RS-DATA-005</t>
        </is>
      </c>
      <c r="C197" s="9" t="inlineStr">
        <is>
          <t>Xét điểm đỏ không ghi đè điểm học sinh</t>
        </is>
      </c>
      <c r="D197" s="9" t="inlineStr">
        <is>
          <t>G. Data • Persistence</t>
        </is>
      </c>
      <c r="E197" s="9" t="inlineStr">
        <is>
          <t>test-cases.vi.md</t>
        </is>
      </c>
    </row>
    <row r="198">
      <c r="A198" s="9" t="inlineStr">
        <is>
          <t>TS-RS-016</t>
        </is>
      </c>
      <c r="B198" s="9" t="inlineStr">
        <is>
          <t>TC-RS-DATA-006</t>
        </is>
      </c>
      <c r="C198" s="9" t="inlineStr">
        <is>
          <t>Giá trị legacy giữ nguyên khi thay đổi rule mới</t>
        </is>
      </c>
      <c r="D198" s="9" t="inlineStr">
        <is>
          <t>G. Data • Persistence</t>
        </is>
      </c>
      <c r="E198" s="9" t="inlineStr">
        <is>
          <t>test-cases.vi.md</t>
        </is>
      </c>
    </row>
    <row r="199">
      <c r="A199" s="9" t="inlineStr">
        <is>
          <t>TS-RS-016</t>
        </is>
      </c>
      <c r="B199" s="9" t="inlineStr">
        <is>
          <t>TC-RS-DATA-007</t>
        </is>
      </c>
      <c r="C199" s="9" t="inlineStr">
        <is>
          <t>Cấu hình trình bày ở từng đầu ra lưu riêng, không làm đổi quy tắc/kết quả</t>
        </is>
      </c>
      <c r="D199" s="9" t="inlineStr">
        <is>
          <t>G. Data • Persistence</t>
        </is>
      </c>
      <c r="E199" s="9" t="inlineStr">
        <is>
          <t>test-cases.vi.md</t>
        </is>
      </c>
    </row>
    <row r="200">
      <c r="A200" s="9" t="inlineStr">
        <is>
          <t>TS-RS-016</t>
        </is>
      </c>
      <c r="B200" s="9" t="inlineStr">
        <is>
          <t>TC-RS-DATA-008</t>
        </is>
      </c>
      <c r="C200" s="9" t="inlineStr">
        <is>
          <t>Lưu thông tin giải thích kết quả</t>
        </is>
      </c>
      <c r="D200" s="9" t="inlineStr">
        <is>
          <t>G. Data • Persistence</t>
        </is>
      </c>
      <c r="E200" s="9" t="inlineStr">
        <is>
          <t>test-cases.vi.md</t>
        </is>
      </c>
    </row>
    <row r="201">
      <c r="A201" s="9" t="inlineStr">
        <is>
          <t>TS-RS-016</t>
        </is>
      </c>
      <c r="B201" s="9" t="inlineStr">
        <is>
          <t>TC-RS-DATA-009</t>
        </is>
      </c>
      <c r="C201" s="9" t="inlineStr">
        <is>
          <t>Copy, kế thừa năm, import/export và sync không mang kết quả cũ</t>
        </is>
      </c>
      <c r="D201" s="9" t="inlineStr">
        <is>
          <t>G. Data • Persistence</t>
        </is>
      </c>
      <c r="E201" s="9" t="inlineStr">
        <is>
          <t>test-cases.vi.md</t>
        </is>
      </c>
    </row>
    <row r="202">
      <c r="A202" s="9" t="inlineStr">
        <is>
          <t>TS-RS-016</t>
        </is>
      </c>
      <c r="B202" s="9" t="inlineStr">
        <is>
          <t>TC-RS-DATA-011</t>
        </is>
      </c>
      <c r="C202" s="9" t="inlineStr">
        <is>
          <t>Bảng/cột mới theo quy tắc schema của BLEND</t>
        </is>
      </c>
      <c r="D202" s="9" t="inlineStr">
        <is>
          <t>G. Data • Persistence</t>
        </is>
      </c>
      <c r="E202" s="9" t="inlineStr">
        <is>
          <t>test-cases.vi.md</t>
        </is>
      </c>
    </row>
    <row r="203">
      <c r="A203" s="9" t="inlineStr">
        <is>
          <t>TS-RS-016</t>
        </is>
      </c>
      <c r="B203" s="9" t="inlineStr">
        <is>
          <t>TC-RS-DATA-012</t>
        </is>
      </c>
      <c r="C203" s="9" t="inlineStr">
        <is>
          <t>Lưu, đọc lại và sao chép hiệu ứng đỏ theo dòng mục của cấu hình công khai</t>
        </is>
      </c>
      <c r="D203" s="9" t="inlineStr">
        <is>
          <t>G. Data • Persistence</t>
        </is>
      </c>
      <c r="E203" s="9" t="inlineStr">
        <is>
          <t>test-cases.vi.md</t>
        </is>
      </c>
    </row>
    <row r="204">
      <c r="A204" s="9" t="inlineStr">
        <is>
          <t>TS-RS-016</t>
        </is>
      </c>
      <c r="B204" s="9" t="inlineStr">
        <is>
          <t>TC-RS-DATA-013</t>
        </is>
      </c>
      <c r="C204" s="9" t="inlineStr">
        <is>
          <t>Phiên bản quy tắc, dòng điều khiển và thế hệ ô được cập nhật đúng sự kiện</t>
        </is>
      </c>
      <c r="D204" s="9" t="inlineStr">
        <is>
          <t>G. Data • Persistence</t>
        </is>
      </c>
      <c r="E204" s="9" t="inlineStr">
        <is>
          <t>test-cases.vi.md</t>
        </is>
      </c>
    </row>
    <row r="205">
      <c r="A205" s="9" t="inlineStr">
        <is>
          <t>TS-RS-016</t>
        </is>
      </c>
      <c r="B205" s="9" t="inlineStr">
        <is>
          <t>TC-RS-DATA-014</t>
        </is>
      </c>
      <c r="C205" s="9" t="inlineStr">
        <is>
          <t>Legacy: báo cáo riêng trường vẫn giữ cách dùng điểm đỏ cũ</t>
        </is>
      </c>
      <c r="D205" s="9" t="inlineStr">
        <is>
          <t>G. Data • Persistence</t>
        </is>
      </c>
      <c r="E205" s="9" t="inlineStr">
        <is>
          <t>test-cases.vi.md</t>
        </is>
      </c>
    </row>
    <row r="206">
      <c r="A206" s="9" t="inlineStr">
        <is>
          <t>TS-RS-016</t>
        </is>
      </c>
      <c r="B206" s="9" t="inlineStr">
        <is>
          <t>TC-RS-DATA-015</t>
        </is>
      </c>
      <c r="C206" s="9" t="inlineStr">
        <is>
          <t>Sao chép cấu hình giữ riêng legacy và không sao chép kết quả cá nhân</t>
        </is>
      </c>
      <c r="D206" s="9" t="inlineStr">
        <is>
          <t>G. Data • Persistence</t>
        </is>
      </c>
      <c r="E206" s="9" t="inlineStr">
        <is>
          <t>test-cases.vi.md</t>
        </is>
      </c>
    </row>
    <row r="207">
      <c r="A207" s="9" t="inlineStr">
        <is>
          <t>TS-RS-016</t>
        </is>
      </c>
      <c r="B207" s="9" t="inlineStr">
        <is>
          <t>TC-RS-DATA-016</t>
        </is>
      </c>
      <c r="C207" s="9" t="inlineStr">
        <is>
          <t>Kế thừa năm mới không dùng bản chốt hoặc kết quả cá nhân của năm cũ</t>
        </is>
      </c>
      <c r="D207" s="9" t="inlineStr">
        <is>
          <t>G. Data • Persistence</t>
        </is>
      </c>
      <c r="E207" s="9" t="inlineStr">
        <is>
          <t>test-cases.vi.md</t>
        </is>
      </c>
    </row>
    <row r="208">
      <c r="A208" s="9" t="inlineStr">
        <is>
          <t>TS-RS-016</t>
        </is>
      </c>
      <c r="B208" s="9" t="inlineStr">
        <is>
          <t>TC-RS-DATA-017</t>
        </is>
      </c>
      <c r="C208" s="9" t="inlineStr">
        <is>
          <t>Xuất/nhập cấu hình giữ legacy riêng và không nhập kết quả cá nhân</t>
        </is>
      </c>
      <c r="D208" s="9" t="inlineStr">
        <is>
          <t>G. Data • Persistence</t>
        </is>
      </c>
      <c r="E208" s="9" t="inlineStr">
        <is>
          <t>test-cases.vi.md</t>
        </is>
      </c>
    </row>
    <row r="209">
      <c r="A209" s="9" t="inlineStr">
        <is>
          <t>TS-RS-016</t>
        </is>
      </c>
      <c r="B209" s="9" t="inlineStr">
        <is>
          <t>TC-RS-DATA-018</t>
        </is>
      </c>
      <c r="C209" s="9" t="inlineStr">
        <is>
          <t>Khôi phục/thay khung không gắn kết quả vào ô mới</t>
        </is>
      </c>
      <c r="D209" s="9" t="inlineStr">
        <is>
          <t>G. Data • Persistence</t>
        </is>
      </c>
      <c r="E209" s="9" t="inlineStr">
        <is>
          <t>test-cases.vi.md</t>
        </is>
      </c>
    </row>
    <row r="210">
      <c r="A210" s="9" t="inlineStr">
        <is>
          <t>TS-RS-016</t>
        </is>
      </c>
      <c r="B210" s="9" t="inlineStr">
        <is>
          <t>TC-RS-DATA-019</t>
        </is>
      </c>
      <c r="C210" s="9" t="inlineStr">
        <is>
          <t>Đồng bộ cấu hình không đồng nghĩa đã xét</t>
        </is>
      </c>
      <c r="D210" s="9" t="inlineStr">
        <is>
          <t>G. Data • Persistence</t>
        </is>
      </c>
      <c r="E210" s="9" t="inlineStr">
        <is>
          <t>test-cases.vi.md</t>
        </is>
      </c>
    </row>
    <row r="211">
      <c r="A211" s="9" t="inlineStr">
        <is>
          <t>TS-RS-017</t>
        </is>
      </c>
      <c r="B211" s="9" t="inlineStr">
        <is>
          <t>TC-RS-FUNC-002</t>
        </is>
      </c>
      <c r="C211" s="9" t="inlineStr">
        <is>
          <t>Mục kiểu lựa chọn và Đạt/không đạt（合否） không có thao tác tạo quy tắc đỏ có hiệu lực</t>
        </is>
      </c>
      <c r="D211" s="9" t="inlineStr">
        <is>
          <t>A. Functional</t>
        </is>
      </c>
      <c r="E211" s="9" t="inlineStr">
        <is>
          <t>test-cases.vi.md</t>
        </is>
      </c>
    </row>
    <row r="212">
      <c r="A212" s="9" t="inlineStr">
        <is>
          <t>TS-RS-017</t>
        </is>
      </c>
      <c r="B212" s="9" t="inlineStr">
        <is>
          <t>TC-RS-UI-025</t>
        </is>
      </c>
      <c r="C212" s="9" t="inlineStr">
        <is>
          <t>Loại ngưỡng/điều kiện chưa thuộc phạm vi phát hành không hiện như đang hoạt động</t>
        </is>
      </c>
      <c r="D212" s="9" t="inlineStr">
        <is>
          <t>E. UI • Visual</t>
        </is>
      </c>
      <c r="E212" s="9" t="inlineStr">
        <is>
          <t>test-cases.vi.md</t>
        </is>
      </c>
    </row>
    <row r="213">
      <c r="A213" s="9" t="inlineStr">
        <is>
          <t>TS-RS-018</t>
        </is>
      </c>
      <c r="B213" s="9" t="inlineStr">
        <is>
          <t>TC-RS-REG-001</t>
        </is>
      </c>
      <c r="C213" s="9" t="inlineStr">
        <is>
          <t>Điểm do tính tự động（自動計算） tạo ra không đổi khi có quy tắc đỏ</t>
        </is>
      </c>
      <c r="D213" s="9" t="inlineStr">
        <is>
          <t>H. Regression</t>
        </is>
      </c>
      <c r="E213" s="9" t="inlineStr">
        <is>
          <t>test-cases.vi.md</t>
        </is>
      </c>
    </row>
    <row r="214">
      <c r="A214" s="9" t="inlineStr">
        <is>
          <t>TS-RS-018</t>
        </is>
      </c>
      <c r="B214" s="9" t="inlineStr">
        <is>
          <t>TC-RS-REG-002</t>
        </is>
      </c>
      <c r="C214" s="9" t="inlineStr">
        <is>
          <t>Quy tắc đỏ không kế thừa hành vi "không khớp thì ghi NULL" của AutoRating</t>
        </is>
      </c>
      <c r="D214" s="9" t="inlineStr">
        <is>
          <t>H. Regression</t>
        </is>
      </c>
      <c r="E214" s="9" t="inlineStr">
        <is>
          <t>test-cases.vi.md</t>
        </is>
      </c>
    </row>
    <row r="215">
      <c r="A215" s="9" t="inlineStr">
        <is>
          <t>TS-RS-018</t>
        </is>
      </c>
      <c r="B215" s="9" t="inlineStr">
        <is>
          <t>TC-RS-REG-003</t>
        </is>
      </c>
      <c r="C215" s="9" t="inlineStr">
        <is>
          <t>Ô nhập tay được AutoRating bỏ qua vẫn giữ giá trị tay và vẫn được xét đỏ</t>
        </is>
      </c>
      <c r="D215" s="9" t="inlineStr">
        <is>
          <t>H. Regression</t>
        </is>
      </c>
      <c r="E215" s="9" t="inlineStr">
        <is>
          <t>test-cases.vi.md</t>
        </is>
      </c>
    </row>
    <row r="216">
      <c r="A216" s="9" t="inlineStr">
        <is>
          <t>TS-RS-018</t>
        </is>
      </c>
      <c r="B216" s="9" t="inlineStr">
        <is>
          <t>TC-RS-REG-004</t>
        </is>
      </c>
      <c r="C216" s="9" t="inlineStr">
        <is>
          <t>Nút cam/nút xanh của trường đang dùng AutoRating hoạt động như trước</t>
        </is>
      </c>
      <c r="D216" s="9" t="inlineStr">
        <is>
          <t>H. Regression</t>
        </is>
      </c>
      <c r="E216" s="9" t="inlineStr">
        <is>
          <t>test-cases.vi.md</t>
        </is>
      </c>
    </row>
    <row r="217">
      <c r="A217" s="9" t="inlineStr">
        <is>
          <t>TS-RS-018</t>
        </is>
      </c>
      <c r="B217" s="9" t="inlineStr">
        <is>
          <t>TC-RS-REG-005</t>
        </is>
      </c>
      <c r="C217" s="9" t="inlineStr">
        <is>
          <t>Kết quả tổng hợp thứ hạng（順位集計） không đổi khi có quy tắc đỏ đọc nguồn</t>
        </is>
      </c>
      <c r="D217" s="9" t="inlineStr">
        <is>
          <t>H. Regression</t>
        </is>
      </c>
      <c r="E217" s="9" t="inlineStr">
        <is>
          <t>test-cases.vi.md</t>
        </is>
      </c>
    </row>
    <row r="218">
      <c r="A218" s="9" t="inlineStr">
        <is>
          <t>TS-RS-018</t>
        </is>
      </c>
      <c r="B218" s="9" t="inlineStr">
        <is>
          <t>TC-RS-REG-011</t>
        </is>
      </c>
      <c r="C218" s="9" t="inlineStr">
        <is>
          <t>Consumer legacy giữ hành vi sau khi thêm rule đỏ</t>
        </is>
      </c>
      <c r="D218" s="9" t="inlineStr">
        <is>
          <t>H. Regression</t>
        </is>
      </c>
      <c r="E218" s="9" t="inlineStr">
        <is>
          <t>test-cases.vi.md</t>
        </is>
      </c>
    </row>
    <row r="219">
      <c r="A219" s="9" t="inlineStr">
        <is>
          <t>TS-RS-018</t>
        </is>
      </c>
      <c r="B219" s="9" t="inlineStr">
        <is>
          <t>TC-RS-REG-012</t>
        </is>
      </c>
      <c r="C219" s="9" t="inlineStr">
        <is>
          <t>Các luồng chuyển cấu hình không làm mất legacy</t>
        </is>
      </c>
      <c r="D219" s="9" t="inlineStr">
        <is>
          <t>H. Regression</t>
        </is>
      </c>
      <c r="E219" s="9" t="inlineStr">
        <is>
          <t>test-cases.vi.md</t>
        </is>
      </c>
    </row>
    <row r="220">
      <c r="A220" s="9" t="inlineStr">
        <is>
          <t>TS-RS-018</t>
        </is>
      </c>
      <c r="B220" s="9" t="inlineStr">
        <is>
          <t>TC-RS-REG-013</t>
        </is>
      </c>
      <c r="C220" s="9" t="inlineStr">
        <is>
          <t>Các màn điểm tối đa lưu và xếp hàng như trước</t>
        </is>
      </c>
      <c r="D220" s="9" t="inlineStr">
        <is>
          <t>H. Regression</t>
        </is>
      </c>
      <c r="E220" s="9" t="inlineStr">
        <is>
          <t>test-cases.vi.md</t>
        </is>
      </c>
    </row>
    <row r="221">
      <c r="A221" s="9" t="inlineStr">
        <is>
          <t>TS-RS-018</t>
        </is>
      </c>
      <c r="B221" s="9" t="inlineStr">
        <is>
          <t>TC-RS-REG-014</t>
        </is>
      </c>
      <c r="C221" s="9" t="inlineStr">
        <is>
          <t>Batch không phát sinh truy vấn theo từng ô（N+1）</t>
        </is>
      </c>
      <c r="D221" s="9" t="inlineStr">
        <is>
          <t>H. Regression</t>
        </is>
      </c>
      <c r="E221" s="9" t="inlineStr">
        <is>
          <t>test-cases.vi.md</t>
        </is>
      </c>
    </row>
    <row r="222">
      <c r="A222" s="9" t="inlineStr">
        <is>
          <t>TS-RS-018</t>
        </is>
      </c>
      <c r="B222" s="9" t="inlineStr">
        <is>
          <t>TC-RS-REG-016</t>
        </is>
      </c>
      <c r="C222" s="9" t="inlineStr">
        <is>
          <t>Đăng ký điểm: xử lý điểm liên quan và giao dịch giữ như trước</t>
        </is>
      </c>
      <c r="D222" s="9" t="inlineStr">
        <is>
          <t>H. Regression</t>
        </is>
      </c>
      <c r="E222" s="9" t="inlineStr">
        <is>
          <t>test-cases.vi.md</t>
        </is>
      </c>
    </row>
    <row r="223">
      <c r="A223" s="9" t="inlineStr">
        <is>
          <t>TS-RS-018</t>
        </is>
      </c>
      <c r="B223" s="9" t="inlineStr">
        <is>
          <t>TC-RS-REG-017</t>
        </is>
      </c>
      <c r="C223" s="9" t="inlineStr">
        <is>
          <t>Thiết lập ô nhập（入力欄設定）: các hàng hiện có không bị ảnh hưởng</t>
        </is>
      </c>
      <c r="D223" s="9" t="inlineStr">
        <is>
          <t>H. Regression</t>
        </is>
      </c>
      <c r="E223" s="9" t="inlineStr">
        <is>
          <t>test-cases.vi.md</t>
        </is>
      </c>
    </row>
    <row r="224">
      <c r="A224" s="9" t="inlineStr">
        <is>
          <t>TS-RS-019</t>
        </is>
      </c>
      <c r="B224" s="9" t="inlineStr">
        <is>
          <t>TC-RS-BR-015</t>
        </is>
      </c>
      <c r="C224" s="9" t="inlineStr">
        <is>
          <t>Lưu cấu hình không xét; kết quả trước giữ tới lần chạy lại</t>
        </is>
      </c>
      <c r="D224" s="9" t="inlineStr">
        <is>
          <t>C. Business Rules</t>
        </is>
      </c>
      <c r="E224" s="9" t="inlineStr">
        <is>
          <t>test-cases.vi.md</t>
        </is>
      </c>
    </row>
    <row r="225">
      <c r="A225" s="9" t="inlineStr">
        <is>
          <t>TS-RS-019</t>
        </is>
      </c>
      <c r="B225" s="9" t="inlineStr">
        <is>
          <t>TC-RS-BR-019</t>
        </is>
      </c>
      <c r="C225" s="9" t="inlineStr">
        <is>
          <t>Xóa quy tắc cuối: giữ kết quả tới lần chạy lại; chạy lại → Không áp dụng</t>
        </is>
      </c>
      <c r="D225" s="9" t="inlineStr">
        <is>
          <t>C. Business Rules</t>
        </is>
      </c>
      <c r="E225" s="9" t="inlineStr">
        <is>
          <t>test-cases.vi.md</t>
        </is>
      </c>
    </row>
    <row r="226">
      <c r="A226" s="9" t="inlineStr">
        <is>
          <t>TS-RS-019</t>
        </is>
      </c>
      <c r="B226" s="9" t="inlineStr">
        <is>
          <t>TC-RS-FUNC-004</t>
        </is>
      </c>
      <c r="C226" s="9" t="inlineStr">
        <is>
          <t>Thêm quy tắc qua Điều kiện áp dụng（適用条件） và Ngưỡng（基準設定） rồi quay lại danh sách</t>
        </is>
      </c>
      <c r="D226" s="9" t="inlineStr">
        <is>
          <t>A. Functional</t>
        </is>
      </c>
      <c r="E226" s="9" t="inlineStr">
        <is>
          <t>test-cases.vi.md</t>
        </is>
      </c>
    </row>
    <row r="227">
      <c r="A227" s="9" t="inlineStr">
        <is>
          <t>TS-RS-019</t>
        </is>
      </c>
      <c r="B227" s="9" t="inlineStr">
        <is>
          <t>TC-RS-FUNC-016</t>
        </is>
      </c>
      <c r="C227" s="9" t="inlineStr">
        <is>
          <t>Đăng ký/sửa điểm trực tiếp ở màn lớp kích hoạt xét</t>
        </is>
      </c>
      <c r="D227" s="9" t="inlineStr">
        <is>
          <t>A. Functional</t>
        </is>
      </c>
      <c r="E227" s="9" t="inlineStr">
        <is>
          <t>test-cases.vi.md</t>
        </is>
      </c>
    </row>
    <row r="228">
      <c r="A228" s="9" t="inlineStr">
        <is>
          <t>TS-RS-019</t>
        </is>
      </c>
      <c r="B228" s="9" t="inlineStr">
        <is>
          <t>TC-RS-FUNC-023</t>
        </is>
      </c>
      <c r="C228" s="9" t="inlineStr">
        <is>
          <t>Trích xuất: lọc giữ học sinh có ít nhất một ô đỏ trong phạm vi đang xét</t>
        </is>
      </c>
      <c r="D228" s="9" t="inlineStr">
        <is>
          <t>A. Functional</t>
        </is>
      </c>
      <c r="E228" s="9" t="inlineStr">
        <is>
          <t>test-cases.vi.md</t>
        </is>
      </c>
    </row>
    <row r="229">
      <c r="A229" s="9" t="inlineStr">
        <is>
          <t>TS-RS-019</t>
        </is>
      </c>
      <c r="B229" s="9" t="inlineStr">
        <is>
          <t>TC-RS-FUNC-026</t>
        </is>
      </c>
      <c r="C229" s="9" t="inlineStr">
        <is>
          <t>Công khai thành tích（成績公開）: ba hiệu ứng đỏ hiển thị đúng ở màn học sinh</t>
        </is>
      </c>
      <c r="D229" s="9" t="inlineStr">
        <is>
          <t>A. Functional</t>
        </is>
      </c>
      <c r="E229" s="9" t="inlineStr">
        <is>
          <t>test-cases.vi.md</t>
        </is>
      </c>
    </row>
    <row r="230">
      <c r="A230" s="9" t="inlineStr">
        <is>
          <t>TS-RS-019</t>
        </is>
      </c>
      <c r="B230" s="9" t="inlineStr">
        <is>
          <t>TC-RS-FUNC-029</t>
        </is>
      </c>
      <c r="C230" s="9" t="inlineStr">
        <is>
          <t>Công cụ phiếu điểm（通知表ツール）: bốn cách hiển thị đỏ trên PDF</t>
        </is>
      </c>
      <c r="D230" s="9" t="inlineStr">
        <is>
          <t>A. Functional</t>
        </is>
      </c>
      <c r="E230" s="9" t="inlineStr">
        <is>
          <t>test-cases.vi.md</t>
        </is>
      </c>
    </row>
    <row r="231">
      <c r="A231" s="9" t="inlineStr">
        <is>
          <t>TS-RS-019</t>
        </is>
      </c>
      <c r="B231" s="9" t="inlineStr">
        <is>
          <t>TC-RS-FUNC-032</t>
        </is>
      </c>
      <c r="C231" s="9" t="inlineStr">
        <is>
          <t>Ba đầu ra dùng cùng kết quả cho cùng ô</t>
        </is>
      </c>
      <c r="D231" s="9" t="inlineStr">
        <is>
          <t>A. Functional</t>
        </is>
      </c>
      <c r="E231" s="9" t="inlineStr">
        <is>
          <t>test-cases.vi.md</t>
        </is>
      </c>
    </row>
  </sheetData>
  <autoFilter ref="A1:E231"/>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showGridLines="0" workbookViewId="0">
      <pane ySplit="1" topLeftCell="A2" activePane="bottomLeft" state="frozen"/>
      <selection pane="bottomLeft" activeCell="A1" sqref="A1"/>
    </sheetView>
  </sheetViews>
  <sheetFormatPr baseColWidth="8" defaultRowHeight="15"/>
  <cols>
    <col width="28" customWidth="1" min="1" max="1"/>
    <col width="90" customWidth="1" min="2" max="2"/>
  </cols>
  <sheetData>
    <row r="1">
      <c r="A1" s="11" t="inlineStr">
        <is>
          <t>Run metadata</t>
        </is>
      </c>
      <c r="B1" s="11" t="inlineStr">
        <is>
          <t>Giá trị</t>
        </is>
      </c>
    </row>
    <row r="2">
      <c r="A2" s="7" t="inlineStr">
        <is>
          <t>Feature</t>
        </is>
      </c>
      <c r="B2" s="7" t="inlineStr">
        <is>
          <t>RC-001 Red Score v2</t>
        </is>
      </c>
    </row>
    <row r="3">
      <c r="A3" s="7" t="inlineStr">
        <is>
          <t>Scope</t>
        </is>
      </c>
      <c r="B3" s="7" t="inlineStr">
        <is>
          <t>216 case IDs, including six restored legacy cases; Run Log expands variants into run rows</t>
        </is>
      </c>
    </row>
    <row r="4">
      <c r="A4" s="7" t="inlineStr">
        <is>
          <t>Test suite revision</t>
        </is>
      </c>
      <c r="B4" s="9" t="inlineStr">
        <is>
          <t>v2 working tree based on ffa72dc90f27fd128d62c5c092a5d3e8447a466a; exact source hashes in manifest; pinned link pending commit</t>
        </is>
      </c>
    </row>
    <row r="5">
      <c r="A5" s="7" t="inlineStr">
        <is>
          <t>Build</t>
        </is>
      </c>
      <c r="B5" s="7" t="inlineStr">
        <is>
          <t>Điền khi thực thi</t>
        </is>
      </c>
    </row>
    <row r="6">
      <c r="A6" s="7" t="inlineStr">
        <is>
          <t>Environment</t>
        </is>
      </c>
      <c r="B6" s="7" t="inlineStr">
        <is>
          <t>Điền khi thực thi</t>
        </is>
      </c>
    </row>
    <row r="7">
      <c r="A7" s="7" t="inlineStr">
        <is>
          <t>Tester</t>
        </is>
      </c>
      <c r="B7" s="7" t="inlineStr">
        <is>
          <t>Điền khi thực thi</t>
        </is>
      </c>
    </row>
    <row r="8">
      <c r="A8" s="7" t="inlineStr">
        <is>
          <t>Run start</t>
        </is>
      </c>
      <c r="B8" s="7" t="inlineStr">
        <is>
          <t>Điền khi thực thi</t>
        </is>
      </c>
    </row>
    <row r="9">
      <c r="A9" s="7" t="inlineStr">
        <is>
          <t>Run end</t>
        </is>
      </c>
      <c r="B9" s="7" t="inlineStr">
        <is>
          <t>Điền khi thực thi</t>
        </is>
      </c>
    </row>
    <row r="10">
    </row>
    <row r="11">
    </row>
    <row r="12">
      <c r="A12" s="6" t="inlineStr">
        <is>
          <t>Summary</t>
        </is>
      </c>
    </row>
    <row r="13">
      <c r="A13" s="6" t="inlineStr">
        <is>
          <t>Metric</t>
        </is>
      </c>
      <c r="B13" s="6" t="inlineStr">
        <is>
          <t>Value</t>
        </is>
      </c>
    </row>
    <row r="14">
      <c r="A14" s="7" t="inlineStr">
        <is>
          <t>Case IDs</t>
        </is>
      </c>
      <c r="B14" s="7">
        <f>COUNTIF(Cases!A:A,"TC-RS-*")</f>
        <v>
        </v>
      </c>
    </row>
    <row r="15">
      <c r="A15" s="7" t="inlineStr">
        <is>
          <t>PASS variants</t>
        </is>
      </c>
      <c r="B15" s="7">
        <f>COUNTIF('Run Log'!D:D,"PASS")</f>
        <v>
        </v>
      </c>
    </row>
    <row r="16">
      <c r="A16" s="7" t="inlineStr">
        <is>
          <t>FAIL variants</t>
        </is>
      </c>
      <c r="B16" s="7">
        <f>COUNTIF('Run Log'!D:D,"FAIL")</f>
        <v>
        </v>
      </c>
    </row>
    <row r="17">
      <c r="A17" s="7" t="inlineStr">
        <is>
          <t>BLOCKED variants</t>
        </is>
      </c>
      <c r="B17" s="7">
        <f>COUNTIF('Run Log'!D:D,"BLOCKED")</f>
        <v>
        </v>
      </c>
    </row>
    <row r="18">
      <c r="A18" s="7" t="inlineStr">
        <is>
          <t>NOT RUN run rows</t>
        </is>
      </c>
      <c r="B18" s="7">
        <f>COUNTIF('Run Log'!D:D,"NOT RUN")</f>
        <v>
        </v>
      </c>
    </row>
    <row r="19">
      <c r="A19" s="9" t="inlineStr">
        <is>
          <t>SKIPPED variants</t>
        </is>
      </c>
      <c r="B19">
        <f>COUNTIF('Run Log'!D:D,"SKIPPED")</f>
      </c>
    </row>
    <row r="20">
      <c r="A20" s="9" t="inlineStr">
        <is>
          <t>Total run rows</t>
        </is>
      </c>
      <c r="B20">
        <f>COUNTA('Run Log'!A:A)-1</f>
      </c>
    </row>
    <row r="21">
      <c r="A21" s="9" t="inlineStr">
        <is>
          <t>Attempted variants</t>
        </is>
      </c>
      <c r="B21">
        <f>COUNTIF('Run Log'!D:D,"PASS")+COUNTIF('Run Log'!D:D,"FAIL")+COUNTIF('Run Log'!D:D,"BLOCKED")+COUNTIF('Run Log'!D:D,"SKIPPED")</f>
      </c>
    </row>
    <row r="22">
      <c r="A22" s="9" t="inlineStr">
        <is>
          <t>Completed cases (all required variants PASS)</t>
        </is>
      </c>
      <c r="B22">
        <f>COUNTIF(Cases!P:P,"PASS")</f>
      </c>
    </row>
    <row r="23">
      <c r="A23" s="9" t="inlineStr">
        <is>
          <t>Cases with incomplete variant coverage</t>
        </is>
      </c>
      <c r="B23">
        <f>COUNTIF(Cases!P:P,"INCOMPLETE")</f>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17"/>
  <sheetViews>
    <sheetView showGridLines="0" workbookViewId="0">
      <pane ySplit="1" topLeftCell="A2" activePane="bottomLeft" state="frozen"/>
      <selection pane="bottomLeft" activeCell="A1" sqref="A1"/>
    </sheetView>
  </sheetViews>
  <sheetFormatPr baseColWidth="8" defaultRowHeight="15"/>
  <cols>
    <col width="22" customWidth="1" min="1" max="1"/>
    <col width="55" customWidth="1" min="2" max="2"/>
    <col width="28" customWidth="1" min="3" max="3"/>
    <col width="60" customWidth="1" min="4" max="4"/>
    <col width="12" customWidth="1" min="5" max="5"/>
    <col width="14" customWidth="1" min="6" max="6"/>
    <col width="14" customWidth="1" min="7" max="7"/>
    <col width="46" customWidth="1" min="8" max="8"/>
    <col width="24" customWidth="1" min="9" max="9"/>
    <col width="28" customWidth="1" min="10" max="10"/>
    <col min="11" max="11" width="70" customWidth="1"/>
    <col min="12" max="12" width="70" customWidth="1"/>
    <col min="13" max="13" width="48" customWidth="1"/>
    <col min="14" max="14" width="36" customWidth="1"/>
    <col min="15" max="15" width="20" customWidth="1"/>
    <col min="16" max="16" width="20" customWidth="1"/>
  </cols>
  <sheetData>
    <row r="1">
      <c r="A1" s="8" t="inlineStr">
        <is>
          <t>Test Case ID</t>
        </is>
      </c>
      <c r="B1" s="8" t="inlineStr">
        <is>
          <t>Title</t>
        </is>
      </c>
      <c r="C1" s="8" t="inlineStr">
        <is>
          <t>Function</t>
        </is>
      </c>
      <c r="D1" s="8" t="inlineStr">
        <is>
          <t>Context</t>
        </is>
      </c>
      <c r="E1" s="8" t="inlineStr">
        <is>
          <t>Priority</t>
        </is>
      </c>
      <c r="F1" s="8" t="inlineStr">
        <is>
          <t>Status</t>
        </is>
      </c>
      <c r="G1" s="8" t="inlineStr">
        <is>
          <t>Readiness</t>
        </is>
      </c>
      <c r="H1" s="8" t="inlineStr">
        <is>
          <t>Requirement ID</t>
        </is>
      </c>
      <c r="I1" s="8" t="inlineStr">
        <is>
          <t>Category</t>
        </is>
      </c>
      <c r="J1" s="8" t="inlineStr">
        <is>
          <t>Source File</t>
        </is>
      </c>
      <c r="K1" s="8" t="inlineStr">
        <is>
          <t>Action</t>
        </is>
      </c>
      <c r="L1" s="8" t="inlineStr">
        <is>
          <t>Expected</t>
        </is>
      </c>
      <c r="M1" s="8" t="inlineStr">
        <is>
          <t>Evidence</t>
        </is>
      </c>
      <c r="N1" s="8" t="inlineStr">
        <is>
          <t>Reset</t>
        </is>
      </c>
      <c r="O1" s="8" t="inlineStr">
        <is>
          <t>Required Variant Count</t>
        </is>
      </c>
      <c r="P1" s="8" t="inlineStr">
        <is>
          <t>Case Status</t>
        </is>
      </c>
    </row>
    <row r="2">
      <c r="A2" s="9" t="inlineStr">
        <is>
          <t>TC-RS-FUNC-001</t>
        </is>
      </c>
      <c r="B2" s="9" t="inlineStr">
        <is>
          <t>Hàng Thiết lập điểm đỏ（赤点設定） xuất hiện trong Thiết lập ô nhập（入力欄設定） cho mục điểm số</t>
        </is>
      </c>
      <c r="C2" s="9" t="inlineStr">
        <is>
          <t>A. Functional</t>
        </is>
      </c>
      <c r="D2" s="9" t="inlineStr">
        <is>
          <t>- Điều kiện: Đăng nhập tài khoản giáo viên có quyền sửa mục. Chưa có quy tắc đỏ cho mục số nguyên (M=100); mục số thập phân (M=100) có ít nhất một quy tắc.
- Dữ liệu test: môi trường test (trường A, năm học 2026), tài khoản giáo viên có quyền sửa mục, mục số nguyên (M=100), mục số thập phân (M=100), mục điểm đơn vị (đơn vị U1 có M riêng 40)</t>
        </is>
      </c>
      <c r="E2" s="9" t="inlineStr">
        <is>
          <t>TBD</t>
        </is>
      </c>
      <c r="F2" s="9" t="inlineStr">
        <is>
          <t>PROPOSED</t>
        </is>
      </c>
      <c r="G2" s="9" t="inlineStr">
        <is>
          <t>UNASSESSED</t>
        </is>
      </c>
      <c r="H2" s="9" t="inlineStr">
        <is>
          <t>đặc tả v2 mục 4.1 “Điểm vào và trạng thái trống”; AC-G02 chỉ xác nhận loại điểm được hỗ trợ</t>
        </is>
      </c>
      <c r="I2" s="9" t="inlineStr">
        <is>
          <t>A. Functional</t>
        </is>
      </c>
      <c r="J2" s="9" t="inlineStr">
        <is>
          <t>test-cases.vi.md</t>
        </is>
      </c>
      <c r="K2" s="9" t="inlineStr">
        <is>
          <t>1. Mở Thiết lập nhập điểm（成績入力設定）→ Thiết lập ô nhập（入力欄設定） của kỳ 1学期期末 (cuối kỳ học kỳ 1).
2. Tìm hàng Thiết lập điểm đỏ（赤点設定） ở bảng mục nhập.
3. Bấm link của hàng này ở cột mục số nguyên (M=100), mục số thập phân (M=100), mục điểm đơn vị (đơn vị U1 có M riêng 40).
| Lượt chạy | Phạm vi thực hiện và đối chiếu |
| --- | --- |
| Run: integer | Mục số nguyên |
| Run: decimal | Mục thập phân |
| Run: unit | Mục đơn vị |</t>
        </is>
      </c>
      <c r="L2" s="9" t="inlineStr">
        <is>
          <t>1. Theo Figma MW, hàng Thiết lập điểm đỏ（赤点設定） được đặt giữa hàng Tính tự động（自動計算） và hàng Thiết lập ẩn mục nhập（入力項目の非表示設定）. Đây là oracle UI PROPOSED; nếu bố cục khác, ghi Notes để đối chiếu, không mở bug từ riêng vị trí.
2. Có thao tác mở thiết lập cho mục số nguyên, số thập phân và điểm đơn vị.
3. Bấm link chuyển sang màn danh sách Thiết lập điểm đỏ（赤点設定） của đúng mục.</t>
        </is>
      </c>
      <c r="M2" s="9"/>
      <c r="N2" s="9"/>
      <c r="O2" s="9">
        <v>3</v>
      </c>
      <c r="P2" s="9">
        <f>IF(OR(COUNTIF('Run Log'!$B:$B,A2)&lt;&gt;O2,COUNTIF('Run Log'!$A:$A,"RUN-TC-RS-FUNC-001-integer")&lt;&gt;1,COUNTIFS('Run Log'!$A:$A,"RUN-TC-RS-FUNC-001-integer",'Run Log'!$B:$B,A2,'Run Log'!$C:$C,"integer")&lt;&gt;1,COUNTIF('Run Log'!$A:$A,"RUN-TC-RS-FUNC-001-decimal")&lt;&gt;1,COUNTIFS('Run Log'!$A:$A,"RUN-TC-RS-FUNC-001-decimal",'Run Log'!$B:$B,A2,'Run Log'!$C:$C,"decimal")&lt;&gt;1,COUNTIF('Run Log'!$A:$A,"RUN-TC-RS-FUNC-001-unit")&lt;&gt;1,COUNTIFS('Run Log'!$A:$A,"RUN-TC-RS-FUNC-001-unit",'Run Log'!$B:$B,A2,'Run Log'!$C:$C,"unit")&lt;&gt;1),"INCOMPLETE",IF(COUNTIFS('Run Log'!$B:$B,A2,'Run Log'!$D:$D,"PASS")=O2,"PASS",IF(COUNTIFS('Run Log'!$B:$B,A2,'Run Log'!$D:$D,"FAIL")&gt;0,"FAIL",IF(COUNTIFS('Run Log'!$B:$B,A2,'Run Log'!$D:$D,"BLOCKED")&gt;0,"BLOCKED",IF(COUNTIFS('Run Log'!$B:$B,A2,'Run Log'!$D:$D,"SKIPPED")&gt;0,"SKIPPED","NOT RUN")))))</f>
      </c>
    </row>
    <row r="3">
      <c r="A3" s="9" t="inlineStr">
        <is>
          <t>TC-RS-FUNC-002</t>
        </is>
      </c>
      <c r="B3" s="9" t="inlineStr">
        <is>
          <t>Mục kiểu lựa chọn và Đạt/không đạt（合否） không có thao tác tạo quy tắc đỏ có hiệu lực</t>
        </is>
      </c>
      <c r="C3" s="9" t="inlineStr">
        <is>
          <t>A. Functional</t>
        </is>
      </c>
      <c r="D3" s="9" t="inlineStr">
        <is>
          <t>- Điều kiện: Đăng nhập tài khoản giáo viên có quyền sửa mục.
- Dữ liệu test: mục kiểu lựa chọn A/B/C, mục Đạt/không đạt（合否）</t>
        </is>
      </c>
      <c r="E3" s="9" t="inlineStr">
        <is>
          <t>TBD</t>
        </is>
      </c>
      <c r="F3" s="9" t="inlineStr">
        <is>
          <t>CONFIRMED</t>
        </is>
      </c>
      <c r="G3" s="9" t="inlineStr">
        <is>
          <t>BLOCKED</t>
        </is>
      </c>
      <c r="H3" s="9" t="inlineStr">
        <is>
          <t>tiêu chí nghiệm thu “Kiểu điểm được hỗ trợ” (AC-G02 «Kiểu điểm được hỗ trợ»); tiêu chí nghiệm thu “Phạm vi từng đợt” (AC-G40 «Phạm vi từng đợt»)</t>
        </is>
      </c>
      <c r="I3" s="9" t="inlineStr">
        <is>
          <t>A. Functional</t>
        </is>
      </c>
      <c r="J3" s="9" t="inlineStr">
        <is>
          <t>test-cases.vi.md</t>
        </is>
      </c>
      <c r="K3" s="9" t="inlineStr">
        <is>
          <t>1. Mở Thiết lập ô nhập（入力欄設定）.
2. Xem hàng Thiết lập điểm đỏ（赤点設定） ở cột mục kiểu lựa chọn A/B/C, mục Đạt/không đạt（合否）.
3. Thử mở URL màn danh sách điểm đỏ của mục kiểu lựa chọn A/B/C bằng ID mục (nếu biết URL).
| Lượt chạy | Phạm vi thực hiện và đối chiếu |
| --- | --- |
| Run: choice | Mục lựa chọn, gồm thử URL trực tiếp ở bước 3 |
| Run: passfail | Mục Đạt/không đạt ở bước 1–2 |</t>
        </is>
      </c>
      <c r="L3" s="9" t="inlineStr">
        <is>
          <t>1. Không có thao tác tạo quy tắc đỏ có hiệu lực cho hai mục này.
2. Nếu có endpoint truy cập trực tiếp, server vẫn từ chối tạo/lưu quy tắc cho mục không thuộc loại số; không dùng việc URL không hiển thị làm bằng chứng duy nhất.</t>
        </is>
      </c>
      <c r="M3" s="9"/>
      <c r="N3" s="9"/>
      <c r="O3" s="9">
        <v>2</v>
      </c>
      <c r="P3" s="9">
        <f>IF(OR(COUNTIF('Run Log'!$B:$B,A3)&lt;&gt;O3,COUNTIF('Run Log'!$A:$A,"RUN-TC-RS-FUNC-002-choice")&lt;&gt;1,COUNTIFS('Run Log'!$A:$A,"RUN-TC-RS-FUNC-002-choice",'Run Log'!$B:$B,A3,'Run Log'!$C:$C,"choice")&lt;&gt;1,COUNTIF('Run Log'!$A:$A,"RUN-TC-RS-FUNC-002-passfail")&lt;&gt;1,COUNTIFS('Run Log'!$A:$A,"RUN-TC-RS-FUNC-002-passfail",'Run Log'!$B:$B,A3,'Run Log'!$C:$C,"passfail")&lt;&gt;1),"INCOMPLETE",IF(COUNTIFS('Run Log'!$B:$B,A3,'Run Log'!$D:$D,"PASS")=O3,"PASS",IF(COUNTIFS('Run Log'!$B:$B,A3,'Run Log'!$D:$D,"FAIL")&gt;0,"FAIL",IF(COUNTIFS('Run Log'!$B:$B,A3,'Run Log'!$D:$D,"BLOCKED")&gt;0,"BLOCKED",IF(COUNTIFS('Run Log'!$B:$B,A3,'Run Log'!$D:$D,"SKIPPED")&gt;0,"SKIPPED","NOT RUN")))))</f>
      </c>
    </row>
    <row r="4">
      <c r="A4" s="9" t="inlineStr">
        <is>
          <t>TC-RS-FUNC-004</t>
        </is>
      </c>
      <c r="B4" s="9" t="inlineStr">
        <is>
          <t>Thêm quy tắc qua Điều kiện áp dụng（適用条件） và Ngưỡng（基準設定） rồi quay lại danh sách</t>
        </is>
      </c>
      <c r="C4" s="9" t="inlineStr">
        <is>
          <t>A. Functional</t>
        </is>
      </c>
      <c r="D4" s="9" t="inlineStr">
        <is>
          <t>- Điều kiện: mục số nguyên (M=100) đã có cặp quy tắc cùng áp dụng (dưới 20 và dưới 30) (2 quy tắc). Đăng nhập tài khoản giáo viên có quyền sửa mục.
- Dữ liệu test: mục số nguyên (M=100), cặp quy tắc cùng áp dụng (dưới 20 và dưới 30); quy tắc “Cố định 30” (dưới 30)</t>
        </is>
      </c>
      <c r="E4" s="9" t="inlineStr">
        <is>
          <t>TBD</t>
        </is>
      </c>
      <c r="F4" s="9" t="inlineStr">
        <is>
          <t>CONFIRMED</t>
        </is>
      </c>
      <c r="G4" s="9" t="inlineStr">
        <is>
          <t>UNASSESSED</t>
        </is>
      </c>
      <c r="H4" s="9" t="inlineStr">
        <is>
          <t>tiêu chí nghiệm thu “Lưu và mở lại nhiều thiết lập” (AC-G04 «Lưu và mở lại nhiều thiết lập»)</t>
        </is>
      </c>
      <c r="I4" s="9" t="inlineStr">
        <is>
          <t>A. Functional</t>
        </is>
      </c>
      <c r="J4" s="9" t="inlineStr">
        <is>
          <t>test-cases.vi.md</t>
        </is>
      </c>
      <c r="K4" s="9" t="inlineStr">
        <is>
          <t>1. Ở danh sách, bấm Thêm thiết lập chi tiết（詳細設定の追加）.
2. Nhập Tên thiết lập（設定名称） "Cố định 30", chọn Toàn bộ đối tượng（全員が対象）, bấm Cập nhật（更新する）.
3. Mở Ngưỡng, chọn Điểm cố định（固定点数）, nhập 30, chọn Nhỏ hơn（未満）, bấm Cập nhật（更新する）.
4. Xem danh sách.
| Lượt chạy | Phạm vi thực hiện và đối chiếu |
| --- | --- |
| Run: Base | Toàn bộ thủ tục theo đúng thứ tự; các đối chứng cùng fixture được kiểm trong cùng lượt, không bỏ bước |</t>
        </is>
      </c>
      <c r="L4" s="9" t="inlineStr">
        <is>
          <t>1. Sau mỗi lần cập nhật, màn quay về danh sách.
2. Dòng mới hiện tên, tóm tắt điều kiện "toàn bộ" và ngưỡng "Điểm cố định: 30 điểm, Nhỏ hơn" đúng với dữ liệu đã lưu.
3. **PROPOSED (đặc tả v2 mục 4.4 “Lưu, đổi thứ tự và xóa”):** dòng mới nằm sau các quy tắc đã có.</t>
        </is>
      </c>
      <c r="M4" s="9"/>
      <c r="N4" s="9"/>
      <c r="O4" s="9">
        <v>1</v>
      </c>
      <c r="P4" s="9">
        <f>IF(OR(COUNTIF('Run Log'!$B:$B,A4)&lt;&gt;O4,COUNTIF('Run Log'!$A:$A,"RUN-TC-RS-FUNC-004-Base")&lt;&gt;1,COUNTIFS('Run Log'!$A:$A,"RUN-TC-RS-FUNC-004-Base",'Run Log'!$B:$B,A4,'Run Log'!$C:$C,"Base")&lt;&gt;1),"INCOMPLETE",IF(COUNTIFS('Run Log'!$B:$B,A4,'Run Log'!$D:$D,"PASS")=O4,"PASS",IF(COUNTIFS('Run Log'!$B:$B,A4,'Run Log'!$D:$D,"FAIL")&gt;0,"FAIL",IF(COUNTIFS('Run Log'!$B:$B,A4,'Run Log'!$D:$D,"BLOCKED")&gt;0,"BLOCKED",IF(COUNTIFS('Run Log'!$B:$B,A4,'Run Log'!$D:$D,"SKIPPED")&gt;0,"SKIPPED","NOT RUN")))))</f>
      </c>
    </row>
    <row r="5">
      <c r="A5" s="9" t="inlineStr">
        <is>
          <t>TC-RS-FUNC-005</t>
        </is>
      </c>
      <c r="B5" s="9" t="inlineStr">
        <is>
          <t>Nhiều quy tắc hiển thị theo ưu tiên; đổi thứ tự bằng ▲▼ được lưu</t>
        </is>
      </c>
      <c r="C5" s="9" t="inlineStr">
        <is>
          <t>A. Functional</t>
        </is>
      </c>
      <c r="D5" s="9" t="inlineStr">
        <is>
          <t>- Điều kiện: mục số nguyên (M=100) có 3 quy tắc tên quy tắc 1, quy tắc 2, quy tắc 3 (tên tạm trong case) theo thứ tự.
- Dữ liệu test: mục số nguyên (M=100); quy tắc “Cố định 30” (dưới 30), cặp quy tắc cùng áp dụng (dưới 20 và dưới 30)</t>
        </is>
      </c>
      <c r="E5" s="9" t="inlineStr">
        <is>
          <t>Cao</t>
        </is>
      </c>
      <c r="F5" s="9" t="inlineStr">
        <is>
          <t>CONFIRMED</t>
        </is>
      </c>
      <c r="G5" s="9" t="inlineStr">
        <is>
          <t>UNASSESSED</t>
        </is>
      </c>
      <c r="H5" s="9" t="inlineStr">
        <is>
          <t>tiêu chí nghiệm thu “Lưu và mở lại nhiều thiết lập” (AC-G04 «Lưu và mở lại nhiều thiết lập»)</t>
        </is>
      </c>
      <c r="I5" s="9" t="inlineStr">
        <is>
          <t>A. Functional</t>
        </is>
      </c>
      <c r="J5" s="9" t="inlineStr">
        <is>
          <t>test-cases.vi.md</t>
        </is>
      </c>
      <c r="K5" s="9" t="inlineStr">
        <is>
          <t>1. Bấm ▼ ở quy tắc 1.
2. Tải lại trang.
3. Bấm ▲ ở quy tắc 3.
4. Đăng xuất, đăng nhập lại, mở danh sách.
| Lượt chạy | Phạm vi thực hiện và đối chiếu |
| --- | --- |
| Run: Base | Toàn bộ thủ tục theo đúng thứ tự; các đối chứng cùng fixture được kiểm trong cùng lượt, không bỏ bước |</t>
        </is>
      </c>
      <c r="L5" s="9" t="inlineStr">
        <is>
          <t>1. Sau bước 1 thứ tự là quy tắc 2, quy tắc 1, quy tắc 3 và giữ nguyên sau khi tải lại.
2. Sau bước 3 thứ tự là quy tắc 2, quy tắc 3, quy tắc 1 và giữ nguyên khi mở lại.
3. Đổi thứ tự không làm thay kết quả đỏ hiện có (kiểm ở case “Lưu cấu hình không xét; kết quả trước giữ tới lần chạy lại”).</t>
        </is>
      </c>
      <c r="M5" s="9"/>
      <c r="N5" s="9"/>
      <c r="O5" s="9">
        <v>1</v>
      </c>
      <c r="P5" s="9">
        <f>IF(OR(COUNTIF('Run Log'!$B:$B,A5)&lt;&gt;O5,COUNTIF('Run Log'!$A:$A,"RUN-TC-RS-FUNC-005-Base")&lt;&gt;1,COUNTIFS('Run Log'!$A:$A,"RUN-TC-RS-FUNC-005-Base",'Run Log'!$B:$B,A5,'Run Log'!$C:$C,"Base")&lt;&gt;1),"INCOMPLETE",IF(COUNTIFS('Run Log'!$B:$B,A5,'Run Log'!$D:$D,"PASS")=O5,"PASS",IF(COUNTIFS('Run Log'!$B:$B,A5,'Run Log'!$D:$D,"FAIL")&gt;0,"FAIL",IF(COUNTIFS('Run Log'!$B:$B,A5,'Run Log'!$D:$D,"BLOCKED")&gt;0,"BLOCKED",IF(COUNTIFS('Run Log'!$B:$B,A5,'Run Log'!$D:$D,"SKIPPED")&gt;0,"SKIPPED","NOT RUN")))))</f>
      </c>
    </row>
    <row r="6">
      <c r="A6" s="9" t="inlineStr">
        <is>
          <t>TC-RS-FUNC-006</t>
        </is>
      </c>
      <c r="B6" s="9" t="inlineStr">
        <is>
          <t>Xóa một quy tắc có xác nhận; Hủy（キャンセル） giữ nguyên</t>
        </is>
      </c>
      <c r="C6" s="9" t="inlineStr">
        <is>
          <t>A. Functional</t>
        </is>
      </c>
      <c r="D6" s="9" t="inlineStr">
        <is>
          <t>- Điều kiện: mục số nguyên (M=100) có 2 quy tắc.
- Dữ liệu test: mục số nguyên (M=100); cặp quy tắc cùng áp dụng (dưới 20 và dưới 30)</t>
        </is>
      </c>
      <c r="E6" s="9" t="inlineStr">
        <is>
          <t>Cao</t>
        </is>
      </c>
      <c r="F6" s="9" t="inlineStr">
        <is>
          <t>CONFIRMED</t>
        </is>
      </c>
      <c r="G6" s="9" t="inlineStr">
        <is>
          <t>UNASSESSED</t>
        </is>
      </c>
      <c r="H6" s="9" t="inlineStr">
        <is>
          <t>tiêu chí nghiệm thu “Lưu và mở lại nhiều thiết lập” (AC-G04 «Lưu và mở lại nhiều thiết lập»)</t>
        </is>
      </c>
      <c r="I6" s="9" t="inlineStr">
        <is>
          <t>A. Functional</t>
        </is>
      </c>
      <c r="J6" s="9" t="inlineStr">
        <is>
          <t>test-cases.vi.md</t>
        </is>
      </c>
      <c r="K6" s="9" t="inlineStr">
        <is>
          <t>1. Bấm Xóa（削除） ở quy tắc thứ 2, chọn Hủy（キャンセル）.
2. Bấm Xóa（削除） lại, chọn Xóa（削除する）.
| Lượt chạy | Phạm vi thực hiện và đối chiếu |
| --- | --- |
| Run: cancel | Hủy xóa |
| Run: delete | Xác nhận xóa, dựng lại baseline trước lượt này |</t>
        </is>
      </c>
      <c r="L6" s="9" t="inlineStr">
        <is>
          <t>1. Hộp xác nhận nêu thiết lập sẽ bị xóa và kết quả học sinh chỉ cập nhật ở lần xét tiếp theo.
2. Hủy: danh sách giữ 2 quy tắc.
3. Xóa: danh sách còn 1 quy tắc; kết quả đỏ hiện có không đổi cho tới lần xét tiếp theo (case “Xóa quy tắc cuối: giữ kết quả tới lần chạy lại; chạy lại → Không áp dụng”).</t>
        </is>
      </c>
      <c r="M6" s="9"/>
      <c r="N6" s="9"/>
      <c r="O6" s="9">
        <v>2</v>
      </c>
      <c r="P6" s="9">
        <f>IF(OR(COUNTIF('Run Log'!$B:$B,A6)&lt;&gt;O6,COUNTIF('Run Log'!$A:$A,"RUN-TC-RS-FUNC-006-cancel")&lt;&gt;1,COUNTIFS('Run Log'!$A:$A,"RUN-TC-RS-FUNC-006-cancel",'Run Log'!$B:$B,A6,'Run Log'!$C:$C,"cancel")&lt;&gt;1,COUNTIF('Run Log'!$A:$A,"RUN-TC-RS-FUNC-006-delete")&lt;&gt;1,COUNTIFS('Run Log'!$A:$A,"RUN-TC-RS-FUNC-006-delete",'Run Log'!$B:$B,A6,'Run Log'!$C:$C,"delete")&lt;&gt;1),"INCOMPLETE",IF(COUNTIFS('Run Log'!$B:$B,A6,'Run Log'!$D:$D,"PASS")=O6,"PASS",IF(COUNTIFS('Run Log'!$B:$B,A6,'Run Log'!$D:$D,"FAIL")&gt;0,"FAIL",IF(COUNTIFS('Run Log'!$B:$B,A6,'Run Log'!$D:$D,"BLOCKED")&gt;0,"BLOCKED",IF(COUNTIFS('Run Log'!$B:$B,A6,'Run Log'!$D:$D,"SKIPPED")&gt;0,"SKIPPED","NOT RUN")))))</f>
      </c>
    </row>
    <row r="7">
      <c r="A7" s="9" t="inlineStr">
        <is>
          <t>TC-RS-FUNC-007</t>
        </is>
      </c>
      <c r="B7" s="9" t="inlineStr">
        <is>
          <t>Quay lại（戻る）/hủy chỉnh sửa không lưu dữ liệu đang nhập</t>
        </is>
      </c>
      <c r="C7" s="9" t="inlineStr">
        <is>
          <t>A. Functional</t>
        </is>
      </c>
      <c r="D7" s="9" t="inlineStr">
        <is>
          <t>- Điều kiện: mục số nguyên (M=100) có quy tắc “Cố định 30” (dưới 30).
- Dữ liệu test: mục số nguyên (M=100); quy tắc “Cố định 30” (dưới 30)</t>
        </is>
      </c>
      <c r="E7" s="9" t="inlineStr">
        <is>
          <t>TBD</t>
        </is>
      </c>
      <c r="F7" s="9" t="inlineStr">
        <is>
          <t>CONFIRMED</t>
        </is>
      </c>
      <c r="G7" s="9" t="inlineStr">
        <is>
          <t>UNASSESSED</t>
        </is>
      </c>
      <c r="H7" s="9" t="inlineStr">
        <is>
          <t>tiêu chí nghiệm thu “Lưu và mở lại nhiều thiết lập” (AC-G04 «Lưu và mở lại nhiều thiết lập»)</t>
        </is>
      </c>
      <c r="I7" s="9" t="inlineStr">
        <is>
          <t>A. Functional</t>
        </is>
      </c>
      <c r="J7" s="9" t="inlineStr">
        <is>
          <t>test-cases.vi.md</t>
        </is>
      </c>
      <c r="K7" s="9" t="inlineStr">
        <is>
          <t>1. Mở Ngưỡng của quy tắc “Cố định 30” (dưới 30), đổi 30 thành 35 và đổi sang Nhỏ hơn hoặc bằng（以下）.
2. Bấm Quay lại（戻る）.
3. Mở Điều kiện áp dụng, đổi tên, bấm Quay lại（戻る）.
4. Mở lại hai màn.
| Lượt chạy | Phạm vi thực hiện và đối chiếu |
| --- | --- |
| Run: back-threshold | Quay lại từ màn ngưỡng |
| Run: back-condition | Quay lại từ màn điều kiện |</t>
        </is>
      </c>
      <c r="L7" s="9" t="inlineStr">
        <is>
          <t>Danh sách và hai màn vẫn hiện giá trị đã lưu trước đó (30, Nhỏ hơn, tên cũ).</t>
        </is>
      </c>
      <c r="M7" s="9"/>
      <c r="N7" s="9"/>
      <c r="O7" s="9">
        <v>2</v>
      </c>
      <c r="P7" s="9">
        <f>IF(OR(COUNTIF('Run Log'!$B:$B,A7)&lt;&gt;O7,COUNTIF('Run Log'!$A:$A,"RUN-TC-RS-FUNC-007-back-threshold")&lt;&gt;1,COUNTIFS('Run Log'!$A:$A,"RUN-TC-RS-FUNC-007-back-threshold",'Run Log'!$B:$B,A7,'Run Log'!$C:$C,"back-threshold")&lt;&gt;1,COUNTIF('Run Log'!$A:$A,"RUN-TC-RS-FUNC-007-back-condition")&lt;&gt;1,COUNTIFS('Run Log'!$A:$A,"RUN-TC-RS-FUNC-007-back-condition",'Run Log'!$B:$B,A7,'Run Log'!$C:$C,"back-condition")&lt;&gt;1),"INCOMPLETE",IF(COUNTIFS('Run Log'!$B:$B,A7,'Run Log'!$D:$D,"PASS")=O7,"PASS",IF(COUNTIFS('Run Log'!$B:$B,A7,'Run Log'!$D:$D,"FAIL")&gt;0,"FAIL",IF(COUNTIFS('Run Log'!$B:$B,A7,'Run Log'!$D:$D,"BLOCKED")&gt;0,"BLOCKED",IF(COUNTIFS('Run Log'!$B:$B,A7,'Run Log'!$D:$D,"SKIPPED")&gt;0,"SKIPPED","NOT RUN")))))</f>
      </c>
    </row>
    <row r="8">
      <c r="A8" s="9" t="inlineStr">
        <is>
          <t>TC-RS-FUNC-008</t>
        </is>
      </c>
      <c r="B8" s="9" t="inlineStr">
        <is>
          <t>Điều kiện áp dụng: Toàn bộ đối tượng hoặc giới hạn bằng bộ lọc kế thừa từ tính tự động</t>
        </is>
      </c>
      <c r="C8" s="9" t="inlineStr">
        <is>
          <t>A. Functional</t>
        </is>
      </c>
      <c r="D8" s="9" t="inlineStr">
        <is>
          <t>- Điều kiện: Đăng nhập tài khoản giáo viên có quyền sửa mục.
- Dữ liệu test: các lớp học phần G-A, G-B, G-C, quy tắc có bộ lọc kết hợp (khối 1 hoặc 2, nhóm Nâng cao)</t>
        </is>
      </c>
      <c r="E8" s="9" t="inlineStr">
        <is>
          <t>TBD</t>
        </is>
      </c>
      <c r="F8" s="9" t="inlineStr">
        <is>
          <t>CONFIRMED</t>
        </is>
      </c>
      <c r="G8" s="9" t="inlineStr">
        <is>
          <t>UNASSESSED</t>
        </is>
      </c>
      <c r="H8" s="9" t="inlineStr">
        <is>
          <t>tiêu chí nghiệm thu “Đối tượng áp dụng và nhu cầu nguồn” (AC-G05 «Đối tượng áp dụng và nhu cầu nguồn»)</t>
        </is>
      </c>
      <c r="I8" s="9" t="inlineStr">
        <is>
          <t>A. Functional</t>
        </is>
      </c>
      <c r="J8" s="9" t="inlineStr">
        <is>
          <t>test-cases.vi.md</t>
        </is>
      </c>
      <c r="K8" s="9" t="inlineStr">
        <is>
          <t>1. Mở Điều kiện áp dụng của một quy tắc mới.
2. Chọn Toàn bộ đối tượng（全員が対象）, lưu, mở lại.
3. Chọn Giới hạn bằng bộ lọc（特定条件で絞り込む）, bấm Thêm điều kiện lọc（絞り込み条件を追加）, liệt kê các loại lọc có trong danh sách.
4. Cấu hình như quy tắc có bộ lọc kết hợp (khối 1 hoặc 2, nhóm Nâng cao), lưu, mở lại.
| Lượt chạy | Phạm vi thực hiện và đối chiếu |
| --- | --- |
| Run: all | Toàn bộ đối tượng |
| Run: filter | Giới hạn bằng bộ lọc |</t>
        </is>
      </c>
      <c r="L8" s="9" t="inlineStr">
        <is>
          <t>1. Hai lựa chọn đối tượng lưu và mở lại đúng.
2. Có các bộ lọc Môn/phân môn（教科・科目）, Khối（学年）, lớp/nhóm và các điều kiện lựa chọn đang được hỗ trợ (đặc tả v2 mục 5.1 “Đối tượng áp dụng”). Danh sách đề xuất (PROPOSED, thiết kế DB v2 mục 3.2 “`apply_condition`”): khối (`hr_grade`), môn (`subject`), phân môn (`sub_subject`), lớp học phần (`group`), lớp chủ nhiệm (`homeroom`), nhóm tổng hợp (`calc_group`), mã lựa chọn của mục (`choice`).
3. Không có trình soạn AND/OR lồng nhau.</t>
        </is>
      </c>
      <c r="M8" s="9"/>
      <c r="N8" s="9"/>
      <c r="O8" s="9">
        <v>2</v>
      </c>
      <c r="P8" s="9">
        <f>IF(OR(COUNTIF('Run Log'!$B:$B,A8)&lt;&gt;O8,COUNTIF('Run Log'!$A:$A,"RUN-TC-RS-FUNC-008-all")&lt;&gt;1,COUNTIFS('Run Log'!$A:$A,"RUN-TC-RS-FUNC-008-all",'Run Log'!$B:$B,A8,'Run Log'!$C:$C,"all")&lt;&gt;1,COUNTIF('Run Log'!$A:$A,"RUN-TC-RS-FUNC-008-filter")&lt;&gt;1,COUNTIFS('Run Log'!$A:$A,"RUN-TC-RS-FUNC-008-filter",'Run Log'!$B:$B,A8,'Run Log'!$C:$C,"filter")&lt;&gt;1),"INCOMPLETE",IF(COUNTIFS('Run Log'!$B:$B,A8,'Run Log'!$D:$D,"PASS")=O8,"PASS",IF(COUNTIFS('Run Log'!$B:$B,A8,'Run Log'!$D:$D,"FAIL")&gt;0,"FAIL",IF(COUNTIFS('Run Log'!$B:$B,A8,'Run Log'!$D:$D,"BLOCKED")&gt;0,"BLOCKED",IF(COUNTIFS('Run Log'!$B:$B,A8,'Run Log'!$D:$D,"SKIPPED")&gt;0,"SKIPPED","NOT RUN")))))</f>
      </c>
    </row>
    <row r="9">
      <c r="A9" s="9" t="inlineStr">
        <is>
          <t>TC-RS-FUNC-009</t>
        </is>
      </c>
      <c r="B9" s="9" t="inlineStr">
        <is>
          <t>Điều kiện phân nhánh theo Trung bình（平均点） được lưu cùng bộ nguồn</t>
        </is>
      </c>
      <c r="C9" s="9" t="inlineStr">
        <is>
          <t>A. Functional</t>
        </is>
      </c>
      <c r="D9" s="9" t="inlineStr">
        <is>
          <t>- Điều kiện: Đăng nhập tài khoản giáo viên có quyền sửa mục. Có nguồn tổng hợp mặc định.
- Dữ liệu test: cặp quy tắc phân nhánh theo trung bình 60, bản tổng hợp mới nhất chưa chốt (trung bình 62)</t>
        </is>
      </c>
      <c r="E9" s="9" t="inlineStr">
        <is>
          <t>TBD</t>
        </is>
      </c>
      <c r="F9" s="9" t="inlineStr">
        <is>
          <t>CONFIRMED</t>
        </is>
      </c>
      <c r="G9" s="9" t="inlineStr">
        <is>
          <t>UNASSESSED</t>
        </is>
      </c>
      <c r="H9" s="9" t="inlineStr">
        <is>
          <t>tiêu chí nghiệm thu “Đúng phạm vi tham chiếu” (AC-G12 «Đúng phạm vi tham chiếu»)</t>
        </is>
      </c>
      <c r="I9" s="9" t="inlineStr">
        <is>
          <t>A. Functional</t>
        </is>
      </c>
      <c r="J9" s="9" t="inlineStr">
        <is>
          <t>test-cases.vi.md</t>
        </is>
      </c>
      <c r="K9" s="9" t="inlineStr">
        <is>
          <t>1. Tạo quy tắc "Trung bình dưới 60": thêm bộ lọc Môn（教科・科目）= Toán（数学） và điều kiện Trung bình（平均点）.
2. Chọn Thời kỳ tổng hợp（集計対象時期）= 1学期期末 (cuối kỳ học kỳ 1), Thiết lập tổng hợp thứ hạng（順位集計設定）= 評点集計 (tổng hợp điểm đánh giá), Nhóm học sinh được tổng hợp — 集計対象（母集団）= ホームルーム (lớp chủ nhiệm; file Figma cũ ghi HR毎).
3. Nhập mốc 60, dấu Nhỏ hơn（未満）, lưu.
4. Tạo quy tắc thứ hai với mốc 60, dấu Từ mức này trở lên（以上）.
5. Mở lại cả hai.
| Lượt chạy | Phạm vi thực hiện và đối chiếu |
| --- | --- |
| Run: below60 | Điều kiện dưới 60 |
| Run: from60 | Điều kiện từ 60 |</t>
        </is>
      </c>
      <c r="L9" s="9" t="inlineStr">
        <is>
          <t>1. Cả hai quy tắc lưu được, là hai dòng riêng trong danh sách (không phải một form hai nhánh).
2. Mở lại giữ đủ bộ nguồn, mốc, dấu.
3. Không có lựa chọn Kết quả tổng hợp dùng để tham chiếu（参照する集計結果） (đặc tả v2 mục 3 “Bản đồ màn hình và luồng thao tác”, mục 5.5 “Chọn bản nguồn”).</t>
        </is>
      </c>
      <c r="M9" s="9"/>
      <c r="N9" s="9"/>
      <c r="O9" s="9">
        <v>2</v>
      </c>
      <c r="P9" s="9">
        <f>IF(OR(COUNTIF('Run Log'!$B:$B,A9)&lt;&gt;O9,COUNTIF('Run Log'!$A:$A,"RUN-TC-RS-FUNC-009-below60")&lt;&gt;1,COUNTIFS('Run Log'!$A:$A,"RUN-TC-RS-FUNC-009-below60",'Run Log'!$B:$B,A9,'Run Log'!$C:$C,"below60")&lt;&gt;1,COUNTIF('Run Log'!$A:$A,"RUN-TC-RS-FUNC-009-from60")&lt;&gt;1,COUNTIFS('Run Log'!$A:$A,"RUN-TC-RS-FUNC-009-from60",'Run Log'!$B:$B,A9,'Run Log'!$C:$C,"from60")&lt;&gt;1),"INCOMPLETE",IF(COUNTIFS('Run Log'!$B:$B,A9,'Run Log'!$D:$D,"PASS")=O9,"PASS",IF(COUNTIFS('Run Log'!$B:$B,A9,'Run Log'!$D:$D,"FAIL")&gt;0,"FAIL",IF(COUNTIFS('Run Log'!$B:$B,A9,'Run Log'!$D:$D,"BLOCKED")&gt;0,"BLOCKED",IF(COUNTIFS('Run Log'!$B:$B,A9,'Run Log'!$D:$D,"SKIPPED")&gt;0,"SKIPPED","NOT RUN")))))</f>
      </c>
    </row>
    <row r="10">
      <c r="A10" s="9" t="inlineStr">
        <is>
          <t>TC-RS-FUNC-010</t>
        </is>
      </c>
      <c r="B10" s="9" t="inlineStr">
        <is>
          <t>Điều kiện Tỷ lệ điểm của nhóm（集団の得点率） được lưu cùng bộ nguồn</t>
        </is>
      </c>
      <c r="C10" s="9" t="inlineStr">
        <is>
          <t>A. Functional</t>
        </is>
      </c>
      <c r="D10" s="9" t="inlineStr">
        <is>
          <t>- Điều kiện: Đăng nhập tài khoản giáo viên có quyền sửa mục.
- Dữ liệu test: quy tắc theo tỷ lệ điểm của nhóm từ 65%</t>
        </is>
      </c>
      <c r="E10" s="9" t="inlineStr">
        <is>
          <t>TBD</t>
        </is>
      </c>
      <c r="F10" s="9" t="inlineStr">
        <is>
          <t>CONFIRMED</t>
        </is>
      </c>
      <c r="G10" s="9" t="inlineStr">
        <is>
          <t>UNASSESSED</t>
        </is>
      </c>
      <c r="H10" s="9" t="inlineStr">
        <is>
          <t>tiêu chí nghiệm thu “Đúng phạm vi tham chiếu” (AC-G12 «Đúng phạm vi tham chiếu»)</t>
        </is>
      </c>
      <c r="I10" s="9" t="inlineStr">
        <is>
          <t>A. Functional</t>
        </is>
      </c>
      <c r="J10" s="9" t="inlineStr">
        <is>
          <t>test-cases.vi.md</t>
        </is>
      </c>
      <c r="K10" s="9" t="inlineStr">
        <is>
          <t>1. Tạo quy tắc với điều kiện Tỷ lệ điểm của nhóm（集団の得点率）, nguồn mặc định, mốc 65, dấu Từ mức này trở lên（以上）.
2. Lưu, mở lại.
| Lượt chạy | Phạm vi thực hiện và đối chiếu |
| --- | --- |
| Run: Base | Toàn bộ thủ tục theo đúng thứ tự; các đối chứng cùng fixture được kiểm trong cùng lượt, không bỏ bước |</t>
        </is>
      </c>
      <c r="L10" s="9" t="inlineStr">
        <is>
          <t>Lưu và mở lại đúng loại điều kiện, nguồn, mốc 65 và dấu. Không có tùy chọn chọn cách tính A/B.</t>
        </is>
      </c>
      <c r="M10" s="9"/>
      <c r="N10" s="9"/>
      <c r="O10" s="9">
        <v>1</v>
      </c>
      <c r="P10" s="9">
        <f>IF(OR(COUNTIF('Run Log'!$B:$B,A10)&lt;&gt;O10,COUNTIF('Run Log'!$A:$A,"RUN-TC-RS-FUNC-010-Base")&lt;&gt;1,COUNTIFS('Run Log'!$A:$A,"RUN-TC-RS-FUNC-010-Base",'Run Log'!$B:$B,A10,'Run Log'!$C:$C,"Base")&lt;&gt;1),"INCOMPLETE",IF(COUNTIFS('Run Log'!$B:$B,A10,'Run Log'!$D:$D,"PASS")=O10,"PASS",IF(COUNTIFS('Run Log'!$B:$B,A10,'Run Log'!$D:$D,"FAIL")&gt;0,"FAIL",IF(COUNTIFS('Run Log'!$B:$B,A10,'Run Log'!$D:$D,"BLOCKED")&gt;0,"BLOCKED",IF(COUNTIFS('Run Log'!$B:$B,A10,'Run Log'!$D:$D,"SKIPPED")&gt;0,"SKIPPED","NOT RUN")))))</f>
      </c>
    </row>
    <row r="11">
      <c r="A11" s="9" t="inlineStr">
        <is>
          <t>TC-RS-FUNC-011</t>
        </is>
      </c>
      <c r="B11" s="9" t="inlineStr">
        <is>
          <t>Chọn loại ngưỡng làm thay đổi vùng nhập</t>
        </is>
      </c>
      <c r="C11" s="9" t="inlineStr">
        <is>
          <t>A. Functional</t>
        </is>
      </c>
      <c r="D11" s="9" t="inlineStr">
        <is>
          <t>- Điều kiện: Mở Ngưỡng của một quy tắc.
- Dữ liệu test: —</t>
        </is>
      </c>
      <c r="E11" s="9" t="inlineStr">
        <is>
          <t>TBD</t>
        </is>
      </c>
      <c r="F11" s="9" t="inlineStr">
        <is>
          <t>CONFIRMED</t>
        </is>
      </c>
      <c r="G11" s="9" t="inlineStr">
        <is>
          <t>UNASSESSED</t>
        </is>
      </c>
      <c r="H11" s="9" t="inlineStr">
        <is>
          <t>đặc tả v2 mục 5.6 “Khi nào không cần nguồn?”, mục 6.1 “Thành phần chung của màn ngưỡng”</t>
        </is>
      </c>
      <c r="I11" s="9" t="inlineStr">
        <is>
          <t>A. Functional</t>
        </is>
      </c>
      <c r="J11" s="9" t="inlineStr">
        <is>
          <t>test-cases.vi.md</t>
        </is>
      </c>
      <c r="K11" s="9" t="inlineStr">
        <is>
          <t>1. Chọn Điểm cố định（固定点数）.
2. Chọn Tỷ lệ điểm tối đa（得点率）.
3. Chọn Công thức（計算式）.
| Lượt chạy | Phạm vi thực hiện và đối chiếu |
| --- | --- |
| Run: fixed | Chọn cố định |
| Run: ratio | Chọn tỷ lệ |
| Run: formula | Chọn công thức |</t>
        </is>
      </c>
      <c r="L11" s="9" t="inlineStr">
        <is>
          <t>1. Cố định: có ô ngưỡng và dấu so sánh; không có vùng nguồn trung bình, không có xử lý phần lẻ.
2. Tỷ lệ: có ô %, xử lý phần lẻ, dấu so sánh; không có vùng nguồn trung bình.
3. Công thức: có vùng nguồn trung bình, bảng dòng công thức, dấu so sánh.</t>
        </is>
      </c>
      <c r="M11" s="9"/>
      <c r="N11" s="9"/>
      <c r="O11" s="9">
        <v>3</v>
      </c>
      <c r="P11" s="9">
        <f>IF(OR(COUNTIF('Run Log'!$B:$B,A11)&lt;&gt;O11,COUNTIF('Run Log'!$A:$A,"RUN-TC-RS-FUNC-011-fixed")&lt;&gt;1,COUNTIFS('Run Log'!$A:$A,"RUN-TC-RS-FUNC-011-fixed",'Run Log'!$B:$B,A11,'Run Log'!$C:$C,"fixed")&lt;&gt;1,COUNTIF('Run Log'!$A:$A,"RUN-TC-RS-FUNC-011-ratio")&lt;&gt;1,COUNTIFS('Run Log'!$A:$A,"RUN-TC-RS-FUNC-011-ratio",'Run Log'!$B:$B,A11,'Run Log'!$C:$C,"ratio")&lt;&gt;1,COUNTIF('Run Log'!$A:$A,"RUN-TC-RS-FUNC-011-formula")&lt;&gt;1,COUNTIFS('Run Log'!$A:$A,"RUN-TC-RS-FUNC-011-formula",'Run Log'!$B:$B,A11,'Run Log'!$C:$C,"formula")&lt;&gt;1),"INCOMPLETE",IF(COUNTIFS('Run Log'!$B:$B,A11,'Run Log'!$D:$D,"PASS")=O11,"PASS",IF(COUNTIFS('Run Log'!$B:$B,A11,'Run Log'!$D:$D,"FAIL")&gt;0,"FAIL",IF(COUNTIFS('Run Log'!$B:$B,A11,'Run Log'!$D:$D,"BLOCKED")&gt;0,"BLOCKED",IF(COUNTIFS('Run Log'!$B:$B,A11,'Run Log'!$D:$D,"SKIPPED")&gt;0,"SKIPPED","NOT RUN")))))</f>
      </c>
    </row>
    <row r="12">
      <c r="A12" s="9" t="inlineStr">
        <is>
          <t>TC-RS-FUNC-012</t>
        </is>
      </c>
      <c r="B12" s="9" t="inlineStr">
        <is>
          <t>Công thức: thêm/xóa dòng, kết quả dòng cuối là ngưỡng</t>
        </is>
      </c>
      <c r="C12" s="9" t="inlineStr">
        <is>
          <t>A. Functional</t>
        </is>
      </c>
      <c r="D12" s="9" t="inlineStr">
        <is>
          <t>- Điều kiện: Mở Ngưỡng loại Công thức（計算式）.
- Dữ liệu test: quy tắc công thức hai dòng (trung bình ÷ 2 × 0.8)</t>
        </is>
      </c>
      <c r="E12" s="9" t="inlineStr">
        <is>
          <t>Cao</t>
        </is>
      </c>
      <c r="F12" s="9" t="inlineStr">
        <is>
          <t>CONFIRMED</t>
        </is>
      </c>
      <c r="G12" s="9" t="inlineStr">
        <is>
          <t>UNASSESSED</t>
        </is>
      </c>
      <c r="H12" s="9" t="inlineStr">
        <is>
          <t>tiêu chí nghiệm thu “Công thức theo dòng và phần lẻ” (AC-G16 «Công thức theo dòng và phần lẻ»)</t>
        </is>
      </c>
      <c r="I12" s="9" t="inlineStr">
        <is>
          <t>A. Functional</t>
        </is>
      </c>
      <c r="J12" s="9" t="inlineStr">
        <is>
          <t>test-cases.vi.md</t>
        </is>
      </c>
      <c r="K12" s="9" t="inlineStr">
        <is>
          <t>1. Cấu hình dòng 1 và dòng 2 như quy tắc công thức hai dòng (trung bình ÷ 2 × 0.8), lưu.
2. Mở lại; bấm Thêm công thức（計算式を追加） để có dòng 3, rồi xóa dòng 3, lưu.
3. Xem tóm tắt ở danh sách.
| Lượt chạy | Phạm vi thực hiện và đối chiếu |
| --- | --- |
| Run: Base | Toàn bộ thủ tục theo đúng thứ tự; các đối chứng cùng fixture được kiểm trong cùng lượt, không bỏ bước |</t>
        </is>
      </c>
      <c r="L12" s="9" t="inlineStr">
        <is>
          <t>1. Lưu được 2 dòng; mở lại giữ vế trái, phép toán, vế phải và xử lý phần lẻ từng dòng (chi tiết form là PROPOSED theo thiết kế).
2. Danh sách tóm tắt đủ các dòng và dấu so sánh (PROPOSED; không dùng làm oracle nghiệp vụ nếu đặc tả chưa chốt bố cục tóm tắt).
3. Khi xét, `T` = kết quả dòng cuối; phép tính và xử lý phần lẻ phải tuân theo AC-G16 và case “Công thức hai dòng theo Figma: (A÷2)×0.8, dòng 1 làm tròn xuống”.</t>
        </is>
      </c>
      <c r="M12" s="9"/>
      <c r="N12" s="9"/>
      <c r="O12" s="9">
        <v>1</v>
      </c>
      <c r="P12" s="9">
        <f>IF(OR(COUNTIF('Run Log'!$B:$B,A12)&lt;&gt;O12,COUNTIF('Run Log'!$A:$A,"RUN-TC-RS-FUNC-012-Base")&lt;&gt;1,COUNTIFS('Run Log'!$A:$A,"RUN-TC-RS-FUNC-012-Base",'Run Log'!$B:$B,A12,'Run Log'!$C:$C,"Base")&lt;&gt;1),"INCOMPLETE",IF(COUNTIFS('Run Log'!$B:$B,A12,'Run Log'!$D:$D,"PASS")=O12,"PASS",IF(COUNTIFS('Run Log'!$B:$B,A12,'Run Log'!$D:$D,"FAIL")&gt;0,"FAIL",IF(COUNTIFS('Run Log'!$B:$B,A12,'Run Log'!$D:$D,"BLOCKED")&gt;0,"BLOCKED",IF(COUNTIFS('Run Log'!$B:$B,A12,'Run Log'!$D:$D,"SKIPPED")&gt;0,"SKIPPED","NOT RUN")))))</f>
      </c>
    </row>
    <row r="13">
      <c r="A13" s="9" t="inlineStr">
        <is>
          <t>TC-RS-FUNC-013</t>
        </is>
      </c>
      <c r="B13" s="9" t="inlineStr">
        <is>
          <t>Dấu so sánh Nhỏ hơn（未満）/Nhỏ hơn hoặc bằng（以下） được lưu và hiển thị</t>
        </is>
      </c>
      <c r="C13" s="9" t="inlineStr">
        <is>
          <t>A. Functional</t>
        </is>
      </c>
      <c r="D13" s="9" t="inlineStr">
        <is>
          <t>- Điều kiện: Có quy tắc “Cố định 30” (dưới 30).
- Dữ liệu test: quy tắc “Cố định 30” (dưới 30), quy tắc cố định 30 với Nhỏ hơn hoặc bằng（以下）</t>
        </is>
      </c>
      <c r="E13" s="9" t="inlineStr">
        <is>
          <t>TBD</t>
        </is>
      </c>
      <c r="F13" s="9" t="inlineStr">
        <is>
          <t>CONFIRMED</t>
        </is>
      </c>
      <c r="G13" s="9" t="inlineStr">
        <is>
          <t>UNASSESSED</t>
        </is>
      </c>
      <c r="H13" s="9" t="inlineStr">
        <is>
          <t>đặc tả v2 mục 6.1 “Thành phần chung của màn ngưỡng”</t>
        </is>
      </c>
      <c r="I13" s="9" t="inlineStr">
        <is>
          <t>A. Functional</t>
        </is>
      </c>
      <c r="J13" s="9" t="inlineStr">
        <is>
          <t>test-cases.vi.md</t>
        </is>
      </c>
      <c r="K13" s="9" t="inlineStr">
        <is>
          <t>1. Đổi dấu của quy tắc “Cố định 30” (dưới 30) sang Nhỏ hơn hoặc bằng（以下）, lưu, mở lại.
2. Đổi lại Nhỏ hơn（未満）, lưu, mở lại.
| Lượt chạy | Phạm vi thực hiện và đối chiếu |
| --- | --- |
| Run: lt | Dấu nhỏ hơn |
| Run: le | Dấu nhỏ hơn hoặc bằng |</t>
        </is>
      </c>
      <c r="L13" s="9" t="inlineStr">
        <is>
          <t>Dấu đã chọn được lưu, hiển thị đúng ở form và tóm tắt danh sách. Tác động lên kết quả: case “Ngưỡng cố định 30: S = 29 / 30 / 31 với `&lt;` và `≤`”.</t>
        </is>
      </c>
      <c r="M13" s="9"/>
      <c r="N13" s="9"/>
      <c r="O13" s="9">
        <v>2</v>
      </c>
      <c r="P13" s="9">
        <f>IF(OR(COUNTIF('Run Log'!$B:$B,A13)&lt;&gt;O13,COUNTIF('Run Log'!$A:$A,"RUN-TC-RS-FUNC-013-lt")&lt;&gt;1,COUNTIFS('Run Log'!$A:$A,"RUN-TC-RS-FUNC-013-lt",'Run Log'!$B:$B,A13,'Run Log'!$C:$C,"lt")&lt;&gt;1,COUNTIF('Run Log'!$A:$A,"RUN-TC-RS-FUNC-013-le")&lt;&gt;1,COUNTIFS('Run Log'!$A:$A,"RUN-TC-RS-FUNC-013-le",'Run Log'!$B:$B,A13,'Run Log'!$C:$C,"le")&lt;&gt;1),"INCOMPLETE",IF(COUNTIFS('Run Log'!$B:$B,A13,'Run Log'!$D:$D,"PASS")=O13,"PASS",IF(COUNTIFS('Run Log'!$B:$B,A13,'Run Log'!$D:$D,"FAIL")&gt;0,"FAIL",IF(COUNTIFS('Run Log'!$B:$B,A13,'Run Log'!$D:$D,"BLOCKED")&gt;0,"BLOCKED",IF(COUNTIFS('Run Log'!$B:$B,A13,'Run Log'!$D:$D,"SKIPPED")&gt;0,"SKIPPED","NOT RUN")))))</f>
      </c>
    </row>
    <row r="14">
      <c r="A14" s="9" t="inlineStr">
        <is>
          <t>TC-RS-FUNC-014</t>
        </is>
      </c>
      <c r="B14" s="9" t="inlineStr">
        <is>
          <t>Quy tắc mới chỉ có điều kiện, chưa có ngưỡng, không tham gia xét</t>
        </is>
      </c>
      <c r="C14" s="9" t="inlineStr">
        <is>
          <t>A. Functional</t>
        </is>
      </c>
      <c r="D14" s="9" t="inlineStr">
        <is>
          <t>- Điều kiện chung: trường A/năm 2026, mục số nguyên TD-ITEM-01 (M=100), S01 có điểm 29; giáo viên có quyền sửa rule và chạy xét lại. Hai tab cùng phạm vi mục/kỳ. Mỗi biến thể có bản reset riêng, đúng hai rule Toàn bộ với dấu `&lt;`; ghi identity rule ưu tiên 1 và rule đối chứng ưu tiên 2. Phạm vi trích xuất chỉ gồm ô này để ô đỏ khác không ảnh hưởng bộ lọc.
- `incomplete-excluded`: rule ưu tiên 1 chỉ lưu điều kiện, chưa có ngưỡng; rule đối chứng ưu tiên 2 có T=30. Đây là fixture TD-RULE-13/TD-RULE-01.
- `complete-deleted-stale`: rule ưu tiên 1 hoàn chỉnh T=30, rule đối chứng ưu tiên 2 T=20; chạy baseline S01=29 → Đỏ theo rule ưu tiên 1.
- `incomplete-deleted-stale`: rule ưu tiên 1 chỉ có điều kiện, rule đối chứng ưu tiên 2 T=20; chạy baseline S01=29 → Không đỏ theo rule đối chứng. T=20 là cấu hình riêng của hai biến thể stale-form, không thay TD-RULE-01 dùng chung.</t>
        </is>
      </c>
      <c r="E14" s="9" t="inlineStr">
        <is>
          <t>Cao</t>
        </is>
      </c>
      <c r="F14" s="9" t="inlineStr">
        <is>
          <t>CONFIRMED</t>
        </is>
      </c>
      <c r="G14" s="9" t="inlineStr">
        <is>
          <t>BLOCKED</t>
        </is>
      </c>
      <c r="H14" s="9" t="inlineStr">
        <is>
          <t>đặc tả v2 mục 4.4 “Lưu, đổi thứ tự và xóa”; tiêu chí nghiệm thu “Lưu và mở lại nhiều thiết lập” (AC-G04 «Lưu và mở lại nhiều thiết lập»)</t>
        </is>
      </c>
      <c r="I14" s="9" t="inlineStr">
        <is>
          <t>A. Functional</t>
        </is>
      </c>
      <c r="J14" s="9" t="inlineStr">
        <is>
          <t>test-cases.vi.md</t>
        </is>
      </c>
      <c r="K14" s="9" t="inlineStr">
        <is>
          <t>1. Với `incomplete-excluded`, dựng fixture riêng, xem dòng chưa hoàn chỉnh; đăng ký S01=29 và đọc kết quả, identity rule/ngưỡng đã dùng cùng đầu ra trích xuất.
2. Với `complete-deleted-stale`, reset và xác nhận baseline Đỏ/T=30. Mở form ngưỡng của rule ưu tiên 1 ở tab A. Xóa đúng rule đó ở tab B, rồi gửi lưu T=30 từ form cũ ở tab A. Reload danh sách và đọc trạng thái rule; trước khi chạy xét lại, đọc điểm/kết quả đã hoàn tất của S01.
3. Chạy xét lại thành công cho đúng ô của `complete-deleted-stale`; đọc identity rule/ngưỡng được chọn. Chạy trích xuất một lượt tắt lọc để thấy điểm và dấu, một lượt bật lọc đỏ để kiểm membership của S01.
4. Với `incomplete-deleted-stale`, reset và xác nhận baseline Không đỏ/T=20. Mở form ngưỡng của rule nhập dở ở tab A, nhập T=40 nhưng **chưa lưu**. Xóa đúng rule nhập dở ở tab B, rồi gửi T=40 từ form cũ ở tab A. Reload danh sách và đọc trạng thái rule.
5. Chạy xét lại thành công cho đúng ô của `incomplete-deleted-stale`; đọc identity rule/ngưỡng và thực hiện hai lượt trích xuất tắt/bật lọc như bước 3. Lưu bằng chứng riêng cho từng biến thể, không dùng kết quả của biến thể trước.
| Lượt chạy | Phạm vi thực hiện và đối chiếu |
| --- | --- |
| Run: incomplete-excluded | Nhánh incomplete-excluded trong thủ tục và Expected của case; thực hiện các bước chuẩn bị chung trước nhánh |
| Run: complete-deleted-stale | Nhánh complete-deleted-stale trong thủ tục và Expected của case; thực hiện các bước chuẩn bị chung trước nhánh |
| Run: incomplete-deleted-stale | Nhánh incomplete-deleted-stale trong thủ tục và Expected của case; thực hiện các bước chuẩn bị chung trước nhánh |</t>
        </is>
      </c>
      <c r="L14" s="9" t="inlineStr">
        <is>
          <t>1. `incomplete-excluded`: dòng nhập dở hiện chưa thiết lập và cho mở ngưỡng; không tạo ngưỡng 0 ngầm. Bộ xét chọn đúng rule đối chứng T=30, S01=29 Đỏ; rule nhập dở không tham gia xét.
2. `complete-deleted-stale`: lưu form cũ không phục hồi rule đã xóa trong danh sách hoặc bộ xét. Trước lần xét lại, S01 vẫn giữ điểm 29 và kết quả Đỏ/T=30 đã hoàn tất. Sau lần xét lại, bộ xét chọn đúng identity rule đối chứng T=20 → **Không đỏ**; lượt tắt lọc hiện 29 không dấu đỏ, lượt bật lọc không có S01.
3. `incomplete-deleted-stale`: T=40 gửi từ form cũ không làm rule nhập dở đã xóa sống lại hoặc trở thành rule hoàn chỉnh. Sau lần xét lại, bộ xét vẫn chọn đúng rule đối chứng T=20 → **Không đỏ**, điểm 29 giữ nguyên; lượt tắt lọc không có dấu đỏ, lượt bật lọc không có S01. Nếu rule 40 bị phục hồi thì 29&lt;40 sẽ Đỏ, nên không được PASS trường hợp đó dù danh sách đã ẩn rule.
4. Rule đối chứng giữ nguyên cấu hình/identity ở cả hai biến thể stale-form. Nếu từ chối form cũ, thông báo an toàn; không áp đặt mã HTTP hoặc enum/schema chưa được xác nhận. Thiếu seam gửi form, chạy xét hoặc reader đáng tin thì ghi BLOCKED cho biến thể liên quan.</t>
        </is>
      </c>
      <c r="M14" s="9"/>
      <c r="N14" s="9"/>
      <c r="O14" s="9">
        <v>3</v>
      </c>
      <c r="P14" s="9">
        <f>IF(OR(COUNTIF('Run Log'!$B:$B,A14)&lt;&gt;O14,COUNTIF('Run Log'!$A:$A,"RUN-TC-RS-FUNC-014-incomplete-excluded")&lt;&gt;1,COUNTIFS('Run Log'!$A:$A,"RUN-TC-RS-FUNC-014-incomplete-excluded",'Run Log'!$B:$B,A14,'Run Log'!$C:$C,"incomplete-excluded")&lt;&gt;1,COUNTIF('Run Log'!$A:$A,"RUN-TC-RS-FUNC-014-complete-deleted-stale")&lt;&gt;1,COUNTIFS('Run Log'!$A:$A,"RUN-TC-RS-FUNC-014-complete-deleted-stale",'Run Log'!$B:$B,A14,'Run Log'!$C:$C,"complete-deleted-stale")&lt;&gt;1,COUNTIF('Run Log'!$A:$A,"RUN-TC-RS-FUNC-014-incomplete-deleted-stale")&lt;&gt;1,COUNTIFS('Run Log'!$A:$A,"RUN-TC-RS-FUNC-014-incomplete-deleted-stale",'Run Log'!$B:$B,A14,'Run Log'!$C:$C,"incomplete-deleted-stale")&lt;&gt;1),"INCOMPLETE",IF(COUNTIFS('Run Log'!$B:$B,A14,'Run Log'!$D:$D,"PASS")=O14,"PASS",IF(COUNTIFS('Run Log'!$B:$B,A14,'Run Log'!$D:$D,"FAIL")&gt;0,"FAIL",IF(COUNTIFS('Run Log'!$B:$B,A14,'Run Log'!$D:$D,"BLOCKED")&gt;0,"BLOCKED",IF(COUNTIFS('Run Log'!$B:$B,A14,'Run Log'!$D:$D,"SKIPPED")&gt;0,"SKIPPED","NOT RUN")))))</f>
      </c>
    </row>
    <row r="15">
      <c r="A15" s="9" t="inlineStr">
        <is>
          <t>TC-RS-FUNC-015</t>
        </is>
      </c>
      <c r="B15" s="9" t="inlineStr">
        <is>
          <t>Quy trình vận hành dùng trung bình: tắt tự tổng hợp → nút xanh → nút cam</t>
        </is>
      </c>
      <c r="C15" s="9" t="inlineStr">
        <is>
          <t>A. Functional</t>
        </is>
      </c>
      <c r="D15" s="9" t="inlineStr">
        <is>
          <t>- Điều kiện: mục số nguyên (M=100) có cặp quy tắc phân nhánh theo trung bình 60. Điểm của nhóm HR1 đã đầy đủ. Không có bản chốt cho nguồn mặc định. Đăng nhập tài khoản có quyền chạy hàng loạt.
- Dữ liệu test: mục số nguyên (M=100); cặp quy tắc phân nhánh theo trung bình 60, các lớp chủ nhiệm HR1, HR2, học sinh S01–S05</t>
        </is>
      </c>
      <c r="E15" s="9" t="inlineStr">
        <is>
          <t>Cao</t>
        </is>
      </c>
      <c r="F15" s="9" t="inlineStr">
        <is>
          <t>CONFIRMED</t>
        </is>
      </c>
      <c r="G15" s="9" t="inlineStr">
        <is>
          <t>UNASSESSED</t>
        </is>
      </c>
      <c r="H15" s="9" t="inlineStr">
        <is>
          <t>tiêu chí nghiệm thu “Thứ tự đánh giá tương đối” (AC-G25 «Thứ tự đánh giá tương đối»)</t>
        </is>
      </c>
      <c r="I15" s="9" t="inlineStr">
        <is>
          <t>A. Functional</t>
        </is>
      </c>
      <c r="J15" s="9" t="inlineStr">
        <is>
          <t>test-cases.vi.md</t>
        </is>
      </c>
      <c r="K15" s="9" t="inlineStr">
        <is>
          <t>1. Thiết lập tổng hợp thứ hạng（順位集計設定）→ Thiết lập chi tiết（詳細設定）: đặt tự tổng hợp khi đăng ký điểm là Không thực hiện（実行しない）.
2. Ở Tổng hợp thành tích（成績集計）, chọn Khối 1, kỳ 1学期期末 (cuối kỳ học kỳ 1), bấm Thực hiện tổng hợp（集計実行）, chờ hoàn tất.
3. Bấm Thực hiện tính toán tự động（自動算出実行）, chờ hoàn tất.
4. Xem kết quả ở ba đầu ra.
5. Sau bước 3, xem lần chạy tổng hợp gần nhất hiển thị ở Tổng hợp thành tích（成績集計）.
| Lượt chạy | Phạm vi thực hiện và đối chiếu |
| --- | --- |
| Run: Base | Toàn bộ thủ tục theo đúng thứ tự; các đối chứng cùng fixture được kiểm trong cùng lượt, không bỏ bước |</t>
        </is>
      </c>
      <c r="L15" s="9" t="inlineStr">
        <is>
          <t>1. Sau bước 2 (chỉ nút xanh), kết quả đỏ chưa thay đổi.
2. Sau bước 3, mỗi ô của S01–S05 có kết quả theo nhánh đúng với `A` của tổng hợp vừa chạy.
3. Ba đầu ra hiển thị cùng kết quả mới.
4. (Theo tiêu chí nghiệm thu “Thứ tự đánh giá tương đối”) Bước 3 không tự chạy lại Thực hiện tổng hợp（集計実行） hay thêm lượt xét thứ hai, kể cả khi tính tự động làm đổi điểm dùng cho trung bình: lần chạy tổng hợp gần nhất vẫn là lần ở bước 2. Muốn dùng trung bình mới thì người dùng chạy lại quy trình.</t>
        </is>
      </c>
      <c r="M15" s="9"/>
      <c r="N15" s="9"/>
      <c r="O15" s="9">
        <v>1</v>
      </c>
      <c r="P15" s="9">
        <f>IF(OR(COUNTIF('Run Log'!$B:$B,A15)&lt;&gt;O15,COUNTIF('Run Log'!$A:$A,"RUN-TC-RS-FUNC-015-Base")&lt;&gt;1,COUNTIFS('Run Log'!$A:$A,"RUN-TC-RS-FUNC-015-Base",'Run Log'!$B:$B,A15,'Run Log'!$C:$C,"Base")&lt;&gt;1),"INCOMPLETE",IF(COUNTIFS('Run Log'!$B:$B,A15,'Run Log'!$D:$D,"PASS")=O15,"PASS",IF(COUNTIFS('Run Log'!$B:$B,A15,'Run Log'!$D:$D,"FAIL")&gt;0,"FAIL",IF(COUNTIFS('Run Log'!$B:$B,A15,'Run Log'!$D:$D,"BLOCKED")&gt;0,"BLOCKED",IF(COUNTIFS('Run Log'!$B:$B,A15,'Run Log'!$D:$D,"SKIPPED")&gt;0,"SKIPPED","NOT RUN")))))</f>
      </c>
    </row>
    <row r="16">
      <c r="A16" s="9" t="inlineStr">
        <is>
          <t>TC-RS-FUNC-016</t>
        </is>
      </c>
      <c r="B16" s="9" t="inlineStr">
        <is>
          <t>Đăng ký/sửa điểm trực tiếp ở màn lớp kích hoạt xét</t>
        </is>
      </c>
      <c r="C16" s="9" t="inlineStr">
        <is>
          <t>A. Functional</t>
        </is>
      </c>
      <c r="D16" s="9" t="inlineStr">
        <is>
          <t>- Điều kiện: mục số nguyên (M=100) có quy tắc “Cố định 30” (dưới 30); mục số nguyên (M=100) không có quy tắc tính tự động.
- Dữ liệu test: mục số nguyên (M=100); quy tắc “Cố định 30” (dưới 30), học sinh S01 (điểm 29), học sinh S03 (điểm 31)</t>
        </is>
      </c>
      <c r="E16" s="9" t="inlineStr">
        <is>
          <t>Cao</t>
        </is>
      </c>
      <c r="F16" s="9" t="inlineStr">
        <is>
          <t>CONFIRMED</t>
        </is>
      </c>
      <c r="G16" s="9" t="inlineStr">
        <is>
          <t>UNASSESSED</t>
        </is>
      </c>
      <c r="H16" s="9" t="inlineStr">
        <is>
          <t>tiêu chí nghiệm thu “Bao phủ đường đăng ký và chạy lại” (AC-G23 «Bao phủ đường đăng ký và chạy lại»)</t>
        </is>
      </c>
      <c r="I16" s="9" t="inlineStr">
        <is>
          <t>A. Functional</t>
        </is>
      </c>
      <c r="J16" s="9" t="inlineStr">
        <is>
          <t>test-cases.vi.md</t>
        </is>
      </c>
      <c r="K16" s="9" t="inlineStr">
        <is>
          <t>1. Ở màn đăng ký điểm của lớp G-A, nhập S01=29, S03=31, lưu.
2. Xem trích xuất.
| Lượt chạy | Phạm vi thực hiện và đối chiếu |
| --- | --- |
| Run: Base | Toàn bộ thủ tục theo đúng thứ tự; các đối chứng cùng fixture được kiểm trong cùng lượt, không bỏ bước |</t>
        </is>
      </c>
      <c r="L16" s="9" t="inlineStr">
        <is>
          <t>Sau khi lưu thành công: S01 Đỏ, S03 Không đỏ. Đây là đường đăng ký trực tiếp với quy tắc cố định, nên không yêu cầu nguồn trung bình hoặc nút cam; không suy rộng kết luận này cho case dùng trung bình/tỷ lệ nhóm.</t>
        </is>
      </c>
      <c r="M16" s="9"/>
      <c r="N16" s="9"/>
      <c r="O16" s="9">
        <v>1</v>
      </c>
      <c r="P16" s="9">
        <f>IF(OR(COUNTIF('Run Log'!$B:$B,A16)&lt;&gt;O16,COUNTIF('Run Log'!$A:$A,"RUN-TC-RS-FUNC-016-Base")&lt;&gt;1,COUNTIFS('Run Log'!$A:$A,"RUN-TC-RS-FUNC-016-Base",'Run Log'!$B:$B,A16,'Run Log'!$C:$C,"Base")&lt;&gt;1),"INCOMPLETE",IF(COUNTIFS('Run Log'!$B:$B,A16,'Run Log'!$D:$D,"PASS")=O16,"PASS",IF(COUNTIFS('Run Log'!$B:$B,A16,'Run Log'!$D:$D,"FAIL")&gt;0,"FAIL",IF(COUNTIFS('Run Log'!$B:$B,A16,'Run Log'!$D:$D,"BLOCKED")&gt;0,"BLOCKED",IF(COUNTIFS('Run Log'!$B:$B,A16,'Run Log'!$D:$D,"SKIPPED")&gt;0,"SKIPPED","NOT RUN")))))</f>
      </c>
    </row>
    <row r="17">
      <c r="A17" s="9" t="inlineStr">
        <is>
          <t>TC-RS-FUNC-017</t>
        </is>
      </c>
      <c r="B17" s="9" t="inlineStr">
        <is>
          <t>Nhập CSV điểm lớp học phần (NB) kích hoạt xét</t>
        </is>
      </c>
      <c r="C17" s="9" t="inlineStr">
        <is>
          <t>A. Functional</t>
        </is>
      </c>
      <c r="D17" s="9" t="inlineStr">
        <is>
          <t>- Điều kiện: mục số nguyên (M=100) có quy tắc “Cố định 30” (dưới 30). Chạy hai lần: (a) trường có tính tự động, (b) trường không có tính tự động.
- Dữ liệu test: mục số nguyên (M=100); quy tắc “Cố định 30” (dưới 30), học sinh S01 (điểm 29)</t>
        </is>
      </c>
      <c r="E17" s="9" t="inlineStr">
        <is>
          <t>Cao</t>
        </is>
      </c>
      <c r="F17" s="9" t="inlineStr">
        <is>
          <t>CONFIRMED</t>
        </is>
      </c>
      <c r="G17" s="9" t="inlineStr">
        <is>
          <t>UNASSESSED</t>
        </is>
      </c>
      <c r="H17" s="9" t="inlineStr">
        <is>
          <t>tiêu chí nghiệm thu “Bao phủ đường đăng ký và chạy lại” (AC-G23 «Bao phủ đường đăng ký và chạy lại»)</t>
        </is>
      </c>
      <c r="I17" s="9" t="inlineStr">
        <is>
          <t>A. Functional</t>
        </is>
      </c>
      <c r="J17" s="9" t="inlineStr">
        <is>
          <t>test-cases.vi.md</t>
        </is>
      </c>
      <c r="K17" s="9" t="inlineStr">
        <is>
          <t>1. Mở Đăng ký thành tích bằng CSV（成績CSV登録） của lớp G-A, nhập CSV với S01=29.
2. Xem kết quả ở trích xuất.
3. Nhập lại CSV với S01=31, xem kết quả.
| Lượt chạy | Phạm vi thực hiện và đối chiếu |
| --- | --- |
| Run: auto-on | Trường có tính tự động, thực hiện toàn bộ chuỗi CSV |
| Run: auto-off | Trường không có tính tự động, cùng chuỗi CSV |</t>
        </is>
      </c>
      <c r="L17" s="9" t="inlineStr">
        <is>
          <t>1–2. Nhập thành công → S01 được xét: Đỏ, ở cả (a) và (b) (không phụ thuộc việc trường có tính tự động).
3. S01 Không đỏ; không còn dấu đỏ cũ.
Điểm và kết quả nhất quán theo ranh giới giao dịch hiện có (tiêu chí nghiệm thu “Lưu thành công và thông báo an toàn”).</t>
        </is>
      </c>
      <c r="M17" s="9"/>
      <c r="N17" s="9"/>
      <c r="O17" s="9">
        <v>2</v>
      </c>
      <c r="P17" s="9">
        <f>IF(OR(COUNTIF('Run Log'!$B:$B,A17)&lt;&gt;O17,COUNTIF('Run Log'!$A:$A,"RUN-TC-RS-FUNC-017-auto-on")&lt;&gt;1,COUNTIFS('Run Log'!$A:$A,"RUN-TC-RS-FUNC-017-auto-on",'Run Log'!$B:$B,A17,'Run Log'!$C:$C,"auto-on")&lt;&gt;1,COUNTIF('Run Log'!$A:$A,"RUN-TC-RS-FUNC-017-auto-off")&lt;&gt;1,COUNTIFS('Run Log'!$A:$A,"RUN-TC-RS-FUNC-017-auto-off",'Run Log'!$B:$B,A17,'Run Log'!$C:$C,"auto-off")&lt;&gt;1),"INCOMPLETE",IF(COUNTIFS('Run Log'!$B:$B,A17,'Run Log'!$D:$D,"PASS")=O17,"PASS",IF(COUNTIFS('Run Log'!$B:$B,A17,'Run Log'!$D:$D,"FAIL")&gt;0,"FAIL",IF(COUNTIFS('Run Log'!$B:$B,A17,'Run Log'!$D:$D,"BLOCKED")&gt;0,"BLOCKED",IF(COUNTIFS('Run Log'!$B:$B,A17,'Run Log'!$D:$D,"SKIPPED")&gt;0,"SKIPPED","NOT RUN")))))</f>
      </c>
    </row>
    <row r="18">
      <c r="A18" s="9" t="inlineStr">
        <is>
          <t>TC-RS-FUNC-018</t>
        </is>
      </c>
      <c r="B18" s="9" t="inlineStr">
        <is>
          <t>Liên kết kết quả chấm bài thi kích hoạt xét</t>
        </is>
      </c>
      <c r="C18" s="9" t="inlineStr">
        <is>
          <t>A. Functional</t>
        </is>
      </c>
      <c r="D18" s="9" t="inlineStr">
        <is>
          <t>- Điều kiện: Có bài thi đã chấm liên kết tới mục số nguyên (M=100) cho lớp G-A và lớp G-C; quy tắc “Cố định 30” (dưới 30) trên mục số nguyên (M=100). G-A đủ thiết lập để AutoRating chạy. G-C được chuẩn bị để `createArgument` không trả lớp này (ví dụ chưa đăng ký thiết lập lớp học bắt buộc（入力必須の授業設定）), nên AutoRating bị bỏ qua.
- Dữ liệu test: mục số nguyên (M=100); quy tắc “Cố định 30” (dưới 30), các lớp học phần G-A, G-B, G-C, học sinh S01 (điểm 29)</t>
        </is>
      </c>
      <c r="E18" s="9" t="inlineStr">
        <is>
          <t>Cao</t>
        </is>
      </c>
      <c r="F18" s="9" t="inlineStr">
        <is>
          <t>CONFIRMED</t>
        </is>
      </c>
      <c r="G18" s="9" t="inlineStr">
        <is>
          <t>BLOCKED</t>
        </is>
      </c>
      <c r="H18" s="9" t="inlineStr">
        <is>
          <t>tiêu chí nghiệm thu “Bao phủ đường đăng ký và chạy lại” (AC-G23 «Bao phủ đường đăng ký và chạy lại»)</t>
        </is>
      </c>
      <c r="I18" s="9" t="inlineStr">
        <is>
          <t>A. Functional</t>
        </is>
      </c>
      <c r="J18" s="9" t="inlineStr">
        <is>
          <t>test-cases.vi.md</t>
        </is>
      </c>
      <c r="K18" s="9" t="inlineStr">
        <is>
          <t>1. Liên kết kết quả chấm của G-A với S01=29 (quy tắc cố định quy tắc “Cố định 30” (dưới 30)), gồm trường hợp lớp không có quy tắc tính tự động.
2. Liên kết kết quả chấm của G-C với một học sinh của G-C = 28.
3. Xem điểm đã ghi và kết quả đỏ của hai lớp.
4. (Tùy chọn) Lặp lại với quy tắc cần trung bình.
| Lượt chạy | Phạm vi thực hiện và đối chiếu |
| --- | --- |
| Run: linked | Liên kết điểm ở G-A |
| Run: auto-skipped | Nhánh AutoRating bỏ qua ở G-C |</t>
        </is>
      </c>
      <c r="L18" s="9" t="inlineStr">
        <is>
          <t>1. S01 Đỏ.
2–3. Điểm 28 của G-C đã được ghi và ô đó được xét → Đỏ, dù AutoRating bị bỏ qua. Không có ô đã ghi nào ở G-C bị để lại không có kết quả.
4. Quy tắc cần trung bình: liên kết không chạy tổng hợp thứ hạng nên trung bình có thể cũ — việc chấp nhận trung bình cũ chưa chốt, phần này TBD, không đánh PASS/FAIL.</t>
        </is>
      </c>
      <c r="M18" s="9"/>
      <c r="N18" s="9"/>
      <c r="O18" s="9">
        <v>2</v>
      </c>
      <c r="P18" s="9">
        <f>IF(OR(COUNTIF('Run Log'!$B:$B,A18)&lt;&gt;O18,COUNTIF('Run Log'!$A:$A,"RUN-TC-RS-FUNC-018-linked")&lt;&gt;1,COUNTIFS('Run Log'!$A:$A,"RUN-TC-RS-FUNC-018-linked",'Run Log'!$B:$B,A18,'Run Log'!$C:$C,"linked")&lt;&gt;1,COUNTIF('Run Log'!$A:$A,"RUN-TC-RS-FUNC-018-auto-skipped")&lt;&gt;1,COUNTIFS('Run Log'!$A:$A,"RUN-TC-RS-FUNC-018-auto-skipped",'Run Log'!$B:$B,A18,'Run Log'!$C:$C,"auto-skipped")&lt;&gt;1),"INCOMPLETE",IF(COUNTIFS('Run Log'!$B:$B,A18,'Run Log'!$D:$D,"PASS")=O18,"PASS",IF(COUNTIFS('Run Log'!$B:$B,A18,'Run Log'!$D:$D,"FAIL")&gt;0,"FAIL",IF(COUNTIFS('Run Log'!$B:$B,A18,'Run Log'!$D:$D,"BLOCKED")&gt;0,"BLOCKED",IF(COUNTIFS('Run Log'!$B:$B,A18,'Run Log'!$D:$D,"SKIPPED")&gt;0,"SKIPPED","NOT RUN")))))</f>
      </c>
    </row>
    <row r="19">
      <c r="A19" s="9" t="inlineStr">
        <is>
          <t>TC-RS-FUNC-019</t>
        </is>
      </c>
      <c r="B19" s="9" t="inlineStr">
        <is>
          <t>Lưu lựa chọn điểm tối đa của lớp khi đăng ký điểm kích hoạt xét</t>
        </is>
      </c>
      <c r="C19" s="9" t="inlineStr">
        <is>
          <t>A. Functional</t>
        </is>
      </c>
      <c r="D19" s="9" t="inlineStr">
        <is>
          <t>- Điều kiện: mục điểm đơn vị (đơn vị U1 có M riêng 40) có quy tắc tỷ lệ 30% (30%). Lớp G-B chưa dùng lựa chọn lớp; S06 có điểm U1 = 14 (M=40 → T=12 → Không đỏ).
- Dữ liệu test: mục điểm đơn vị (đơn vị U1 có M riêng 40), quy tắc tỷ lệ 30%</t>
        </is>
      </c>
      <c r="E19" s="9" t="inlineStr">
        <is>
          <t>Cao</t>
        </is>
      </c>
      <c r="F19" s="9" t="inlineStr">
        <is>
          <t>CONFIRMED</t>
        </is>
      </c>
      <c r="G19" s="9" t="inlineStr">
        <is>
          <t>UNASSESSED</t>
        </is>
      </c>
      <c r="H19" s="9" t="inlineStr">
        <is>
          <t>tiêu chí nghiệm thu “Trigger khi đổi điểm tối đa/đơn vị” (AC-G24 «Trigger khi đổi điểm tối đa/đơn vị»)</t>
        </is>
      </c>
      <c r="I19" s="9" t="inlineStr">
        <is>
          <t>A. Functional</t>
        </is>
      </c>
      <c r="J19" s="9" t="inlineStr">
        <is>
          <t>test-cases.vi.md</t>
        </is>
      </c>
      <c r="K19" s="9" t="inlineStr">
        <is>
          <t>1. Ở màn đăng ký điểm lớp G-B, chọn lựa chọn lớp M=50 cho U1, lưu.
2. Xem kết quả S06.
| Lượt chạy | Phạm vi thực hiện và đối chiếu |
| --- | --- |
| Run: Base | Toàn bộ thủ tục theo đúng thứ tự; các đối chứng cùng fixture được kiểm trong cùng lượt, không bỏ bước |</t>
        </is>
      </c>
      <c r="L19" s="9" t="inlineStr">
        <is>
          <t>Sau khi lưu thành công: M=50 → T=15 → S06=14 Đỏ.</t>
        </is>
      </c>
      <c r="M19" s="9"/>
      <c r="N19" s="9"/>
      <c r="O19" s="9">
        <v>1</v>
      </c>
      <c r="P19" s="9">
        <f>IF(OR(COUNTIF('Run Log'!$B:$B,A19)&lt;&gt;O19,COUNTIF('Run Log'!$A:$A,"RUN-TC-RS-FUNC-019-Base")&lt;&gt;1,COUNTIFS('Run Log'!$A:$A,"RUN-TC-RS-FUNC-019-Base",'Run Log'!$B:$B,A19,'Run Log'!$C:$C,"Base")&lt;&gt;1),"INCOMPLETE",IF(COUNTIFS('Run Log'!$B:$B,A19,'Run Log'!$D:$D,"PASS")=O19,"PASS",IF(COUNTIFS('Run Log'!$B:$B,A19,'Run Log'!$D:$D,"FAIL")&gt;0,"FAIL",IF(COUNTIFS('Run Log'!$B:$B,A19,'Run Log'!$D:$D,"BLOCKED")&gt;0,"BLOCKED",IF(COUNTIFS('Run Log'!$B:$B,A19,'Run Log'!$D:$D,"SKIPPED")&gt;0,"SKIPPED","NOT RUN")))))</f>
      </c>
    </row>
    <row r="20">
      <c r="A20" s="9" t="inlineStr">
        <is>
          <t>TC-RS-FUNC-020</t>
        </is>
      </c>
      <c r="B20" s="9" t="inlineStr">
        <is>
          <t>Lưu Thiết lập điểm tối đa hàng loạt（満点一括設定） xếp hàng tính toán rồi mới có kết quả mới</t>
        </is>
      </c>
      <c r="C20" s="9" t="inlineStr">
        <is>
          <t>A. Functional</t>
        </is>
      </c>
      <c r="D20" s="9" t="inlineStr">
        <is>
          <t>- Điều kiện: Trường có chức năng Thiết lập điểm tối đa hàng loạt（満点一括設定） (`/admin/grade/lesson_group/setting?setting_type=change_max_score`); tài khoản có quyền chạy hàng loạt; quy tắc tỷ lệ 30% trên mục điểm đơn vị (đơn vị U1 có M riêng 40).
- Dữ liệu test: mục điểm đơn vị (đơn vị U1 có M riêng 40), quy tắc tỷ lệ 30%</t>
        </is>
      </c>
      <c r="E20" s="9" t="inlineStr">
        <is>
          <t>Cao</t>
        </is>
      </c>
      <c r="F20" s="9" t="inlineStr">
        <is>
          <t>CONFIRMED</t>
        </is>
      </c>
      <c r="G20" s="9" t="inlineStr">
        <is>
          <t>UNASSESSED</t>
        </is>
      </c>
      <c r="H20" s="9" t="inlineStr">
        <is>
          <t>tiêu chí nghiệm thu “Trigger khi đổi điểm tối đa/đơn vị” (AC-G24 «Trigger khi đổi điểm tối đa/đơn vị»)</t>
        </is>
      </c>
      <c r="I20" s="9" t="inlineStr">
        <is>
          <t>A. Functional</t>
        </is>
      </c>
      <c r="J20" s="9" t="inlineStr">
        <is>
          <t>test-cases.vi.md</t>
        </is>
      </c>
      <c r="K20" s="9" t="inlineStr">
        <is>
          <t>1. Lưu M=50 cho các lớp/kỳ được phép.
2. Ngay sau khi lưu (trước khi batch xong), xem kết quả.
3. Chờ batch hoàn tất, xem lại.
| Lượt chạy | Phạm vi thực hiện và đối chiếu |
| --- | --- |
| Run: Base | Toàn bộ thủ tục theo đúng thứ tự; các đối chứng cùng fixture được kiểm trong cùng lượt, không bỏ bước |</t>
        </is>
      </c>
      <c r="L20" s="9" t="inlineStr">
        <is>
          <t>1. Ngay sau khi lưu: kết quả cũ vẫn hiện; không báo "hoàn tất" khi mới xếp hàng.
2. Sau batch thành công: kết quả theo M=50.</t>
        </is>
      </c>
      <c r="M20" s="9"/>
      <c r="N20" s="9"/>
      <c r="O20" s="9">
        <v>1</v>
      </c>
      <c r="P20" s="9">
        <f>IF(OR(COUNTIF('Run Log'!$B:$B,A20)&lt;&gt;O20,COUNTIF('Run Log'!$A:$A,"RUN-TC-RS-FUNC-020-Base")&lt;&gt;1,COUNTIFS('Run Log'!$A:$A,"RUN-TC-RS-FUNC-020-Base",'Run Log'!$B:$B,A20,'Run Log'!$C:$C,"Base")&lt;&gt;1),"INCOMPLETE",IF(COUNTIFS('Run Log'!$B:$B,A20,'Run Log'!$D:$D,"PASS")=O20,"PASS",IF(COUNTIFS('Run Log'!$B:$B,A20,'Run Log'!$D:$D,"FAIL")&gt;0,"FAIL",IF(COUNTIFS('Run Log'!$B:$B,A20,'Run Log'!$D:$D,"BLOCKED")&gt;0,"BLOCKED",IF(COUNTIFS('Run Log'!$B:$B,A20,'Run Log'!$D:$D,"SKIPPED")&gt;0,"SKIPPED","NOT RUN")))))</f>
      </c>
    </row>
    <row r="21">
      <c r="A21" s="9" t="inlineStr">
        <is>
          <t>TC-RS-FUNC-021</t>
        </is>
      </c>
      <c r="B21" s="9" t="inlineStr">
        <is>
          <t>Trường chỉ có quy tắc đỏ (không có tính tự động) vẫn có đường chạy hàng loạt</t>
        </is>
      </c>
      <c r="C21" s="9" t="inlineStr">
        <is>
          <t>A. Functional</t>
        </is>
      </c>
      <c r="D21" s="9" t="inlineStr">
        <is>
          <t>- Điều kiện: Trường không có quy tắc tính tự động nào đang hoạt động; mục số nguyên (M=100) có quy tắc “Cố định 30” (dưới 30).
- Dữ liệu test: mục số nguyên (M=100); quy tắc “Cố định 30” (dưới 30), tài khoản có quyền chạy hàng loạt</t>
        </is>
      </c>
      <c r="E21" s="9" t="inlineStr">
        <is>
          <t>Cao</t>
        </is>
      </c>
      <c r="F21" s="9" t="inlineStr">
        <is>
          <t>CONFIRMED</t>
        </is>
      </c>
      <c r="G21" s="9" t="inlineStr">
        <is>
          <t>UNASSESSED</t>
        </is>
      </c>
      <c r="H21" s="9" t="inlineStr">
        <is>
          <t>tiêu chí nghiệm thu “Bao phủ đường đăng ký và chạy lại” (AC-G23 «Bao phủ đường đăng ký và chạy lại»)</t>
        </is>
      </c>
      <c r="I21" s="9" t="inlineStr">
        <is>
          <t>A. Functional</t>
        </is>
      </c>
      <c r="J21" s="9" t="inlineStr">
        <is>
          <t>test-cases.vi.md</t>
        </is>
      </c>
      <c r="K21" s="9" t="inlineStr">
        <is>
          <t>1. Mở Tổng hợp thành tích（成績集計） (`/admin/grade/grade_setting_system/grade_calc`).
2. Tìm thao tác Thực hiện tính toán tự động（自動算出実行） cho Khối 1, kỳ 1学期期末 (cuối kỳ học kỳ 1).
3. Chạy, chờ hoàn tất, xem kết quả.
| Lượt chạy | Phạm vi thực hiện và đối chiếu |
| --- | --- |
| Run: Base | Toàn bộ thủ tục theo đúng thứ tự; các đối chứng cùng fixture được kiểm trong cùng lượt, không bỏ bước |</t>
        </is>
      </c>
      <c r="L21" s="9" t="inlineStr">
        <is>
          <t>Chạy được bằng thao tác hàng loạt hiện có (không có chế độ xét đỏ riêng); sau khi chạy, các ô được xét theo quy tắc “Cố định 30” (dưới 30). Nhãn/cách hiện nút cho trường không có tính tự động chưa chốt — không đánh giá phần này.</t>
        </is>
      </c>
      <c r="M21" s="9"/>
      <c r="N21" s="9"/>
      <c r="O21" s="9">
        <v>1</v>
      </c>
      <c r="P21" s="9">
        <f>IF(OR(COUNTIF('Run Log'!$B:$B,A21)&lt;&gt;O21,COUNTIF('Run Log'!$A:$A,"RUN-TC-RS-FUNC-021-Base")&lt;&gt;1,COUNTIFS('Run Log'!$A:$A,"RUN-TC-RS-FUNC-021-Base",'Run Log'!$B:$B,A21,'Run Log'!$C:$C,"Base")&lt;&gt;1),"INCOMPLETE",IF(COUNTIFS('Run Log'!$B:$B,A21,'Run Log'!$D:$D,"PASS")=O21,"PASS",IF(COUNTIFS('Run Log'!$B:$B,A21,'Run Log'!$D:$D,"FAIL")&gt;0,"FAIL",IF(COUNTIFS('Run Log'!$B:$B,A21,'Run Log'!$D:$D,"BLOCKED")&gt;0,"BLOCKED",IF(COUNTIFS('Run Log'!$B:$B,A21,'Run Log'!$D:$D,"SKIPPED")&gt;0,"SKIPPED","NOT RUN")))))</f>
      </c>
    </row>
    <row r="22">
      <c r="A22" s="9" t="inlineStr">
        <is>
          <t>TC-RS-FUNC-022</t>
        </is>
      </c>
      <c r="B22" s="9" t="inlineStr">
        <is>
          <t>Trích xuất thành tích（成績抽出）: các tùy chọn đỏ được lưu và mở lại đúng</t>
        </is>
      </c>
      <c r="C22" s="9" t="inlineStr">
        <is>
          <t>A. Functional</t>
        </is>
      </c>
      <c r="D22" s="9" t="inlineStr">
        <is>
          <t>- Điều kiện: mục số nguyên (M=100) có quy tắc “Cố định 30” (dưới 30). Đăng nhập tài khoản phụ trách đầu ra (trích xuất, công khai, phiếu điểm).
- Dữ liệu test: mục số nguyên (M=100), quy tắc “Cố định 30” (dưới 30); cấu hình trích xuất: lọc, ký hiệu “*” phía trước, tô màu, cấu hình trích xuất chỉ ký hiệu (“※” trước, “!” sau)</t>
        </is>
      </c>
      <c r="E22" s="9" t="inlineStr">
        <is>
          <t>Cao</t>
        </is>
      </c>
      <c r="F22" s="9" t="inlineStr">
        <is>
          <t>CONFIRMED</t>
        </is>
      </c>
      <c r="G22" s="9" t="inlineStr">
        <is>
          <t>UNASSESSED</t>
        </is>
      </c>
      <c r="H22" s="9" t="inlineStr">
        <is>
          <t>tiêu chí nghiệm thu “Hiển thị ô trích xuất” (AC-G30 «Hiển thị ô trích xuất»)</t>
        </is>
      </c>
      <c r="I22" s="9" t="inlineStr">
        <is>
          <t>A. Functional</t>
        </is>
      </c>
      <c r="J22" s="9" t="inlineStr">
        <is>
          <t>test-cases.vi.md</t>
        </is>
      </c>
      <c r="K22" s="9" t="inlineStr">
        <is>
          <t>1. Mở thiết lập hiển thị của trích xuất, khung Thiết lập chi tiết thông tin lớp học（授業情報の詳細設定）, phần điều kiện đỏ.
2. Cấu hình cấu hình trích xuất: lọc, ký hiệu “*” phía trước, tô màu, lưu, mở lại.
3. Cấu hình cấu hình trích xuất chỉ ký hiệu (“※” trước, “!” sau) (hai ký hiệu cùng bật), lưu, mở lại.
4. (PROPOSED) Chạy SELECT cột `extract_setting` của dòng `grade_extract_conf` tương ứng mẫu vừa lưu, lọc theo trường/năm test.
5. (PROPOSED) Nếu màn có chức năng sao chép thiết lập trích xuất hiện có: sao chép mẫu cấu hình trích xuất: lọc, ký hiệu “*” phía trước, tô màu, mở bản sao.
| Lượt chạy | Phạm vi thực hiện và đối chiếu |
| --- | --- |
| Run: filter-color | Cấu hình lọc và màu |
| Run: prefix-suffix | Cấu hình ký hiệu trước/sau |
| Run: copy | Sao chép cấu hình theo phần đề xuất |</t>
        </is>
      </c>
      <c r="L22" s="9" t="inlineStr">
        <is>
          <t>1. Có bốn tùy chọn độc lập: lọc học sinh có điểm đỏ, ký hiệu phía trước, ký hiệu phía sau, tô màu ô.
2. Ký hiệu trước và sau cùng bật được.
3. Màu chỉ chọn từ bảng màu hiện có (không có bộ chọn màu tự do).
4. Mở lại giữ đúng giá trị.
5. (PROPOSED) JSON `extract_setting` chứa phần điều kiện đỏ với các khóa `use_target_extract`, `use_prefix_mark`, `prefix_mark`, `use_suffix_mark`, `suffix_mark`, `use_cell_coloring`, `cell_color` khớp giá trị trên màn; không có cột/bảng mới cho thiết lập này.
6. (PROPOSED) Bản sao giữ nguyên bốn tùy chọn, ký hiệu và màu.</t>
        </is>
      </c>
      <c r="M22" s="9"/>
      <c r="N22" s="9"/>
      <c r="O22" s="9">
        <v>3</v>
      </c>
      <c r="P22" s="9">
        <f>IF(OR(COUNTIF('Run Log'!$B:$B,A22)&lt;&gt;O22,COUNTIF('Run Log'!$A:$A,"RUN-TC-RS-FUNC-022-filter-color")&lt;&gt;1,COUNTIFS('Run Log'!$A:$A,"RUN-TC-RS-FUNC-022-filter-color",'Run Log'!$B:$B,A22,'Run Log'!$C:$C,"filter-color")&lt;&gt;1,COUNTIF('Run Log'!$A:$A,"RUN-TC-RS-FUNC-022-prefix-suffix")&lt;&gt;1,COUNTIFS('Run Log'!$A:$A,"RUN-TC-RS-FUNC-022-prefix-suffix",'Run Log'!$B:$B,A22,'Run Log'!$C:$C,"prefix-suffix")&lt;&gt;1,COUNTIF('Run Log'!$A:$A,"RUN-TC-RS-FUNC-022-copy")&lt;&gt;1,COUNTIFS('Run Log'!$A:$A,"RUN-TC-RS-FUNC-022-copy",'Run Log'!$B:$B,A22,'Run Log'!$C:$C,"copy")&lt;&gt;1),"INCOMPLETE",IF(COUNTIFS('Run Log'!$B:$B,A22,'Run Log'!$D:$D,"PASS")=O22,"PASS",IF(COUNTIFS('Run Log'!$B:$B,A22,'Run Log'!$D:$D,"FAIL")&gt;0,"FAIL",IF(COUNTIFS('Run Log'!$B:$B,A22,'Run Log'!$D:$D,"BLOCKED")&gt;0,"BLOCKED",IF(COUNTIFS('Run Log'!$B:$B,A22,'Run Log'!$D:$D,"SKIPPED")&gt;0,"SKIPPED","NOT RUN")))))</f>
      </c>
    </row>
    <row r="23">
      <c r="A23" s="9" t="inlineStr">
        <is>
          <t>TC-RS-FUNC-023</t>
        </is>
      </c>
      <c r="B23" s="9" t="inlineStr">
        <is>
          <t>Trích xuất: lọc giữ học sinh có ít nhất một ô đỏ trong phạm vi đang xét</t>
        </is>
      </c>
      <c r="C23" s="9" t="inlineStr">
        <is>
          <t>A. Functional</t>
        </is>
      </c>
      <c r="D23" s="9" t="inlineStr">
        <is>
          <t>- Điều kiện: Kết quả đã xét: S10 Toán 24 Đỏ và Ngữ văn 20 Đỏ trong cùng phạm vi; S03 Không đỏ ở mọi môn. S10 có thêm ô Toán ở một thời điểm khác, Không đỏ. S06 có mục điểm đơn vị (đơn vị U1 có M riêng 40) U1 = 25 Đỏ, U2 = 35 Không đỏ.
- Dữ liệu test: học sinh S10 (học lớp G-B và G-C), học sinh S03 (điểm 31), học sinh S06 (điểm dự kiến 24), mục điểm đơn vị (đơn vị U1 có M riêng 40), quy tắc “Cố định 30” (dưới 30), cấu hình trích xuất: lọc, ký hiệu “*” phía trước, tô màu, cấu hình trích xuất chỉ ký hiệu (“※” trước, “!” sau)</t>
        </is>
      </c>
      <c r="E23" s="9" t="inlineStr">
        <is>
          <t>Cao</t>
        </is>
      </c>
      <c r="F23" s="9" t="inlineStr">
        <is>
          <t>CONFIRMED</t>
        </is>
      </c>
      <c r="G23" s="9" t="inlineStr">
        <is>
          <t>UNASSESSED</t>
        </is>
      </c>
      <c r="H23" s="9" t="inlineStr">
        <is>
          <t>tiêu chí nghiệm thu “Lọc khi trích xuất” (AC-G29 «Lọc khi trích xuất»)</t>
        </is>
      </c>
      <c r="I23" s="9" t="inlineStr">
        <is>
          <t>A. Functional</t>
        </is>
      </c>
      <c r="J23" s="9" t="inlineStr">
        <is>
          <t>test-cases.vi.md</t>
        </is>
      </c>
      <c r="K23" s="9" t="inlineStr">
        <is>
          <t>1. Chạy trích xuất với cấu hình trích xuất: lọc, ký hiệu “*” phía trước, tô màu, phạm vi gồm Toán và Ngữ văn.
2. Chạy lại với phạm vi chỉ Ngữ văn.
3. Chạy với cấu hình trích xuất chỉ ký hiệu (“※” trước, “!” sau) (lọc tắt).
4. Với cấu hình trích xuất: lọc, ký hiệu “*” phía trước, tô màu, chọn thời điểm khác thời điểm có ô Toán Đỏ của S10 (ô Toán của thời điểm đó Không đỏ).
5. Với cấu hình trích xuất: lọc, ký hiệu “*” phía trước, tô màu và mục điểm đơn vị (đơn vị U1 có M riêng 40): S06 có U1 Đỏ, U2 Không đỏ; chọn phạm vi chỉ U2.
6. Xóa thành công ô Toán của S10, chạy lại lọc với cả Toán và Ngữ văn.
| Lượt chạy | Phạm vi thực hiện và đối chiếu |
| --- | --- |
| Run: multi-red-scope | Bước 1, S10 có hai ô đỏ trong phạm vi |
| Run: one-red-in-scope | Bước 2, S10 chỉ còn Ngữ văn trong phạm vi |
| Run: no-red-in-scope | Đối chứng S03 của bước 1, không ô nào đỏ |
| Run: filter-off | Bước 3, chỉ ký hiệu và tắt lọc |
| Run: another-period-only | Bước 4, ô đỏ nằm ở thời điểm khác |
| Run: other-unit-only | Bước 5, chỉ U2 Không đỏ |
| Run: after-delete | Bước 6 sau baseline bước 1, xóa Toán nhưng giữ Ngữ văn |</t>
        </is>
      </c>
      <c r="L23" s="9" t="inlineStr">
        <is>
          <t>1. Bước 1: S10 có trong danh sách, S03 không.
2. Bước 2: S10 vẫn có trong danh sách nhờ Ngữ văn 20 Đỏ; không được loại S10 chỉ vì ô Toán ngoài phạm vi.
3. Bước 3: danh sách không bị lọc theo đỏ (chỉ bật ký hiệu không giới hạn học sinh).
4. Bước 4: S10 không có trong danh sách; ô đỏ ở thời điểm khác không giúp thỏa điều kiện.
5. Bước 5: S06 không có trong danh sách; ô đỏ của U1 ngoài phạm vi đơn vị.
6. S10 vẫn có trong danh sách nhờ Ngữ văn 20 Đỏ; ô Toán đã xóa không còn dấu đỏ.</t>
        </is>
      </c>
      <c r="M23" s="9"/>
      <c r="N23" s="9"/>
      <c r="O23" s="9">
        <v>7</v>
      </c>
      <c r="P23" s="9">
        <f>IF(OR(COUNTIF('Run Log'!$B:$B,A23)&lt;&gt;O23,COUNTIF('Run Log'!$A:$A,"RUN-TC-RS-FUNC-023-multi-red-scope")&lt;&gt;1,COUNTIFS('Run Log'!$A:$A,"RUN-TC-RS-FUNC-023-multi-red-scope",'Run Log'!$B:$B,A23,'Run Log'!$C:$C,"multi-red-scope")&lt;&gt;1,COUNTIF('Run Log'!$A:$A,"RUN-TC-RS-FUNC-023-one-red-in-scope")&lt;&gt;1,COUNTIFS('Run Log'!$A:$A,"RUN-TC-RS-FUNC-023-one-red-in-scope",'Run Log'!$B:$B,A23,'Run Log'!$C:$C,"one-red-in-scope")&lt;&gt;1,COUNTIF('Run Log'!$A:$A,"RUN-TC-RS-FUNC-023-no-red-in-scope")&lt;&gt;1,COUNTIFS('Run Log'!$A:$A,"RUN-TC-RS-FUNC-023-no-red-in-scope",'Run Log'!$B:$B,A23,'Run Log'!$C:$C,"no-red-in-scope")&lt;&gt;1,COUNTIF('Run Log'!$A:$A,"RUN-TC-RS-FUNC-023-filter-off")&lt;&gt;1,COUNTIFS('Run Log'!$A:$A,"RUN-TC-RS-FUNC-023-filter-off",'Run Log'!$B:$B,A23,'Run Log'!$C:$C,"filter-off")&lt;&gt;1,COUNTIF('Run Log'!$A:$A,"RUN-TC-RS-FUNC-023-another-period-only")&lt;&gt;1,COUNTIFS('Run Log'!$A:$A,"RUN-TC-RS-FUNC-023-another-period-only",'Run Log'!$B:$B,A23,'Run Log'!$C:$C,"another-period-only")&lt;&gt;1,COUNTIF('Run Log'!$A:$A,"RUN-TC-RS-FUNC-023-other-unit-only")&lt;&gt;1,COUNTIFS('Run Log'!$A:$A,"RUN-TC-RS-FUNC-023-other-unit-only",'Run Log'!$B:$B,A23,'Run Log'!$C:$C,"other-unit-only")&lt;&gt;1,COUNTIF('Run Log'!$A:$A,"RUN-TC-RS-FUNC-023-after-delete")&lt;&gt;1,COUNTIFS('Run Log'!$A:$A,"RUN-TC-RS-FUNC-023-after-delete",'Run Log'!$B:$B,A23,'Run Log'!$C:$C,"after-delete")&lt;&gt;1),"INCOMPLETE",IF(COUNTIFS('Run Log'!$B:$B,A23,'Run Log'!$D:$D,"PASS")=O23,"PASS",IF(COUNTIFS('Run Log'!$B:$B,A23,'Run Log'!$D:$D,"FAIL")&gt;0,"FAIL",IF(COUNTIFS('Run Log'!$B:$B,A23,'Run Log'!$D:$D,"BLOCKED")&gt;0,"BLOCKED",IF(COUNTIFS('Run Log'!$B:$B,A23,'Run Log'!$D:$D,"SKIPPED")&gt;0,"SKIPPED","NOT RUN")))))</f>
      </c>
    </row>
    <row r="24">
      <c r="A24" s="9" t="inlineStr">
        <is>
          <t>TC-RS-FUNC-024</t>
        </is>
      </c>
      <c r="B24" s="9" t="inlineStr">
        <is>
          <t>Trích xuất: chỉ ô đỏ được thêm ký hiệu/tô màu</t>
        </is>
      </c>
      <c r="C24" s="9" t="inlineStr">
        <is>
          <t>A. Functional</t>
        </is>
      </c>
      <c r="D24" s="9" t="inlineStr">
        <is>
          <t>- Điều kiện: fixture riêng S10, Toán=24 Đỏ và Ngữ văn=70 Không đỏ; ngưỡng cố định 30, dấu nhỏ hơn, M=100 ở cả hai mục. Không kế thừa Ngữ văn=20 của FUNC-023.
- Dữ liệu test: học sinh S10 (học lớp G-B và G-C), cấu hình trích xuất: lọc, ký hiệu “*” phía trước, tô màu, cấu hình trích xuất chỉ ký hiệu (“※” trước, “!” sau)</t>
        </is>
      </c>
      <c r="E24" s="9" t="inlineStr">
        <is>
          <t>Cao</t>
        </is>
      </c>
      <c r="F24" s="9" t="inlineStr">
        <is>
          <t>CONFIRMED</t>
        </is>
      </c>
      <c r="G24" s="9" t="inlineStr">
        <is>
          <t>UNASSESSED</t>
        </is>
      </c>
      <c r="H24" s="9" t="inlineStr">
        <is>
          <t>tiêu chí nghiệm thu “Hiển thị ô trích xuất” (AC-G30 «Hiển thị ô trích xuất»)</t>
        </is>
      </c>
      <c r="I24" s="9" t="inlineStr">
        <is>
          <t>A. Functional</t>
        </is>
      </c>
      <c r="J24" s="9" t="inlineStr">
        <is>
          <t>test-cases.vi.md</t>
        </is>
      </c>
      <c r="K24" s="9" t="inlineStr">
        <is>
          <t>1. Chạy trích xuất cấu hình trích xuất: lọc, ký hiệu “*” phía trước, tô màu, xem dòng S10.
2. Chạy cấu hình trích xuất chỉ ký hiệu (“※” trước, “!” sau), xem dòng S10.
| Lượt chạy | Phạm vi thực hiện và đối chiếu |
| --- | --- |
| Run: prefix-color | Ký hiệu trước và màu |
| Run: prefix-suffix | Ký hiệu trước và sau |</t>
        </is>
      </c>
      <c r="L24" s="9" t="inlineStr">
        <is>
          <t>1. cấu hình trích xuất: lọc, ký hiệu “*” phía trước, tô màu: ô Toán hiện `*24` với nền màu Đỏ（赤） của bảng màu; ô Ngữ văn `70` không ký hiệu, không màu; không tô cả dòng.
2. cấu hình trích xuất chỉ ký hiệu (“※” trước, “!” sau): ô Toán `※24!`; ô Ngữ văn `70`.</t>
        </is>
      </c>
      <c r="M24" s="9"/>
      <c r="N24" s="9"/>
      <c r="O24" s="9">
        <v>2</v>
      </c>
      <c r="P24" s="9">
        <f>IF(OR(COUNTIF('Run Log'!$B:$B,A24)&lt;&gt;O24,COUNTIF('Run Log'!$A:$A,"RUN-TC-RS-FUNC-024-prefix-color")&lt;&gt;1,COUNTIFS('Run Log'!$A:$A,"RUN-TC-RS-FUNC-024-prefix-color",'Run Log'!$B:$B,A24,'Run Log'!$C:$C,"prefix-color")&lt;&gt;1,COUNTIF('Run Log'!$A:$A,"RUN-TC-RS-FUNC-024-prefix-suffix")&lt;&gt;1,COUNTIFS('Run Log'!$A:$A,"RUN-TC-RS-FUNC-024-prefix-suffix",'Run Log'!$B:$B,A24,'Run Log'!$C:$C,"prefix-suffix")&lt;&gt;1),"INCOMPLETE",IF(COUNTIFS('Run Log'!$B:$B,A24,'Run Log'!$D:$D,"PASS")=O24,"PASS",IF(COUNTIFS('Run Log'!$B:$B,A24,'Run Log'!$D:$D,"FAIL")&gt;0,"FAIL",IF(COUNTIFS('Run Log'!$B:$B,A24,'Run Log'!$D:$D,"BLOCKED")&gt;0,"BLOCKED",IF(COUNTIFS('Run Log'!$B:$B,A24,'Run Log'!$D:$D,"SKIPPED")&gt;0,"SKIPPED","NOT RUN")))))</f>
      </c>
    </row>
    <row r="25">
      <c r="A25" s="9" t="inlineStr">
        <is>
          <t>TC-RS-FUNC-025</t>
        </is>
      </c>
      <c r="B25" s="9" t="inlineStr">
        <is>
          <t>Trích xuất: file Excel khớp màn hình</t>
        </is>
      </c>
      <c r="C25" s="9" t="inlineStr">
        <is>
          <t>A. Functional</t>
        </is>
      </c>
      <c r="D25" s="9" t="inlineStr">
        <is>
          <t>- Điều kiện: Như case “Trích xuất: chỉ ô đỏ được thêm ký hiệu/tô màu”; S05 có ô trống.
- Dữ liệu test: cấu hình trích xuất: lọc, ký hiệu “*” phía trước, tô màu, cấu hình trích xuất chỉ ký hiệu (“※” trước, “!” sau), học sinh S05 (ô trống), học sinh S10 (học lớp G-B và G-C)</t>
        </is>
      </c>
      <c r="E25" s="9" t="inlineStr">
        <is>
          <t>Cao</t>
        </is>
      </c>
      <c r="F25" s="9" t="inlineStr">
        <is>
          <t>CONFIRMED</t>
        </is>
      </c>
      <c r="G25" s="9" t="inlineStr">
        <is>
          <t>UNASSESSED</t>
        </is>
      </c>
      <c r="H25" s="9" t="inlineStr">
        <is>
          <t>tiêu chí nghiệm thu “Excel khớp và dùng kết luận server” (AC-G31 «Excel khớp và dùng kết luận server»)</t>
        </is>
      </c>
      <c r="I25" s="9" t="inlineStr">
        <is>
          <t>A. Functional</t>
        </is>
      </c>
      <c r="J25" s="9" t="inlineStr">
        <is>
          <t>test-cases.vi.md</t>
        </is>
      </c>
      <c r="K25" s="9" t="inlineStr">
        <is>
          <t>1. Chạy trích xuất, chụp màn kết quả.
2. Xuất Excel, mở file.
3. Lặp bước 1–2 với: (a) cấu hình trích xuất chỉ ký hiệu (“※” trước, “!” sau) (lọc đỏ TẮT); (b) phạm vi không có ô đỏ nào (0 kết quả); (c) sau khi một ô Đỏ bị ngừng kết quả cũ (như case “Chưa có kết quả tổng hợp → Chưa xét được, không thay bằng 0 hay nhóm khác”, Chưa xét được); (d) mục có điểm bị ẩn theo thiết lập ẩn mục nhập (như case “Mục bị ẩn theo thiết lập ẩn mục nhập”).
| Lượt chạy | Phạm vi thực hiện và đối chiếu |
| --- | --- |
| Run: filter-on | Lượt ban đầu bật lọc |
| Run: filter-off | Nhánh a tắt lọc |
| Run: empty | Nhánh b không có ô đỏ |
| Run: stale | Nhánh c kết quả không còn hiệu lực |
| Run: hidden | Nhánh d điểm ẩn |</t>
        </is>
      </c>
      <c r="L25" s="9" t="inlineStr">
        <is>
          <t>1–2. Danh sách học sinh trong Excel giống màn hình (lọc đỏ đang bật). Cùng ô: ký hiệu, màu nền, số liệu, ô trống trong Excel giống màn hình. Ô trống không hiện số 0. Tải Excel không kích hoạt xét.
3. Mỗi biến thể: file Excel khớp màn hình cùng lần — (a) đủ học sinh, chỉ ô đỏ có ký hiệu/màu; (b) Excel không có học sinh giống màn hình; (c) ô bị ngừng kết quả cũ không còn ký hiệu/màu; (d) điểm ẩn không hiện lại trong Excel.</t>
        </is>
      </c>
      <c r="M25" s="9"/>
      <c r="N25" s="9"/>
      <c r="O25" s="9">
        <v>5</v>
      </c>
      <c r="P25" s="9">
        <f>IF(OR(COUNTIF('Run Log'!$B:$B,A25)&lt;&gt;O25,COUNTIF('Run Log'!$A:$A,"RUN-TC-RS-FUNC-025-filter-on")&lt;&gt;1,COUNTIFS('Run Log'!$A:$A,"RUN-TC-RS-FUNC-025-filter-on",'Run Log'!$B:$B,A25,'Run Log'!$C:$C,"filter-on")&lt;&gt;1,COUNTIF('Run Log'!$A:$A,"RUN-TC-RS-FUNC-025-filter-off")&lt;&gt;1,COUNTIFS('Run Log'!$A:$A,"RUN-TC-RS-FUNC-025-filter-off",'Run Log'!$B:$B,A25,'Run Log'!$C:$C,"filter-off")&lt;&gt;1,COUNTIF('Run Log'!$A:$A,"RUN-TC-RS-FUNC-025-empty")&lt;&gt;1,COUNTIFS('Run Log'!$A:$A,"RUN-TC-RS-FUNC-025-empty",'Run Log'!$B:$B,A25,'Run Log'!$C:$C,"empty")&lt;&gt;1,COUNTIF('Run Log'!$A:$A,"RUN-TC-RS-FUNC-025-stale")&lt;&gt;1,COUNTIFS('Run Log'!$A:$A,"RUN-TC-RS-FUNC-025-stale",'Run Log'!$B:$B,A25,'Run Log'!$C:$C,"stale")&lt;&gt;1,COUNTIF('Run Log'!$A:$A,"RUN-TC-RS-FUNC-025-hidden")&lt;&gt;1,COUNTIFS('Run Log'!$A:$A,"RUN-TC-RS-FUNC-025-hidden",'Run Log'!$B:$B,A25,'Run Log'!$C:$C,"hidden")&lt;&gt;1),"INCOMPLETE",IF(COUNTIFS('Run Log'!$B:$B,A25,'Run Log'!$D:$D,"PASS")=O25,"PASS",IF(COUNTIFS('Run Log'!$B:$B,A25,'Run Log'!$D:$D,"FAIL")&gt;0,"FAIL",IF(COUNTIFS('Run Log'!$B:$B,A25,'Run Log'!$D:$D,"BLOCKED")&gt;0,"BLOCKED",IF(COUNTIFS('Run Log'!$B:$B,A25,'Run Log'!$D:$D,"SKIPPED")&gt;0,"SKIPPED","NOT RUN")))))</f>
      </c>
    </row>
    <row r="26">
      <c r="A26" s="9" t="inlineStr">
        <is>
          <t>TC-RS-FUNC-026</t>
        </is>
      </c>
      <c r="B26" s="9" t="inlineStr">
        <is>
          <t>Công khai thành tích（成績公開）: ba hiệu ứng đỏ hiển thị đúng ở màn học sinh</t>
        </is>
      </c>
      <c r="C26" s="9" t="inlineStr">
        <is>
          <t>A. Functional</t>
        </is>
      </c>
      <c r="D26" s="9" t="inlineStr">
        <is>
          <t>- Điều kiện: S01 Đỏ (29), không phải điểm dự kiến. Lịch công khai đang mở.
- Dữ liệu test: mục số nguyên (M=100); mục điểm đơn vị (đơn vị U1 có M riêng 40); học sinh S01 (điểm 29), học sinh S06 (điểm dự kiến 24), tài khoản học sinh S01, tài khoản phụ trách đầu ra (trích xuất, công khai, phiếu điểm)</t>
        </is>
      </c>
      <c r="E26" s="9" t="inlineStr">
        <is>
          <t>Cao</t>
        </is>
      </c>
      <c r="F26" s="9" t="inlineStr">
        <is>
          <t>CONFIRMED</t>
        </is>
      </c>
      <c r="G26" s="9" t="inlineStr">
        <is>
          <t>UNASSESSED</t>
        </is>
      </c>
      <c r="H26" s="9" t="inlineStr">
        <is>
          <t>tiêu chí nghiệm thu “Cấu hình công khai và ẩn điểm” (AC-G32 «Cấu hình công khai và ẩn điểm»)</t>
        </is>
      </c>
      <c r="I26" s="9" t="inlineStr">
        <is>
          <t>A. Functional</t>
        </is>
      </c>
      <c r="J26" s="9" t="inlineStr">
        <is>
          <t>test-cases.vi.md</t>
        </is>
      </c>
      <c r="K26" s="9" t="inlineStr">
        <is>
          <t>1. Ở Thiết lập công khai thành tích（成績公開設定）, mục mục số nguyên (M=100), chọn hiệu ứng đỏ Ngoặc（括弧）, lưu. Đăng nhập S01 xem Xác nhận thành tích（成績確認）.
2. Lặp với `*` phía trước.
3. Lặp với `*` phía sau.
4. Mở lại Thiết lập công khai thành tích.
5. Với mục điểm đơn vị mục điểm đơn vị (đơn vị U1 có M riêng 40) (S06 U1 = 25 Đỏ), chọn `*` phía trước, lưu; đăng nhập S06 xem.
| Lượt chạy | Phạm vi thực hiện và đối chiếu |
| --- | --- |
| Run: parentheses | Hiệu ứng ngoặc |
| Run: prefix | Hiệu ứng phía trước |
| Run: suffix-reopen | Hiệu ứng phía sau và mở lại |
| Run: unit-prefix | Điểm đơn vị với hiệu ứng phía trước |</t>
        </is>
      </c>
      <c r="L26" s="9" t="inlineStr">
        <is>
          <t>1–3. Lần lượt `(29)`, `*29`, `29*`. Không có nền màu riêng cho ô đỏ.
4. Hiệu ứng đã lưu gần nhất (`*` phía sau) được chọn sẵn.
5. Ô U1 hiện `*25`; ô U2 không ký hiệu.</t>
        </is>
      </c>
      <c r="M26" s="9"/>
      <c r="N26" s="9"/>
      <c r="O26" s="9">
        <v>4</v>
      </c>
      <c r="P26" s="9">
        <f>IF(OR(COUNTIF('Run Log'!$B:$B,A26)&lt;&gt;O26,COUNTIF('Run Log'!$A:$A,"RUN-TC-RS-FUNC-026-parentheses")&lt;&gt;1,COUNTIFS('Run Log'!$A:$A,"RUN-TC-RS-FUNC-026-parentheses",'Run Log'!$B:$B,A26,'Run Log'!$C:$C,"parentheses")&lt;&gt;1,COUNTIF('Run Log'!$A:$A,"RUN-TC-RS-FUNC-026-prefix")&lt;&gt;1,COUNTIFS('Run Log'!$A:$A,"RUN-TC-RS-FUNC-026-prefix",'Run Log'!$B:$B,A26,'Run Log'!$C:$C,"prefix")&lt;&gt;1,COUNTIF('Run Log'!$A:$A,"RUN-TC-RS-FUNC-026-suffix-reopen")&lt;&gt;1,COUNTIFS('Run Log'!$A:$A,"RUN-TC-RS-FUNC-026-suffix-reopen",'Run Log'!$B:$B,A26,'Run Log'!$C:$C,"suffix-reopen")&lt;&gt;1,COUNTIF('Run Log'!$A:$A,"RUN-TC-RS-FUNC-026-unit-prefix")&lt;&gt;1,COUNTIFS('Run Log'!$A:$A,"RUN-TC-RS-FUNC-026-unit-prefix",'Run Log'!$B:$B,A26,'Run Log'!$C:$C,"unit-prefix")&lt;&gt;1),"INCOMPLETE",IF(COUNTIFS('Run Log'!$B:$B,A26,'Run Log'!$D:$D,"PASS")=O26,"PASS",IF(COUNTIFS('Run Log'!$B:$B,A26,'Run Log'!$D:$D,"FAIL")&gt;0,"FAIL",IF(COUNTIFS('Run Log'!$B:$B,A26,'Run Log'!$D:$D,"BLOCKED")&gt;0,"BLOCKED",IF(COUNTIFS('Run Log'!$B:$B,A26,'Run Log'!$D:$D,"SKIPPED")&gt;0,"SKIPPED","NOT RUN")))))</f>
      </c>
    </row>
    <row r="27">
      <c r="A27" s="9" t="inlineStr">
        <is>
          <t>TC-RS-FUNC-027</t>
        </is>
      </c>
      <c r="B27" s="9" t="inlineStr">
        <is>
          <t>Công khai: kết hợp hiệu ứng Điểm dự kiến（見込点） và điểm đỏ, khử trùng</t>
        </is>
      </c>
      <c r="C27" s="9" t="inlineStr">
        <is>
          <t>A. Functional</t>
        </is>
      </c>
      <c r="D27" s="9" t="inlineStr">
        <is>
          <t>- Điều kiện: S06 = 24, vừa là Điểm dự kiến（見込点） vừa Đỏ.
- Dữ liệu test: học sinh S06 (điểm dự kiến 24), tài khoản học sinh S06; fixture quyền phải map đúng học sinh S06, không dùng tài khoản S01 để xem dữ liệu S06.</t>
        </is>
      </c>
      <c r="E27" s="9" t="inlineStr">
        <is>
          <t>Cao</t>
        </is>
      </c>
      <c r="F27" s="9" t="inlineStr">
        <is>
          <t>CONFIRMED</t>
        </is>
      </c>
      <c r="G27" s="9" t="inlineStr">
        <is>
          <t>UNASSESSED</t>
        </is>
      </c>
      <c r="H27" s="9" t="inlineStr">
        <is>
          <t>tiêu chí nghiệm thu “Kết hợp hiệu ứng công khai” (AC-G33 «Kết hợp hiệu ứng công khai»)</t>
        </is>
      </c>
      <c r="I27" s="9" t="inlineStr">
        <is>
          <t>A. Functional</t>
        </is>
      </c>
      <c r="J27" s="9" t="inlineStr">
        <is>
          <t>test-cases.vi.md</t>
        </is>
      </c>
      <c r="K27" s="9" t="inlineStr">
        <is>
          <t>Với mỗi dòng của bảng dưới, cấu hình hiệu ứng dự kiến và hiệu ứng đỏ, lưu, xem màn học sinh của S06.
(a) Ngoặc + `*` trước; (b) `*` trước + `*` trước; (c) Ngoặc + Ngoặc; (d) `*` trước + `*` sau; (e) không trang trí + Ngoặc; (f) điểm bị ẩn theo thiết lập hiện có（表示しない） + `*` trước.
| Lượt chạy | Phạm vi thực hiện và đối chiếu |
| --- | --- |
| Run: a | Thực hiện tổ hợp (a) |
| Run: b | Thực hiện tổ hợp (b) |
| Run: c | Thực hiện tổ hợp (c) |
| Run: d | Thực hiện tổ hợp (d) |
| Run: e | Thực hiện tổ hợp (e) |
| Run: f | Thực hiện tổ hợp (f) |</t>
        </is>
      </c>
      <c r="L27" s="9" t="inlineStr">
        <is>
          <t>(a) `(*24)`; (b) `*24`, không phải `**24`; (c) `(24)`, không phải `((24))`; (d) `*24*`; (e) `(24)`; (f) vẫn ẩn, không hiện số, không để lại riêng dấu `*`.</t>
        </is>
      </c>
      <c r="M27" s="9"/>
      <c r="N27" s="9"/>
      <c r="O27" s="9">
        <v>6</v>
      </c>
      <c r="P27" s="9">
        <f>IF(OR(COUNTIF('Run Log'!$B:$B,A27)&lt;&gt;O27,COUNTIF('Run Log'!$A:$A,"RUN-TC-RS-FUNC-027-a")&lt;&gt;1,COUNTIFS('Run Log'!$A:$A,"RUN-TC-RS-FUNC-027-a",'Run Log'!$B:$B,A27,'Run Log'!$C:$C,"a")&lt;&gt;1,COUNTIF('Run Log'!$A:$A,"RUN-TC-RS-FUNC-027-b")&lt;&gt;1,COUNTIFS('Run Log'!$A:$A,"RUN-TC-RS-FUNC-027-b",'Run Log'!$B:$B,A27,'Run Log'!$C:$C,"b")&lt;&gt;1,COUNTIF('Run Log'!$A:$A,"RUN-TC-RS-FUNC-027-c")&lt;&gt;1,COUNTIFS('Run Log'!$A:$A,"RUN-TC-RS-FUNC-027-c",'Run Log'!$B:$B,A27,'Run Log'!$C:$C,"c")&lt;&gt;1,COUNTIF('Run Log'!$A:$A,"RUN-TC-RS-FUNC-027-d")&lt;&gt;1,COUNTIFS('Run Log'!$A:$A,"RUN-TC-RS-FUNC-027-d",'Run Log'!$B:$B,A27,'Run Log'!$C:$C,"d")&lt;&gt;1,COUNTIF('Run Log'!$A:$A,"RUN-TC-RS-FUNC-027-e")&lt;&gt;1,COUNTIFS('Run Log'!$A:$A,"RUN-TC-RS-FUNC-027-e",'Run Log'!$B:$B,A27,'Run Log'!$C:$C,"e")&lt;&gt;1,COUNTIF('Run Log'!$A:$A,"RUN-TC-RS-FUNC-027-f")&lt;&gt;1,COUNTIFS('Run Log'!$A:$A,"RUN-TC-RS-FUNC-027-f",'Run Log'!$B:$B,A27,'Run Log'!$C:$C,"f")&lt;&gt;1),"INCOMPLETE",IF(COUNTIFS('Run Log'!$B:$B,A27,'Run Log'!$D:$D,"PASS")=O27,"PASS",IF(COUNTIFS('Run Log'!$B:$B,A27,'Run Log'!$D:$D,"FAIL")&gt;0,"FAIL",IF(COUNTIFS('Run Log'!$B:$B,A27,'Run Log'!$D:$D,"BLOCKED")&gt;0,"BLOCKED",IF(COUNTIFS('Run Log'!$B:$B,A27,'Run Log'!$D:$D,"SKIPPED")&gt;0,"SKIPPED","NOT RUN")))))</f>
      </c>
    </row>
    <row r="28">
      <c r="A28" s="9" t="inlineStr">
        <is>
          <t>TC-RS-FUNC-028</t>
        </is>
      </c>
      <c r="B28" s="9" t="inlineStr">
        <is>
          <t>Công khai: web, API và PDF học sinh dùng cùng kết quả và cùng hiệu ứng</t>
        </is>
      </c>
      <c r="C28" s="9" t="inlineStr">
        <is>
          <t>A. Functional</t>
        </is>
      </c>
      <c r="D28" s="9" t="inlineStr">
        <is>
          <t>- Điều kiện: Như case “Công khai thành tích（成績公開）: ba hiệu ứng đỏ hiển thị đúng ở màn học sinh” với hiệu ứng `*` trước.
- Dữ liệu test: học sinh S01 (điểm 29), tài khoản học sinh S01</t>
        </is>
      </c>
      <c r="E28" s="9" t="inlineStr">
        <is>
          <t>Cao</t>
        </is>
      </c>
      <c r="F28" s="9" t="inlineStr">
        <is>
          <t>CONFIRMED</t>
        </is>
      </c>
      <c r="G28" s="9" t="inlineStr">
        <is>
          <t>UNASSESSED</t>
        </is>
      </c>
      <c r="H28" s="9" t="inlineStr">
        <is>
          <t>tiêu chí nghiệm thu “Đúng người, lịch và đầu ra công khai” (AC-G34 «Đúng người, lịch và đầu ra công khai»)</t>
        </is>
      </c>
      <c r="I28" s="9" t="inlineStr">
        <is>
          <t>A. Functional</t>
        </is>
      </c>
      <c r="J28" s="9" t="inlineStr">
        <is>
          <t>test-cases.vi.md</t>
        </is>
      </c>
      <c r="K28" s="9" t="inlineStr">
        <is>
          <t>1. Xem màn web Xác nhận thành tích（成績確認） của S01.
2. Gọi API công khai thành tích của S01 bằng phiên học sinh.
3. Tải PDF công khai của S01.
| Lượt chạy | Phạm vi thực hiện và đối chiếu |
| --- | --- |
| Run: web | Màn web |
| Run: api | Response API |
| Run: pdf | File PDF |</t>
        </is>
      </c>
      <c r="L28" s="9" t="inlineStr">
        <is>
          <t>Cả ba hiển thị `*29` cho cùng ô; không nền màu.</t>
        </is>
      </c>
      <c r="M28" s="9"/>
      <c r="N28" s="9"/>
      <c r="O28" s="9">
        <v>3</v>
      </c>
      <c r="P28" s="9">
        <f>IF(OR(COUNTIF('Run Log'!$B:$B,A28)&lt;&gt;O28,COUNTIF('Run Log'!$A:$A,"RUN-TC-RS-FUNC-028-web")&lt;&gt;1,COUNTIFS('Run Log'!$A:$A,"RUN-TC-RS-FUNC-028-web",'Run Log'!$B:$B,A28,'Run Log'!$C:$C,"web")&lt;&gt;1,COUNTIF('Run Log'!$A:$A,"RUN-TC-RS-FUNC-028-api")&lt;&gt;1,COUNTIFS('Run Log'!$A:$A,"RUN-TC-RS-FUNC-028-api",'Run Log'!$B:$B,A28,'Run Log'!$C:$C,"api")&lt;&gt;1,COUNTIF('Run Log'!$A:$A,"RUN-TC-RS-FUNC-028-pdf")&lt;&gt;1,COUNTIFS('Run Log'!$A:$A,"RUN-TC-RS-FUNC-028-pdf",'Run Log'!$B:$B,A28,'Run Log'!$C:$C,"pdf")&lt;&gt;1),"INCOMPLETE",IF(COUNTIFS('Run Log'!$B:$B,A28,'Run Log'!$D:$D,"PASS")=O28,"PASS",IF(COUNTIFS('Run Log'!$B:$B,A28,'Run Log'!$D:$D,"FAIL")&gt;0,"FAIL",IF(COUNTIFS('Run Log'!$B:$B,A28,'Run Log'!$D:$D,"BLOCKED")&gt;0,"BLOCKED",IF(COUNTIFS('Run Log'!$B:$B,A28,'Run Log'!$D:$D,"SKIPPED")&gt;0,"SKIPPED","NOT RUN")))))</f>
      </c>
    </row>
    <row r="29">
      <c r="A29" s="9" t="inlineStr">
        <is>
          <t>TC-RS-FUNC-029</t>
        </is>
      </c>
      <c r="B29" s="9" t="inlineStr">
        <is>
          <t>Công cụ phiếu điểm（通知表ツール）: bốn cách hiển thị đỏ trên PDF</t>
        </is>
      </c>
      <c r="C29" s="9" t="inlineStr">
        <is>
          <t>A. Functional</t>
        </is>
      </c>
      <c r="D29" s="9" t="inlineStr">
        <is>
          <t>- Điều kiện: S01 Đỏ (29), không điểm dự kiến, không cờ nào. Các dòng khác của hộp tùy chọn chọn Nguyên trạng（そのまま表示）.
- Dữ liệu test: học sinh S01 (điểm 29), cấu hình phiếu điểm: ký tự “※” phía trước, tài khoản phụ trách đầu ra (trích xuất, công khai, phiếu điểm)</t>
        </is>
      </c>
      <c r="E29" s="9" t="inlineStr">
        <is>
          <t>Cao</t>
        </is>
      </c>
      <c r="F29" s="9" t="inlineStr">
        <is>
          <t>CONFIRMED</t>
        </is>
      </c>
      <c r="G29" s="9" t="inlineStr">
        <is>
          <t>UNASSESSED</t>
        </is>
      </c>
      <c r="H29" s="9" t="inlineStr">
        <is>
          <t>tiêu chí nghiệm thu “Tùy chọn trên phiếu” (AC-G35 «Tùy chọn trên phiếu»)</t>
        </is>
      </c>
      <c r="I29" s="9" t="inlineStr">
        <is>
          <t>A. Functional</t>
        </is>
      </c>
      <c r="J29" s="9" t="inlineStr">
        <is>
          <t>test-cases.vi.md</t>
        </is>
      </c>
      <c r="K29" s="9" t="inlineStr">
        <is>
          <t>Với từng cách hiển thị: chọn ở dòng Thiết lập điểm đỏ（赤点設定）, đóng hộp, bấm Cập nhật（更新する）, xuất PDF phiếu của S01.
(a) Nguyên trạng（そのまま表示）; (b) Kèm ngoặc（カッコ付き）; (c) Ký tự phía trước（前に任意の文字） `※`; (d) Ký tự phía sau（後ろに任意の文字） `※`.
| Lượt chạy | Phạm vi thực hiện và đối chiếu |
| --- | --- |
| Run: unchanged | Nguyên trạng |
| Run: parentheses | Kèm ngoặc |
| Run: prefix | Ký tự phía trước |
| Run: suffix | Ký tự phía sau |</t>
        </is>
      </c>
      <c r="L29" s="9" t="inlineStr">
        <is>
          <t>(a) `29`; (b) `(29)`; (c) `※29`; (d) `29※`. Không nền màu; ký tự không tràn ô, không mất ký tự, không đổi cấu trúc template.</t>
        </is>
      </c>
      <c r="M29" s="9"/>
      <c r="N29" s="9"/>
      <c r="O29" s="9">
        <v>4</v>
      </c>
      <c r="P29" s="9">
        <f>IF(OR(COUNTIF('Run Log'!$B:$B,A29)&lt;&gt;O29,COUNTIF('Run Log'!$A:$A,"RUN-TC-RS-FUNC-029-unchanged")&lt;&gt;1,COUNTIFS('Run Log'!$A:$A,"RUN-TC-RS-FUNC-029-unchanged",'Run Log'!$B:$B,A29,'Run Log'!$C:$C,"unchanged")&lt;&gt;1,COUNTIF('Run Log'!$A:$A,"RUN-TC-RS-FUNC-029-parentheses")&lt;&gt;1,COUNTIFS('Run Log'!$A:$A,"RUN-TC-RS-FUNC-029-parentheses",'Run Log'!$B:$B,A29,'Run Log'!$C:$C,"parentheses")&lt;&gt;1,COUNTIF('Run Log'!$A:$A,"RUN-TC-RS-FUNC-029-prefix")&lt;&gt;1,COUNTIFS('Run Log'!$A:$A,"RUN-TC-RS-FUNC-029-prefix",'Run Log'!$B:$B,A29,'Run Log'!$C:$C,"prefix")&lt;&gt;1,COUNTIF('Run Log'!$A:$A,"RUN-TC-RS-FUNC-029-suffix")&lt;&gt;1,COUNTIFS('Run Log'!$A:$A,"RUN-TC-RS-FUNC-029-suffix",'Run Log'!$B:$B,A29,'Run Log'!$C:$C,"suffix")&lt;&gt;1),"INCOMPLETE",IF(COUNTIFS('Run Log'!$B:$B,A29,'Run Log'!$D:$D,"PASS")=O29,"PASS",IF(COUNTIFS('Run Log'!$B:$B,A29,'Run Log'!$D:$D,"FAIL")&gt;0,"FAIL",IF(COUNTIFS('Run Log'!$B:$B,A29,'Run Log'!$D:$D,"BLOCKED")&gt;0,"BLOCKED",IF(COUNTIFS('Run Log'!$B:$B,A29,'Run Log'!$D:$D,"SKIPPED")&gt;0,"SKIPPED","NOT RUN")))))</f>
      </c>
    </row>
    <row r="30">
      <c r="A30" s="9" t="inlineStr">
        <is>
          <t>TC-RS-FUNC-030</t>
        </is>
      </c>
      <c r="B30" s="9" t="inlineStr">
        <is>
          <t>Phiếu điểm: thứ tự điều kiện và dừng ở điều kiện khớp đầu tiên</t>
        </is>
      </c>
      <c r="C30" s="9" t="inlineStr">
        <is>
          <t>A. Functional</t>
        </is>
      </c>
      <c r="D30" s="9" t="inlineStr">
        <is>
          <t>- Điều kiện: S06 = 24 vừa dự kiến vừa Đỏ; S01 = 29 Đỏ, không cờ; S05 ô trống, trước đó từng Đỏ.
- Dữ liệu test: học sinh S06 (điểm dự kiến 24), học sinh S01 (điểm 29), học sinh S05 (ô trống), cấu hình phiếu điểm: ký tự “※” phía trước</t>
        </is>
      </c>
      <c r="E30" s="9" t="inlineStr">
        <is>
          <t>Cao</t>
        </is>
      </c>
      <c r="F30" s="9" t="inlineStr">
        <is>
          <t>CONFIRMED</t>
        </is>
      </c>
      <c r="G30" s="9" t="inlineStr">
        <is>
          <t>UNASSESSED</t>
        </is>
      </c>
      <c r="H30" s="9" t="inlineStr">
        <is>
          <t>tiêu chí nghiệm thu “Phiếu dừng ở điều kiện khớp đầu tiên” (AC-G36 «Phiếu dừng ở điều kiện khớp đầu tiên»)</t>
        </is>
      </c>
      <c r="I30" s="9" t="inlineStr">
        <is>
          <t>A. Functional</t>
        </is>
      </c>
      <c r="J30" s="9" t="inlineStr">
        <is>
          <t>test-cases.vi.md</t>
        </is>
      </c>
      <c r="K30" s="9" t="inlineStr">
        <is>
          <t>Cấu hình hộp tùy chọn theo từng dòng, bấm Cập nhật（更新する）, xuất PDF.
(a) Dự kiến = Kèm ngoặc; đỏ = `※` trước → xem S06.
(b) Dự kiến = Nguyên trạng; đỏ = `※` trước → xem S06.
(c) Dự kiến = Ẩn（表示しない） hoặc Gạch chéo（斜線）; đỏ = `※` trước → xem S06.
(d) Không điều kiện phía trên khớp; đỏ = `※` trước → xem S01.
(e) Ô trống（空欄の場合）= Kèm ngoặc; đỏ = `※` trước → xem S05.
(f) Trường hợp môn cụ thể（特定の科目の場合） = Toán, Kèm ngoặc; đỏ = `※` trước → xem S01 (Toán, Đỏ).
(g) Tạm gắn thêm cờ Chưa dự thi（未受験） cho S06; Dự kiến = Nguyên trạng, Chưa dự thi = Ẩn（表示しない）; đỏ = `※` trước → xem S06.
| Lượt chạy | Phạm vi thực hiện và đối chiếu |
| --- | --- |
| Run: a | Tổ hợp a |
| Run: b | Tổ hợp b |
| Run: c-hidden | Tổ hợp c với Ẩn |
| Run: c-slash | Tổ hợp c với Gạch chéo |
| Run: d | Tổ hợp d |
| Run: e | Tổ hợp e |
| Run: f | Tổ hợp f |
| Run: g | Tổ hợp g |</t>
        </is>
      </c>
      <c r="L30" s="9" t="inlineStr">
        <is>
          <t>(a) `(24)`, không thêm `※`; (b) `24`, không chuyển xuống điều kiện đỏ; (c) giữ ẩn/gạch chéo, đỏ không làm hiện lại điểm; (d) `※29`; (e) không áp dấu đỏ của kết quả cũ; ô trống hiển thị theo cấu hình ô trống; (f) `(29)`, điều kiện môn cụ thể thắng, không thêm `※`; (g) `24`: Nguyên trạng ở dòng dự kiến dừng xét, không áp lệnh Ẩn của dòng chưa dự thi phía sau.</t>
        </is>
      </c>
      <c r="M30" s="9"/>
      <c r="N30" s="9"/>
      <c r="O30" s="9">
        <v>8</v>
      </c>
      <c r="P30" s="9">
        <f>IF(OR(COUNTIF('Run Log'!$B:$B,A30)&lt;&gt;O30,COUNTIF('Run Log'!$A:$A,"RUN-TC-RS-FUNC-030-a")&lt;&gt;1,COUNTIFS('Run Log'!$A:$A,"RUN-TC-RS-FUNC-030-a",'Run Log'!$B:$B,A30,'Run Log'!$C:$C,"a")&lt;&gt;1,COUNTIF('Run Log'!$A:$A,"RUN-TC-RS-FUNC-030-b")&lt;&gt;1,COUNTIFS('Run Log'!$A:$A,"RUN-TC-RS-FUNC-030-b",'Run Log'!$B:$B,A30,'Run Log'!$C:$C,"b")&lt;&gt;1,COUNTIF('Run Log'!$A:$A,"RUN-TC-RS-FUNC-030-c-hidden")&lt;&gt;1,COUNTIFS('Run Log'!$A:$A,"RUN-TC-RS-FUNC-030-c-hidden",'Run Log'!$B:$B,A30,'Run Log'!$C:$C,"c-hidden")&lt;&gt;1,COUNTIF('Run Log'!$A:$A,"RUN-TC-RS-FUNC-030-c-slash")&lt;&gt;1,COUNTIFS('Run Log'!$A:$A,"RUN-TC-RS-FUNC-030-c-slash",'Run Log'!$B:$B,A30,'Run Log'!$C:$C,"c-slash")&lt;&gt;1,COUNTIF('Run Log'!$A:$A,"RUN-TC-RS-FUNC-030-d")&lt;&gt;1,COUNTIFS('Run Log'!$A:$A,"RUN-TC-RS-FUNC-030-d",'Run Log'!$B:$B,A30,'Run Log'!$C:$C,"d")&lt;&gt;1,COUNTIF('Run Log'!$A:$A,"RUN-TC-RS-FUNC-030-e")&lt;&gt;1,COUNTIFS('Run Log'!$A:$A,"RUN-TC-RS-FUNC-030-e",'Run Log'!$B:$B,A30,'Run Log'!$C:$C,"e")&lt;&gt;1,COUNTIF('Run Log'!$A:$A,"RUN-TC-RS-FUNC-030-f")&lt;&gt;1,COUNTIFS('Run Log'!$A:$A,"RUN-TC-RS-FUNC-030-f",'Run Log'!$B:$B,A30,'Run Log'!$C:$C,"f")&lt;&gt;1,COUNTIF('Run Log'!$A:$A,"RUN-TC-RS-FUNC-030-g")&lt;&gt;1,COUNTIFS('Run Log'!$A:$A,"RUN-TC-RS-FUNC-030-g",'Run Log'!$B:$B,A30,'Run Log'!$C:$C,"g")&lt;&gt;1),"INCOMPLETE",IF(COUNTIFS('Run Log'!$B:$B,A30,'Run Log'!$D:$D,"PASS")=O30,"PASS",IF(COUNTIFS('Run Log'!$B:$B,A30,'Run Log'!$D:$D,"FAIL")&gt;0,"FAIL",IF(COUNTIFS('Run Log'!$B:$B,A30,'Run Log'!$D:$D,"BLOCKED")&gt;0,"BLOCKED",IF(COUNTIFS('Run Log'!$B:$B,A30,'Run Log'!$D:$D,"SKIPPED")&gt;0,"SKIPPED","NOT RUN")))))</f>
      </c>
    </row>
    <row r="31">
      <c r="A31" s="9" t="inlineStr">
        <is>
          <t>TC-RS-FUNC-031</t>
        </is>
      </c>
      <c r="B31" s="9" t="inlineStr">
        <is>
          <t>Phiếu điểm: lưu qua Cập nhật（更新する）, mở lại giữ lựa chọn; chỉ dùng điều kiện đỏ vẫn được ghi nhận</t>
        </is>
      </c>
      <c r="C31" s="9" t="inlineStr">
        <is>
          <t>A. Functional</t>
        </is>
      </c>
      <c r="D31" s="9" t="inlineStr">
        <is>
          <t>- Điều kiện: Bảng điểm（成績表） chưa dùng điều kiện nào (Thiết lập điều kiện hiển thị（表示条件を設定）= Không thiết lập（設定しない）).
- Dữ liệu test: cấu hình phiếu điểm: ký tự “※” phía trước</t>
        </is>
      </c>
      <c r="E31" s="9" t="inlineStr">
        <is>
          <t>Cao</t>
        </is>
      </c>
      <c r="F31" s="9" t="inlineStr">
        <is>
          <t>CONFIRMED</t>
        </is>
      </c>
      <c r="G31" s="9" t="inlineStr">
        <is>
          <t>UNASSESSED</t>
        </is>
      </c>
      <c r="H31" s="9" t="inlineStr">
        <is>
          <t>tiêu chí nghiệm thu “Lưu, sao chép và PDF phiếu” (AC-G37 «Lưu, sao chép và PDF phiếu»)</t>
        </is>
      </c>
      <c r="I31" s="9" t="inlineStr">
        <is>
          <t>A. Functional</t>
        </is>
      </c>
      <c r="J31" s="9" t="inlineStr">
        <is>
          <t>test-cases.vi.md</t>
        </is>
      </c>
      <c r="K31" s="9" t="inlineStr">
        <is>
          <t>1. Mở hộp tùy chọn, chọn Thiết lập（設定する）, chỉ chọn dòng đỏ = `※` trước, các dòng khác Nguyên trạng. Đóng hộp, **không** bấm Cập nhật; tải lại trang.
2. Lặp lại, lần này bấm Cập nhật（更新する）; tải lại, mở hộp.
3. Xuất PDF.
| Lượt chạy | Phạm vi thực hiện và đối chiếu |
| --- | --- |
| Run: unsaved | Bước 1 không cập nhật |
| Run: saved-pdf | Bước 2–3 lưu, mở lại và PDF |</t>
        </is>
      </c>
      <c r="L31" s="9" t="inlineStr">
        <is>
          <t>1. Không bấm Cập nhật: thay đổi không được lưu (hành vi hiện có).
2. Có bấm Cập nhật: mở lại thấy dòng đỏ = `※` trước; bảng được ghi nhận là có dùng điều kiện dù chỉ điều kiện đỏ được chọn.
3. PDF áp dụng điều kiện đỏ.</t>
        </is>
      </c>
      <c r="M31" s="9"/>
      <c r="N31" s="9"/>
      <c r="O31" s="9">
        <v>2</v>
      </c>
      <c r="P31" s="9">
        <f>IF(OR(COUNTIF('Run Log'!$B:$B,A31)&lt;&gt;O31,COUNTIF('Run Log'!$A:$A,"RUN-TC-RS-FUNC-031-unsaved")&lt;&gt;1,COUNTIFS('Run Log'!$A:$A,"RUN-TC-RS-FUNC-031-unsaved",'Run Log'!$B:$B,A31,'Run Log'!$C:$C,"unsaved")&lt;&gt;1,COUNTIF('Run Log'!$A:$A,"RUN-TC-RS-FUNC-031-saved-pdf")&lt;&gt;1,COUNTIFS('Run Log'!$A:$A,"RUN-TC-RS-FUNC-031-saved-pdf",'Run Log'!$B:$B,A31,'Run Log'!$C:$C,"saved-pdf")&lt;&gt;1),"INCOMPLETE",IF(COUNTIFS('Run Log'!$B:$B,A31,'Run Log'!$D:$D,"PASS")=O31,"PASS",IF(COUNTIFS('Run Log'!$B:$B,A31,'Run Log'!$D:$D,"FAIL")&gt;0,"FAIL",IF(COUNTIFS('Run Log'!$B:$B,A31,'Run Log'!$D:$D,"BLOCKED")&gt;0,"BLOCKED",IF(COUNTIFS('Run Log'!$B:$B,A31,'Run Log'!$D:$D,"SKIPPED")&gt;0,"SKIPPED","NOT RUN")))))</f>
      </c>
    </row>
    <row r="32">
      <c r="A32" s="9" t="inlineStr">
        <is>
          <t>TC-RS-FUNC-032</t>
        </is>
      </c>
      <c r="B32" s="9" t="inlineStr">
        <is>
          <t>Ba đầu ra dùng cùng kết quả cho cùng ô</t>
        </is>
      </c>
      <c r="C32" s="9" t="inlineStr">
        <is>
          <t>A. Functional</t>
        </is>
      </c>
      <c r="D32" s="9" t="inlineStr">
        <is>
          <t>- Điều kiện: cùng một lượt xét đã lưu kết quả S01 Đỏ, S03 Không đỏ, S05 Không có điểm; actor có quyền xem trích xuất, công khai và phiếu điểm.
- Dữ liệu test: S01 `S=29`, S03 `S=31`, S05 ô trống; cấu hình trích xuất lọc + “*” + tô màu; công khai “*”; phiếu điểm “※”.</t>
        </is>
      </c>
      <c r="E32" s="9" t="inlineStr">
        <is>
          <t>Cao</t>
        </is>
      </c>
      <c r="F32" s="9" t="inlineStr">
        <is>
          <t>CONFIRMED</t>
        </is>
      </c>
      <c r="G32" s="9" t="inlineStr">
        <is>
          <t>UNASSESSED</t>
        </is>
      </c>
      <c r="H32" s="9" t="inlineStr">
        <is>
          <t>tiêu chí nghiệm thu “Kết quả chung và thứ tự cập nhật” (AC-G22 «Kết quả chung và thứ tự cập nhật»)</t>
        </is>
      </c>
      <c r="I32" s="9" t="inlineStr">
        <is>
          <t>A. Functional</t>
        </is>
      </c>
      <c r="J32" s="9" t="inlineStr">
        <is>
          <t>test-cases.vi.md</t>
        </is>
      </c>
      <c r="K32" s="9" t="inlineStr">
        <is>
          <t>1. Chạy một lượt đối chứng không lọc để S01, S03 và S05 đều có mặt; lưu file Excel làm baseline.
2. Chạy lại trích xuất với lọc bật và lưu file Excel trước/sau khi xem lại.
3. Mở màn học sinh công khai của cùng kỳ và cùng lượt xét.
4. Xuất PDF phiếu điểm của cùng học sinh/kỳ.
5. Đối chiếu ba output với kết quả đã lưu, không chỉ đối chiếu giao diện; không loại S03/S05 khỏi fixture trước khi kiểm tra.
| Lượt chạy | Phạm vi thực hiện và đối chiếu |
| --- | --- |
| Run: extract-off | Bước 1 và 5, không lọc |
| Run: extract-on | Bước 2 và 5, bật lọc |
| Run: publish | Bước 3 và 5 |
| Run: report | Bước 4 và 5 |</t>
        </is>
      </c>
      <c r="L32" s="9" t="inlineStr">
        <is>
          <t>Cả ba đầu ra đều dùng cùng kết quả đã lưu: S01 có dấu đỏ theo cấu hình riêng của từng output; S03 không có dấu đỏ; S05 không bị coi là điểm 0 và không có dấu đỏ. Excel phải giữ nguyên dữ liệu; màn công khai và PDF không được tự chọn lại rule hoặc tính lại ngưỡng. Nếu chạy lại sau khi chỉ xem/xuất, kết quả và bằng chứng phải không đổi.</t>
        </is>
      </c>
      <c r="M32" s="9"/>
      <c r="N32" s="9"/>
      <c r="O32" s="9">
        <v>4</v>
      </c>
      <c r="P32" s="9">
        <f>IF(OR(COUNTIF('Run Log'!$B:$B,A32)&lt;&gt;O32,COUNTIF('Run Log'!$A:$A,"RUN-TC-RS-FUNC-032-extract-off")&lt;&gt;1,COUNTIFS('Run Log'!$A:$A,"RUN-TC-RS-FUNC-032-extract-off",'Run Log'!$B:$B,A32,'Run Log'!$C:$C,"extract-off")&lt;&gt;1,COUNTIF('Run Log'!$A:$A,"RUN-TC-RS-FUNC-032-extract-on")&lt;&gt;1,COUNTIFS('Run Log'!$A:$A,"RUN-TC-RS-FUNC-032-extract-on",'Run Log'!$B:$B,A32,'Run Log'!$C:$C,"extract-on")&lt;&gt;1,COUNTIF('Run Log'!$A:$A,"RUN-TC-RS-FUNC-032-publish")&lt;&gt;1,COUNTIFS('Run Log'!$A:$A,"RUN-TC-RS-FUNC-032-publish",'Run Log'!$B:$B,A32,'Run Log'!$C:$C,"publish")&lt;&gt;1,COUNTIF('Run Log'!$A:$A,"RUN-TC-RS-FUNC-032-report")&lt;&gt;1,COUNTIFS('Run Log'!$A:$A,"RUN-TC-RS-FUNC-032-report",'Run Log'!$B:$B,A32,'Run Log'!$C:$C,"report")&lt;&gt;1),"INCOMPLETE",IF(COUNTIFS('Run Log'!$B:$B,A32,'Run Log'!$D:$D,"PASS")=O32,"PASS",IF(COUNTIFS('Run Log'!$B:$B,A32,'Run Log'!$D:$D,"FAIL")&gt;0,"FAIL",IF(COUNTIFS('Run Log'!$B:$B,A32,'Run Log'!$D:$D,"BLOCKED")&gt;0,"BLOCKED",IF(COUNTIFS('Run Log'!$B:$B,A32,'Run Log'!$D:$D,"SKIPPED")&gt;0,"SKIPPED","NOT RUN")))))</f>
      </c>
    </row>
    <row r="33">
      <c r="A33" s="9" t="inlineStr">
        <is>
          <t>TC-RS-FUNC-033</t>
        </is>
      </c>
      <c r="B33" s="9" t="inlineStr">
        <is>
          <t>Đổi tên quy tắc: giữ liên kết, thứ tự và kết quả</t>
        </is>
      </c>
      <c r="C33" s="9" t="inlineStr">
        <is>
          <t>A. Functional</t>
        </is>
      </c>
      <c r="D33" s="9" t="inlineStr">
        <is>
          <t>- Điều kiện: quy tắc “Cố định 30” (dưới 30) đã xét: S01 Đỏ.
- Dữ liệu test: quy tắc “Cố định 30” (dưới 30), học sinh S01 (điểm 29)</t>
        </is>
      </c>
      <c r="E33" s="9" t="inlineStr">
        <is>
          <t>Cao</t>
        </is>
      </c>
      <c r="F33" s="9" t="inlineStr">
        <is>
          <t>CONFIRMED</t>
        </is>
      </c>
      <c r="G33" s="9" t="inlineStr">
        <is>
          <t>UNASSESSED</t>
        </is>
      </c>
      <c r="H33" s="9" t="inlineStr">
        <is>
          <t>tiêu chí nghiệm thu “Lưu và mở lại nhiều thiết lập” (AC-G04 «Lưu và mở lại nhiều thiết lập»)</t>
        </is>
      </c>
      <c r="I33" s="9" t="inlineStr">
        <is>
          <t>A. Functional</t>
        </is>
      </c>
      <c r="J33" s="9" t="inlineStr">
        <is>
          <t>test-cases.vi.md</t>
        </is>
      </c>
      <c r="K33" s="9" t="inlineStr">
        <is>
          <t>1. Đổi tên quy tắc “Cố định 30” (dưới 30) từ "Cố định 30" thành "Ngưỡng học kỳ 1", Lưu.
2. Xem danh sách và ba đầu ra.
3. Chạy lại bằng đăng ký điểm S01=29.
| Lượt chạy | Phạm vi thực hiện và đối chiếu |
| --- | --- |
| Run: Base | Toàn bộ thủ tục theo đúng thứ tự; các đối chứng cùng fixture được kiểm trong cùng lượt, không bỏ bước |</t>
        </is>
      </c>
      <c r="L33" s="9" t="inlineStr">
        <is>
          <t>1–2. Danh sách hiện tên mới ở cùng vị trí ưu tiên, tóm tắt không đổi; S01 vẫn Đỏ ở ba đầu ra.
3. S01 Đỏ; quy tắc được chọn vẫn là quy tắc đã đổi tên (không tạo quy tắc mới, không mất liên kết).</t>
        </is>
      </c>
      <c r="M33" s="9"/>
      <c r="N33" s="9"/>
      <c r="O33" s="9">
        <v>1</v>
      </c>
      <c r="P33" s="9">
        <f>IF(OR(COUNTIF('Run Log'!$B:$B,A33)&lt;&gt;O33,COUNTIF('Run Log'!$A:$A,"RUN-TC-RS-FUNC-033-Base")&lt;&gt;1,COUNTIFS('Run Log'!$A:$A,"RUN-TC-RS-FUNC-033-Base",'Run Log'!$B:$B,A33,'Run Log'!$C:$C,"Base")&lt;&gt;1),"INCOMPLETE",IF(COUNTIFS('Run Log'!$B:$B,A33,'Run Log'!$D:$D,"PASS")=O33,"PASS",IF(COUNTIFS('Run Log'!$B:$B,A33,'Run Log'!$D:$D,"FAIL")&gt;0,"FAIL",IF(COUNTIFS('Run Log'!$B:$B,A33,'Run Log'!$D:$D,"BLOCKED")&gt;0,"BLOCKED",IF(COUNTIFS('Run Log'!$B:$B,A33,'Run Log'!$D:$D,"SKIPPED")&gt;0,"SKIPPED","NOT RUN")))))</f>
      </c>
    </row>
    <row r="34">
      <c r="A34" s="9" t="inlineStr">
        <is>
          <t>TC-RS-FUNC-034</t>
        </is>
      </c>
      <c r="B34" s="9" t="inlineStr">
        <is>
          <t>Nguồn của điều kiện áp dụng và nguồn của công thức lưu độc lập</t>
        </is>
      </c>
      <c r="C34" s="9" t="inlineStr">
        <is>
          <t>A. Functional</t>
        </is>
      </c>
      <c r="D34" s="9" t="inlineStr">
        <is>
          <t>- Điều kiện: Ba nguồn cùng Thiết lập tổng hợp thứ hạng（順位集計設定） và nhóm ホームルーム (lớp chủ nhiệm), khác Thời kỳ tổng hợp（集計対象時期）: P `A=60`; P2 `A=70`; Q `A=40`.
- Dữ liệu test: Quy tắc: điều kiện Trung bình（平均点） `≥50` dùng nguồn P; ngưỡng Công thức（計算式） `A×0.5` dùng nguồn Q; `&lt;`. S = 25</t>
        </is>
      </c>
      <c r="E34" s="9" t="inlineStr">
        <is>
          <t>Cao</t>
        </is>
      </c>
      <c r="F34" s="9" t="inlineStr">
        <is>
          <t>CONFIRMED</t>
        </is>
      </c>
      <c r="G34" s="9" t="inlineStr">
        <is>
          <t>UNASSESSED</t>
        </is>
      </c>
      <c r="H34" s="9" t="inlineStr">
        <is>
          <t>tiêu chí nghiệm thu “Đúng phạm vi tham chiếu” (AC-G12 «Đúng phạm vi tham chiếu»)</t>
        </is>
      </c>
      <c r="I34" s="9" t="inlineStr">
        <is>
          <t>A. Functional</t>
        </is>
      </c>
      <c r="J34" s="9" t="inlineStr">
        <is>
          <t>test-cases.vi.md</t>
        </is>
      </c>
      <c r="K34" s="9" t="inlineStr">
        <is>
          <t>1. Lưu quy tắc, mở lại.
2. Chỉ đổi nguồn của điều kiện từ P sang P2, Lưu, mở lại.
3. Chạy nút cam.
4. Trên form, đổi Thời kỳ tổng hợp（集計対象時期） của nguồn điều kiện sang kỳ mà Thiết lập tổng hợp thứ hạng（順位集計設定） đang chọn vẫn hợp lệ; rồi đổi sang kỳ mà thiết lập đó không còn hợp lệ. Xem các ô chọn phụ thuộc sau mỗi lần đổi.
| Lượt chạy | Phạm vi thực hiện và đối chiếu |
| --- | --- |
| Run: Base | Toàn bộ thủ tục theo đúng thứ tự; các đối chứng cùng fixture được kiểm trong cùng lượt, không bỏ bước |</t>
        </is>
      </c>
      <c r="L34" s="9" t="inlineStr">
        <is>
          <t>1. Mỗi phần hiện đúng nguồn của mình (điều kiện: P; công thức: Q).
2. Điều kiện dùng P2; công thức vẫn dùng Q.
3. `70≥50` khớp; `T=40×0.5=20` → S=25 Không đỏ. Nếu công thức bị đổi theo P2 (`T=35`) hoặc dùng P (`T=30`) thì S=25 thành Đỏ — sai.
4. (PROPOSED) Chỉ lựa chọn phụ thuộc không còn hợp lệ bị xóa; lựa chọn còn hợp lệ được giữ; nguồn của công thức không đổi.</t>
        </is>
      </c>
      <c r="M34" s="9"/>
      <c r="N34" s="9"/>
      <c r="O34" s="9">
        <v>1</v>
      </c>
      <c r="P34" s="9">
        <f>IF(OR(COUNTIF('Run Log'!$B:$B,A34)&lt;&gt;O34,COUNTIF('Run Log'!$A:$A,"RUN-TC-RS-FUNC-034-Base")&lt;&gt;1,COUNTIFS('Run Log'!$A:$A,"RUN-TC-RS-FUNC-034-Base",'Run Log'!$B:$B,A34,'Run Log'!$C:$C,"Base")&lt;&gt;1),"INCOMPLETE",IF(COUNTIFS('Run Log'!$B:$B,A34,'Run Log'!$D:$D,"PASS")=O34,"PASS",IF(COUNTIFS('Run Log'!$B:$B,A34,'Run Log'!$D:$D,"FAIL")&gt;0,"FAIL",IF(COUNTIFS('Run Log'!$B:$B,A34,'Run Log'!$D:$D,"BLOCKED")&gt;0,"BLOCKED",IF(COUNTIFS('Run Log'!$B:$B,A34,'Run Log'!$D:$D,"SKIPPED")&gt;0,"SKIPPED","NOT RUN")))))</f>
      </c>
    </row>
    <row r="35">
      <c r="A35" s="9" t="inlineStr">
        <is>
          <t>TC-RS-FUNC-035</t>
        </is>
      </c>
      <c r="B35" s="9" t="inlineStr">
        <is>
          <t>Nhập CSV đăng ký điểm lớp chủ nhiệm hàng loạt（HR成績CSV一括登録） kích hoạt xét</t>
        </is>
      </c>
      <c r="C35" s="9" t="inlineStr">
        <is>
          <t>A. Functional</t>
        </is>
      </c>
      <c r="D35" s="9" t="inlineStr">
        <is>
          <t>- Điều kiện: mục số nguyên (M=100) có quy tắc “Cố định 30” (dưới 30). Chạy hai lần: (a) trường có tính tự động, (b) trường không có tính tự động.
- Dữ liệu test: mục số nguyên (M=100); quy tắc “Cố định 30” (dưới 30), học sinh S01 (điểm 29)</t>
        </is>
      </c>
      <c r="E35" s="9" t="inlineStr">
        <is>
          <t>TBD</t>
        </is>
      </c>
      <c r="F35" s="9" t="inlineStr">
        <is>
          <t>TBD</t>
        </is>
      </c>
      <c r="G35" s="9" t="inlineStr">
        <is>
          <t>UNASSESSED</t>
        </is>
      </c>
      <c r="H35" s="9" t="inlineStr">
        <is>
          <t>tiêu chí nghiệm thu “Bao phủ đường đăng ký và chạy lại” (AC-G23 «Bao phủ đường đăng ký và chạy lại»)</t>
        </is>
      </c>
      <c r="I35" s="9" t="inlineStr">
        <is>
          <t>A. Functional</t>
        </is>
      </c>
      <c r="J35" s="9" t="inlineStr">
        <is>
          <t>test-cases.vi.md</t>
        </is>
      </c>
      <c r="K35" s="9" t="inlineStr">
        <is>
          <t>1. Nhập CSV đăng ký điểm lớp chủ nhiệm hàng loạt（HR成績CSV一括登録） với S01=28.
2. Xem kết quả.
| Lượt chạy | Phạm vi thực hiện và đối chiếu |
| --- | --- |
| Run: auto-on | Trường có tính tự động |
| Run: auto-off | Trường không có tính tự động |</t>
        </is>
      </c>
      <c r="L35" s="9" t="inlineStr">
        <is>
          <t>Theo đặc tả v2 mục 7.2 “Bảng sự kiện”: nhập thành công → S01 Đỏ. tài liệu chia công việc v2 chưa đưa đường ghi điểm “HR成績CSV一括登録 (đăng ký điểm hàng loạt bằng CSV)” vào đường được hỗ trợ; code đường ghi điểm “HR成績CSV一括登録 (đăng ký điểm hàng loạt bằng CSV)” chỉ xếp hàng khi trường dùng tính tự động (context điểm đỏ khoảng trống tích hợp “Không có công thức / điểm sửa tay”) — cần xác nhận đường ghi điểm “HR成績CSV一括登録 (đăng ký điểm hàng loạt bằng CSV)” có thuộc đợt không.</t>
        </is>
      </c>
      <c r="M35" s="9"/>
      <c r="N35" s="9"/>
      <c r="O35" s="9">
        <v>2</v>
      </c>
      <c r="P35" s="9">
        <f>IF(OR(COUNTIF('Run Log'!$B:$B,A35)&lt;&gt;O35,COUNTIF('Run Log'!$A:$A,"RUN-TC-RS-FUNC-035-auto-on")&lt;&gt;1,COUNTIFS('Run Log'!$A:$A,"RUN-TC-RS-FUNC-035-auto-on",'Run Log'!$B:$B,A35,'Run Log'!$C:$C,"auto-on")&lt;&gt;1,COUNTIF('Run Log'!$A:$A,"RUN-TC-RS-FUNC-035-auto-off")&lt;&gt;1,COUNTIFS('Run Log'!$A:$A,"RUN-TC-RS-FUNC-035-auto-off",'Run Log'!$B:$B,A35,'Run Log'!$C:$C,"auto-off")&lt;&gt;1),"INCOMPLETE",IF(COUNTIFS('Run Log'!$B:$B,A35,'Run Log'!$D:$D,"PASS")=O35,"PASS",IF(COUNTIFS('Run Log'!$B:$B,A35,'Run Log'!$D:$D,"FAIL")&gt;0,"FAIL",IF(COUNTIFS('Run Log'!$B:$B,A35,'Run Log'!$D:$D,"BLOCKED")&gt;0,"BLOCKED",IF(COUNTIFS('Run Log'!$B:$B,A35,'Run Log'!$D:$D,"SKIPPED")&gt;0,"SKIPPED","NOT RUN")))))</f>
      </c>
    </row>
    <row r="36">
      <c r="A36" s="9" t="inlineStr">
        <is>
          <t>TC-RS-FUNC-036</t>
        </is>
      </c>
      <c r="B36" s="9" t="inlineStr">
        <is>
          <t>Danh sách nhóm tham chiếu theo thiết lập tổng hợp hiện hữu</t>
        </is>
      </c>
      <c r="C36" s="9" t="inlineStr">
        <is>
          <t>A. Functional</t>
        </is>
      </c>
      <c r="D36" s="9" t="inlineStr">
        <is>
          <t>- Điều kiện: Trường A/2026 có thiết lập tổng hợp X（評点集計） (khối, lớp chủ nhiệm bật; lớp học tắt), nhóm tổng hợp thứ hạng “Toán I khối 1+2”, nhóm tổ hợp “Tổ hợp Toán”, nhóm môn học “Nhóm môn Toán”. Mở form thêm quy tắc của mục số nguyên (M=100) với điều kiện Trung bình（平均点） và ngưỡng Công thức（計算式） dùng trung bình.
- Dữ liệu test: thiết lập tổng hợp X（評点集計）, thiết lập tổng hợp X đã bật thêm Lớp học（授業）, nhóm tổng hợp thứ hạng “Toán I khối 1+2”, nhóm tổ hợp “Tổ hợp Toán”, nhóm môn học “Nhóm môn Toán”; mục số nguyên (M=100); tài khoản giáo viên có quyền sửa mục, tài khoản có quyền chạy hàng loạt</t>
        </is>
      </c>
      <c r="E36" s="9" t="inlineStr">
        <is>
          <t>Cao</t>
        </is>
      </c>
      <c r="F36" s="9" t="inlineStr">
        <is>
          <t>CONFIRMED</t>
        </is>
      </c>
      <c r="G36" s="9" t="inlineStr">
        <is>
          <t>UNASSESSED</t>
        </is>
      </c>
      <c r="H36" s="9" t="inlineStr">
        <is>
          <t>tiêu chí nghiệm thu “Đúng phạm vi tham chiếu” (AC-G12 «Đúng phạm vi tham chiếu»)</t>
        </is>
      </c>
      <c r="I36" s="9" t="inlineStr">
        <is>
          <t>A. Functional</t>
        </is>
      </c>
      <c r="J36" s="9" t="inlineStr">
        <is>
          <t>test-cases.vi.md</t>
        </is>
      </c>
      <c r="K36" s="9" t="inlineStr">
        <is>
          <t>1. Ở nguồn của điều kiện: chọn Thời kỳ tổng hợp（集計対象時期）, chọn Thiết lập tổng hợp thứ hạng（順位集計設定） X, rồi mở danh sách Đối tượng tổng hợp（集計対象）. Ghi lại các lựa chọn.
2. Bật thêm Lớp học（授業） trong công tắc tổng hợp hiện hữu (thành thiết lập tổng hợp X đã bật thêm Lớp học（授業）), chạy lại tổng hợp X; mở lại danh sách ở bước 1.
3. Tắt cả ba công tắc khối/lớp chủ nhiệm/lớp học; mở lại danh sách. Chọn nhóm tổng hợp thứ hạng “Toán I khối 1+2”, lưu, mở lại form.
4. Ở trường/năm không có nhóm tổng hợp/tổ hợp/nhóm môn nào được cấu hình và chỉ bật khối: mở danh sách.
5. Ở nguồn của công thức: lặp thứ tự chọn Thiết lập tổng hợp thứ hạng → Đối tượng tổng hợp, chọn nhóm khác với nguồn điều kiện; lưu, mở lại.
| Lượt chạy | Phạm vi thực hiện và đối chiếu |
| --- | --- |
| Run: switch-sequence | Bước 1–3 cùng X theo thứ tự |
| Run: grade-only | Bước 4 với fixture chỉ khối |
| Run: formula-source | Bước 5, chuẩn bị nguồn điều kiện trước |</t>
        </is>
      </c>
      <c r="L36" s="9" t="inlineStr">
        <is>
          <t>1. Trong ba loại cơ bản chỉ có Khối（学年） và Lớp chủ nhiệm（ホームルーム）; không có Lớp học（授業）. Có nhóm tổng hợp thứ hạng “Toán I khối 1+2”, nhóm tổ hợp “Tổ hợp Toán”, nhóm môn học “Nhóm môn Toán”, hiển thị bằng tên đã đặt.
2. Có thêm lựa chọn Lớp học（授業） trong cùng X; không phải tạo cấu hình tổng hợp mới để có loại này.
3. Không còn khối/lớp chủ nhiệm/lớp học; nhóm tổng hợp, tổ hợp, nhóm môn vẫn chọn được. Mở lại hiện đúng tên nhóm tổng hợp thứ hạng “Toán I khối 1+2” (đã lưu theo ID).
4. Chỉ có Khối（学年）; không hiện cố định đủ sáu loại, không có lựa chọn rỗng mang tên loại chưa cấu hình.
5. Nguồn điều kiện và nguồn công thức mở lại đúng lựa chọn riêng của từng phần. Form không có công tắc bật/tắt tổng hợp riêng của điểm đỏ, không có trường thứ hạng, tên hiển thị hay biểu đồ lấy từ màn công khai.</t>
        </is>
      </c>
      <c r="M36" s="9"/>
      <c r="N36" s="9"/>
      <c r="O36" s="9">
        <v>3</v>
      </c>
      <c r="P36" s="9">
        <f>IF(OR(COUNTIF('Run Log'!$B:$B,A36)&lt;&gt;O36,COUNTIF('Run Log'!$A:$A,"RUN-TC-RS-FUNC-036-switch-sequence")&lt;&gt;1,COUNTIFS('Run Log'!$A:$A,"RUN-TC-RS-FUNC-036-switch-sequence",'Run Log'!$B:$B,A36,'Run Log'!$C:$C,"switch-sequence")&lt;&gt;1,COUNTIF('Run Log'!$A:$A,"RUN-TC-RS-FUNC-036-grade-only")&lt;&gt;1,COUNTIFS('Run Log'!$A:$A,"RUN-TC-RS-FUNC-036-grade-only",'Run Log'!$B:$B,A36,'Run Log'!$C:$C,"grade-only")&lt;&gt;1,COUNTIF('Run Log'!$A:$A,"RUN-TC-RS-FUNC-036-formula-source")&lt;&gt;1,COUNTIFS('Run Log'!$A:$A,"RUN-TC-RS-FUNC-036-formula-source",'Run Log'!$B:$B,A36,'Run Log'!$C:$C,"formula-source")&lt;&gt;1),"INCOMPLETE",IF(COUNTIFS('Run Log'!$B:$B,A36,'Run Log'!$D:$D,"PASS")=O36,"PASS",IF(COUNTIFS('Run Log'!$B:$B,A36,'Run Log'!$D:$D,"FAIL")&gt;0,"FAIL",IF(COUNTIFS('Run Log'!$B:$B,A36,'Run Log'!$D:$D,"BLOCKED")&gt;0,"BLOCKED",IF(COUNTIFS('Run Log'!$B:$B,A36,'Run Log'!$D:$D,"SKIPPED")&gt;0,"SKIPPED","NOT RUN")))))</f>
      </c>
    </row>
    <row r="37">
      <c r="A37" s="9" t="inlineStr">
        <is>
          <t>TC-RS-FUNC-037</t>
        </is>
      </c>
      <c r="B37" s="9" t="inlineStr">
        <is>
          <t>Công khai: cùng mục dùng hiệu ứng đỏ khác nhau ở hai cấu hình công khai</t>
        </is>
      </c>
      <c r="C37" s="9" t="inlineStr">
        <is>
          <t>A. Functional</t>
        </is>
      </c>
      <c r="D37" s="9" t="inlineStr">
        <is>
          <t>- Điều kiện: Hai cấu hình Thiết lập công khai thành tích（成績公開設定） X và Y cùng chứa mục số nguyên (M=100); S01 Đỏ (29), không phải điểm dự kiến; lịch công khai của cả hai đang mở cho S01.
- Dữ liệu test: hai cấu hình công khai cùng một mục, cấu hình công khai có mục điểm thường và mục điểm đơn vị; mục số nguyên (M=100), mục điểm đơn vị (đơn vị U1 có M riêng 40); học sinh S01 (điểm 29); tài khoản học sinh S01, tài khoản phụ trách đầu ra (trích xuất, công khai, phiếu điểm)</t>
        </is>
      </c>
      <c r="E37" s="9" t="inlineStr">
        <is>
          <t>Cao</t>
        </is>
      </c>
      <c r="F37" s="9" t="inlineStr">
        <is>
          <t>CONFIRMED</t>
        </is>
      </c>
      <c r="G37" s="9" t="inlineStr">
        <is>
          <t>UNASSESSED</t>
        </is>
      </c>
      <c r="H37" s="9" t="inlineStr">
        <is>
          <t>tiêu chí nghiệm thu “Cấu hình công khai và ẩn điểm” (AC-G32 «Cấu hình công khai và ẩn điểm»)</t>
        </is>
      </c>
      <c r="I37" s="9" t="inlineStr">
        <is>
          <t>A. Functional</t>
        </is>
      </c>
      <c r="J37" s="9" t="inlineStr">
        <is>
          <t>test-cases.vi.md</t>
        </is>
      </c>
      <c r="K37" s="9" t="inlineStr">
        <is>
          <t>1. Ở X chọn hiệu ứng đỏ Ngoặc（括弧） cho mục số nguyên (M=100), lưu; ở Y chọn `*` phía trước（前に「*」） cho cùng mục, lưu.
2. Mở lại X và Y.
3. Đăng nhập S01, xem Xác nhận thành tích（成績確認） theo từng cấu hình; gọi API và xuất PDF tương ứng nếu có.
4. Sao chép X thành X' (theo chức năng sao chép cấu hình hiện có); mở X'.
5. Ở X, mục số nguyên (M=100) (điểm thường（通常）) chọn Ngoặc; mục điểm đơn vị (đơn vị U1 có M riêng 40) (điểm đơn vị（単元）) chọn `*` phía sau; lưu, mở lại.
6. Ở Y, đổi sang `*` phía sau và giả lập lỗi lưu; mở lại Y.
| Lượt chạy | Phạm vi thực hiện và đối chiếu |
| --- | --- |
| Run: web | Bước 1–3 xem X/Y trên web |
| Run: api | Bước 1–3 đọc API X/Y |
| Run: pdf | Bước 1–3 PDF X/Y |
| Run: copy | Bước 4 sau setup X |
| Run: item-types | Bước 5 |
| Run: save-failure | Bước 6 sau setup Y |</t>
        </is>
      </c>
      <c r="L37" s="9" t="inlineStr">
        <is>
          <t>1–2. X giữ Ngoặc, Y giữ `*` phía trước; lưu cấu hình này không đổi cấu hình kia.
3. Theo X: `(29)`; theo Y: `*29`. Web, API và PDF của cùng cấu hình cho cùng cách hiển thị.
4. X' giữ Ngoặc cho mục số nguyên (M=100); không sao chép kết quả xét của học sinh.
5. Mỗi phân loại thường/đơn vị mở lại đúng lựa chọn của mình; không trộn.
6. Có thông báo lỗi; Y vẫn là `*` phía trước (cấu hình cũ được giữ).
## 2. Business Rules (BR)</t>
        </is>
      </c>
      <c r="M37" s="9"/>
      <c r="N37" s="9"/>
      <c r="O37" s="9">
        <v>6</v>
      </c>
      <c r="P37" s="9">
        <f>IF(OR(COUNTIF('Run Log'!$B:$B,A37)&lt;&gt;O37,COUNTIF('Run Log'!$A:$A,"RUN-TC-RS-FUNC-037-web")&lt;&gt;1,COUNTIFS('Run Log'!$A:$A,"RUN-TC-RS-FUNC-037-web",'Run Log'!$B:$B,A37,'Run Log'!$C:$C,"web")&lt;&gt;1,COUNTIF('Run Log'!$A:$A,"RUN-TC-RS-FUNC-037-api")&lt;&gt;1,COUNTIFS('Run Log'!$A:$A,"RUN-TC-RS-FUNC-037-api",'Run Log'!$B:$B,A37,'Run Log'!$C:$C,"api")&lt;&gt;1,COUNTIF('Run Log'!$A:$A,"RUN-TC-RS-FUNC-037-pdf")&lt;&gt;1,COUNTIFS('Run Log'!$A:$A,"RUN-TC-RS-FUNC-037-pdf",'Run Log'!$B:$B,A37,'Run Log'!$C:$C,"pdf")&lt;&gt;1,COUNTIF('Run Log'!$A:$A,"RUN-TC-RS-FUNC-037-copy")&lt;&gt;1,COUNTIFS('Run Log'!$A:$A,"RUN-TC-RS-FUNC-037-copy",'Run Log'!$B:$B,A37,'Run Log'!$C:$C,"copy")&lt;&gt;1,COUNTIF('Run Log'!$A:$A,"RUN-TC-RS-FUNC-037-item-types")&lt;&gt;1,COUNTIFS('Run Log'!$A:$A,"RUN-TC-RS-FUNC-037-item-types",'Run Log'!$B:$B,A37,'Run Log'!$C:$C,"item-types")&lt;&gt;1,COUNTIF('Run Log'!$A:$A,"RUN-TC-RS-FUNC-037-save-failure")&lt;&gt;1,COUNTIFS('Run Log'!$A:$A,"RUN-TC-RS-FUNC-037-save-failure",'Run Log'!$B:$B,A37,'Run Log'!$C:$C,"save-failure")&lt;&gt;1),"INCOMPLETE",IF(COUNTIFS('Run Log'!$B:$B,A37,'Run Log'!$D:$D,"PASS")=O37,"PASS",IF(COUNTIFS('Run Log'!$B:$B,A37,'Run Log'!$D:$D,"FAIL")&gt;0,"FAIL",IF(COUNTIFS('Run Log'!$B:$B,A37,'Run Log'!$D:$D,"BLOCKED")&gt;0,"BLOCKED",IF(COUNTIFS('Run Log'!$B:$B,A37,'Run Log'!$D:$D,"SKIPPED")&gt;0,"SKIPPED","NOT RUN")))))</f>
      </c>
    </row>
    <row r="38">
      <c r="A38" s="9" t="inlineStr">
        <is>
          <t>TC-RS-BR-001</t>
        </is>
      </c>
      <c r="B38" s="9" t="inlineStr">
        <is>
          <t>Chọn quy tắc khớp đầu tiên theo ưu tiên, không lấy ngưỡng nghiêm hơn</t>
        </is>
      </c>
      <c r="C38" s="9" t="inlineStr">
        <is>
          <t>C. Business Rules</t>
        </is>
      </c>
      <c r="D38" s="9" t="inlineStr">
        <is>
          <t>- Điều kiện: mục số nguyên (M=100) có cặp quy tắc cùng áp dụng (dưới 20 và dưới 30) (ưu tiên 1: `&lt;20`, ưu tiên 2: `&lt;30`).
- Dữ liệu test: mục số nguyên (M=100); cặp quy tắc cùng áp dụng (dưới 20 và dưới 30); S02 được sửa thành 25</t>
        </is>
      </c>
      <c r="E38" s="9" t="inlineStr">
        <is>
          <t>Cao</t>
        </is>
      </c>
      <c r="F38" s="9" t="inlineStr">
        <is>
          <t>CONFIRMED</t>
        </is>
      </c>
      <c r="G38" s="9" t="inlineStr">
        <is>
          <t>UNASSESSED</t>
        </is>
      </c>
      <c r="H38" s="9" t="inlineStr">
        <is>
          <t>tiêu chí nghiệm thu “Chọn quy tắc khớp đầu tiên” (AC-G06 «Chọn quy tắc khớp đầu tiên»)</t>
        </is>
      </c>
      <c r="I38" s="9" t="inlineStr">
        <is>
          <t>C. Business Rules</t>
        </is>
      </c>
      <c r="J38" s="9" t="inlineStr">
        <is>
          <t>test-cases.vi.md</t>
        </is>
      </c>
      <c r="K38" s="9" t="inlineStr">
        <is>
          <t>1. Đăng ký S02=25.
2. Đổi thứ tự (ưu tiên 1 là `&lt;30`), bấm chạy lại (đăng ký lại điểm hoặc nút cam).
3. Xem kết quả sau mỗi lần xét.
| Lượt chạy | Phạm vi thực hiện và đối chiếu |
| --- | --- |
| Run: priority20 | Thứ tự ban đầu |
| Run: priority30 | Đổi thứ tự rồi xét lại |</t>
        </is>
      </c>
      <c r="L38" s="9" t="inlineStr">
        <is>
          <t>1. Lần 1: chọn quy tắc `&lt;20` → Không đỏ.
2. Lần 2 (sau chạy lại): chọn quy tắc `&lt;30` → Đỏ.</t>
        </is>
      </c>
      <c r="M38" s="9"/>
      <c r="N38" s="9"/>
      <c r="O38" s="9">
        <v>2</v>
      </c>
      <c r="P38" s="9">
        <f>IF(OR(COUNTIF('Run Log'!$B:$B,A38)&lt;&gt;O38,COUNTIF('Run Log'!$A:$A,"RUN-TC-RS-BR-001-priority20")&lt;&gt;1,COUNTIFS('Run Log'!$A:$A,"RUN-TC-RS-BR-001-priority20",'Run Log'!$B:$B,A38,'Run Log'!$C:$C,"priority20")&lt;&gt;1,COUNTIF('Run Log'!$A:$A,"RUN-TC-RS-BR-001-priority30")&lt;&gt;1,COUNTIFS('Run Log'!$A:$A,"RUN-TC-RS-BR-001-priority30",'Run Log'!$B:$B,A38,'Run Log'!$C:$C,"priority30")&lt;&gt;1),"INCOMPLETE",IF(COUNTIFS('Run Log'!$B:$B,A38,'Run Log'!$D:$D,"PASS")=O38,"PASS",IF(COUNTIFS('Run Log'!$B:$B,A38,'Run Log'!$D:$D,"FAIL")&gt;0,"FAIL",IF(COUNTIFS('Run Log'!$B:$B,A38,'Run Log'!$D:$D,"BLOCKED")&gt;0,"BLOCKED",IF(COUNTIFS('Run Log'!$B:$B,A38,'Run Log'!$D:$D,"SKIPPED")&gt;0,"SKIPPED","NOT RUN")))))</f>
      </c>
    </row>
    <row r="39">
      <c r="A39" s="9" t="inlineStr">
        <is>
          <t>TC-RS-BR-002</t>
        </is>
      </c>
      <c r="B39" s="9" t="inlineStr">
        <is>
          <t>Không quy tắc nào khớp khi đủ dữ liệu → Không áp dụng</t>
        </is>
      </c>
      <c r="C39" s="9" t="inlineStr">
        <is>
          <t>C. Business Rules</t>
        </is>
      </c>
      <c r="D39" s="9" t="inlineStr">
        <is>
          <t>- Điều kiện: mục số nguyên (M=100) chỉ có quy tắc có bộ lọc kết hợp (khối 1 hoặc 2, nhóm Nâng cao) (khối 1/2 và nhóm Nâng cao). S07 thuộc khối 2 nhưng không thuộc nhóm Nâng cao.
- Dữ liệu test: mục số nguyên (M=100); quy tắc có bộ lọc kết hợp (khối 1 hoặc 2, nhóm Nâng cao), học sinh S07 (điểm 35, cờ Chưa dự thi（未受験）)</t>
        </is>
      </c>
      <c r="E39" s="9" t="inlineStr">
        <is>
          <t>Cao</t>
        </is>
      </c>
      <c r="F39" s="9" t="inlineStr">
        <is>
          <t>CONFIRMED</t>
        </is>
      </c>
      <c r="G39" s="9" t="inlineStr">
        <is>
          <t>UNASSESSED</t>
        </is>
      </c>
      <c r="H39" s="9" t="inlineStr">
        <is>
          <t>tiêu chí nghiệm thu “Chọn quy tắc khớp đầu tiên” (AC-G06 «Chọn quy tắc khớp đầu tiên»); tiêu chí nghiệm thu “Trạng thái sau lần chạy” (AC-G20 «Trạng thái sau lần chạy»)</t>
        </is>
      </c>
      <c r="I39" s="9" t="inlineStr">
        <is>
          <t>C. Business Rules</t>
        </is>
      </c>
      <c r="J39" s="9" t="inlineStr">
        <is>
          <t>test-cases.vi.md</t>
        </is>
      </c>
      <c r="K39" s="9" t="inlineStr">
        <is>
          <t>1. Đăng ký S07=20.
2. Xem kết quả ở ba đầu ra.
| Lượt chạy | Phạm vi thực hiện và đối chiếu |
| --- | --- |
| Run: Base | Toàn bộ thủ tục theo đúng thứ tự; các đối chứng cùng fixture được kiểm trong cùng lượt, không bỏ bước |</t>
        </is>
      </c>
      <c r="L39" s="9" t="inlineStr">
        <is>
          <t>S07 ở trạng thái Không áp dụng: không có dấu/lọc đỏ; không được coi là "đạt một ngưỡng".</t>
        </is>
      </c>
      <c r="M39" s="9"/>
      <c r="N39" s="9"/>
      <c r="O39" s="9">
        <v>1</v>
      </c>
      <c r="P39" s="9">
        <f>IF(OR(COUNTIF('Run Log'!$B:$B,A39)&lt;&gt;O39,COUNTIF('Run Log'!$A:$A,"RUN-TC-RS-BR-002-Base")&lt;&gt;1,COUNTIFS('Run Log'!$A:$A,"RUN-TC-RS-BR-002-Base",'Run Log'!$B:$B,A39,'Run Log'!$C:$C,"Base")&lt;&gt;1),"INCOMPLETE",IF(COUNTIFS('Run Log'!$B:$B,A39,'Run Log'!$D:$D,"PASS")=O39,"PASS",IF(COUNTIFS('Run Log'!$B:$B,A39,'Run Log'!$D:$D,"FAIL")&gt;0,"FAIL",IF(COUNTIFS('Run Log'!$B:$B,A39,'Run Log'!$D:$D,"BLOCKED")&gt;0,"BLOCKED",IF(COUNTIFS('Run Log'!$B:$B,A39,'Run Log'!$D:$D,"SKIPPED")&gt;0,"SKIPPED","NOT RUN")))))</f>
      </c>
    </row>
    <row r="40">
      <c r="A40" s="9" t="inlineStr">
        <is>
          <t>TC-RS-BR-003</t>
        </is>
      </c>
      <c r="B40" s="9" t="inlineStr">
        <is>
          <t>Ưu tiên 1 khớp nhưng thiếu dữ liệu → Chưa xét được, không chuyển xuống ưu tiên 2</t>
        </is>
      </c>
      <c r="C40" s="9" t="inlineStr">
        <is>
          <t>C. Business Rules</t>
        </is>
      </c>
      <c r="D40" s="9" t="inlineStr">
        <is>
          <t>- Điều kiện: Hai cấu hình thử: (A) ưu tiên 1 = quy tắc công thức 100 ÷ trung bình (100 ÷ A, Toàn bộ) với nguồn nhóm có trung bình 0 (`A=0`); ưu tiên 2 = quy tắc “Cố định 30” (dưới 30). (B) ưu tiên 1 = quy tắc có điều kiện `A≥60` với nguồn nguồn chưa có kết quả tổng hợp (không có tổng hợp); ưu tiên 2 = quy tắc “Cố định 30” (dưới 30). (C) ưu tiên 1 = quy tắc có bộ lọc Môn（教科・科目）= Ngữ văn và điều kiện `A≥60` (nguồn nguồn chưa có kết quả tổng hợp); ưu tiên 2 = quy tắc “Cố định 30” (dưới 30); ô đang xét là Toán.
- Dữ liệu test: quy tắc công thức 100 ÷ trung bình, quy tắc “Cố định 30” (dưới 30), nhóm có trung bình 0, nguồn chưa có kết quả tổng hợp, học sinh S01 (điểm 29)</t>
        </is>
      </c>
      <c r="E40" s="9" t="inlineStr">
        <is>
          <t>Cao</t>
        </is>
      </c>
      <c r="F40" s="9" t="inlineStr">
        <is>
          <t>CONFIRMED</t>
        </is>
      </c>
      <c r="G40" s="9" t="inlineStr">
        <is>
          <t>UNASSESSED</t>
        </is>
      </c>
      <c r="H40" s="9" t="inlineStr">
        <is>
          <t>tiêu chí nghiệm thu “Chọn quy tắc khớp đầu tiên” (AC-G06 «Chọn quy tắc khớp đầu tiên»)</t>
        </is>
      </c>
      <c r="I40" s="9" t="inlineStr">
        <is>
          <t>C. Business Rules</t>
        </is>
      </c>
      <c r="J40" s="9" t="inlineStr">
        <is>
          <t>test-cases.vi.md</t>
        </is>
      </c>
      <c r="K40" s="9" t="inlineStr">
        <is>
          <t>Với từng cấu hình (A), (B), (C): đăng ký S01=29, xem kết quả.
| Lượt chạy | Phạm vi thực hiện và đối chiếu |
| --- | --- |
| Run: divide-zero | Fixture A chia 0 |
| Run: missing-average | Fixture B thiếu trung bình |
| Run: filter-miss | Fixture C không khớp lọc |</t>
        </is>
      </c>
      <c r="L40" s="9" t="inlineStr">
        <is>
          <t>(A) Quy tắc 1 được chọn, chia 0 → Chưa xét được; không dùng ưu tiên 2.
(B) Không xác định được điều kiện trung bình → Chưa xét được; không coi thiếu dữ liệu là "không khớp" để xuống ưu tiên 2.
(C) Bộ lọc môn đã đủ chứng minh quy tắc 1 không áp dụng → được bỏ qua mà không cần nguồn; ưu tiên 2 áp dụng → Đỏ.</t>
        </is>
      </c>
      <c r="M40" s="9"/>
      <c r="N40" s="9"/>
      <c r="O40" s="9">
        <v>3</v>
      </c>
      <c r="P40" s="9">
        <f>IF(OR(COUNTIF('Run Log'!$B:$B,A40)&lt;&gt;O40,COUNTIF('Run Log'!$A:$A,"RUN-TC-RS-BR-003-divide-zero")&lt;&gt;1,COUNTIFS('Run Log'!$A:$A,"RUN-TC-RS-BR-003-divide-zero",'Run Log'!$B:$B,A40,'Run Log'!$C:$C,"divide-zero")&lt;&gt;1,COUNTIF('Run Log'!$A:$A,"RUN-TC-RS-BR-003-missing-average")&lt;&gt;1,COUNTIFS('Run Log'!$A:$A,"RUN-TC-RS-BR-003-missing-average",'Run Log'!$B:$B,A40,'Run Log'!$C:$C,"missing-average")&lt;&gt;1,COUNTIF('Run Log'!$A:$A,"RUN-TC-RS-BR-003-filter-miss")&lt;&gt;1,COUNTIFS('Run Log'!$A:$A,"RUN-TC-RS-BR-003-filter-miss",'Run Log'!$B:$B,A40,'Run Log'!$C:$C,"filter-miss")&lt;&gt;1),"INCOMPLETE",IF(COUNTIFS('Run Log'!$B:$B,A40,'Run Log'!$D:$D,"PASS")=O40,"PASS",IF(COUNTIFS('Run Log'!$B:$B,A40,'Run Log'!$D:$D,"FAIL")&gt;0,"FAIL",IF(COUNTIFS('Run Log'!$B:$B,A40,'Run Log'!$D:$D,"BLOCKED")&gt;0,"BLOCKED",IF(COUNTIFS('Run Log'!$B:$B,A40,'Run Log'!$D:$D,"SKIPPED")&gt;0,"SKIPPED","NOT RUN")))))</f>
      </c>
    </row>
    <row r="41">
      <c r="A41" s="9" t="inlineStr">
        <is>
          <t>TC-RS-BR-004</t>
        </is>
      </c>
      <c r="B41" s="9" t="inlineStr">
        <is>
          <t>Kết hợp bộ lọc: HOẶC trong cùng loại, VÀ giữa các loại</t>
        </is>
      </c>
      <c r="C41" s="9" t="inlineStr">
        <is>
          <t>C. Business Rules</t>
        </is>
      </c>
      <c r="D41" s="9" t="inlineStr">
        <is>
          <t>- Điều kiện: mục số nguyên (M=100) chỉ có quy tắc có bộ lọc kết hợp (khối 1 hoặc 2, nhóm Nâng cao). Bốn học sinh: P1 khối 1 + Nâng cao; P2 khối 2 + Nâng cao; P3 khối 3 + Nâng cao; P4 khối 1, không Nâng cao. Mỗi người điểm 20.
- Dữ liệu test: mục số nguyên (M=100); quy tắc có bộ lọc kết hợp (khối 1 hoặc 2, nhóm Nâng cao)</t>
        </is>
      </c>
      <c r="E41" s="9" t="inlineStr">
        <is>
          <t>Cao</t>
        </is>
      </c>
      <c r="F41" s="9" t="inlineStr">
        <is>
          <t>CONFIRMED</t>
        </is>
      </c>
      <c r="G41" s="9" t="inlineStr">
        <is>
          <t>UNASSESSED</t>
        </is>
      </c>
      <c r="H41" s="9" t="inlineStr">
        <is>
          <t>tiêu chí nghiệm thu “Đối tượng áp dụng và nhu cầu nguồn” (AC-G05 «Đối tượng áp dụng và nhu cầu nguồn»)</t>
        </is>
      </c>
      <c r="I41" s="9" t="inlineStr">
        <is>
          <t>C. Business Rules</t>
        </is>
      </c>
      <c r="J41" s="9" t="inlineStr">
        <is>
          <t>test-cases.vi.md</t>
        </is>
      </c>
      <c r="K41" s="9" t="inlineStr">
        <is>
          <t>1. Đăng ký điểm 20 cho P1–P4.
2. Xem kết quả.
| Lượt chạy | Phạm vi thực hiện và đối chiếu |
| --- | --- |
| Run: Base | Toàn bộ thủ tục theo đúng thứ tự; các đối chứng cùng fixture được kiểm trong cùng lượt, không bỏ bước |</t>
        </is>
      </c>
      <c r="L41" s="9" t="inlineStr">
        <is>
          <t>P1, P2: Đỏ. P3, P4: Không áp dụng.</t>
        </is>
      </c>
      <c r="M41" s="9"/>
      <c r="N41" s="9"/>
      <c r="O41" s="9">
        <v>1</v>
      </c>
      <c r="P41" s="9">
        <f>IF(OR(COUNTIF('Run Log'!$B:$B,A41)&lt;&gt;O41,COUNTIF('Run Log'!$A:$A,"RUN-TC-RS-BR-004-Base")&lt;&gt;1,COUNTIFS('Run Log'!$A:$A,"RUN-TC-RS-BR-004-Base",'Run Log'!$B:$B,A41,'Run Log'!$C:$C,"Base")&lt;&gt;1),"INCOMPLETE",IF(COUNTIFS('Run Log'!$B:$B,A41,'Run Log'!$D:$D,"PASS")=O41,"PASS",IF(COUNTIFS('Run Log'!$B:$B,A41,'Run Log'!$D:$D,"FAIL")&gt;0,"FAIL",IF(COUNTIFS('Run Log'!$B:$B,A41,'Run Log'!$D:$D,"BLOCKED")&gt;0,"BLOCKED",IF(COUNTIFS('Run Log'!$B:$B,A41,'Run Log'!$D:$D,"SKIPPED")&gt;0,"SKIPPED","NOT RUN")))))</f>
      </c>
    </row>
    <row r="42">
      <c r="A42" s="9" t="inlineStr">
        <is>
          <t>TC-RS-BR-041</t>
        </is>
      </c>
      <c r="B42" s="9" t="inlineStr">
        <is>
          <t>Điều kiện trung bình cùng nguồn kết hợp AND</t>
        </is>
      </c>
      <c r="C42" s="9" t="inlineStr">
        <is>
          <t>C. Business Rules</t>
        </is>
      </c>
      <c r="D42" s="9" t="inlineStr">
        <is>
          <t>- Điều kiện: mỗi biến thể chỉ thay một nhóm điều kiện, cùng rule và cùng đối tượng áp dụng; ngưỡng cố định `T=70`, dấu `&lt;`, P1 có `S=60` và thuộc phạm vi áp dụng.
- Dữ liệu test: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 A=60 và S không có điểm. P17/P18-A/P19 dùng rule ưu tiên thấp hơn `T=30`, `S=25` để phát hiện fallback. Không gộp thiếu A với thiếu điểm S và không tái sử dụng fixture giữa các lượt.</t>
        </is>
      </c>
      <c r="E42" s="9" t="inlineStr">
        <is>
          <t>Cao</t>
        </is>
      </c>
      <c r="F42" s="9" t="inlineStr">
        <is>
          <t>CONFIRMED</t>
        </is>
      </c>
      <c r="G42" s="9" t="inlineStr">
        <is>
          <t>BLOCKED</t>
        </is>
      </c>
      <c r="H42" s="9" t="inlineStr">
        <is>
          <t>tiêu chí nghiệm thu “Đối tượng áp dụng và nhu cầu nguồn” (AC-G05 «Đối tượng áp dụng và nhu cầu nguồn»)</t>
        </is>
      </c>
      <c r="I42" s="9" t="inlineStr">
        <is>
          <t>C. Business Rules</t>
        </is>
      </c>
      <c r="J42" s="9" t="inlineStr">
        <is>
          <t>test-cases.vi.md</t>
        </is>
      </c>
      <c r="K42" s="9" t="inlineStr">
        <is>
          <t>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 Lượt chạy | Phạm vi thực hiện và đối chiếu |
| --- | --- |
| Run: A-P9 | Nhánh A-P9 trong thủ tục và Expected của case; thực hiện các bước chuẩn bị chung trước nhánh |
| Run: A-P10 | Nhánh A-P10 trong thủ tục và Expected của case; thực hiện các bước chuẩn bị chung trước nhánh |
| Run: A-P11 | Nhánh A-P11 trong thủ tục và Expected của case; thực hiện các bước chuẩn bị chung trước nhánh |
| Run: A-P12 | Nhánh A-P12 trong thủ tục và Expected của case; thực hiện các bước chuẩn bị chung trước nhánh |
| Run: A-P13 | Nhánh A-P13 trong thủ tục và Expected của case; thực hiện các bước chuẩn bị chung trước nhánh |
| Run: A-P14 | Nhánh A-P14 trong thủ tục và Expected của case; thực hiện các bước chuẩn bị chung trước nhánh |
| Run: A-P15 | Nhánh A-P15 trong thủ tục và Expected của case; thực hiện các bước chuẩn bị chung trước nhánh |
| Run: A-P16 | Nhánh A-P16 trong thủ tục và Expected của case; thực hiện các bước chuẩn bị chung trước nhánh |
| Run: RR-60 | Nhánh RR-60 trong thủ tục và Expected của case; thực hiện các bước chuẩn bị chung trước nhánh |
| Run: RR-49.9 | Nhánh RR-49.9 trong thủ tục và Expected của case; thực hiện các bước chuẩn bị chung trước nhánh |
| Run: RR-70 | Nhánh RR-70 trong thủ tục và Expected của case; thực hiện các bước chuẩn bị chung trước nhánh |
| Run: AR-60-60 | Nhánh AR-60-60 trong thủ tục và Expected của case; thực hiện các bước chuẩn bị chung trước nhánh |
| Run: AR-40-60 | Nhánh AR-40-60 trong thủ tục và Expected của case; thực hiện các bước chuẩn bị chung trước nhánh |
| Run: AR-60-40 | Nhánh AR-60-40 trong thủ tục và Expected của case; thực hiện các bước chuẩn bị chung trước nhánh |
| Run: FILTER-POS | Nhánh FILTER-POS trong thủ tục và Expected của case; thực hiện các bước chuẩn bị chung trước nhánh |
| Run: FILTER-GRADE-NEG | Nhánh FILTER-GRADE-NEG trong thủ tục và Expected của case; thực hiện các bước chuẩn bị chung trước nhánh |
| Run: FILTER-GROUP-NEG | Nhánh FILTER-GROUP-NEG trong thủ tục và Expected của case; thực hiện các bước chuẩn bị chung trước nhánh |
| Run: P17-A-NAN | Nhánh P17-A-NAN trong thủ tục và Expected của case; thực hiện các bước chuẩn bị chung trước nhánh |
| Run: P19-A-INFINITY | Nhánh P19-A-INFINITY trong thủ tục và Expected của case; thực hiện các bước chuẩn bị chung trước nhánh |
| Run: P18-A-EMPTY | Nhánh P18-A-EMPTY trong thủ tục và Expected của case; thực hiện các bước chuẩn bị chung trước nhánh |
| Run: P18-S-EMPTY | Nhánh P18-S-EMPTY trong thủ tục và Expected của case; thực hiện các bước chuẩn bị chung trước nhánh |
| Run: reopen-summary | Bước 5 sau từng cấu hình ở bước 1–4, giữ source và phép AND khi mở lại; positive A+A đã nằm ở A-P10/P11/P14/P15, không tạo lượt AA-POS không có fixture riêng |</t>
        </is>
      </c>
      <c r="L42" s="9"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c r="M42" s="9"/>
      <c r="N42" s="9"/>
      <c r="O42" s="9">
        <v>22</v>
      </c>
      <c r="P42" s="9">
        <f>IF(OR(COUNTIF('Run Log'!$B:$B,A42)&lt;&gt;O42,COUNTIF('Run Log'!$A:$A,"RUN-TC-RS-BR-041-A-P9")&lt;&gt;1,COUNTIFS('Run Log'!$A:$A,"RUN-TC-RS-BR-041-A-P9",'Run Log'!$B:$B,A42,'Run Log'!$C:$C,"A-P9")&lt;&gt;1,COUNTIF('Run Log'!$A:$A,"RUN-TC-RS-BR-041-A-P10")&lt;&gt;1,COUNTIFS('Run Log'!$A:$A,"RUN-TC-RS-BR-041-A-P10",'Run Log'!$B:$B,A42,'Run Log'!$C:$C,"A-P10")&lt;&gt;1,COUNTIF('Run Log'!$A:$A,"RUN-TC-RS-BR-041-A-P11")&lt;&gt;1,COUNTIFS('Run Log'!$A:$A,"RUN-TC-RS-BR-041-A-P11",'Run Log'!$B:$B,A42,'Run Log'!$C:$C,"A-P11")&lt;&gt;1,COUNTIF('Run Log'!$A:$A,"RUN-TC-RS-BR-041-A-P12")&lt;&gt;1,COUNTIFS('Run Log'!$A:$A,"RUN-TC-RS-BR-041-A-P12",'Run Log'!$B:$B,A42,'Run Log'!$C:$C,"A-P12")&lt;&gt;1,COUNTIF('Run Log'!$A:$A,"RUN-TC-RS-BR-041-A-P13")&lt;&gt;1,COUNTIFS('Run Log'!$A:$A,"RUN-TC-RS-BR-041-A-P13",'Run Log'!$B:$B,A42,'Run Log'!$C:$C,"A-P13")&lt;&gt;1,COUNTIF('Run Log'!$A:$A,"RUN-TC-RS-BR-041-A-P14")&lt;&gt;1,COUNTIFS('Run Log'!$A:$A,"RUN-TC-RS-BR-041-A-P14",'Run Log'!$B:$B,A42,'Run Log'!$C:$C,"A-P14")&lt;&gt;1,COUNTIF('Run Log'!$A:$A,"RUN-TC-RS-BR-041-A-P15")&lt;&gt;1,COUNTIFS('Run Log'!$A:$A,"RUN-TC-RS-BR-041-A-P15",'Run Log'!$B:$B,A42,'Run Log'!$C:$C,"A-P15")&lt;&gt;1,COUNTIF('Run Log'!$A:$A,"RUN-TC-RS-BR-041-A-P16")&lt;&gt;1,COUNTIFS('Run Log'!$A:$A,"RUN-TC-RS-BR-041-A-P16",'Run Log'!$B:$B,A42,'Run Log'!$C:$C,"A-P16")&lt;&gt;1,COUNTIF('Run Log'!$A:$A,"RUN-TC-RS-BR-041-RR-60")&lt;&gt;1,COUNTIFS('Run Log'!$A:$A,"RUN-TC-RS-BR-041-RR-60",'Run Log'!$B:$B,A42,'Run Log'!$C:$C,"RR-60")&lt;&gt;1,COUNTIF('Run Log'!$A:$A,"RUN-TC-RS-BR-041-RR-49.9")&lt;&gt;1,COUNTIFS('Run Log'!$A:$A,"RUN-TC-RS-BR-041-RR-49.9",'Run Log'!$B:$B,A42,'Run Log'!$C:$C,"RR-49.9")&lt;&gt;1,COUNTIF('Run Log'!$A:$A,"RUN-TC-RS-BR-041-RR-70")&lt;&gt;1,COUNTIFS('Run Log'!$A:$A,"RUN-TC-RS-BR-041-RR-70",'Run Log'!$B:$B,A42,'Run Log'!$C:$C,"RR-70")&lt;&gt;1,COUNTIF('Run Log'!$A:$A,"RUN-TC-RS-BR-041-AR-60-60")&lt;&gt;1,COUNTIFS('Run Log'!$A:$A,"RUN-TC-RS-BR-041-AR-60-60",'Run Log'!$B:$B,A42,'Run Log'!$C:$C,"AR-60-60")&lt;&gt;1,COUNTIF('Run Log'!$A:$A,"RUN-TC-RS-BR-041-AR-40-60")&lt;&gt;1,COUNTIFS('Run Log'!$A:$A,"RUN-TC-RS-BR-041-AR-40-60",'Run Log'!$B:$B,A42,'Run Log'!$C:$C,"AR-40-60")&lt;&gt;1,COUNTIF('Run Log'!$A:$A,"RUN-TC-RS-BR-041-AR-60-40")&lt;&gt;1,COUNTIFS('Run Log'!$A:$A,"RUN-TC-RS-BR-041-AR-60-40",'Run Log'!$B:$B,A42,'Run Log'!$C:$C,"AR-60-40")&lt;&gt;1,COUNTIF('Run Log'!$A:$A,"RUN-TC-RS-BR-041-FILTER-POS")&lt;&gt;1,COUNTIFS('Run Log'!$A:$A,"RUN-TC-RS-BR-041-FILTER-POS",'Run Log'!$B:$B,A42,'Run Log'!$C:$C,"FILTER-POS")&lt;&gt;1,COUNTIF('Run Log'!$A:$A,"RUN-TC-RS-BR-041-FILTER-GRADE-NEG")&lt;&gt;1,COUNTIFS('Run Log'!$A:$A,"RUN-TC-RS-BR-041-FILTER-GRADE-NEG",'Run Log'!$B:$B,A42,'Run Log'!$C:$C,"FILTER-GRADE-NEG")&lt;&gt;1,COUNTIF('Run Log'!$A:$A,"RUN-TC-RS-BR-041-FILTER-GROUP-NEG")&lt;&gt;1,COUNTIFS('Run Log'!$A:$A,"RUN-TC-RS-BR-041-FILTER-GROUP-NEG",'Run Log'!$B:$B,A42,'Run Log'!$C:$C,"FILTER-GROUP-NEG")&lt;&gt;1,COUNTIF('Run Log'!$A:$A,"RUN-TC-RS-BR-041-P17-A-NAN")&lt;&gt;1,COUNTIFS('Run Log'!$A:$A,"RUN-TC-RS-BR-041-P17-A-NAN",'Run Log'!$B:$B,A42,'Run Log'!$C:$C,"P17-A-NAN")&lt;&gt;1,COUNTIF('Run Log'!$A:$A,"RUN-TC-RS-BR-041-P19-A-INFINITY")&lt;&gt;1,COUNTIFS('Run Log'!$A:$A,"RUN-TC-RS-BR-041-P19-A-INFINITY",'Run Log'!$B:$B,A42,'Run Log'!$C:$C,"P19-A-INFINITY")&lt;&gt;1,COUNTIF('Run Log'!$A:$A,"RUN-TC-RS-BR-041-P18-A-EMPTY")&lt;&gt;1,COUNTIFS('Run Log'!$A:$A,"RUN-TC-RS-BR-041-P18-A-EMPTY",'Run Log'!$B:$B,A42,'Run Log'!$C:$C,"P18-A-EMPTY")&lt;&gt;1,COUNTIF('Run Log'!$A:$A,"RUN-TC-RS-BR-041-P18-S-EMPTY")&lt;&gt;1,COUNTIFS('Run Log'!$A:$A,"RUN-TC-RS-BR-041-P18-S-EMPTY",'Run Log'!$B:$B,A42,'Run Log'!$C:$C,"P18-S-EMPTY")&lt;&gt;1,COUNTIF('Run Log'!$A:$A,"RUN-TC-RS-BR-041-reopen-summary")&lt;&gt;1,COUNTIFS('Run Log'!$A:$A,"RUN-TC-RS-BR-041-reopen-summary",'Run Log'!$B:$B,A42,'Run Log'!$C:$C,"reopen-summary")&lt;&gt;1),"INCOMPLETE",IF(COUNTIFS('Run Log'!$B:$B,A42,'Run Log'!$D:$D,"PASS")=O42,"PASS",IF(COUNTIFS('Run Log'!$B:$B,A42,'Run Log'!$D:$D,"FAIL")&gt;0,"FAIL",IF(COUNTIFS('Run Log'!$B:$B,A42,'Run Log'!$D:$D,"BLOCKED")&gt;0,"BLOCKED",IF(COUNTIFS('Run Log'!$B:$B,A42,'Run Log'!$D:$D,"SKIPPED")&gt;0,"SKIPPED","NOT RUN")))))</f>
      </c>
    </row>
    <row r="43">
      <c r="A43" s="9" t="inlineStr">
        <is>
          <t>TC-RS-BR-005</t>
        </is>
      </c>
      <c r="B43" s="9" t="inlineStr">
        <is>
          <t>Toàn bộ đối tượng（全員が対象） không vượt phạm vi mục, trường, năm</t>
        </is>
      </c>
      <c r="C43" s="9" t="inlineStr">
        <is>
          <t>C. Business Rules</t>
        </is>
      </c>
      <c r="D43" s="9" t="inlineStr">
        <is>
          <t>- Điều kiện: mục số nguyên (M=100) có quy tắc “Cố định 30” (dưới 30) (Toàn bộ). Trường B (trường B (trường khác)) có học sinh điểm 10 ở mục tương tự. Mục mục số thập phân (M=100) (không có quy tắc) có S09=29.5.
- Dữ liệu test: mục số nguyên (M=100), mục số thập phân (M=100); quy tắc “Cố định 30” (dưới 30), trường B (trường khác), học sinh S09 (mục số thập phân 29.5)</t>
        </is>
      </c>
      <c r="E43" s="9" t="inlineStr">
        <is>
          <t>Cao</t>
        </is>
      </c>
      <c r="F43" s="9" t="inlineStr">
        <is>
          <t>CONFIRMED</t>
        </is>
      </c>
      <c r="G43" s="9" t="inlineStr">
        <is>
          <t>UNASSESSED</t>
        </is>
      </c>
      <c r="H43" s="9" t="inlineStr">
        <is>
          <t>tiêu chí nghiệm thu “Đối tượng áp dụng và nhu cầu nguồn” (AC-G05 «Đối tượng áp dụng và nhu cầu nguồn»)</t>
        </is>
      </c>
      <c r="I43" s="9" t="inlineStr">
        <is>
          <t>C. Business Rules</t>
        </is>
      </c>
      <c r="J43" s="9" t="inlineStr">
        <is>
          <t>test-cases.vi.md</t>
        </is>
      </c>
      <c r="K43" s="9" t="inlineStr">
        <is>
          <t>1. Chạy xét hàng loạt cho trường A.
2. Xem kết quả S09 ở mục số thập phân (M=100) và dữ liệu trường B.
| Lượt chạy | Phạm vi thực hiện và đối chiếu |
| --- | --- |
| Run: Base | Toàn bộ thủ tục theo đúng thứ tự; các đối chứng cùng fixture được kiểm trong cùng lượt, không bỏ bước |</t>
        </is>
      </c>
      <c r="L43" s="9" t="inlineStr">
        <is>
          <t>Chỉ ô của mục số nguyên (M=100) trong trường A năm 2026 được xét. S09 ở mục số thập phân (M=100) và học sinh trường B không bị ảnh hưởng.</t>
        </is>
      </c>
      <c r="M43" s="9"/>
      <c r="N43" s="9"/>
      <c r="O43" s="9">
        <v>1</v>
      </c>
      <c r="P43" s="9">
        <f>IF(OR(COUNTIF('Run Log'!$B:$B,A43)&lt;&gt;O43,COUNTIF('Run Log'!$A:$A,"RUN-TC-RS-BR-005-Base")&lt;&gt;1,COUNTIFS('Run Log'!$A:$A,"RUN-TC-RS-BR-005-Base",'Run Log'!$B:$B,A43,'Run Log'!$C:$C,"Base")&lt;&gt;1),"INCOMPLETE",IF(COUNTIFS('Run Log'!$B:$B,A43,'Run Log'!$D:$D,"PASS")=O43,"PASS",IF(COUNTIFS('Run Log'!$B:$B,A43,'Run Log'!$D:$D,"FAIL")&gt;0,"FAIL",IF(COUNTIFS('Run Log'!$B:$B,A43,'Run Log'!$D:$D,"BLOCKED")&gt;0,"BLOCKED",IF(COUNTIFS('Run Log'!$B:$B,A43,'Run Log'!$D:$D,"SKIPPED")&gt;0,"SKIPPED","NOT RUN")))))</f>
      </c>
    </row>
    <row r="44">
      <c r="A44" s="9" t="inlineStr">
        <is>
          <t>TC-RS-BR-006</t>
        </is>
      </c>
      <c r="B44" s="9" t="inlineStr">
        <is>
          <t>Nhóm tham chiếu tách khỏi đối tượng áp dụng và danh sách đang lọc ở đầu ra</t>
        </is>
      </c>
      <c r="C44" s="9" t="inlineStr">
        <is>
          <t>C. Business Rules</t>
        </is>
      </c>
      <c r="D44" s="9" t="inlineStr">
        <is>
          <t>- Điều kiện: Quy tắc chỉ áp dụng cho lớp G-A (bộ lọc lớp), công thức `A×0.5`, nguồn có nhóm tham chiếu là một nhóm tổng hợp chứa cả G-A và G-B, `A=50` (G-A riêng có trung bình 40). Đã xét: `T=25`.
- Dữ liệu test: Nguồn theo nhóm tổng hợp chứa G-A và G-B (không dùng nhóm theo khối vì G-A thuộc khối 1, G-B thuộc khối 2); các lớp học phần G-A, G-B, G-C</t>
        </is>
      </c>
      <c r="E44" s="9" t="inlineStr">
        <is>
          <t>Cao</t>
        </is>
      </c>
      <c r="F44" s="9" t="inlineStr">
        <is>
          <t>CONFIRMED</t>
        </is>
      </c>
      <c r="G44" s="9" t="inlineStr">
        <is>
          <t>UNASSESSED</t>
        </is>
      </c>
      <c r="H44" s="9" t="inlineStr">
        <is>
          <t>tiêu chí nghiệm thu “Đúng phạm vi tham chiếu” (AC-G12 «Đúng phạm vi tham chiếu»)</t>
        </is>
      </c>
      <c r="I44" s="9" t="inlineStr">
        <is>
          <t>C. Business Rules</t>
        </is>
      </c>
      <c r="J44" s="9" t="inlineStr">
        <is>
          <t>test-cases.vi.md</t>
        </is>
      </c>
      <c r="K44" s="9" t="inlineStr">
        <is>
          <t>1. Xem kết quả của học sinh G-A điểm 24 (Đỏ) và 26 (Không đỏ).
2. Chạy trích xuất chỉ lọc lớp G-A.
3. Chạy lại xét.
| Lượt chạy | Phạm vi thực hiện và đối chiếu |
| --- | --- |
| Run: Base | Toàn bộ thủ tục theo đúng thứ tự; các đối chứng cùng fixture được kiểm trong cùng lượt, không bỏ bước |</t>
        </is>
      </c>
      <c r="L44" s="9" t="inlineStr">
        <is>
          <t>Kết quả vẫn dùng `T=25` (từ `A=50` của cả nhóm). Lọc lớp ở đầu ra hoặc đối tượng chỉ G-A không làm trung bình thành 40 (`T=20`).</t>
        </is>
      </c>
      <c r="M44" s="9"/>
      <c r="N44" s="9"/>
      <c r="O44" s="9">
        <v>1</v>
      </c>
      <c r="P44" s="9">
        <f>IF(OR(COUNTIF('Run Log'!$B:$B,A44)&lt;&gt;O44,COUNTIF('Run Log'!$A:$A,"RUN-TC-RS-BR-006-Base")&lt;&gt;1,COUNTIFS('Run Log'!$A:$A,"RUN-TC-RS-BR-006-Base",'Run Log'!$B:$B,A44,'Run Log'!$C:$C,"Base")&lt;&gt;1),"INCOMPLETE",IF(COUNTIFS('Run Log'!$B:$B,A44,'Run Log'!$D:$D,"PASS")=O44,"PASS",IF(COUNTIFS('Run Log'!$B:$B,A44,'Run Log'!$D:$D,"FAIL")&gt;0,"FAIL",IF(COUNTIFS('Run Log'!$B:$B,A44,'Run Log'!$D:$D,"BLOCKED")&gt;0,"BLOCKED",IF(COUNTIFS('Run Log'!$B:$B,A44,'Run Log'!$D:$D,"SKIPPED")&gt;0,"SKIPPED","NOT RUN")))))</f>
      </c>
    </row>
    <row r="45">
      <c r="A45" s="9" t="inlineStr">
        <is>
          <t>TC-RS-BR-007</t>
        </is>
      </c>
      <c r="B45" s="9" t="inlineStr">
        <is>
          <t>Nguồn: bản đã chốt được ưu tiên hơn tổng hợp mới hơn</t>
        </is>
      </c>
      <c r="C45" s="9" t="inlineStr">
        <is>
          <t>C. Business Rules</t>
        </is>
      </c>
      <c r="D45" s="9" t="inlineStr">
        <is>
          <t>- Điều kiện: Có bản tổng hợp đã chốt (trung bình 49.99) (chốt, `A=49.99`) và bản tổng hợp mới nhất chưa chốt (trung bình 62) (mới hơn, `A=62`) cùng phạm vi. mục số nguyên (M=100) có cặp quy tắc phân nhánh theo trung bình 60. Dummy data (dữ liệu giả cho bản tổng hợp đã chốt).
- Dữ liệu test: mục số nguyên (M=100); bản tổng hợp đã chốt (trung bình 49.99), bản tổng hợp mới nhất chưa chốt (trung bình 62), cặp quy tắc phân nhánh theo trung bình 60; học sinh điểm 24 và 26</t>
        </is>
      </c>
      <c r="E45" s="9" t="inlineStr">
        <is>
          <t>Cao</t>
        </is>
      </c>
      <c r="F45" s="9" t="inlineStr">
        <is>
          <t>CONFIRMED</t>
        </is>
      </c>
      <c r="G45" s="9" t="inlineStr">
        <is>
          <t>UNASSESSED</t>
        </is>
      </c>
      <c r="H45" s="9" t="inlineStr">
        <is>
          <t>tiêu chí nghiệm thu “Ưu tiên bản chốt và xử lý thiếu nguồn” (AC-G13 «Ưu tiên bản chốt và xử lý thiếu nguồn»); tiêu chí nghiệm thu “Phạm vi từng đợt” (AC-G40 «Phạm vi từng đợt»)</t>
        </is>
      </c>
      <c r="I45" s="9" t="inlineStr">
        <is>
          <t>C. Business Rules</t>
        </is>
      </c>
      <c r="J45" s="9" t="inlineStr">
        <is>
          <t>test-cases.vi.md</t>
        </is>
      </c>
      <c r="K45" s="9" t="inlineStr">
        <is>
          <t>1. Chạy nút cam.
2. Xem kết quả.
| Lượt chạy | Phạm vi thực hiện và đối chiếu |
| --- | --- |
| Run: Base | Toàn bộ thủ tục theo đúng thứ tự; các đối chứng cùng fixture được kiểm trong cùng lượt, không bỏ bước |</t>
        </is>
      </c>
      <c r="L45" s="9" t="inlineStr">
        <is>
          <t>Dùng `A=49.99` → nhánh ưu tiên 2 (`A&lt;60`), `T=24.995` → điểm 24 Đỏ, điểm 26 Không đỏ. Không dùng `A=62` (sẽ vào nhánh `A≥60`, `T=30`, điểm 26 Đỏ).</t>
        </is>
      </c>
      <c r="M45" s="9"/>
      <c r="N45" s="9"/>
      <c r="O45" s="9">
        <v>1</v>
      </c>
      <c r="P45" s="9">
        <f>IF(OR(COUNTIF('Run Log'!$B:$B,A45)&lt;&gt;O45,COUNTIF('Run Log'!$A:$A,"RUN-TC-RS-BR-007-Base")&lt;&gt;1,COUNTIFS('Run Log'!$A:$A,"RUN-TC-RS-BR-007-Base",'Run Log'!$B:$B,A45,'Run Log'!$C:$C,"Base")&lt;&gt;1),"INCOMPLETE",IF(COUNTIFS('Run Log'!$B:$B,A45,'Run Log'!$D:$D,"PASS")=O45,"PASS",IF(COUNTIFS('Run Log'!$B:$B,A45,'Run Log'!$D:$D,"FAIL")&gt;0,"FAIL",IF(COUNTIFS('Run Log'!$B:$B,A45,'Run Log'!$D:$D,"BLOCKED")&gt;0,"BLOCKED",IF(COUNTIFS('Run Log'!$B:$B,A45,'Run Log'!$D:$D,"SKIPPED")&gt;0,"SKIPPED","NOT RUN")))))</f>
      </c>
    </row>
    <row r="46">
      <c r="A46" s="9" t="inlineStr">
        <is>
          <t>TC-RS-BR-008</t>
        </is>
      </c>
      <c r="B46" s="9" t="inlineStr">
        <is>
          <t>Nguồn: chưa có bản chốt → dùng tổng hợp hoàn tất mới nhất cùng phạm vi</t>
        </is>
      </c>
      <c r="C46" s="9" t="inlineStr">
        <is>
          <t>C. Business Rules</t>
        </is>
      </c>
      <c r="D46" s="9" t="inlineStr">
        <is>
          <t>- Điều kiện: Chỉ có bản tổng hợp mới nhất chưa chốt (trung bình 62) (`A=62`), không có bản chốt; có thêm một tổng hợp cũ hơn `A=55` và một tổng hợp khác kỳ mới hơn `A=40`.
- Dữ liệu test: bản tổng hợp mới nhất chưa chốt (trung bình 62), cặp quy tắc phân nhánh theo trung bình 60</t>
        </is>
      </c>
      <c r="E46" s="9" t="inlineStr">
        <is>
          <t>Cao</t>
        </is>
      </c>
      <c r="F46" s="9" t="inlineStr">
        <is>
          <t>CONFIRMED</t>
        </is>
      </c>
      <c r="G46" s="9" t="inlineStr">
        <is>
          <t>UNASSESSED</t>
        </is>
      </c>
      <c r="H46" s="9" t="inlineStr">
        <is>
          <t>tiêu chí nghiệm thu “Ưu tiên bản chốt và xử lý thiếu nguồn” (AC-G13 «Ưu tiên bản chốt và xử lý thiếu nguồn»)</t>
        </is>
      </c>
      <c r="I46" s="9" t="inlineStr">
        <is>
          <t>C. Business Rules</t>
        </is>
      </c>
      <c r="J46" s="9" t="inlineStr">
        <is>
          <t>test-cases.vi.md</t>
        </is>
      </c>
      <c r="K46" s="9" t="inlineStr">
        <is>
          <t>1. Chạy nút cam.
2. Xem kết quả học sinh điểm 26 và 29.
3. Bắt đầu một lượt tổng hợp mới cùng phạm vi sau bản tổng hợp mới nhất chưa chốt (trung bình 62) nhưng chưa hoàn tất (đang chạy hoặc thất bại); chạy lại nút cam.
| Lượt chạy | Phạm vi thực hiện và đối chiếu |
| --- | --- |
| Run: completed | Bản mới nhất hoàn tất |
| Run: running | Bản mới đang chạy |
| Run: failed | Bản mới thất bại |</t>
        </is>
      </c>
      <c r="L46" s="9" t="inlineStr">
        <is>
          <t>1–2. Dùng `A=62` (mới nhất, cùng kỳ) → nhánh `A≥60`, `T=30` → 26 và 29 Đỏ. Không dùng bản cũ hơn hoặc bản khác kỳ.
3. Vẫn dùng `A=62` của bản hoàn tất mới nhất; không đọc lượt tổng hợp chưa hoàn tất.</t>
        </is>
      </c>
      <c r="M46" s="9"/>
      <c r="N46" s="9"/>
      <c r="O46" s="9">
        <v>3</v>
      </c>
      <c r="P46" s="9">
        <f>IF(OR(COUNTIF('Run Log'!$B:$B,A46)&lt;&gt;O46,COUNTIF('Run Log'!$A:$A,"RUN-TC-RS-BR-008-completed")&lt;&gt;1,COUNTIFS('Run Log'!$A:$A,"RUN-TC-RS-BR-008-completed",'Run Log'!$B:$B,A46,'Run Log'!$C:$C,"completed")&lt;&gt;1,COUNTIF('Run Log'!$A:$A,"RUN-TC-RS-BR-008-running")&lt;&gt;1,COUNTIFS('Run Log'!$A:$A,"RUN-TC-RS-BR-008-running",'Run Log'!$B:$B,A46,'Run Log'!$C:$C,"running")&lt;&gt;1,COUNTIF('Run Log'!$A:$A,"RUN-TC-RS-BR-008-failed")&lt;&gt;1,COUNTIFS('Run Log'!$A:$A,"RUN-TC-RS-BR-008-failed",'Run Log'!$B:$B,A46,'Run Log'!$C:$C,"failed")&lt;&gt;1),"INCOMPLETE",IF(COUNTIFS('Run Log'!$B:$B,A46,'Run Log'!$D:$D,"PASS")=O46,"PASS",IF(COUNTIFS('Run Log'!$B:$B,A46,'Run Log'!$D:$D,"FAIL")&gt;0,"FAIL",IF(COUNTIFS('Run Log'!$B:$B,A46,'Run Log'!$D:$D,"BLOCKED")&gt;0,"BLOCKED",IF(COUNTIFS('Run Log'!$B:$B,A46,'Run Log'!$D:$D,"SKIPPED")&gt;0,"SKIPPED","NOT RUN")))))</f>
      </c>
    </row>
    <row r="47">
      <c r="A47" s="9" t="inlineStr">
        <is>
          <t>TC-RS-BR-009</t>
        </is>
      </c>
      <c r="B47" s="9" t="inlineStr">
        <is>
          <t>Nguồn: bản đã chốt thiếu dữ liệu → Chưa xét được, không chuyển sang bản thường</t>
        </is>
      </c>
      <c r="C47" s="9" t="inlineStr">
        <is>
          <t>C. Business Rules</t>
        </is>
      </c>
      <c r="D47" s="9" t="inlineStr">
        <is>
          <t>- Điều kiện: Có bản đã chốt thiếu dữ liệu của ô (chốt, thiếu dòng cho môn/mục) và bản tổng hợp mới nhất chưa chốt (trung bình 62) (thường, đầy đủ). cặp quy tắc phân nhánh theo trung bình 60. Ô trước đó Đỏ.
- Dữ liệu test: bản đã chốt thiếu dữ liệu của ô, bản tổng hợp mới nhất chưa chốt (trung bình 62), cặp quy tắc phân nhánh theo trung bình 60</t>
        </is>
      </c>
      <c r="E47" s="9" t="inlineStr">
        <is>
          <t>Cao</t>
        </is>
      </c>
      <c r="F47" s="9" t="inlineStr">
        <is>
          <t>CONFIRMED</t>
        </is>
      </c>
      <c r="G47" s="9" t="inlineStr">
        <is>
          <t>UNASSESSED</t>
        </is>
      </c>
      <c r="H47" s="9" t="inlineStr">
        <is>
          <t>tiêu chí nghiệm thu “Ưu tiên bản chốt và xử lý thiếu nguồn” (AC-G13 «Ưu tiên bản chốt và xử lý thiếu nguồn»); tiêu chí nghiệm thu “Phạm vi từng đợt” (AC-G40 «Phạm vi từng đợt»)</t>
        </is>
      </c>
      <c r="I47" s="9" t="inlineStr">
        <is>
          <t>C. Business Rules</t>
        </is>
      </c>
      <c r="J47" s="9" t="inlineStr">
        <is>
          <t>test-cases.vi.md</t>
        </is>
      </c>
      <c r="K47" s="9" t="inlineStr">
        <is>
          <t>1. Chạy nút cam.
2. Xem kết quả và ba đầu ra.
| Lượt chạy | Phạm vi thực hiện và đối chiếu |
| --- | --- |
| Run: Base | Toàn bộ thủ tục theo đúng thứ tự; các đối chứng cùng fixture được kiểm trong cùng lượt, không bỏ bước |</t>
        </is>
      </c>
      <c r="L47" s="9" t="inlineStr">
        <is>
          <t>Chưa xét được; ngừng dùng dấu/lọc đỏ cũ; điểm giữ nguyên. Không dùng bản tổng hợp mới nhất chưa chốt (trung bình 62) hay bản khác kỳ.</t>
        </is>
      </c>
      <c r="M47" s="9"/>
      <c r="N47" s="9"/>
      <c r="O47" s="9">
        <v>1</v>
      </c>
      <c r="P47" s="9">
        <f>IF(OR(COUNTIF('Run Log'!$B:$B,A47)&lt;&gt;O47,COUNTIF('Run Log'!$A:$A,"RUN-TC-RS-BR-009-Base")&lt;&gt;1,COUNTIFS('Run Log'!$A:$A,"RUN-TC-RS-BR-009-Base",'Run Log'!$B:$B,A47,'Run Log'!$C:$C,"Base")&lt;&gt;1),"INCOMPLETE",IF(COUNTIFS('Run Log'!$B:$B,A47,'Run Log'!$D:$D,"PASS")=O47,"PASS",IF(COUNTIFS('Run Log'!$B:$B,A47,'Run Log'!$D:$D,"FAIL")&gt;0,"FAIL",IF(COUNTIFS('Run Log'!$B:$B,A47,'Run Log'!$D:$D,"BLOCKED")&gt;0,"BLOCKED",IF(COUNTIFS('Run Log'!$B:$B,A47,'Run Log'!$D:$D,"SKIPPED")&gt;0,"SKIPPED","NOT RUN")))))</f>
      </c>
    </row>
    <row r="48">
      <c r="A48" s="9" t="inlineStr">
        <is>
          <t>TC-RS-BR-010</t>
        </is>
      </c>
      <c r="B48" s="9" t="inlineStr">
        <is>
          <t>Chưa có kết quả tổng hợp → Chưa xét được, không thay bằng 0 hay nhóm khác</t>
        </is>
      </c>
      <c r="C48" s="9" t="inlineStr">
        <is>
          <t>C. Business Rules</t>
        </is>
      </c>
      <c r="D48" s="9" t="inlineStr">
        <is>
          <t>- Điều kiện: Công thức `A×0.5` với nguồn nguồn chưa có kết quả tổng hợp (chưa tổng hợp). Ô trước đó Đỏ.
- Dữ liệu test: nguồn chưa có kết quả tổng hợp</t>
        </is>
      </c>
      <c r="E48" s="9" t="inlineStr">
        <is>
          <t>Cao</t>
        </is>
      </c>
      <c r="F48" s="9" t="inlineStr">
        <is>
          <t>CONFIRMED</t>
        </is>
      </c>
      <c r="G48" s="9" t="inlineStr">
        <is>
          <t>UNASSESSED</t>
        </is>
      </c>
      <c r="H48" s="9" t="inlineStr">
        <is>
          <t>tiêu chí nghiệm thu “Ưu tiên bản chốt và xử lý thiếu nguồn” (AC-G13 «Ưu tiên bản chốt và xử lý thiếu nguồn»)</t>
        </is>
      </c>
      <c r="I48" s="9" t="inlineStr">
        <is>
          <t>C. Business Rules</t>
        </is>
      </c>
      <c r="J48" s="9" t="inlineStr">
        <is>
          <t>test-cases.vi.md</t>
        </is>
      </c>
      <c r="K48" s="9" t="inlineStr">
        <is>
          <t>1. Chạy nút cam.
2. Xem kết quả.
| Lượt chạy | Phạm vi thực hiện và đối chiếu |
| --- | --- |
| Run: Base | Toàn bộ thủ tục theo đúng thứ tự; các đối chứng cùng fixture được kiểm trong cùng lượt, không bỏ bước |</t>
        </is>
      </c>
      <c r="L48" s="9" t="inlineStr">
        <is>
          <t>Chưa xét được; `A` không bị coi là 0 (nếu coi 0 thì `T=0`, mọi điểm dương Không đỏ); không dùng nhóm khác; ngừng dấu đỏ cũ.</t>
        </is>
      </c>
      <c r="M48" s="9"/>
      <c r="N48" s="9"/>
      <c r="O48" s="9">
        <v>1</v>
      </c>
      <c r="P48" s="9">
        <f>IF(OR(COUNTIF('Run Log'!$B:$B,A48)&lt;&gt;O48,COUNTIF('Run Log'!$A:$A,"RUN-TC-RS-BR-010-Base")&lt;&gt;1,COUNTIFS('Run Log'!$A:$A,"RUN-TC-RS-BR-010-Base",'Run Log'!$B:$B,A48,'Run Log'!$C:$C,"Base")&lt;&gt;1),"INCOMPLETE",IF(COUNTIFS('Run Log'!$B:$B,A48,'Run Log'!$D:$D,"PASS")=O48,"PASS",IF(COUNTIFS('Run Log'!$B:$B,A48,'Run Log'!$D:$D,"FAIL")&gt;0,"FAIL",IF(COUNTIFS('Run Log'!$B:$B,A48,'Run Log'!$D:$D,"BLOCKED")&gt;0,"BLOCKED",IF(COUNTIFS('Run Log'!$B:$B,A48,'Run Log'!$D:$D,"SKIPPED")&gt;0,"SKIPPED","NOT RUN")))))</f>
      </c>
    </row>
    <row r="49">
      <c r="A49" s="9" t="inlineStr">
        <is>
          <t>TC-RS-BR-011</t>
        </is>
      </c>
      <c r="B49" s="9" t="inlineStr">
        <is>
          <t>Nguồn chỉ cần khi quy tắc đọc trung bình/tỷ lệ nhóm</t>
        </is>
      </c>
      <c r="C49" s="9" t="inlineStr">
        <is>
          <t>C. Business Rules</t>
        </is>
      </c>
      <c r="D49" s="9" t="inlineStr">
        <is>
          <t>- Điều kiện: Không có kết quả tổng hợp nào (nguồn chưa có kết quả tổng hợp).
- Dữ liệu test: quy tắc “Cố định 30” (dưới 30), quy tắc tỷ lệ 30%, nguồn chưa có kết quả tổng hợp, học sinh S01 (điểm 29)</t>
        </is>
      </c>
      <c r="E49" s="9" t="inlineStr">
        <is>
          <t>Cao</t>
        </is>
      </c>
      <c r="F49" s="9" t="inlineStr">
        <is>
          <t>CONFIRMED</t>
        </is>
      </c>
      <c r="G49" s="9" t="inlineStr">
        <is>
          <t>UNASSESSED</t>
        </is>
      </c>
      <c r="H49" s="9" t="inlineStr">
        <is>
          <t>tiêu chí nghiệm thu “Đối tượng áp dụng và nhu cầu nguồn” (AC-G05 «Đối tượng áp dụng và nhu cầu nguồn»)</t>
        </is>
      </c>
      <c r="I49" s="9" t="inlineStr">
        <is>
          <t>C. Business Rules</t>
        </is>
      </c>
      <c r="J49" s="9" t="inlineStr">
        <is>
          <t>test-cases.vi.md</t>
        </is>
      </c>
      <c r="K49" s="9" t="inlineStr">
        <is>
          <t>1. Chỉ có quy tắc “Cố định 30” (dưới 30) (Toàn bộ, không điều kiện trung bình): đăng ký S01=29.
2. Chỉ có quy tắc tỷ lệ 30%: đăng ký S01=29.
3. Chỉ có quy tắc "cố định 30 `&lt;`, điều kiện `A≥60`": đăng ký S01=29.
| Lượt chạy | Phạm vi thực hiện và đối chiếu |
| --- | --- |
| Run: fixed | Ngưỡng cố định |
| Run: ratio | Ngưỡng tỷ lệ |
| Run: average-condition | Điều kiện trung bình |</t>
        </is>
      </c>
      <c r="L49" s="9" t="inlineStr">
        <is>
          <t>1. Đỏ (không cần nguồn).
2. Đỏ (`M=100`, `T=30`; không cần nguồn).
3. Chưa xét được; không bỏ điều kiện để áp 30 cho mọi học sinh.</t>
        </is>
      </c>
      <c r="M49" s="9"/>
      <c r="N49" s="9"/>
      <c r="O49" s="9">
        <v>3</v>
      </c>
      <c r="P49" s="9">
        <f>IF(OR(COUNTIF('Run Log'!$B:$B,A49)&lt;&gt;O49,COUNTIF('Run Log'!$A:$A,"RUN-TC-RS-BR-011-fixed")&lt;&gt;1,COUNTIFS('Run Log'!$A:$A,"RUN-TC-RS-BR-011-fixed",'Run Log'!$B:$B,A49,'Run Log'!$C:$C,"fixed")&lt;&gt;1,COUNTIF('Run Log'!$A:$A,"RUN-TC-RS-BR-011-ratio")&lt;&gt;1,COUNTIFS('Run Log'!$A:$A,"RUN-TC-RS-BR-011-ratio",'Run Log'!$B:$B,A49,'Run Log'!$C:$C,"ratio")&lt;&gt;1,COUNTIF('Run Log'!$A:$A,"RUN-TC-RS-BR-011-average-condition")&lt;&gt;1,COUNTIFS('Run Log'!$A:$A,"RUN-TC-RS-BR-011-average-condition",'Run Log'!$B:$B,A49,'Run Log'!$C:$C,"average-condition")&lt;&gt;1),"INCOMPLETE",IF(COUNTIFS('Run Log'!$B:$B,A49,'Run Log'!$D:$D,"PASS")=O49,"PASS",IF(COUNTIFS('Run Log'!$B:$B,A49,'Run Log'!$D:$D,"FAIL")&gt;0,"FAIL",IF(COUNTIFS('Run Log'!$B:$B,A49,'Run Log'!$D:$D,"BLOCKED")&gt;0,"BLOCKED",IF(COUNTIFS('Run Log'!$B:$B,A49,'Run Log'!$D:$D,"SKIPPED")&gt;0,"SKIPPED","NOT RUN")))))</f>
      </c>
    </row>
    <row r="50">
      <c r="A50" s="9" t="inlineStr">
        <is>
          <t>TC-RS-BR-012</t>
        </is>
      </c>
      <c r="B50" s="9" t="inlineStr">
        <is>
          <t>Điểm được xét là điểm cuối đã lưu (dự kiến, sửa tay, sau giới hạn miền điểm)</t>
        </is>
      </c>
      <c r="C50" s="9" t="inlineStr">
        <is>
          <t>C. Business Rules</t>
        </is>
      </c>
      <c r="D50" s="9" t="inlineStr">
        <is>
          <t>- Điều kiện: mục số nguyên (M=100) có quy tắc “Cố định 30” (dưới 30) và (cho biến thể c) mục số nguyên có thêm tính tự động có quy tắc tính tự động cho kết quả vượt 100.
- Dữ liệu test: mục số nguyên (M=100), mục số nguyên có thêm tính tự động; học sinh S06 (điểm dự kiến 24), học sinh S08 (sửa tay 28 thành 35), quy tắc “Cố định 30” (dưới 30)</t>
        </is>
      </c>
      <c r="E50" s="9" t="inlineStr">
        <is>
          <t>Cao</t>
        </is>
      </c>
      <c r="F50" s="9" t="inlineStr">
        <is>
          <t>CONFIRMED</t>
        </is>
      </c>
      <c r="G50" s="9" t="inlineStr">
        <is>
          <t>UNASSESSED</t>
        </is>
      </c>
      <c r="H50" s="9" t="inlineStr">
        <is>
          <t>tiêu chí nghiệm thu “Dùng điểm cuối cùng” (AC-G19 «Dùng điểm cuối cùng»)</t>
        </is>
      </c>
      <c r="I50" s="9" t="inlineStr">
        <is>
          <t>C. Business Rules</t>
        </is>
      </c>
      <c r="J50" s="9" t="inlineStr">
        <is>
          <t>test-cases.vi.md</t>
        </is>
      </c>
      <c r="K50" s="9" t="inlineStr">
        <is>
          <t>(a) S06 = 24 là Điểm dự kiến（見込点）: đăng ký.
(b) S08: nhập 28, lưu; sửa tay thành 35, lưu.
(c) Tạo dữ liệu mà phép tính cho 120 nhưng điểm lưu hợp lệ là 100; áp quy tắc cố định 100 `&lt;` và 100 `≤`.
| Lượt chạy | Phạm vi thực hiện và đối chiếu |
| --- | --- |
| Run: projected | Điểm dự kiến 24 |
| Run: manual | Chuỗi sửa tay 28 thành 35 |
| Run: clamp-lt | Điểm sau chặn 100 với nhỏ hơn |
| Run: clamp-le | Điểm sau chặn 100 với nhỏ hơn hoặc bằng |</t>
        </is>
      </c>
      <c r="L50" s="9" t="inlineStr">
        <is>
          <t>(a) Đỏ.
(b) Sau lần lưu thứ hai: xét 35 → Không đỏ.
(c) Xét `S=100`: `&lt;100` Không đỏ; `≤100` Đỏ.</t>
        </is>
      </c>
      <c r="M50" s="9"/>
      <c r="N50" s="9"/>
      <c r="O50" s="9">
        <v>4</v>
      </c>
      <c r="P50" s="9">
        <f>IF(OR(COUNTIF('Run Log'!$B:$B,A50)&lt;&gt;O50,COUNTIF('Run Log'!$A:$A,"RUN-TC-RS-BR-012-projected")&lt;&gt;1,COUNTIFS('Run Log'!$A:$A,"RUN-TC-RS-BR-012-projected",'Run Log'!$B:$B,A50,'Run Log'!$C:$C,"projected")&lt;&gt;1,COUNTIF('Run Log'!$A:$A,"RUN-TC-RS-BR-012-manual")&lt;&gt;1,COUNTIFS('Run Log'!$A:$A,"RUN-TC-RS-BR-012-manual",'Run Log'!$B:$B,A50,'Run Log'!$C:$C,"manual")&lt;&gt;1,COUNTIF('Run Log'!$A:$A,"RUN-TC-RS-BR-012-clamp-lt")&lt;&gt;1,COUNTIFS('Run Log'!$A:$A,"RUN-TC-RS-BR-012-clamp-lt",'Run Log'!$B:$B,A50,'Run Log'!$C:$C,"clamp-lt")&lt;&gt;1,COUNTIF('Run Log'!$A:$A,"RUN-TC-RS-BR-012-clamp-le")&lt;&gt;1,COUNTIFS('Run Log'!$A:$A,"RUN-TC-RS-BR-012-clamp-le",'Run Log'!$B:$B,A50,'Run Log'!$C:$C,"clamp-le")&lt;&gt;1),"INCOMPLETE",IF(COUNTIFS('Run Log'!$B:$B,A50,'Run Log'!$D:$D,"PASS")=O50,"PASS",IF(COUNTIFS('Run Log'!$B:$B,A50,'Run Log'!$D:$D,"FAIL")&gt;0,"FAIL",IF(COUNTIFS('Run Log'!$B:$B,A50,'Run Log'!$D:$D,"BLOCKED")&gt;0,"BLOCKED",IF(COUNTIFS('Run Log'!$B:$B,A50,'Run Log'!$D:$D,"SKIPPED")&gt;0,"SKIPPED","NOT RUN")))))</f>
      </c>
    </row>
    <row r="51">
      <c r="A51" s="9" t="inlineStr">
        <is>
          <t>TC-RS-BR-013</t>
        </is>
      </c>
      <c r="B51" s="9" t="inlineStr">
        <is>
          <t>Cờ Chưa dự thi（未受験） không loại điểm số khỏi xét</t>
        </is>
      </c>
      <c r="C51" s="9" t="inlineStr">
        <is>
          <t>C. Business Rules</t>
        </is>
      </c>
      <c r="D51" s="9" t="inlineStr">
        <is>
          <t>- Điều kiện: quy tắc “Cố định 30” (dưới 30) (`&lt;30`).
- Dữ liệu test: quy tắc “Cố định 30” (dưới 30); học sinh S07 (điểm 35, cờ Chưa dự thi（未受験）) (35, cờ Chưa dự thi) và biến thể S07 = 25 cùng cờ; học sinh S09 (mục số thập phân 29.5) (mục số thập phân (M=100) = 29.5) được thiết lập loại khỏi xếp hạng; mục số thập phân (M=100) có quy tắc “Cố định 30” (dưới 30)</t>
        </is>
      </c>
      <c r="E51" s="9" t="inlineStr">
        <is>
          <t>Cao</t>
        </is>
      </c>
      <c r="F51" s="9" t="inlineStr">
        <is>
          <t>CONFIRMED</t>
        </is>
      </c>
      <c r="G51" s="9" t="inlineStr">
        <is>
          <t>UNASSESSED</t>
        </is>
      </c>
      <c r="H51" s="9" t="inlineStr">
        <is>
          <t>tiêu chí nghiệm thu “Dùng điểm cuối cùng” (AC-G19 «Dùng điểm cuối cùng»)</t>
        </is>
      </c>
      <c r="I51" s="9" t="inlineStr">
        <is>
          <t>C. Business Rules</t>
        </is>
      </c>
      <c r="J51" s="9" t="inlineStr">
        <is>
          <t>test-cases.vi.md</t>
        </is>
      </c>
      <c r="K51" s="9" t="inlineStr">
        <is>
          <t>1. Đăng ký S07=35 kèm cờ Chưa dự thi（未受験）.
2. Sửa S07=25, giữ cờ.
3. Đăng ký điểm 29.5 cho S09 (học sinh bị loại khỏi xếp hạng); chạy nút xanh rồi nút cam.
| Lượt chạy | Phạm vi thực hiện và đối chiếu |
| --- | --- |
| Run: notexam35 | Cờ chưa dự thi với điểm 35 |
| Run: notexam25 | Cờ chưa dự thi với điểm 25 |
| Run: ranking-excluded | Loại khỏi xếp hạng với điểm 29.5 |</t>
        </is>
      </c>
      <c r="L51" s="9" t="inlineStr">
        <is>
          <t>1. Được xét → Không đỏ.
2. Được xét → Đỏ.
3. S09 được xét → Đỏ (29.5 `&lt;30`); việc bị loại khỏi xếp hạng không loại ô khỏi xét đỏ.</t>
        </is>
      </c>
      <c r="M51" s="9"/>
      <c r="N51" s="9"/>
      <c r="O51" s="9">
        <v>3</v>
      </c>
      <c r="P51" s="9">
        <f>IF(OR(COUNTIF('Run Log'!$B:$B,A51)&lt;&gt;O51,COUNTIF('Run Log'!$A:$A,"RUN-TC-RS-BR-013-notexam35")&lt;&gt;1,COUNTIFS('Run Log'!$A:$A,"RUN-TC-RS-BR-013-notexam35",'Run Log'!$B:$B,A51,'Run Log'!$C:$C,"notexam35")&lt;&gt;1,COUNTIF('Run Log'!$A:$A,"RUN-TC-RS-BR-013-notexam25")&lt;&gt;1,COUNTIFS('Run Log'!$A:$A,"RUN-TC-RS-BR-013-notexam25",'Run Log'!$B:$B,A51,'Run Log'!$C:$C,"notexam25")&lt;&gt;1,COUNTIF('Run Log'!$A:$A,"RUN-TC-RS-BR-013-ranking-excluded")&lt;&gt;1,COUNTIFS('Run Log'!$A:$A,"RUN-TC-RS-BR-013-ranking-excluded",'Run Log'!$B:$B,A51,'Run Log'!$C:$C,"ranking-excluded")&lt;&gt;1),"INCOMPLETE",IF(COUNTIFS('Run Log'!$B:$B,A51,'Run Log'!$D:$D,"PASS")=O51,"PASS",IF(COUNTIFS('Run Log'!$B:$B,A51,'Run Log'!$D:$D,"FAIL")&gt;0,"FAIL",IF(COUNTIFS('Run Log'!$B:$B,A51,'Run Log'!$D:$D,"BLOCKED")&gt;0,"BLOCKED",IF(COUNTIFS('Run Log'!$B:$B,A51,'Run Log'!$D:$D,"SKIPPED")&gt;0,"SKIPPED","NOT RUN")))))</f>
      </c>
    </row>
    <row r="52">
      <c r="A52" s="9" t="inlineStr">
        <is>
          <t>TC-RS-BR-014</t>
        </is>
      </c>
      <c r="B52" s="9" t="inlineStr">
        <is>
          <t>Ô trống không bị coi là 0 (trạng thái Không có điểm)</t>
        </is>
      </c>
      <c r="C52" s="9" t="inlineStr">
        <is>
          <t>C. Business Rules</t>
        </is>
      </c>
      <c r="D52" s="9" t="inlineStr">
        <is>
          <t>- Điều kiện: quy tắc “Cố định 30” (dưới 30) (`&lt;30`) và quy tắc cố định 30 với Nhỏ hơn hoặc bằng（以下） biến thể cố định 0 `≤`.
- Dữ liệu test: quy tắc “Cố định 30” (dưới 30), quy tắc cố định 30 với Nhỏ hơn hoặc bằng（以下）; học sinh S05 (ô trống) (trống), học sinh S04 (điểm 0) (0)</t>
        </is>
      </c>
      <c r="E52" s="9" t="inlineStr">
        <is>
          <t>Cao</t>
        </is>
      </c>
      <c r="F52" s="9" t="inlineStr">
        <is>
          <t>CONFIRMED</t>
        </is>
      </c>
      <c r="G52" s="9" t="inlineStr">
        <is>
          <t>UNASSESSED</t>
        </is>
      </c>
      <c r="H52" s="9" t="inlineStr">
        <is>
          <t>tiêu chí nghiệm thu “Dùng điểm cuối cùng” (AC-G19 «Dùng điểm cuối cùng»)</t>
        </is>
      </c>
      <c r="I52" s="9" t="inlineStr">
        <is>
          <t>C. Business Rules</t>
        </is>
      </c>
      <c r="J52" s="9" t="inlineStr">
        <is>
          <t>test-cases.vi.md</t>
        </is>
      </c>
      <c r="K52" s="9" t="inlineStr">
        <is>
          <t>1. Với quy tắc “Cố định 30” (dưới 30): đăng ký S04=0, để S05 trống.
2. Đổi thành quy tắc cố định 0 `≤`, chạy lại.
| Lượt chạy | Phạm vi thực hiện và đối chiếu |
| --- | --- |
| Run: fixed30-lt | Ngưỡng 30 nhỏ hơn, kiểm cả trống và 0 |
| Run: fixed0-le | Ngưỡng 0 nhỏ hơn hoặc bằng, kiểm cả trống và 0 |</t>
        </is>
      </c>
      <c r="L52" s="9" t="inlineStr">
        <is>
          <t>1. S04 Đỏ (0 hợp lệ là số); S05 Không có điểm, không dấu đỏ.
2. S04 Đỏ (`0≤0`); S05 vẫn Không có điểm (không thành Đỏ như thể là 0).</t>
        </is>
      </c>
      <c r="M52" s="9"/>
      <c r="N52" s="9"/>
      <c r="O52" s="9">
        <v>2</v>
      </c>
      <c r="P52" s="9">
        <f>IF(OR(COUNTIF('Run Log'!$B:$B,A52)&lt;&gt;O52,COUNTIF('Run Log'!$A:$A,"RUN-TC-RS-BR-014-fixed30-lt")&lt;&gt;1,COUNTIFS('Run Log'!$A:$A,"RUN-TC-RS-BR-014-fixed30-lt",'Run Log'!$B:$B,A52,'Run Log'!$C:$C,"fixed30-lt")&lt;&gt;1,COUNTIF('Run Log'!$A:$A,"RUN-TC-RS-BR-014-fixed0-le")&lt;&gt;1,COUNTIFS('Run Log'!$A:$A,"RUN-TC-RS-BR-014-fixed0-le",'Run Log'!$B:$B,A52,'Run Log'!$C:$C,"fixed0-le")&lt;&gt;1),"INCOMPLETE",IF(COUNTIFS('Run Log'!$B:$B,A52,'Run Log'!$D:$D,"PASS")=O52,"PASS",IF(COUNTIFS('Run Log'!$B:$B,A52,'Run Log'!$D:$D,"FAIL")&gt;0,"FAIL",IF(COUNTIFS('Run Log'!$B:$B,A52,'Run Log'!$D:$D,"BLOCKED")&gt;0,"BLOCKED",IF(COUNTIFS('Run Log'!$B:$B,A52,'Run Log'!$D:$D,"SKIPPED")&gt;0,"SKIPPED","NOT RUN")))))</f>
      </c>
    </row>
    <row r="53">
      <c r="A53" s="9" t="inlineStr">
        <is>
          <t>TC-RS-BR-015</t>
        </is>
      </c>
      <c r="B53" s="9" t="inlineStr">
        <is>
          <t>Lưu cấu hình không xét; kết quả trước giữ tới lần chạy lại</t>
        </is>
      </c>
      <c r="C53" s="9" t="inlineStr">
        <is>
          <t>C. Business Rules</t>
        </is>
      </c>
      <c r="D53" s="9" t="inlineStr">
        <is>
          <t>- Điều kiện: quy tắc “Cố định 30” (dưới 30); S03 sửa thành 32 và đã xét → Không đỏ.
- Dữ liệu test: quy tắc “Cố định 30” (dưới 30)</t>
        </is>
      </c>
      <c r="E53" s="9" t="inlineStr">
        <is>
          <t>Cao</t>
        </is>
      </c>
      <c r="F53" s="9" t="inlineStr">
        <is>
          <t>CONFIRMED</t>
        </is>
      </c>
      <c r="G53" s="9" t="inlineStr">
        <is>
          <t>UNASSESSED</t>
        </is>
      </c>
      <c r="H53" s="9" t="inlineStr">
        <is>
          <t>tiêu chí nghiệm thu “Giữ kết quả trước khi chạy lại” (AC-G21 «Giữ kết quả trước khi chạy lại và xóa rule cuối»)</t>
        </is>
      </c>
      <c r="I53" s="9" t="inlineStr">
        <is>
          <t>C. Business Rules</t>
        </is>
      </c>
      <c r="J53" s="9" t="inlineStr">
        <is>
          <t>test-cases.vi.md</t>
        </is>
      </c>
      <c r="K53" s="9" t="inlineStr">
        <is>
          <t>1. Đổi ngưỡng thành 35 `&lt;`, lưu.
2. Xem ba đầu ra.
3. Đổi thứ tự quy tắc/đổi nguồn (nếu có), lưu, xem lại.
4. Chỉ đổi dấu (`&lt;35` → `≤35`), lưu, xem lại. Nếu công thức thuộc đợt phát hành: chỉ đổi công thức của một quy tắc công thức, lưu, xem lại.
5. Chạy lại (đăng ký lại điểm S03 hoặc nút cam), xem ba đầu ra.
| Lượt chạy | Phạm vi thực hiện và đối chiếu |
| --- | --- |
| Run: Base | Toàn bộ thủ tục theo đúng thứ tự; các đối chứng cùng fixture được kiểm trong cùng lượt, không bỏ bước |</t>
        </is>
      </c>
      <c r="L53" s="9" t="inlineStr">
        <is>
          <t>1. Sau lưu: không báo "đã cập nhật điểm đỏ học sinh"; có hướng dẫn chạy lại.
2–4. S03 vẫn Không đỏ theo kết quả trước; hiệu ứng hiển thị trước đó giữ nguyên.
5. Sau chạy lại thành công: S03 Đỏ.</t>
        </is>
      </c>
      <c r="M53" s="9"/>
      <c r="N53" s="9"/>
      <c r="O53" s="9">
        <v>1</v>
      </c>
      <c r="P53" s="9">
        <f>IF(OR(COUNTIF('Run Log'!$B:$B,A53)&lt;&gt;O53,COUNTIF('Run Log'!$A:$A,"RUN-TC-RS-BR-015-Base")&lt;&gt;1,COUNTIFS('Run Log'!$A:$A,"RUN-TC-RS-BR-015-Base",'Run Log'!$B:$B,A53,'Run Log'!$C:$C,"Base")&lt;&gt;1),"INCOMPLETE",IF(COUNTIFS('Run Log'!$B:$B,A53,'Run Log'!$D:$D,"PASS")=O53,"PASS",IF(COUNTIFS('Run Log'!$B:$B,A53,'Run Log'!$D:$D,"FAIL")&gt;0,"FAIL",IF(COUNTIFS('Run Log'!$B:$B,A53,'Run Log'!$D:$D,"BLOCKED")&gt;0,"BLOCKED",IF(COUNTIFS('Run Log'!$B:$B,A53,'Run Log'!$D:$D,"SKIPPED")&gt;0,"SKIPPED","NOT RUN")))))</f>
      </c>
    </row>
    <row r="54">
      <c r="A54" s="9" t="inlineStr">
        <is>
          <t>TC-RS-BR-016</t>
        </is>
      </c>
      <c r="B54" s="9" t="inlineStr">
        <is>
          <t>Sửa điểm 29 → 40 được lưu và xét trong cùng lượt</t>
        </is>
      </c>
      <c r="C54" s="9" t="inlineStr">
        <is>
          <t>C. Business Rules</t>
        </is>
      </c>
      <c r="D54" s="9" t="inlineStr">
        <is>
          <t>- Điều kiện: quy tắc “Cố định 30” (dưới 30); S01=29 Đỏ.
- Dữ liệu test: quy tắc “Cố định 30” (dưới 30); học sinh S01 (điểm 29)</t>
        </is>
      </c>
      <c r="E54" s="9" t="inlineStr">
        <is>
          <t>Cao</t>
        </is>
      </c>
      <c r="F54" s="9" t="inlineStr">
        <is>
          <t>CONFIRMED</t>
        </is>
      </c>
      <c r="G54" s="9" t="inlineStr">
        <is>
          <t>UNASSESSED</t>
        </is>
      </c>
      <c r="H54" s="9" t="inlineStr">
        <is>
          <t>tiêu chí nghiệm thu “Lưu thành công và thông báo an toàn” (AC-G26 «Lưu thành công và thông báo an toàn»)</t>
        </is>
      </c>
      <c r="I54" s="9" t="inlineStr">
        <is>
          <t>C. Business Rules</t>
        </is>
      </c>
      <c r="J54" s="9" t="inlineStr">
        <is>
          <t>test-cases.vi.md</t>
        </is>
      </c>
      <c r="K54" s="9" t="inlineStr">
        <is>
          <t>1. Sửa S01 thành 40, lưu thành công.
2. Xem ba đầu ra ngay sau đó.
| Lượt chạy | Phạm vi thực hiện và đối chiếu |
| --- | --- |
| Run: Base | Toàn bộ thủ tục theo đúng thứ tự; các đối chứng cùng fixture được kiểm trong cùng lượt, không bỏ bước |</t>
        </is>
      </c>
      <c r="L54" s="9" t="inlineStr">
        <is>
          <t>S01 Không đỏ; không cần bật một chế độ thủ công/tự động riêng.</t>
        </is>
      </c>
      <c r="M54" s="9"/>
      <c r="N54" s="9"/>
      <c r="O54" s="9">
        <v>1</v>
      </c>
      <c r="P54" s="9">
        <f>IF(OR(COUNTIF('Run Log'!$B:$B,A54)&lt;&gt;O54,COUNTIF('Run Log'!$A:$A,"RUN-TC-RS-BR-016-Base")&lt;&gt;1,COUNTIFS('Run Log'!$A:$A,"RUN-TC-RS-BR-016-Base",'Run Log'!$B:$B,A54,'Run Log'!$C:$C,"Base")&lt;&gt;1),"INCOMPLETE",IF(COUNTIFS('Run Log'!$B:$B,A54,'Run Log'!$D:$D,"PASS")=O54,"PASS",IF(COUNTIFS('Run Log'!$B:$B,A54,'Run Log'!$D:$D,"FAIL")&gt;0,"FAIL",IF(COUNTIFS('Run Log'!$B:$B,A54,'Run Log'!$D:$D,"BLOCKED")&gt;0,"BLOCKED",IF(COUNTIFS('Run Log'!$B:$B,A54,'Run Log'!$D:$D,"SKIPPED")&gt;0,"SKIPPED","NOT RUN")))))</f>
      </c>
    </row>
    <row r="55">
      <c r="A55" s="9" t="inlineStr">
        <is>
          <t>TC-RS-BR-017</t>
        </is>
      </c>
      <c r="B55" s="9" t="inlineStr">
        <is>
          <t>Chạy lại không tạo được ngưỡng hợp lệ → Chưa xét được, ngừng kết quả cũ, giữ điểm</t>
        </is>
      </c>
      <c r="C55" s="9" t="inlineStr">
        <is>
          <t>C. Business Rules</t>
        </is>
      </c>
      <c r="D55" s="9" t="inlineStr">
        <is>
          <t>- Điều kiện: Ô S01=29 Đỏ theo công thức `A×0.5` (nguồn bản tổng hợp mới nhất chưa chốt (trung bình 62)).
- Dữ liệu test: mục có M không hợp lệ, quy tắc công thức 100 ÷ trung bình, bản tổng hợp mới nhất chưa chốt (trung bình 62); học sinh S01 (điểm 29), nguồn chưa có kết quả tổng hợp</t>
        </is>
      </c>
      <c r="E55" s="9" t="inlineStr">
        <is>
          <t>Cao</t>
        </is>
      </c>
      <c r="F55" s="9" t="inlineStr">
        <is>
          <t>CONFIRMED</t>
        </is>
      </c>
      <c r="G55" s="9" t="inlineStr">
        <is>
          <t>UNASSESSED</t>
        </is>
      </c>
      <c r="H55" s="9" t="inlineStr">
        <is>
          <t>tiêu chí nghiệm thu “Trạng thái sau lần chạy” (AC-G20 «Trạng thái sau lần chạy»)</t>
        </is>
      </c>
      <c r="I55" s="9" t="inlineStr">
        <is>
          <t>C. Business Rules</t>
        </is>
      </c>
      <c r="J55" s="9" t="inlineStr">
        <is>
          <t>test-cases.vi.md</t>
        </is>
      </c>
      <c r="K55" s="9" t="inlineStr">
        <is>
          <t>1. Từ baseline độc lập, xác nhận S01=29 đang Đỏ; tạo biến thể (a) bằng cách đổi nguồn sang nguồn chưa có kết quả tổng hợp (không có tổng hợp), lưu, chạy lại.
2. Khôi phục/rebuild baseline S01=29 Đỏ; tạo biến thể (b) bằng quy tắc tỷ lệ với M không hợp lệ (mục có M không hợp lệ), rồi chạy lại.
3. Khôi phục/rebuild baseline S01=29 Đỏ; tạo biến thể (c) bằng quy tắc công thức 100 ÷ trung bình với `A=0`, rồi chạy lại.
4. Sau mỗi biến thể: xem ba đầu ra và điểm S01.
| Lượt chạy | Phạm vi thực hiện và đối chiếu |
| --- | --- |
| Run: invalid-M | Nhánh invalid-M trong thủ tục và Expected của case; thực hiện các bước chuẩn bị chung trước nhánh |
| Run: missing-source | Nhánh missing-source trong thủ tục và Expected của case; thực hiện các bước chuẩn bị chung trước nhánh |
| Run: invalid-formula | Nhánh invalid-formula trong thủ tục và Expected của case; thực hiện các bước chuẩn bị chung trước nhánh |</t>
        </is>
      </c>
      <c r="L55" s="9" t="inlineStr">
        <is>
          <t>Mỗi biến thể: trạng thái Chưa xét được; dấu/lọc đỏ cũ ngừng ở cả ba đầu ra; điểm S01 vẫn 29; không đi xuống quy tắc thấp hơn; không bật lại ngưỡng cũ `red_score`.</t>
        </is>
      </c>
      <c r="M55" s="9"/>
      <c r="N55" s="9"/>
      <c r="O55" s="9">
        <v>3</v>
      </c>
      <c r="P55" s="9">
        <f>IF(OR(COUNTIF('Run Log'!$B:$B,A55)&lt;&gt;O55,COUNTIF('Run Log'!$A:$A,"RUN-TC-RS-BR-017-invalid-M")&lt;&gt;1,COUNTIFS('Run Log'!$A:$A,"RUN-TC-RS-BR-017-invalid-M",'Run Log'!$B:$B,A55,'Run Log'!$C:$C,"invalid-M")&lt;&gt;1,COUNTIF('Run Log'!$A:$A,"RUN-TC-RS-BR-017-missing-source")&lt;&gt;1,COUNTIFS('Run Log'!$A:$A,"RUN-TC-RS-BR-017-missing-source",'Run Log'!$B:$B,A55,'Run Log'!$C:$C,"missing-source")&lt;&gt;1,COUNTIF('Run Log'!$A:$A,"RUN-TC-RS-BR-017-invalid-formula")&lt;&gt;1,COUNTIFS('Run Log'!$A:$A,"RUN-TC-RS-BR-017-invalid-formula",'Run Log'!$B:$B,A55,'Run Log'!$C:$C,"invalid-formula")&lt;&gt;1),"INCOMPLETE",IF(COUNTIFS('Run Log'!$B:$B,A55,'Run Log'!$D:$D,"PASS")=O55,"PASS",IF(COUNTIFS('Run Log'!$B:$B,A55,'Run Log'!$D:$D,"FAIL")&gt;0,"FAIL",IF(COUNTIFS('Run Log'!$B:$B,A55,'Run Log'!$D:$D,"BLOCKED")&gt;0,"BLOCKED",IF(COUNTIFS('Run Log'!$B:$B,A55,'Run Log'!$D:$D,"SKIPPED")&gt;0,"SKIPPED","NOT RUN")))))</f>
      </c>
    </row>
    <row r="56">
      <c r="A56" s="9" t="inlineStr">
        <is>
          <t>TC-RS-BR-018</t>
        </is>
      </c>
      <c r="B56" s="9" t="inlineStr">
        <is>
          <t>Đổi phạm vi làm ô không còn quy tắc áp dụng: giữ khi chưa chạy; chạy lại → Không áp dụng</t>
        </is>
      </c>
      <c r="C56" s="9" t="inlineStr">
        <is>
          <t>C. Business Rules</t>
        </is>
      </c>
      <c r="D56" s="9" t="inlineStr">
        <is>
          <t>- Điều kiện: Quy tắc lọc lớp G-A; S01 (G-A) = 29 Đỏ.
- Dữ liệu test: học sinh S01 (điểm 29)</t>
        </is>
      </c>
      <c r="E56" s="9" t="inlineStr">
        <is>
          <t>Cao</t>
        </is>
      </c>
      <c r="F56" s="9" t="inlineStr">
        <is>
          <t>CONFIRMED</t>
        </is>
      </c>
      <c r="G56" s="9" t="inlineStr">
        <is>
          <t>UNASSESSED</t>
        </is>
      </c>
      <c r="H56" s="9" t="inlineStr">
        <is>
          <t>tiêu chí nghiệm thu “Giữ kết quả trước khi chạy lại” (AC-G21 «Giữ kết quả trước khi chạy lại và xóa rule cuối»)</t>
        </is>
      </c>
      <c r="I56" s="9" t="inlineStr">
        <is>
          <t>C. Business Rules</t>
        </is>
      </c>
      <c r="J56" s="9" t="inlineStr">
        <is>
          <t>test-cases.vi.md</t>
        </is>
      </c>
      <c r="K56" s="9" t="inlineStr">
        <is>
          <t>1. Đổi bộ lọc sang lớp G-B, lưu. Xem đầu ra.
2. Chạy lại. Xem đầu ra.
| Lượt chạy | Phạm vi thực hiện và đối chiếu |
| --- | --- |
| Run: Base | Toàn bộ thủ tục theo đúng thứ tự; các đối chứng cùng fixture được kiểm trong cùng lượt, không bỏ bước |</t>
        </is>
      </c>
      <c r="L56" s="9" t="inlineStr">
        <is>
          <t>1. S01 vẫn Đỏ (kết quả trước).
2. S01 Không áp dụng; ngừng dấu/lọc đỏ cũ; điểm giữ nguyên.</t>
        </is>
      </c>
      <c r="M56" s="9"/>
      <c r="N56" s="9"/>
      <c r="O56" s="9">
        <v>1</v>
      </c>
      <c r="P56" s="9">
        <f>IF(OR(COUNTIF('Run Log'!$B:$B,A56)&lt;&gt;O56,COUNTIF('Run Log'!$A:$A,"RUN-TC-RS-BR-018-Base")&lt;&gt;1,COUNTIFS('Run Log'!$A:$A,"RUN-TC-RS-BR-018-Base",'Run Log'!$B:$B,A56,'Run Log'!$C:$C,"Base")&lt;&gt;1),"INCOMPLETE",IF(COUNTIFS('Run Log'!$B:$B,A56,'Run Log'!$D:$D,"PASS")=O56,"PASS",IF(COUNTIFS('Run Log'!$B:$B,A56,'Run Log'!$D:$D,"FAIL")&gt;0,"FAIL",IF(COUNTIFS('Run Log'!$B:$B,A56,'Run Log'!$D:$D,"BLOCKED")&gt;0,"BLOCKED",IF(COUNTIFS('Run Log'!$B:$B,A56,'Run Log'!$D:$D,"SKIPPED")&gt;0,"SKIPPED","NOT RUN")))))</f>
      </c>
    </row>
    <row r="57">
      <c r="A57" s="9" t="inlineStr">
        <is>
          <t>TC-RS-BR-019</t>
        </is>
      </c>
      <c r="B57" s="9" t="inlineStr">
        <is>
          <t>Xóa quy tắc cuối: giữ kết quả tới lần chạy lại; chạy lại → Không áp dụng</t>
        </is>
      </c>
      <c r="C57" s="9" t="inlineStr">
        <is>
          <t>C. Business Rules</t>
        </is>
      </c>
      <c r="D57" s="9" t="inlineStr">
        <is>
          <t>- Điều kiện: mục số nguyên (M=100) chỉ có quy tắc “Cố định 30” (dưới 30); S01=29 Đỏ. Trích xuất cấu hình trích xuất: lọc, ký hiệu “*” phía trước, tô màu, công khai `*` trước, phiếu cấu hình phiếu điểm: ký tự “※” phía trước đã cấu hình.
- Dữ liệu test: mục số nguyên (M=100), quy tắc “Cố định 30” (dưới 30); học sinh S01 (điểm 29), cấu hình trích xuất: lọc, ký hiệu “*” phía trước, tô màu, cấu hình công khai: “*” phía trước, cấu hình phiếu điểm: ký tự “※” phía trước</t>
        </is>
      </c>
      <c r="E57" s="9" t="inlineStr">
        <is>
          <t>Cao</t>
        </is>
      </c>
      <c r="F57" s="9" t="inlineStr">
        <is>
          <t>CONFIRMED</t>
        </is>
      </c>
      <c r="G57" s="9" t="inlineStr">
        <is>
          <t>UNASSESSED</t>
        </is>
      </c>
      <c r="H57" s="9" t="inlineStr">
        <is>
          <t>tiêu chí nghiệm thu “Giữ kết quả trước khi chạy lại” (AC-G21 «Giữ kết quả trước khi chạy lại và xóa rule cuối»)</t>
        </is>
      </c>
      <c r="I57" s="9" t="inlineStr">
        <is>
          <t>C. Business Rules</t>
        </is>
      </c>
      <c r="J57" s="9" t="inlineStr">
        <is>
          <t>test-cases.vi.md</t>
        </is>
      </c>
      <c r="K57" s="9" t="inlineStr">
        <is>
          <t>1. Xóa quy tắc “Cố định 30” (dưới 30) (quy tắc cuối).
2. Xem ba đầu ra.
3. Chạy lại bằng đăng ký điểm lớp G-A hoặc chạy hàng loạt.
4. Xem ba đầu ra và cấu hình trình bày đầu ra.
| Lượt chạy | Phạm vi thực hiện và đối chiếu |
| --- | --- |
| Run: registration | Chạy lại bằng đăng ký điểm |
| Run: batch | Chạy lại bằng nút cam, reset baseline trước lượt này |</t>
        </is>
      </c>
      <c r="L57" s="9" t="inlineStr">
        <is>
          <t>1–2. Danh sách rỗng nhưng S01 vẫn hiện dấu đỏ/thỏa lọc ở ba đầu ra.
3–4. Lần chạy xét cả mục đã hết quy tắc: S01 Không áp dụng, ngừng dấu/lọc; điểm giữ nguyên. Cấu hình trình bày đỏ đã lưu ở đầu ra không bị xóa như tác dụng phụ.</t>
        </is>
      </c>
      <c r="M57" s="9"/>
      <c r="N57" s="9"/>
      <c r="O57" s="9">
        <v>2</v>
      </c>
      <c r="P57" s="9">
        <f>IF(OR(COUNTIF('Run Log'!$B:$B,A57)&lt;&gt;O57,COUNTIF('Run Log'!$A:$A,"RUN-TC-RS-BR-019-registration")&lt;&gt;1,COUNTIFS('Run Log'!$A:$A,"RUN-TC-RS-BR-019-registration",'Run Log'!$B:$B,A57,'Run Log'!$C:$C,"registration")&lt;&gt;1,COUNTIF('Run Log'!$A:$A,"RUN-TC-RS-BR-019-batch")&lt;&gt;1,COUNTIFS('Run Log'!$A:$A,"RUN-TC-RS-BR-019-batch",'Run Log'!$B:$B,A57,'Run Log'!$C:$C,"batch")&lt;&gt;1),"INCOMPLETE",IF(COUNTIFS('Run Log'!$B:$B,A57,'Run Log'!$D:$D,"PASS")=O57,"PASS",IF(COUNTIFS('Run Log'!$B:$B,A57,'Run Log'!$D:$D,"FAIL")&gt;0,"FAIL",IF(COUNTIFS('Run Log'!$B:$B,A57,'Run Log'!$D:$D,"BLOCKED")&gt;0,"BLOCKED",IF(COUNTIFS('Run Log'!$B:$B,A57,'Run Log'!$D:$D,"SKIPPED")&gt;0,"SKIPPED","NOT RUN")))))</f>
      </c>
    </row>
    <row r="58">
      <c r="A58" s="9" t="inlineStr">
        <is>
          <t>TC-RS-BR-020</t>
        </is>
      </c>
      <c r="B58" s="9" t="inlineStr">
        <is>
          <t>Xóa điểm thành trống → Không có điểm, bỏ dấu đỏ cũ</t>
        </is>
      </c>
      <c r="C58" s="9" t="inlineStr">
        <is>
          <t>C. Business Rules</t>
        </is>
      </c>
      <c r="D58" s="9" t="inlineStr">
        <is>
          <t>- Điều kiện: S01=29 Đỏ.
- Dữ liệu test: học sinh S01 (điểm 29), cấu hình trích xuất: lọc, ký hiệu “*” phía trước, tô màu</t>
        </is>
      </c>
      <c r="E58" s="9" t="inlineStr">
        <is>
          <t>Cao</t>
        </is>
      </c>
      <c r="F58" s="9" t="inlineStr">
        <is>
          <t>CONFIRMED</t>
        </is>
      </c>
      <c r="G58" s="9" t="inlineStr">
        <is>
          <t>UNASSESSED</t>
        </is>
      </c>
      <c r="H58" s="9" t="inlineStr">
        <is>
          <t>tiêu chí nghiệm thu “Dùng điểm cuối cùng” (AC-G19 «Dùng điểm cuối cùng»)</t>
        </is>
      </c>
      <c r="I58" s="9" t="inlineStr">
        <is>
          <t>C. Business Rules</t>
        </is>
      </c>
      <c r="J58" s="9" t="inlineStr">
        <is>
          <t>test-cases.vi.md</t>
        </is>
      </c>
      <c r="K58" s="9" t="inlineStr">
        <is>
          <t>1. Xóa điểm S01 thành trống, lưu.
2. Xem ba đầu ra, chạy trích xuất có lọc đỏ.
| Lượt chạy | Phạm vi thực hiện và đối chiếu |
| --- | --- |
| Run: Base | Toàn bộ thủ tục theo đúng thứ tự; các đối chứng cùng fixture được kiểm trong cùng lượt, không bỏ bước |</t>
        </is>
      </c>
      <c r="L58" s="9" t="inlineStr">
        <is>
          <t>S01 Không có điểm; không còn dấu đỏ; không thỏa lọc đỏ nhờ ô này. Không cần chờ chạy lại.</t>
        </is>
      </c>
      <c r="M58" s="9"/>
      <c r="N58" s="9"/>
      <c r="O58" s="9">
        <v>1</v>
      </c>
      <c r="P58" s="9">
        <f>IF(OR(COUNTIF('Run Log'!$B:$B,A58)&lt;&gt;O58,COUNTIF('Run Log'!$A:$A,"RUN-TC-RS-BR-020-Base")&lt;&gt;1,COUNTIFS('Run Log'!$A:$A,"RUN-TC-RS-BR-020-Base",'Run Log'!$B:$B,A58,'Run Log'!$C:$C,"Base")&lt;&gt;1),"INCOMPLETE",IF(COUNTIFS('Run Log'!$B:$B,A58,'Run Log'!$D:$D,"PASS")=O58,"PASS",IF(COUNTIFS('Run Log'!$B:$B,A58,'Run Log'!$D:$D,"FAIL")&gt;0,"FAIL",IF(COUNTIFS('Run Log'!$B:$B,A58,'Run Log'!$D:$D,"BLOCKED")&gt;0,"BLOCKED",IF(COUNTIFS('Run Log'!$B:$B,A58,'Run Log'!$D:$D,"SKIPPED")&gt;0,"SKIPPED","NOT RUN")))))</f>
      </c>
    </row>
    <row r="59">
      <c r="A59" s="9" t="inlineStr">
        <is>
          <t>TC-RS-BR-021</t>
        </is>
      </c>
      <c r="B59" s="9" t="inlineStr">
        <is>
          <t>Tổng hợp lại hoặc đổi nhóm tham chiếu không tự xét lại</t>
        </is>
      </c>
      <c r="C59" s="9" t="inlineStr">
        <is>
          <t>C. Business Rules</t>
        </is>
      </c>
      <c r="D59" s="9" t="inlineStr">
        <is>
          <t>- Điều kiện: Công thức `A×0.5`, `A=50` → `T=25`; học sinh điểm 24 Đỏ.
- Dữ liệu test: bản tổng hợp mới nhất chưa chốt (trung bình 62)</t>
        </is>
      </c>
      <c r="E59" s="9" t="inlineStr">
        <is>
          <t>Cao</t>
        </is>
      </c>
      <c r="F59" s="9" t="inlineStr">
        <is>
          <t>CONFIRMED</t>
        </is>
      </c>
      <c r="G59" s="9" t="inlineStr">
        <is>
          <t>UNASSESSED</t>
        </is>
      </c>
      <c r="H59" s="9" t="inlineStr">
        <is>
          <t>tiêu chí nghiệm thu “Thứ tự đánh giá tương đối” (AC-G25 «Thứ tự đánh giá tương đối»)</t>
        </is>
      </c>
      <c r="I59" s="9" t="inlineStr">
        <is>
          <t>C. Business Rules</t>
        </is>
      </c>
      <c r="J59" s="9" t="inlineStr">
        <is>
          <t>test-cases.vi.md</t>
        </is>
      </c>
      <c r="K59" s="9" t="inlineStr">
        <is>
          <t>1. Sửa điểm nhóm để trung bình mới là 40, bấm Thực hiện tổng hợp（集計実行）.
2. Xem kết quả học sinh 24.
3. Bấm Thực hiện tính toán tự động（自動算出実行）, xem lại.
| Lượt chạy | Phạm vi thực hiện và đối chiếu |
| --- | --- |
| Run: Base | Toàn bộ thủ tục theo đúng thứ tự; các đối chứng cùng fixture được kiểm trong cùng lượt, không bỏ bước |</t>
        </is>
      </c>
      <c r="L59" s="9" t="inlineStr">
        <is>
          <t>1–2. Vẫn Đỏ theo kết quả trước (không tự xét lại).
3. `A=40` → `T=20` → 24 Không đỏ.</t>
        </is>
      </c>
      <c r="M59" s="9"/>
      <c r="N59" s="9"/>
      <c r="O59" s="9">
        <v>1</v>
      </c>
      <c r="P59" s="9">
        <f>IF(OR(COUNTIF('Run Log'!$B:$B,A59)&lt;&gt;O59,COUNTIF('Run Log'!$A:$A,"RUN-TC-RS-BR-021-Base")&lt;&gt;1,COUNTIFS('Run Log'!$A:$A,"RUN-TC-RS-BR-021-Base",'Run Log'!$B:$B,A59,'Run Log'!$C:$C,"Base")&lt;&gt;1),"INCOMPLETE",IF(COUNTIFS('Run Log'!$B:$B,A59,'Run Log'!$D:$D,"PASS")=O59,"PASS",IF(COUNTIFS('Run Log'!$B:$B,A59,'Run Log'!$D:$D,"FAIL")&gt;0,"FAIL",IF(COUNTIFS('Run Log'!$B:$B,A59,'Run Log'!$D:$D,"BLOCKED")&gt;0,"BLOCKED",IF(COUNTIFS('Run Log'!$B:$B,A59,'Run Log'!$D:$D,"SKIPPED")&gt;0,"SKIPPED","NOT RUN")))))</f>
      </c>
    </row>
    <row r="60">
      <c r="A60" s="9" t="inlineStr">
        <is>
          <t>TC-RS-BR-022</t>
        </is>
      </c>
      <c r="B60" s="9" t="inlineStr">
        <is>
          <t>Đổi M ở Thiết lập điểm tối đa（満点設定） hoặc Giá trị tối đa（最大値） không tự xét lại</t>
        </is>
      </c>
      <c r="C60" s="9" t="inlineStr">
        <is>
          <t>C. Business Rules</t>
        </is>
      </c>
      <c r="D60" s="9" t="inlineStr">
        <is>
          <t>- Điều kiện: mục số nguyên (M=100) có quy tắc tỷ lệ 30% (30%); S03 = 31, `M=100` → `T=30` → Không đỏ.
- Dữ liệu test: mục số nguyên (M=100); quy tắc tỷ lệ 30%</t>
        </is>
      </c>
      <c r="E60" s="9" t="inlineStr">
        <is>
          <t>Cao</t>
        </is>
      </c>
      <c r="F60" s="9" t="inlineStr">
        <is>
          <t>CONFIRMED</t>
        </is>
      </c>
      <c r="G60" s="9" t="inlineStr">
        <is>
          <t>UNASSESSED</t>
        </is>
      </c>
      <c r="H60" s="9" t="inlineStr">
        <is>
          <t>tiêu chí nghiệm thu “Trigger khi đổi điểm tối đa/đơn vị” (AC-G24 «Trigger khi đổi điểm tối đa/đơn vị»)</t>
        </is>
      </c>
      <c r="I60" s="9" t="inlineStr">
        <is>
          <t>C. Business Rules</t>
        </is>
      </c>
      <c r="J60" s="9" t="inlineStr">
        <is>
          <t>test-cases.vi.md</t>
        </is>
      </c>
      <c r="K60" s="9" t="inlineStr">
        <is>
          <t>1. Sửa Giá trị tối đa（最大値） của mục số nguyên (M=100) ở Thiết lập ô nhập（入力欄設定） thành 200, lưu. Xem kết quả.
2. Lưu một định nghĩa lựa chọn ở Thiết lập điểm tối đa（満点設定） (`/admin/grade_report_setting/manage/detail/option/register/change_max_score`) (chưa gán cho lớp). Xem kết quả.
3. Đăng ký lại điểm S03. Xem kết quả.
| Lượt chạy | Phạm vi thực hiện và đối chiếu |
| --- | --- |
| Run: Base | Toàn bộ thủ tục theo đúng thứ tự; các đối chứng cùng fixture được kiểm trong cùng lượt, không bỏ bước |</t>
        </is>
      </c>
      <c r="L60" s="9" t="inlineStr">
        <is>
          <t>1–2. S03 vẫn Không đỏ (kết quả trước).
3. `M=200` → `T=60` → S03=31 Đỏ.</t>
        </is>
      </c>
      <c r="M60" s="9"/>
      <c r="N60" s="9"/>
      <c r="O60" s="9">
        <v>1</v>
      </c>
      <c r="P60" s="9">
        <f>IF(OR(COUNTIF('Run Log'!$B:$B,A60)&lt;&gt;O60,COUNTIF('Run Log'!$A:$A,"RUN-TC-RS-BR-022-Base")&lt;&gt;1,COUNTIFS('Run Log'!$A:$A,"RUN-TC-RS-BR-022-Base",'Run Log'!$B:$B,A60,'Run Log'!$C:$C,"Base")&lt;&gt;1),"INCOMPLETE",IF(COUNTIFS('Run Log'!$B:$B,A60,'Run Log'!$D:$D,"PASS")=O60,"PASS",IF(COUNTIFS('Run Log'!$B:$B,A60,'Run Log'!$D:$D,"FAIL")&gt;0,"FAIL",IF(COUNTIFS('Run Log'!$B:$B,A60,'Run Log'!$D:$D,"BLOCKED")&gt;0,"BLOCKED",IF(COUNTIFS('Run Log'!$B:$B,A60,'Run Log'!$D:$D,"SKIPPED")&gt;0,"SKIPPED","NOT RUN")))))</f>
      </c>
    </row>
    <row r="61">
      <c r="A61" s="9" t="inlineStr">
        <is>
          <t>TC-RS-BR-023</t>
        </is>
      </c>
      <c r="B61" s="9" t="inlineStr">
        <is>
          <t>Nút xanh Thực hiện tổng hợp（集計実行） không xét điểm đỏ</t>
        </is>
      </c>
      <c r="C61" s="9" t="inlineStr">
        <is>
          <t>C. Business Rules</t>
        </is>
      </c>
      <c r="D61" s="9" t="inlineStr">
        <is>
          <t>- Điều kiện: quy tắc “Cố định 30” (dưới 30) vừa đổi từ 30 thành 35 và lưu; S03=32 Không đỏ (kết quả trước).
- Dữ liệu test: quy tắc “Cố định 30” (dưới 30)</t>
        </is>
      </c>
      <c r="E61" s="9" t="inlineStr">
        <is>
          <t>Cao</t>
        </is>
      </c>
      <c r="F61" s="9" t="inlineStr">
        <is>
          <t>CONFIRMED</t>
        </is>
      </c>
      <c r="G61" s="9" t="inlineStr">
        <is>
          <t>UNASSESSED</t>
        </is>
      </c>
      <c r="H61" s="9" t="inlineStr">
        <is>
          <t>tiêu chí nghiệm thu “Thứ tự đánh giá tương đối” (AC-G25 «Thứ tự đánh giá tương đối»)</t>
        </is>
      </c>
      <c r="I61" s="9" t="inlineStr">
        <is>
          <t>C. Business Rules</t>
        </is>
      </c>
      <c r="J61" s="9" t="inlineStr">
        <is>
          <t>test-cases.vi.md</t>
        </is>
      </c>
      <c r="K61" s="9" t="inlineStr">
        <is>
          <t>1. Bấm Thực hiện tổng hợp（集計実行）, chờ hoàn tất.
2. Xem kết quả S03.
| Lượt chạy | Phạm vi thực hiện và đối chiếu |
| --- | --- |
| Run: Base | Toàn bộ thủ tục theo đúng thứ tự; các đối chứng cùng fixture được kiểm trong cùng lượt, không bỏ bước |</t>
        </is>
      </c>
      <c r="L61" s="9" t="inlineStr">
        <is>
          <t>S03 vẫn Không đỏ.</t>
        </is>
      </c>
      <c r="M61" s="9"/>
      <c r="N61" s="9"/>
      <c r="O61" s="9">
        <v>1</v>
      </c>
      <c r="P61" s="9">
        <f>IF(OR(COUNTIF('Run Log'!$B:$B,A61)&lt;&gt;O61,COUNTIF('Run Log'!$A:$A,"RUN-TC-RS-BR-023-Base")&lt;&gt;1,COUNTIFS('Run Log'!$A:$A,"RUN-TC-RS-BR-023-Base",'Run Log'!$B:$B,A61,'Run Log'!$C:$C,"Base")&lt;&gt;1),"INCOMPLETE",IF(COUNTIFS('Run Log'!$B:$B,A61,'Run Log'!$D:$D,"PASS")=O61,"PASS",IF(COUNTIFS('Run Log'!$B:$B,A61,'Run Log'!$D:$D,"FAIL")&gt;0,"FAIL",IF(COUNTIFS('Run Log'!$B:$B,A61,'Run Log'!$D:$D,"BLOCKED")&gt;0,"BLOCKED",IF(COUNTIFS('Run Log'!$B:$B,A61,'Run Log'!$D:$D,"SKIPPED")&gt;0,"SKIPPED","NOT RUN")))))</f>
      </c>
    </row>
    <row r="62">
      <c r="A62" s="9" t="inlineStr">
        <is>
          <t>TC-RS-BR-024</t>
        </is>
      </c>
      <c r="B62" s="9" t="inlineStr">
        <is>
          <t>Xem, xuất, công khai, in lại không kích hoạt xét</t>
        </is>
      </c>
      <c r="C62" s="9" t="inlineStr">
        <is>
          <t>C. Business Rules</t>
        </is>
      </c>
      <c r="D62" s="9" t="inlineStr">
        <is>
          <t>- Điều kiện: Như case “Lưu cấu hình không xét; kết quả trước giữ tới lần chạy lại” bước 1 (đã lưu `&lt;35`, chưa chạy lại; S03=32 Không đỏ).
- Dữ liệu test: cấu hình trích xuất: lọc, ký hiệu “*” phía trước, tô màu, cấu hình công khai: “*” phía trước, cấu hình phiếu điểm: ký tự “※” phía trước</t>
        </is>
      </c>
      <c r="E62" s="9" t="inlineStr">
        <is>
          <t>Cao</t>
        </is>
      </c>
      <c r="F62" s="9" t="inlineStr">
        <is>
          <t>CONFIRMED</t>
        </is>
      </c>
      <c r="G62" s="9" t="inlineStr">
        <is>
          <t>UNASSESSED</t>
        </is>
      </c>
      <c r="H62" s="9" t="inlineStr">
        <is>
          <t>tiêu chí nghiệm thu “Xem/xuất không tự xét” (AC-G28 «Xem/xuất không tự xét»)</t>
        </is>
      </c>
      <c r="I62" s="9" t="inlineStr">
        <is>
          <t>C. Business Rules</t>
        </is>
      </c>
      <c r="J62" s="9" t="inlineStr">
        <is>
          <t>test-cases.vi.md</t>
        </is>
      </c>
      <c r="K62" s="9" t="inlineStr">
        <is>
          <t>1. Chạy trích xuất, xuất Excel.
2. Mở màn công khai học sinh, tải PDF công khai.
3. Xuất PDF phiếu.
| Lượt chạy | Phạm vi thực hiện và đối chiếu |
| --- | --- |
| Run: extract | Trích xuất màn |
| Run: excel | File Excel |
| Run: publish-web | Màn công khai |
| Run: publish-pdf | PDF công khai |
| Run: report | Phiếu điểm |</t>
        </is>
      </c>
      <c r="L62" s="9" t="inlineStr">
        <is>
          <t>S03 vẫn Không đỏ ở mọi đầu ra; không có lượt xét mới (thời điểm kết quả không đổi); không có lượt tổng hợp mới (lượt/thời điểm tổng hợp mới nhất không đổi).</t>
        </is>
      </c>
      <c r="M62" s="9"/>
      <c r="N62" s="9"/>
      <c r="O62" s="9">
        <v>5</v>
      </c>
      <c r="P62" s="9">
        <f>IF(OR(COUNTIF('Run Log'!$B:$B,A62)&lt;&gt;O62,COUNTIF('Run Log'!$A:$A,"RUN-TC-RS-BR-024-extract")&lt;&gt;1,COUNTIFS('Run Log'!$A:$A,"RUN-TC-RS-BR-024-extract",'Run Log'!$B:$B,A62,'Run Log'!$C:$C,"extract")&lt;&gt;1,COUNTIF('Run Log'!$A:$A,"RUN-TC-RS-BR-024-excel")&lt;&gt;1,COUNTIFS('Run Log'!$A:$A,"RUN-TC-RS-BR-024-excel",'Run Log'!$B:$B,A62,'Run Log'!$C:$C,"excel")&lt;&gt;1,COUNTIF('Run Log'!$A:$A,"RUN-TC-RS-BR-024-publish-web")&lt;&gt;1,COUNTIFS('Run Log'!$A:$A,"RUN-TC-RS-BR-024-publish-web",'Run Log'!$B:$B,A62,'Run Log'!$C:$C,"publish-web")&lt;&gt;1,COUNTIF('Run Log'!$A:$A,"RUN-TC-RS-BR-024-publish-pdf")&lt;&gt;1,COUNTIFS('Run Log'!$A:$A,"RUN-TC-RS-BR-024-publish-pdf",'Run Log'!$B:$B,A62,'Run Log'!$C:$C,"publish-pdf")&lt;&gt;1,COUNTIF('Run Log'!$A:$A,"RUN-TC-RS-BR-024-report")&lt;&gt;1,COUNTIFS('Run Log'!$A:$A,"RUN-TC-RS-BR-024-report",'Run Log'!$B:$B,A62,'Run Log'!$C:$C,"report")&lt;&gt;1),"INCOMPLETE",IF(COUNTIFS('Run Log'!$B:$B,A62,'Run Log'!$D:$D,"PASS")=O62,"PASS",IF(COUNTIFS('Run Log'!$B:$B,A62,'Run Log'!$D:$D,"FAIL")&gt;0,"FAIL",IF(COUNTIFS('Run Log'!$B:$B,A62,'Run Log'!$D:$D,"BLOCKED")&gt;0,"BLOCKED",IF(COUNTIFS('Run Log'!$B:$B,A62,'Run Log'!$D:$D,"SKIPPED")&gt;0,"SKIPPED","NOT RUN")))))</f>
      </c>
    </row>
    <row r="63">
      <c r="A63" s="9" t="inlineStr">
        <is>
          <t>TC-RS-BR-025</t>
        </is>
      </c>
      <c r="B63" s="9" t="inlineStr">
        <is>
          <t>Đầu ra không bị chặn vì chưa có hoặc chưa xét được kết quả đỏ</t>
        </is>
      </c>
      <c r="C63" s="9" t="inlineStr">
        <is>
          <t>C. Business Rules</t>
        </is>
      </c>
      <c r="D63" s="9" t="inlineStr">
        <is>
          <t>- Điều kiện: Một số ô Chưa từng xét, một số Chưa xét được.
- Dữ liệu test: cấu hình trích xuất: lọc, ký hiệu “*” phía trước, tô màu, cấu hình công khai: “*” phía trước, cấu hình phiếu điểm: ký tự “※” phía trước</t>
        </is>
      </c>
      <c r="E63" s="9" t="inlineStr">
        <is>
          <t>Cao</t>
        </is>
      </c>
      <c r="F63" s="9" t="inlineStr">
        <is>
          <t>CONFIRMED</t>
        </is>
      </c>
      <c r="G63" s="9" t="inlineStr">
        <is>
          <t>UNASSESSED</t>
        </is>
      </c>
      <c r="H63" s="9" t="inlineStr">
        <is>
          <t>tiêu chí nghiệm thu “Xem/xuất không tự xét” (AC-G28 «Xem/xuất không tự xét»)</t>
        </is>
      </c>
      <c r="I63" s="9" t="inlineStr">
        <is>
          <t>C. Business Rules</t>
        </is>
      </c>
      <c r="J63" s="9" t="inlineStr">
        <is>
          <t>test-cases.vi.md</t>
        </is>
      </c>
      <c r="K63" s="9" t="inlineStr">
        <is>
          <t>1. Chạy trích xuất và xuất Excel.
2. Công khai cho học sinh, xem màn học sinh.
3. Xuất PDF phiếu.
| Lượt chạy | Phạm vi thực hiện và đối chiếu |
| --- | --- |
| Run: extract | Trích xuất |
| Run: excel | Excel |
| Run: publish | Công khai |
| Run: report | Phiếu điểm |</t>
        </is>
      </c>
      <c r="L63" s="9" t="inlineStr">
        <is>
          <t>Mọi thao tác hoàn tất bình thường; ô chưa có kết quả không có dấu đỏ và hiển thị theo thiết lập hiện hữu. Quyền, lịch công khai, điều kiện ẩn hiện có vẫn giữ.</t>
        </is>
      </c>
      <c r="M63" s="9"/>
      <c r="N63" s="9"/>
      <c r="O63" s="9">
        <v>4</v>
      </c>
      <c r="P63" s="9">
        <f>IF(OR(COUNTIF('Run Log'!$B:$B,A63)&lt;&gt;O63,COUNTIF('Run Log'!$A:$A,"RUN-TC-RS-BR-025-extract")&lt;&gt;1,COUNTIFS('Run Log'!$A:$A,"RUN-TC-RS-BR-025-extract",'Run Log'!$B:$B,A63,'Run Log'!$C:$C,"extract")&lt;&gt;1,COUNTIF('Run Log'!$A:$A,"RUN-TC-RS-BR-025-excel")&lt;&gt;1,COUNTIFS('Run Log'!$A:$A,"RUN-TC-RS-BR-025-excel",'Run Log'!$B:$B,A63,'Run Log'!$C:$C,"excel")&lt;&gt;1,COUNTIF('Run Log'!$A:$A,"RUN-TC-RS-BR-025-publish")&lt;&gt;1,COUNTIFS('Run Log'!$A:$A,"RUN-TC-RS-BR-025-publish",'Run Log'!$B:$B,A63,'Run Log'!$C:$C,"publish")&lt;&gt;1,COUNTIF('Run Log'!$A:$A,"RUN-TC-RS-BR-025-report")&lt;&gt;1,COUNTIFS('Run Log'!$A:$A,"RUN-TC-RS-BR-025-report",'Run Log'!$B:$B,A63,'Run Log'!$C:$C,"report")&lt;&gt;1),"INCOMPLETE",IF(COUNTIFS('Run Log'!$B:$B,A63,'Run Log'!$D:$D,"PASS")=O63,"PASS",IF(COUNTIFS('Run Log'!$B:$B,A63,'Run Log'!$D:$D,"FAIL")&gt;0,"FAIL",IF(COUNTIFS('Run Log'!$B:$B,A63,'Run Log'!$D:$D,"BLOCKED")&gt;0,"BLOCKED",IF(COUNTIFS('Run Log'!$B:$B,A63,'Run Log'!$D:$D,"SKIPPED")&gt;0,"SKIPPED","NOT RUN")))))</f>
      </c>
    </row>
    <row r="64">
      <c r="A64" s="9" t="inlineStr">
        <is>
          <t>TC-RS-BR-027</t>
        </is>
      </c>
      <c r="B64" s="9" t="inlineStr">
        <is>
          <t>Chạy lại nhiều lần cho cùng kết quả, không nhân đôi dấu</t>
        </is>
      </c>
      <c r="C64" s="9" t="inlineStr">
        <is>
          <t>C. Business Rules</t>
        </is>
      </c>
      <c r="D64" s="9" t="inlineStr">
        <is>
          <t>- Điều kiện: quy tắc “Cố định 30” (dưới 30); S01=29 Đỏ; trích xuất cấu hình trích xuất chỉ ký hiệu (“※” trước, “!” sau) (`※`, `!`).
- Dữ liệu test: quy tắc “Cố định 30” (dưới 30); học sinh S01 (điểm 29), cấu hình trích xuất chỉ ký hiệu (“※” trước, “!” sau)</t>
        </is>
      </c>
      <c r="E64" s="9" t="inlineStr">
        <is>
          <t>Cao</t>
        </is>
      </c>
      <c r="F64" s="9" t="inlineStr">
        <is>
          <t>CONFIRMED</t>
        </is>
      </c>
      <c r="G64" s="9" t="inlineStr">
        <is>
          <t>UNASSESSED</t>
        </is>
      </c>
      <c r="H64" s="9" t="inlineStr">
        <is>
          <t>tiêu chí nghiệm thu “Kết quả chung và thứ tự cập nhật” (AC-G22 «Kết quả chung và thứ tự cập nhật»)</t>
        </is>
      </c>
      <c r="I64" s="9" t="inlineStr">
        <is>
          <t>C. Business Rules</t>
        </is>
      </c>
      <c r="J64" s="9" t="inlineStr">
        <is>
          <t>test-cases.vi.md</t>
        </is>
      </c>
      <c r="K64" s="9" t="inlineStr">
        <is>
          <t>1. Chạy nút cam 3 lần liên tiếp (chờ mỗi lần hoàn tất).
2. Xem trích xuất; SELECT số kết quả hiện hành của ô S01 (khi có schema).
| Lượt chạy | Phạm vi thực hiện và đối chiếu |
| --- | --- |
| Run: Base | Toàn bộ thủ tục theo đúng thứ tự; các đối chứng cùng fixture được kiểm trong cùng lượt, không bỏ bước |</t>
        </is>
      </c>
      <c r="L64" s="9" t="inlineStr">
        <is>
          <t>Ô S01 hiện `※29!` (không `※※29!!`); chỉ một kết quả hiện hành cho ô.</t>
        </is>
      </c>
      <c r="M64" s="9"/>
      <c r="N64" s="9"/>
      <c r="O64" s="9">
        <v>1</v>
      </c>
      <c r="P64" s="9">
        <f>IF(OR(COUNTIF('Run Log'!$B:$B,A64)&lt;&gt;O64,COUNTIF('Run Log'!$A:$A,"RUN-TC-RS-BR-027-Base")&lt;&gt;1,COUNTIFS('Run Log'!$A:$A,"RUN-TC-RS-BR-027-Base",'Run Log'!$B:$B,A64,'Run Log'!$C:$C,"Base")&lt;&gt;1),"INCOMPLETE",IF(COUNTIFS('Run Log'!$B:$B,A64,'Run Log'!$D:$D,"PASS")=O64,"PASS",IF(COUNTIFS('Run Log'!$B:$B,A64,'Run Log'!$D:$D,"FAIL")&gt;0,"FAIL",IF(COUNTIFS('Run Log'!$B:$B,A64,'Run Log'!$D:$D,"BLOCKED")&gt;0,"BLOCKED",IF(COUNTIFS('Run Log'!$B:$B,A64,'Run Log'!$D:$D,"SKIPPED")&gt;0,"SKIPPED","NOT RUN")))))</f>
      </c>
    </row>
    <row r="65">
      <c r="A65" s="9" t="inlineStr">
        <is>
          <t>TC-RS-BR-028</t>
        </is>
      </c>
      <c r="B65" s="9" t="inlineStr">
        <is>
          <t>Nhóm tham chiếu có lớp khác M không gây lỗi dừng xử lý</t>
        </is>
      </c>
      <c r="C65" s="9" t="inlineStr">
        <is>
          <t>C. Business Rules</t>
        </is>
      </c>
      <c r="D65" s="9" t="inlineStr">
        <is>
          <t>- Điều kiện: nhóm tham chiếu gồm G-A có `M=20` và G-B có `M=100`; rule dùng `R (tỷ lệ nhóm)` với điều kiện `R≥65%`; P1 thuộc phạm vi được xét ở G-B (`M=100`).
- Dữ liệu test: G-A có `10/20`, G-B có `80/100`; fixture nguồn đã chuẩn bị/quan sát phải ghi rõ giá trị `R` thực sự được reader sử dụng. Với nguồn tổng điểm/tổng M, fixture này cho `R=75%`; P1 có `S=60`, ngưỡng cố định `T=70` hợp lệ với `M=100`.</t>
        </is>
      </c>
      <c r="E65" s="9" t="inlineStr">
        <is>
          <t>Cao</t>
        </is>
      </c>
      <c r="F65" s="9" t="inlineStr">
        <is>
          <t>CONFIRMED</t>
        </is>
      </c>
      <c r="G65" s="9" t="inlineStr">
        <is>
          <t>UNASSESSED</t>
        </is>
      </c>
      <c r="H65" s="9" t="inlineStr">
        <is>
          <t>tiêu chí nghiệm thu “Kế thừa tỷ lệ nhóm” (AC-G15 «Kế thừa tỷ lệ nhóm»)</t>
        </is>
      </c>
      <c r="I65" s="9" t="inlineStr">
        <is>
          <t>C. Business Rules</t>
        </is>
      </c>
      <c r="J65" s="9" t="inlineStr">
        <is>
          <t>test-cases.vi.md</t>
        </is>
      </c>
      <c r="K65" s="9" t="inlineStr">
        <is>
          <t>1. Lưu quy tắc theo tỷ lệ điểm của nhóm từ 65% với nguồn là nhóm trên; ghi source snapshot/reader và xác nhận `R=75%` đã được chuẩn bị.
2. Chạy nút xanh rồi nút cam cho phạm vi.
3. Xem màn kết quả xử lý và kết quả P1.
| Lượt chạy | Phạm vi thực hiện và đối chiếu |
| --- | --- |
| Run: Base | Toàn bộ thủ tục theo đúng thứ tự; các đối chứng cùng fixture được kiểm trong cùng lượt, không bỏ bước |</t>
        </is>
      </c>
      <c r="L65" s="9" t="inlineStr">
        <is>
          <t>1. Lưu được; không bị chặn vì nhóm có lớp khác M.
2–3. Xử lý hoàn tất, không lỗi dừng do khác M. Ghi lại trong evidence nguồn/bản snapshot và `R` thực sự được reader dùng; nếu reader dùng nguồn tổng điểm/tổng M thì fixture này cho `R=(10+80)/(20+100)×100=75%`, khớp `≥65%`, `T=70` và P1 Đỏ. Không dùng phép tính trong case để áp đặt một cách tổng hợp mới; không dùng trung bình tỷ lệ cá nhân làm oracle thay cho nguồn hiện hữu.</t>
        </is>
      </c>
      <c r="M65" s="9"/>
      <c r="N65" s="9"/>
      <c r="O65" s="9">
        <v>1</v>
      </c>
      <c r="P65" s="9">
        <f>IF(OR(COUNTIF('Run Log'!$B:$B,A65)&lt;&gt;O65,COUNTIF('Run Log'!$A:$A,"RUN-TC-RS-BR-028-Base")&lt;&gt;1,COUNTIFS('Run Log'!$A:$A,"RUN-TC-RS-BR-028-Base",'Run Log'!$B:$B,A65,'Run Log'!$C:$C,"Base")&lt;&gt;1),"INCOMPLETE",IF(COUNTIFS('Run Log'!$B:$B,A65,'Run Log'!$D:$D,"PASS")=O65,"PASS",IF(COUNTIFS('Run Log'!$B:$B,A65,'Run Log'!$D:$D,"FAIL")&gt;0,"FAIL",IF(COUNTIFS('Run Log'!$B:$B,A65,'Run Log'!$D:$D,"BLOCKED")&gt;0,"BLOCKED",IF(COUNTIFS('Run Log'!$B:$B,A65,'Run Log'!$D:$D,"SKIPPED")&gt;0,"SKIPPED","NOT RUN")))))</f>
      </c>
    </row>
    <row r="66">
      <c r="A66" s="9" t="inlineStr">
        <is>
          <t>TC-RS-BR-029</t>
        </is>
      </c>
      <c r="B66" s="9" t="inlineStr">
        <is>
          <t>Mục lựa chọn không được xét, nhưng bộ lọc theo lựa chọn vẫn dùng để chọn đối tượng</t>
        </is>
      </c>
      <c r="C66" s="9" t="inlineStr">
        <is>
          <t>C. Business Rules</t>
        </is>
      </c>
      <c r="D66" s="9" t="inlineStr">
        <is>
          <t>- Điều kiện: mục kiểu lựa chọn A/B/C (A/B/C) có giá trị cho S01 = B, S02 = A.
- Dữ liệu test: mục số nguyên (M=100); mục kiểu lựa chọn A/B/C, quy tắc “Cố định 30” (dưới 30)</t>
        </is>
      </c>
      <c r="E66" s="9" t="inlineStr">
        <is>
          <t>Cao</t>
        </is>
      </c>
      <c r="F66" s="9" t="inlineStr">
        <is>
          <t>CONFIRMED</t>
        </is>
      </c>
      <c r="G66" s="9" t="inlineStr">
        <is>
          <t>UNASSESSED</t>
        </is>
      </c>
      <c r="H66" s="9" t="inlineStr">
        <is>
          <t>tiêu chí nghiệm thu “Kiểu điểm được hỗ trợ” (AC-G02 «Kiểu điểm được hỗ trợ»)</t>
        </is>
      </c>
      <c r="I66" s="9" t="inlineStr">
        <is>
          <t>C. Business Rules</t>
        </is>
      </c>
      <c r="J66" s="9" t="inlineStr">
        <is>
          <t>test-cases.vi.md</t>
        </is>
      </c>
      <c r="K66" s="9" t="inlineStr">
        <is>
          <t>1. Tạo quy tắc cho mục số nguyên (M=100) với bộ lọc theo lựa chọn（選択肢型） mục kiểu lựa chọn A/B/C = B, cố định 30 `&lt;`.
2. Đăng ký S01=29, S02=29.
| Lượt chạy | Phạm vi thực hiện và đối chiếu |
| --- | --- |
| Run: Base | Toàn bộ thủ tục theo đúng thứ tự; các đối chứng cùng fixture được kiểm trong cùng lượt, không bỏ bước |</t>
        </is>
      </c>
      <c r="L66" s="9" t="inlineStr">
        <is>
          <t>S01 Đỏ (thuộc đối tượng); S02 Không áp dụng. Không có ô nào của mục kiểu lựa chọn A/B/C được xét đỏ.</t>
        </is>
      </c>
      <c r="M66" s="9"/>
      <c r="N66" s="9"/>
      <c r="O66" s="9">
        <v>1</v>
      </c>
      <c r="P66" s="9">
        <f>IF(OR(COUNTIF('Run Log'!$B:$B,A66)&lt;&gt;O66,COUNTIF('Run Log'!$A:$A,"RUN-TC-RS-BR-029-Base")&lt;&gt;1,COUNTIFS('Run Log'!$A:$A,"RUN-TC-RS-BR-029-Base",'Run Log'!$B:$B,A66,'Run Log'!$C:$C,"Base")&lt;&gt;1),"INCOMPLETE",IF(COUNTIFS('Run Log'!$B:$B,A66,'Run Log'!$D:$D,"PASS")=O66,"PASS",IF(COUNTIFS('Run Log'!$B:$B,A66,'Run Log'!$D:$D,"FAIL")&gt;0,"FAIL",IF(COUNTIFS('Run Log'!$B:$B,A66,'Run Log'!$D:$D,"BLOCKED")&gt;0,"BLOCKED",IF(COUNTIFS('Run Log'!$B:$B,A66,'Run Log'!$D:$D,"SKIPPED")&gt;0,"SKIPPED","NOT RUN")))))</f>
      </c>
    </row>
    <row r="67">
      <c r="A67" s="9" t="inlineStr">
        <is>
          <t>TC-RS-BR-030</t>
        </is>
      </c>
      <c r="B67" s="9" t="inlineStr">
        <is>
          <t>Ô điểm đơn vị được xét riêng theo từng đơn vị</t>
        </is>
      </c>
      <c r="C67" s="9" t="inlineStr">
        <is>
          <t>C. Business Rules</t>
        </is>
      </c>
      <c r="D67" s="9" t="inlineStr">
        <is>
          <t>- Điều kiện: mục điểm đơn vị (đơn vị U1 có M riêng 40) có quy tắc “Cố định 30” (dưới 30) (`&lt;30`). S06 (G-B): U1 = 25, U2 = 35.
- Dữ liệu test: quy tắc “Cố định 30” (dưới 30); mục điểm đơn vị (đơn vị U1 có M riêng 40)</t>
        </is>
      </c>
      <c r="E67" s="9" t="inlineStr">
        <is>
          <t>Cao</t>
        </is>
      </c>
      <c r="F67" s="9" t="inlineStr">
        <is>
          <t>CONFIRMED</t>
        </is>
      </c>
      <c r="G67" s="9" t="inlineStr">
        <is>
          <t>UNASSESSED</t>
        </is>
      </c>
      <c r="H67" s="9" t="inlineStr">
        <is>
          <t>tiêu chí nghiệm thu “Kiểu điểm được hỗ trợ” (AC-G02 «Kiểu điểm được hỗ trợ»); tiêu chí nghiệm thu “Nhận diện ô điểm” (AC-G03 «Nhận diện ô điểm»)</t>
        </is>
      </c>
      <c r="I67" s="9" t="inlineStr">
        <is>
          <t>C. Business Rules</t>
        </is>
      </c>
      <c r="J67" s="9" t="inlineStr">
        <is>
          <t>test-cases.vi.md</t>
        </is>
      </c>
      <c r="K67" s="9" t="inlineStr">
        <is>
          <t>1. Đăng ký điểm U1, U2 của S06.
2. Xem ba đầu ra ở phạm vi đơn vị.
| Lượt chạy | Phạm vi thực hiện và đối chiếu |
| --- | --- |
| Run: Base | Toàn bộ thủ tục theo đúng thứ tự; các đối chứng cùng fixture được kiểm trong cùng lượt, không bỏ bước |</t>
        </is>
      </c>
      <c r="L67" s="9" t="inlineStr">
        <is>
          <t>U1 Đỏ, U2 Không đỏ; dấu chỉ ở ô U1. Hai đơn vị không bị gộp thành một ô.</t>
        </is>
      </c>
      <c r="M67" s="9"/>
      <c r="N67" s="9"/>
      <c r="O67" s="9">
        <v>1</v>
      </c>
      <c r="P67" s="9">
        <f>IF(OR(COUNTIF('Run Log'!$B:$B,A67)&lt;&gt;O67,COUNTIF('Run Log'!$A:$A,"RUN-TC-RS-BR-030-Base")&lt;&gt;1,COUNTIFS('Run Log'!$A:$A,"RUN-TC-RS-BR-030-Base",'Run Log'!$B:$B,A67,'Run Log'!$C:$C,"Base")&lt;&gt;1),"INCOMPLETE",IF(COUNTIFS('Run Log'!$B:$B,A67,'Run Log'!$D:$D,"PASS")=O67,"PASS",IF(COUNTIFS('Run Log'!$B:$B,A67,'Run Log'!$D:$D,"FAIL")&gt;0,"FAIL",IF(COUNTIFS('Run Log'!$B:$B,A67,'Run Log'!$D:$D,"BLOCKED")&gt;0,"BLOCKED",IF(COUNTIFS('Run Log'!$B:$B,A67,'Run Log'!$D:$D,"SKIPPED")&gt;0,"SKIPPED","NOT RUN")))))</f>
      </c>
    </row>
    <row r="68">
      <c r="A68" s="9" t="inlineStr">
        <is>
          <t>TC-RS-BR-031</t>
        </is>
      </c>
      <c r="B68" s="9" t="inlineStr">
        <is>
          <t>Giáo viên có quyền sửa mục cấu hình được quy tắc đỏ</t>
        </is>
      </c>
      <c r="C68" s="9" t="inlineStr">
        <is>
          <t>C. Business Rules</t>
        </is>
      </c>
      <c r="D68" s="9" t="inlineStr">
        <is>
          <t>- Điều kiện: Đăng nhập tài khoản giáo viên có quyền sửa mục (giáo viên thường, không phải nhân viên nội bộ).
- Dữ liệu test: tài khoản giáo viên có quyền sửa mục, mục số nguyên (M=100)</t>
        </is>
      </c>
      <c r="E68" s="9" t="inlineStr">
        <is>
          <t>Cao</t>
        </is>
      </c>
      <c r="F68" s="9" t="inlineStr">
        <is>
          <t>CONFIRMED</t>
        </is>
      </c>
      <c r="G68" s="9" t="inlineStr">
        <is>
          <t>UNASSESSED</t>
        </is>
      </c>
      <c r="H68" s="9" t="inlineStr">
        <is>
          <t>tiêu chí nghiệm thu “Quyền thao tác và phạm vi dữ liệu” (AC-G01 «Quyền thao tác và phạm vi dữ liệu»)</t>
        </is>
      </c>
      <c r="I68" s="9" t="inlineStr">
        <is>
          <t>C. Business Rules</t>
        </is>
      </c>
      <c r="J68" s="9" t="inlineStr">
        <is>
          <t>test-cases.vi.md</t>
        </is>
      </c>
      <c r="K68" s="9" t="inlineStr">
        <is>
          <t>Thêm, sửa điều kiện, sửa ngưỡng, đổi thứ tự, xóa một quy tắc của mục số nguyên (M=100).
| Lượt chạy | Phạm vi thực hiện và đối chiếu |
| --- | --- |
| Run: add | Thử thêm |
| Run: condition | Thử sửa điều kiện |
| Run: threshold | Thử sửa ngưỡng |
| Run: reorder | Thử đổi thứ tự |
| Run: delete | Thử xóa |</t>
        </is>
      </c>
      <c r="L68" s="9" t="inlineStr">
        <is>
          <t>Mọi thao tác thành công.</t>
        </is>
      </c>
      <c r="M68" s="9"/>
      <c r="N68" s="9"/>
      <c r="O68" s="9">
        <v>5</v>
      </c>
      <c r="P68" s="9">
        <f>IF(OR(COUNTIF('Run Log'!$B:$B,A68)&lt;&gt;O68,COUNTIF('Run Log'!$A:$A,"RUN-TC-RS-BR-031-add")&lt;&gt;1,COUNTIFS('Run Log'!$A:$A,"RUN-TC-RS-BR-031-add",'Run Log'!$B:$B,A68,'Run Log'!$C:$C,"add")&lt;&gt;1,COUNTIF('Run Log'!$A:$A,"RUN-TC-RS-BR-031-condition")&lt;&gt;1,COUNTIFS('Run Log'!$A:$A,"RUN-TC-RS-BR-031-condition",'Run Log'!$B:$B,A68,'Run Log'!$C:$C,"condition")&lt;&gt;1,COUNTIF('Run Log'!$A:$A,"RUN-TC-RS-BR-031-threshold")&lt;&gt;1,COUNTIFS('Run Log'!$A:$A,"RUN-TC-RS-BR-031-threshold",'Run Log'!$B:$B,A68,'Run Log'!$C:$C,"threshold")&lt;&gt;1,COUNTIF('Run Log'!$A:$A,"RUN-TC-RS-BR-031-reorder")&lt;&gt;1,COUNTIFS('Run Log'!$A:$A,"RUN-TC-RS-BR-031-reorder",'Run Log'!$B:$B,A68,'Run Log'!$C:$C,"reorder")&lt;&gt;1,COUNTIF('Run Log'!$A:$A,"RUN-TC-RS-BR-031-delete")&lt;&gt;1,COUNTIFS('Run Log'!$A:$A,"RUN-TC-RS-BR-031-delete",'Run Log'!$B:$B,A68,'Run Log'!$C:$C,"delete")&lt;&gt;1),"INCOMPLETE",IF(COUNTIFS('Run Log'!$B:$B,A68,'Run Log'!$D:$D,"PASS")=O68,"PASS",IF(COUNTIFS('Run Log'!$B:$B,A68,'Run Log'!$D:$D,"FAIL")&gt;0,"FAIL",IF(COUNTIFS('Run Log'!$B:$B,A68,'Run Log'!$D:$D,"BLOCKED")&gt;0,"BLOCKED",IF(COUNTIFS('Run Log'!$B:$B,A68,'Run Log'!$D:$D,"SKIPPED")&gt;0,"SKIPPED","NOT RUN")))))</f>
      </c>
    </row>
    <row r="69">
      <c r="A69" s="9" t="inlineStr">
        <is>
          <t>TC-RS-BR-032</t>
        </is>
      </c>
      <c r="B69" s="9" t="inlineStr">
        <is>
          <t>Vào được màn nhưng không có quyền sửa mục → không sửa được quy tắc của mục đó</t>
        </is>
      </c>
      <c r="C69" s="9" t="inlineStr">
        <is>
          <t>C. Business Rules</t>
        </is>
      </c>
      <c r="D69" s="9" t="inlineStr">
        <is>
          <t>- Điều kiện: Đăng nhập tài khoản giáo viên không có quyền sửa mục. mục chỉ dành nội bộ có một quy tắc.
- Dữ liệu test: tài khoản giáo viên không có quyền sửa mục, mục chỉ dành nội bộ</t>
        </is>
      </c>
      <c r="E69" s="9" t="inlineStr">
        <is>
          <t>Cao</t>
        </is>
      </c>
      <c r="F69" s="9" t="inlineStr">
        <is>
          <t>CONFIRMED</t>
        </is>
      </c>
      <c r="G69" s="9" t="inlineStr">
        <is>
          <t>UNASSESSED</t>
        </is>
      </c>
      <c r="H69" s="9" t="inlineStr">
        <is>
          <t>tiêu chí nghiệm thu “Quyền thao tác và phạm vi dữ liệu” (AC-G01 «Quyền thao tác và phạm vi dữ liệu»)</t>
        </is>
      </c>
      <c r="I69" s="9" t="inlineStr">
        <is>
          <t>C. Business Rules</t>
        </is>
      </c>
      <c r="J69" s="9" t="inlineStr">
        <is>
          <t>test-cases.vi.md</t>
        </is>
      </c>
      <c r="K69" s="9" t="inlineStr">
        <is>
          <t>1. Mở Thiết lập ô nhập（入力欄設定）.
2. Thử mở và sửa quy tắc của mục chỉ dành nội bộ.
| Lượt chạy | Phạm vi thực hiện và đối chiếu |
| --- | --- |
| Run: Base | Toàn bộ thủ tục theo đúng thứ tự; các đối chứng cùng fixture được kiểm trong cùng lượt, không bỏ bước |</t>
        </is>
      </c>
      <c r="L69" s="9" t="inlineStr">
        <is>
          <t>Không có thao tác sửa/thêm/xóa cho mục chỉ dành nội bộ trên màn, hoặc lưu bị từ chối. Quy tắc không đổi.</t>
        </is>
      </c>
      <c r="M69" s="9"/>
      <c r="N69" s="9"/>
      <c r="O69" s="9">
        <v>1</v>
      </c>
      <c r="P69" s="9">
        <f>IF(OR(COUNTIF('Run Log'!$B:$B,A69)&lt;&gt;O69,COUNTIF('Run Log'!$A:$A,"RUN-TC-RS-BR-032-Base")&lt;&gt;1,COUNTIFS('Run Log'!$A:$A,"RUN-TC-RS-BR-032-Base",'Run Log'!$B:$B,A69,'Run Log'!$C:$C,"Base")&lt;&gt;1),"INCOMPLETE",IF(COUNTIFS('Run Log'!$B:$B,A69,'Run Log'!$D:$D,"PASS")=O69,"PASS",IF(COUNTIFS('Run Log'!$B:$B,A69,'Run Log'!$D:$D,"FAIL")&gt;0,"FAIL",IF(COUNTIFS('Run Log'!$B:$B,A69,'Run Log'!$D:$D,"BLOCKED")&gt;0,"BLOCKED",IF(COUNTIFS('Run Log'!$B:$B,A69,'Run Log'!$D:$D,"SKIPPED")&gt;0,"SKIPPED","NOT RUN")))))</f>
      </c>
    </row>
    <row r="70">
      <c r="A70" s="9" t="inlineStr">
        <is>
          <t>TC-RS-BR-033</t>
        </is>
      </c>
      <c r="B70" s="9" t="inlineStr">
        <is>
          <t>Quyền sửa mục không tự cấp quyền chạy hàng loạt</t>
        </is>
      </c>
      <c r="C70" s="9" t="inlineStr">
        <is>
          <t>C. Business Rules</t>
        </is>
      </c>
      <c r="D70" s="9" t="inlineStr">
        <is>
          <t>- Điều kiện: Đăng nhập tài khoản sửa được mục nhưng không có quyền chạy hàng loạt.
- Dữ liệu test: tài khoản sửa được mục nhưng không có quyền chạy hàng loạt</t>
        </is>
      </c>
      <c r="E70" s="9" t="inlineStr">
        <is>
          <t>Cao</t>
        </is>
      </c>
      <c r="F70" s="9" t="inlineStr">
        <is>
          <t>CONFIRMED</t>
        </is>
      </c>
      <c r="G70" s="9" t="inlineStr">
        <is>
          <t>UNASSESSED</t>
        </is>
      </c>
      <c r="H70" s="9" t="inlineStr">
        <is>
          <t>tiêu chí nghiệm thu “Quyền thao tác và phạm vi dữ liệu” (AC-G01 «Quyền thao tác và phạm vi dữ liệu»)</t>
        </is>
      </c>
      <c r="I70" s="9" t="inlineStr">
        <is>
          <t>C. Business Rules</t>
        </is>
      </c>
      <c r="J70" s="9" t="inlineStr">
        <is>
          <t>test-cases.vi.md</t>
        </is>
      </c>
      <c r="K70" s="9" t="inlineStr">
        <is>
          <t>1. Sửa một quy tắc (thành công).
2. Mở Tổng hợp thành tích（成績集計）, thử chạy tính toán hàng loạt.
| Lượt chạy | Phạm vi thực hiện và đối chiếu |
| --- | --- |
| Run: Base | Toàn bộ thủ tục theo đúng thứ tự; các đối chứng cùng fixture được kiểm trong cùng lượt, không bỏ bước |</t>
        </is>
      </c>
      <c r="L70" s="9" t="inlineStr">
        <is>
          <t>Không chạy được hàng loạt (thao tác không có hoặc bị từ chối theo quyền hiện hành).</t>
        </is>
      </c>
      <c r="M70" s="9"/>
      <c r="N70" s="9"/>
      <c r="O70" s="9">
        <v>1</v>
      </c>
      <c r="P70" s="9">
        <f>IF(OR(COUNTIF('Run Log'!$B:$B,A70)&lt;&gt;O70,COUNTIF('Run Log'!$A:$A,"RUN-TC-RS-BR-033-Base")&lt;&gt;1,COUNTIFS('Run Log'!$A:$A,"RUN-TC-RS-BR-033-Base",'Run Log'!$B:$B,A70,'Run Log'!$C:$C,"Base")&lt;&gt;1),"INCOMPLETE",IF(COUNTIFS('Run Log'!$B:$B,A70,'Run Log'!$D:$D,"PASS")=O70,"PASS",IF(COUNTIFS('Run Log'!$B:$B,A70,'Run Log'!$D:$D,"FAIL")&gt;0,"FAIL",IF(COUNTIFS('Run Log'!$B:$B,A70,'Run Log'!$D:$D,"BLOCKED")&gt;0,"BLOCKED",IF(COUNTIFS('Run Log'!$B:$B,A70,'Run Log'!$D:$D,"SKIPPED")&gt;0,"SKIPPED","NOT RUN")))))</f>
      </c>
    </row>
    <row r="71">
      <c r="A71" s="9" t="inlineStr">
        <is>
          <t>TC-RS-BR-034</t>
        </is>
      </c>
      <c r="B71" s="9" t="inlineStr">
        <is>
          <t>Bật tự tổng hợp khi đăng ký: hệ thống không chặn; quy tắc độc lập với trung bình vẫn xét</t>
        </is>
      </c>
      <c r="C71" s="9" t="inlineStr">
        <is>
          <t>C. Business Rules</t>
        </is>
      </c>
      <c r="D71" s="9" t="inlineStr">
        <is>
          <t>- Điều kiện: Tự tổng hợp khi đăng ký = Thực hiện（実行する）. mục số nguyên (M=100) có quy tắc “Cố định 30” (dưới 30); mục số thập phân (M=100) có công thức `A×0.5`.
- Dữ liệu test: mục số nguyên (M=100), mục số thập phân (M=100); quy tắc “Cố định 30” (dưới 30), học sinh S01 (điểm 29), học sinh S09 (mục số thập phân 29.5)</t>
        </is>
      </c>
      <c r="E71" s="9" t="inlineStr">
        <is>
          <t>Cao</t>
        </is>
      </c>
      <c r="F71" s="9" t="inlineStr">
        <is>
          <t>CONFIRMED</t>
        </is>
      </c>
      <c r="G71" s="9" t="inlineStr">
        <is>
          <t>UNASSESSED</t>
        </is>
      </c>
      <c r="H71" s="9" t="inlineStr">
        <is>
          <t>tiêu chí nghiệm thu “Bao phủ đường đăng ký và chạy lại” (AC-G23 «Bao phủ đường đăng ký và chạy lại»)</t>
        </is>
      </c>
      <c r="I71" s="9" t="inlineStr">
        <is>
          <t>C. Business Rules</t>
        </is>
      </c>
      <c r="J71" s="9" t="inlineStr">
        <is>
          <t>test-cases.vi.md</t>
        </is>
      </c>
      <c r="K71" s="9" t="inlineStr">
        <is>
          <t>1. Lưu quy tắc công thức (không bị chặn vì tự tổng hợp đang bật).
2. Đặt tự tổng hợp = Không thực hiện（実行しない）, đăng ký S01=29.
| Lượt chạy | Phạm vi thực hiện và đối chiếu |
| --- | --- |
| Run: Base | Toàn bộ thủ tục theo đúng thứ tự; các đối chứng cùng fixture được kiểm trong cùng lượt, không bỏ bước |</t>
        </is>
      </c>
      <c r="L71" s="9" t="inlineStr">
        <is>
          <t>1. Lưu được; không có ràng buộc hệ thống buộc tắt.
2. S01 vẫn được xét khi đăng ký → Đỏ.</t>
        </is>
      </c>
      <c r="M71" s="9"/>
      <c r="N71" s="9"/>
      <c r="O71" s="9">
        <v>1</v>
      </c>
      <c r="P71" s="9">
        <f>IF(OR(COUNTIF('Run Log'!$B:$B,A71)&lt;&gt;O71,COUNTIF('Run Log'!$A:$A,"RUN-TC-RS-BR-034-Base")&lt;&gt;1,COUNTIFS('Run Log'!$A:$A,"RUN-TC-RS-BR-034-Base",'Run Log'!$B:$B,A71,'Run Log'!$C:$C,"Base")&lt;&gt;1),"INCOMPLETE",IF(COUNTIFS('Run Log'!$B:$B,A71,'Run Log'!$D:$D,"PASS")=O71,"PASS",IF(COUNTIFS('Run Log'!$B:$B,A71,'Run Log'!$D:$D,"FAIL")&gt;0,"FAIL",IF(COUNTIFS('Run Log'!$B:$B,A71,'Run Log'!$D:$D,"BLOCKED")&gt;0,"BLOCKED",IF(COUNTIFS('Run Log'!$B:$B,A71,'Run Log'!$D:$D,"SKIPPED")&gt;0,"SKIPPED","NOT RUN")))))</f>
      </c>
    </row>
    <row r="72">
      <c r="A72" s="9" t="inlineStr">
        <is>
          <t>TC-RS-BR-035</t>
        </is>
      </c>
      <c r="B72" s="9" t="inlineStr">
        <is>
          <t>Bộ lọc nhóm tổng hợp khác loại phải kết hợp VÀ</t>
        </is>
      </c>
      <c r="C72" s="9" t="inlineStr">
        <is>
          <t>C. Business Rules</t>
        </is>
      </c>
      <c r="D72" s="9" t="inlineStr">
        <is>
          <t>- Điều kiện: Hai loại nhóm tổng hợp: K1 = Nhóm thành tích（成績グループ） có mục Nâng cao; K2 = một loại nhóm tổng hợp khác có mục X. P5 chỉ thuộc Nâng cao; P6 chỉ thuộc X; P7 thuộc cả Nâng cao và X; P8 không thuộc cả hai. Cả bốn học khối 1.
- Dữ liệu test: quy tắc lọc theo nhóm tổng hợp thuộc hai loại nhóm; S = 20 cho P5–P8</t>
        </is>
      </c>
      <c r="E72" s="9" t="inlineStr">
        <is>
          <t>Cao</t>
        </is>
      </c>
      <c r="F72" s="9" t="inlineStr">
        <is>
          <t>CONFIRMED</t>
        </is>
      </c>
      <c r="G72" s="9" t="inlineStr">
        <is>
          <t>UNASSESSED</t>
        </is>
      </c>
      <c r="H72" s="9" t="inlineStr">
        <is>
          <t>tiêu chí nghiệm thu “Đối tượng áp dụng và nhu cầu nguồn” (AC-G05 «Đối tượng áp dụng và nhu cầu nguồn»)</t>
        </is>
      </c>
      <c r="I72" s="9" t="inlineStr">
        <is>
          <t>C. Business Rules</t>
        </is>
      </c>
      <c r="J72" s="9" t="inlineStr">
        <is>
          <t>test-cases.vi.md</t>
        </is>
      </c>
      <c r="K72" s="9" t="inlineStr">
        <is>
          <t>1. Đăng ký điểm 20 cho P5–P8.
2. Xem kết quả.
3. Mở lại quy tắc.
| Lượt chạy | Phạm vi thực hiện và đối chiếu |
| --- | --- |
| Run: Base | Toàn bộ thủ tục theo đúng thứ tự; các đối chứng cùng fixture được kiểm trong cùng lượt, không bỏ bước |</t>
        </is>
      </c>
      <c r="L72" s="9" t="inlineStr">
        <is>
          <t>1–2. Chỉ P7 thỏa cả hai loại nhóm và được xét → Đỏ. P5, P6, P8: Không áp dụng.
3. Mỗi giá trị vẫn gắn đúng loại nhóm của nó.</t>
        </is>
      </c>
      <c r="M72" s="9"/>
      <c r="N72" s="9"/>
      <c r="O72" s="9">
        <v>1</v>
      </c>
      <c r="P72" s="9">
        <f>IF(OR(COUNTIF('Run Log'!$B:$B,A72)&lt;&gt;O72,COUNTIF('Run Log'!$A:$A,"RUN-TC-RS-BR-035-Base")&lt;&gt;1,COUNTIFS('Run Log'!$A:$A,"RUN-TC-RS-BR-035-Base",'Run Log'!$B:$B,A72,'Run Log'!$C:$C,"Base")&lt;&gt;1),"INCOMPLETE",IF(COUNTIFS('Run Log'!$B:$B,A72,'Run Log'!$D:$D,"PASS")=O72,"PASS",IF(COUNTIFS('Run Log'!$B:$B,A72,'Run Log'!$D:$D,"FAIL")&gt;0,"FAIL",IF(COUNTIFS('Run Log'!$B:$B,A72,'Run Log'!$D:$D,"BLOCKED")&gt;0,"BLOCKED",IF(COUNTIFS('Run Log'!$B:$B,A72,'Run Log'!$D:$D,"SKIPPED")&gt;0,"SKIPPED","NOT RUN")))))</f>
      </c>
    </row>
    <row r="73">
      <c r="A73" s="9" t="inlineStr">
        <is>
          <t>TC-RS-BR-036</t>
        </is>
      </c>
      <c r="B73" s="9" t="inlineStr">
        <is>
          <t>Cùng lượt đăng ký: ô thiếu nguồn chưa xét được, ô ngưỡng cố định vẫn được xét</t>
        </is>
      </c>
      <c r="C73" s="9" t="inlineStr">
        <is>
          <t>C. Business Rules</t>
        </is>
      </c>
      <c r="D73" s="9" t="inlineStr">
        <is>
          <t>- Điều kiện: Trên mục số nguyên (M=100): ưu tiên 1 = quy tắc công thức hai dòng (trung bình ÷ 2 × 0.8) (dùng trung bình, nguồn nguồn chưa có kết quả tổng hợp), ưu tiên 2 = quy tắc “Cố định 30” (dưới 30). Trên mục số thập phân (M=100): chỉ quy tắc “Cố định 30” (dưới 30). Lớp G-A có S01.
- Dữ liệu test: mục số nguyên (M=100); mục số thập phân (M=100); quy tắc công thức hai dòng (trung bình ÷ 2 × 0.8); quy tắc “Cố định 30” (dưới 30); nguồn chưa có kết quả tổng hợp; các lớp học phần G-A, G-B, G-C; học sinh S01 (điểm 29); S01 mục số thập phân (M=100) = 29.5</t>
        </is>
      </c>
      <c r="E73" s="9" t="inlineStr">
        <is>
          <t>Cao</t>
        </is>
      </c>
      <c r="F73" s="9" t="inlineStr">
        <is>
          <t>CONFIRMED</t>
        </is>
      </c>
      <c r="G73" s="9" t="inlineStr">
        <is>
          <t>UNASSESSED</t>
        </is>
      </c>
      <c r="H73" s="9" t="inlineStr">
        <is>
          <t>tiêu chí nghiệm thu “Bao phủ đường đăng ký và chạy lại” (AC-G23 «Bao phủ đường đăng ký và chạy lại»)</t>
        </is>
      </c>
      <c r="I73" s="9" t="inlineStr">
        <is>
          <t>C. Business Rules</t>
        </is>
      </c>
      <c r="J73" s="9" t="inlineStr">
        <is>
          <t>test-cases.vi.md</t>
        </is>
      </c>
      <c r="K73" s="9" t="inlineStr">
        <is>
          <t>1. Trong cùng một lượt đăng ký điểm của lớp G-A, lưu S01: mục số nguyên (M=100) = 29, mục số thập phân (M=100) = 29.5.
2. Xem kết quả hai ô và thông báo.
| Lượt chạy | Phạm vi thực hiện và đối chiếu |
| --- | --- |
| Run: Base | Toàn bộ thủ tục theo đúng thứ tự; các đối chứng cùng fixture được kiểm trong cùng lượt, không bỏ bước |</t>
        </is>
      </c>
      <c r="L73" s="9" t="inlineStr">
        <is>
          <t>1. Lượt lưu không dừng hay báo lỗi chung vì ô mục số nguyên (M=100) thiếu nguồn.
2. Ô mục số nguyên (M=100): Chưa xét được; không dùng ưu tiên 2 (quy tắc “Cố định 30” (dưới 30)) thay thế, nên không Đỏ.
3. Ô mục số thập phân (M=100): Đỏ (29.5 `&lt;30`).</t>
        </is>
      </c>
      <c r="M73" s="9"/>
      <c r="N73" s="9"/>
      <c r="O73" s="9">
        <v>1</v>
      </c>
      <c r="P73" s="9">
        <f>IF(OR(COUNTIF('Run Log'!$B:$B,A73)&lt;&gt;O73,COUNTIF('Run Log'!$A:$A,"RUN-TC-RS-BR-036-Base")&lt;&gt;1,COUNTIFS('Run Log'!$A:$A,"RUN-TC-RS-BR-036-Base",'Run Log'!$B:$B,A73,'Run Log'!$C:$C,"Base")&lt;&gt;1),"INCOMPLETE",IF(COUNTIFS('Run Log'!$B:$B,A73,'Run Log'!$D:$D,"PASS")=O73,"PASS",IF(COUNTIFS('Run Log'!$B:$B,A73,'Run Log'!$D:$D,"FAIL")&gt;0,"FAIL",IF(COUNTIFS('Run Log'!$B:$B,A73,'Run Log'!$D:$D,"BLOCKED")&gt;0,"BLOCKED",IF(COUNTIFS('Run Log'!$B:$B,A73,'Run Log'!$D:$D,"SKIPPED")&gt;0,"SKIPPED","NOT RUN")))))</f>
      </c>
    </row>
    <row r="74">
      <c r="A74" s="9" t="inlineStr">
        <is>
          <t>TC-RS-BR-037</t>
        </is>
      </c>
      <c r="B74" s="9" t="inlineStr">
        <is>
          <t>Xóa hoặc thôi dùng điểm đơn vị thì ngừng kết quả đỏ cũ của ô đó</t>
        </is>
      </c>
      <c r="C74" s="9" t="inlineStr">
        <is>
          <t>C. Business Rules</t>
        </is>
      </c>
      <c r="D74" s="9" t="inlineStr">
        <is>
          <t>- Điều kiện: mục điểm đơn vị (đơn vị U1 có M riêng 40) có quy tắc “Cố định 30” (dưới 30). S06 (G-B): U1 = 25, U2 = 35 đã đăng ký; U1 đang Đỏ, U2 Không đỏ (như case “Ô điểm đơn vị được xét riêng theo từng đơn vị”).
- Dữ liệu test: mục điểm đơn vị (đơn vị U1 có M riêng 40); quy tắc “Cố định 30” (dưới 30); các lớp học phần G-A, G-B, G-C; học sinh S06 (điểm dự kiến 24)</t>
        </is>
      </c>
      <c r="E74" s="9" t="inlineStr">
        <is>
          <t>Cao</t>
        </is>
      </c>
      <c r="F74" s="9" t="inlineStr">
        <is>
          <t>CONFIRMED</t>
        </is>
      </c>
      <c r="G74" s="9" t="inlineStr">
        <is>
          <t>UNASSESSED</t>
        </is>
      </c>
      <c r="H74" s="9" t="inlineStr">
        <is>
          <t>tiêu chí nghiệm thu “Trigger khi đổi điểm tối đa/đơn vị” (AC-G24 «Trigger khi đổi điểm tối đa/đơn vị»)</t>
        </is>
      </c>
      <c r="I74" s="9" t="inlineStr">
        <is>
          <t>C. Business Rules</t>
        </is>
      </c>
      <c r="J74" s="9" t="inlineStr">
        <is>
          <t>test-cases.vi.md</t>
        </is>
      </c>
      <c r="K74" s="9" t="inlineStr">
        <is>
          <t>1. Xác nhận U1 Đỏ ở ba đầu ra.
2. Biến thể (a): xóa điểm U1 của S06 thành trống rồi lưu.
3. Khôi phục/rebuild fixture U1 Đỏ, U2 Không đỏ; biến thể (b): thôi dùng đơn vị U1 cho lớp G-B theo thao tác hiện có (nếu màn hỗ trợ), rồi đăng ký lại hoặc chạy nút cam cho G-B.
4. Xem ba đầu ra và bộ lọc đỏ của trích xuất.
| Lượt chạy | Phạm vi thực hiện và đối chiếu |
| --- | --- |
| Run: delete-unit | Nhánh delete-unit trong thủ tục và Expected của case; thực hiện các bước chuẩn bị chung trước nhánh |
| Run: disable-unit | Nhánh disable-unit trong thủ tục và Expected của case; thực hiện các bước chuẩn bị chung trước nhánh |</t>
        </is>
      </c>
      <c r="L74" s="9" t="inlineStr">
        <is>
          <t>1. Mỗi biến thể dùng fixture độc lập. Sau (a) hoặc (b), ô U1 của S06 trong fixture tương ứng không còn dấu đỏ ở ba đầu ra; bộ lọc đỏ không giữ S06 chỉ vì U1 cũ.
2. U2 giữ kết quả Không đỏ; không bị gộp hay xét lại sai.</t>
        </is>
      </c>
      <c r="M74" s="9"/>
      <c r="N74" s="9"/>
      <c r="O74" s="9">
        <v>2</v>
      </c>
      <c r="P74" s="9">
        <f>IF(OR(COUNTIF('Run Log'!$B:$B,A74)&lt;&gt;O74,COUNTIF('Run Log'!$A:$A,"RUN-TC-RS-BR-037-delete-unit")&lt;&gt;1,COUNTIFS('Run Log'!$A:$A,"RUN-TC-RS-BR-037-delete-unit",'Run Log'!$B:$B,A74,'Run Log'!$C:$C,"delete-unit")&lt;&gt;1,COUNTIF('Run Log'!$A:$A,"RUN-TC-RS-BR-037-disable-unit")&lt;&gt;1,COUNTIFS('Run Log'!$A:$A,"RUN-TC-RS-BR-037-disable-unit",'Run Log'!$B:$B,A74,'Run Log'!$C:$C,"disable-unit")&lt;&gt;1),"INCOMPLETE",IF(COUNTIFS('Run Log'!$B:$B,A74,'Run Log'!$D:$D,"PASS")=O74,"PASS",IF(COUNTIFS('Run Log'!$B:$B,A74,'Run Log'!$D:$D,"FAIL")&gt;0,"FAIL",IF(COUNTIFS('Run Log'!$B:$B,A74,'Run Log'!$D:$D,"BLOCKED")&gt;0,"BLOCKED",IF(COUNTIFS('Run Log'!$B:$B,A74,'Run Log'!$D:$D,"SKIPPED")&gt;0,"SKIPPED","NOT RUN")))))</f>
      </c>
    </row>
    <row r="75">
      <c r="A75" s="9" t="inlineStr">
        <is>
          <t>TC-RS-BR-038</t>
        </is>
      </c>
      <c r="B75" s="9" t="inlineStr">
        <is>
          <t>Nhóm lớp học（授業）: dùng kết quả tổng hợp của đúng lớp chứa ô đang xét</t>
        </is>
      </c>
      <c r="C75" s="9" t="inlineStr">
        <is>
          <t>C. Business Rules</t>
        </is>
      </c>
      <c r="D75" s="9" t="inlineStr">
        <is>
          <t>- Điều kiện: thiết lập tổng hợp X đã bật thêm Lớp học（授業） (X đã bật lớp học và đã tổng hợp). S11 học cả G-A và G-D; trong X trung bình lớp G-A = 40, G-D = 70. Quy tắc trên mục số nguyên (M=100): Toàn bộ đối tượng, ngưỡng Công thức（計算式） `A×0.5`, `&lt;`; nguồn công thức = X / Lớp học（授業）.
- Dữ liệu test: thiết lập tổng hợp X đã bật thêm Lớp học（授業）, học sinh S11 học hai lớp Toán I (G-A, G-D); mục số nguyên (M=100); S11 có điểm 25 ở cả G-A và G-D</t>
        </is>
      </c>
      <c r="E75" s="9" t="inlineStr">
        <is>
          <t>Cao</t>
        </is>
      </c>
      <c r="F75" s="9" t="inlineStr">
        <is>
          <t>CONFIRMED</t>
        </is>
      </c>
      <c r="G75" s="9" t="inlineStr">
        <is>
          <t>UNASSESSED</t>
        </is>
      </c>
      <c r="H75" s="9" t="inlineStr">
        <is>
          <t>tiêu chí nghiệm thu “Đúng phạm vi tham chiếu” (AC-G12 «Đúng phạm vi tham chiếu»)</t>
        </is>
      </c>
      <c r="I75" s="9" t="inlineStr">
        <is>
          <t>C. Business Rules</t>
        </is>
      </c>
      <c r="J75" s="9" t="inlineStr">
        <is>
          <t>test-cases.vi.md</t>
        </is>
      </c>
      <c r="K75" s="9" t="inlineStr">
        <is>
          <t>1. Chạy nút cam cho G-A và G-D.
2. Xem kết quả hai ô của S11 trên trích xuất.
| Lượt chạy | Phạm vi thực hiện và đối chiếu |
| --- | --- |
| Run: Base | Toàn bộ thủ tục theo đúng thứ tự; các đối chứng cùng fixture được kiểm trong cùng lượt, không bỏ bước |</t>
        </is>
      </c>
      <c r="L75" s="9" t="inlineStr">
        <is>
          <t>- Ô ở G-A: `T=40×0.5=20` → 25 Không đỏ.
- Ô ở G-D: `T=70×0.5=35` → 25 Đỏ.
- Không ô nào dùng kết quả của lớp kia, của khối/lớp chủ nhiệm, hay trung bình chung của môn.</t>
        </is>
      </c>
      <c r="M75" s="9"/>
      <c r="N75" s="9"/>
      <c r="O75" s="9">
        <v>1</v>
      </c>
      <c r="P75" s="9">
        <f>IF(OR(COUNTIF('Run Log'!$B:$B,A75)&lt;&gt;O75,COUNTIF('Run Log'!$A:$A,"RUN-TC-RS-BR-038-Base")&lt;&gt;1,COUNTIFS('Run Log'!$A:$A,"RUN-TC-RS-BR-038-Base",'Run Log'!$B:$B,A75,'Run Log'!$C:$C,"Base")&lt;&gt;1),"INCOMPLETE",IF(COUNTIFS('Run Log'!$B:$B,A75,'Run Log'!$D:$D,"PASS")=O75,"PASS",IF(COUNTIFS('Run Log'!$B:$B,A75,'Run Log'!$D:$D,"FAIL")&gt;0,"FAIL",IF(COUNTIFS('Run Log'!$B:$B,A75,'Run Log'!$D:$D,"BLOCKED")&gt;0,"BLOCKED",IF(COUNTIFS('Run Log'!$B:$B,A75,'Run Log'!$D:$D,"SKIPPED")&gt;0,"SKIPPED","NOT RUN")))))</f>
      </c>
    </row>
    <row r="76">
      <c r="A76" s="9" t="inlineStr">
        <is>
          <t>TC-RS-BR-039</t>
        </is>
      </c>
      <c r="B76" s="9" t="inlineStr">
        <is>
          <t>Nhóm môn học（科目グループ）: dùng cấu hình riêng của môn hoặc default đã lưu; thiếu/sai thì Chưa xét được</t>
        </is>
      </c>
      <c r="C76" s="9" t="inlineStr">
        <is>
          <t>C. Business Rules</t>
        </is>
      </c>
      <c r="D76" s="9" t="inlineStr">
        <is>
          <t>- Điều kiện: nhóm môn học “Nhóm môn Toán” có cấu hình riêng cho Toán I（数学Ⅰ） và default. Quy tắc trên mục số nguyên (M=100) dùng nguồn công thức = X / nhóm môn học “Nhóm môn Toán”, ngưỡng `A×0.5`, `&lt;`.
- Dữ liệu test: nhóm môn học “Nhóm môn Toán”; mục số nguyên (M=100); S01 = 25</t>
        </is>
      </c>
      <c r="E76" s="9" t="inlineStr">
        <is>
          <t>Cao</t>
        </is>
      </c>
      <c r="F76" s="9" t="inlineStr">
        <is>
          <t>CONFIRMED</t>
        </is>
      </c>
      <c r="G76" s="9" t="inlineStr">
        <is>
          <t>UNASSESSED</t>
        </is>
      </c>
      <c r="H76" s="9" t="inlineStr">
        <is>
          <t>tiêu chí nghiệm thu “Đúng phạm vi tham chiếu” (AC-G12 «Đúng phạm vi tham chiếu»); tiêu chí nghiệm thu “Ưu tiên bản chốt và xử lý thiếu nguồn” (AC-G13 «Ưu tiên bản chốt và xử lý thiếu nguồn»)</t>
        </is>
      </c>
      <c r="I76" s="9" t="inlineStr">
        <is>
          <t>C. Business Rules</t>
        </is>
      </c>
      <c r="J76" s="9" t="inlineStr">
        <is>
          <t>test-cases.vi.md</t>
        </is>
      </c>
      <c r="K76" s="9" t="inlineStr">
        <is>
          <t>1. Chạy nút cam; xem S01 và nhóm được dùng.
2. Xóa cấu hình riêng của Toán I (để môn rơi về default); chạy lại; xem.
3. Làm default thiếu hoặc trỏ tới cấu hình không hợp lệ (biến thể (b) của nhóm môn học “Nhóm môn Toán”); chạy lại; xem trạng thái và thông báo.
| Lượt chạy | Phạm vi thực hiện và đối chiếu |
| --- | --- |
| Run: private | Nguồn riêng |
| Run: default | Nguồn mặc định |
| Run: default-missing | Nguồn mặc định thiếu |
| Run: default-invalid | Nguồn mặc định không hợp lệ |</t>
        </is>
      </c>
      <c r="L76" s="9" t="inlineStr">
        <is>
          <t>1. Dùng kết quả của nhóm theo cấu hình riêng của Toán I.
2. Dùng kết quả của nhóm theo default đã lưu.
3. S01 Chưa xét được; không thay bằng nhóm khác, bằng 0 hay bằng kết quả trước; thông báo/tiến độ tách phần chưa xét được.</t>
        </is>
      </c>
      <c r="M76" s="9"/>
      <c r="N76" s="9"/>
      <c r="O76" s="9">
        <v>4</v>
      </c>
      <c r="P76" s="9">
        <f>IF(OR(COUNTIF('Run Log'!$B:$B,A76)&lt;&gt;O76,COUNTIF('Run Log'!$A:$A,"RUN-TC-RS-BR-039-private")&lt;&gt;1,COUNTIFS('Run Log'!$A:$A,"RUN-TC-RS-BR-039-private",'Run Log'!$B:$B,A76,'Run Log'!$C:$C,"private")&lt;&gt;1,COUNTIF('Run Log'!$A:$A,"RUN-TC-RS-BR-039-default")&lt;&gt;1,COUNTIFS('Run Log'!$A:$A,"RUN-TC-RS-BR-039-default",'Run Log'!$B:$B,A76,'Run Log'!$C:$C,"default")&lt;&gt;1,COUNTIF('Run Log'!$A:$A,"RUN-TC-RS-BR-039-default-missing")&lt;&gt;1,COUNTIFS('Run Log'!$A:$A,"RUN-TC-RS-BR-039-default-missing",'Run Log'!$B:$B,A76,'Run Log'!$C:$C,"default-missing")&lt;&gt;1,COUNTIF('Run Log'!$A:$A,"RUN-TC-RS-BR-039-default-invalid")&lt;&gt;1,COUNTIFS('Run Log'!$A:$A,"RUN-TC-RS-BR-039-default-invalid",'Run Log'!$B:$B,A76,'Run Log'!$C:$C,"default-invalid")&lt;&gt;1),"INCOMPLETE",IF(COUNTIFS('Run Log'!$B:$B,A76,'Run Log'!$D:$D,"PASS")=O76,"PASS",IF(COUNTIFS('Run Log'!$B:$B,A76,'Run Log'!$D:$D,"FAIL")&gt;0,"FAIL",IF(COUNTIFS('Run Log'!$B:$B,A76,'Run Log'!$D:$D,"BLOCKED")&gt;0,"BLOCKED",IF(COUNTIFS('Run Log'!$B:$B,A76,'Run Log'!$D:$D,"SKIPPED")&gt;0,"SKIPPED","NOT RUN")))))</f>
      </c>
    </row>
    <row r="77">
      <c r="A77" s="9" t="inlineStr">
        <is>
          <t>TC-RS-BR-040</t>
        </is>
      </c>
      <c r="B77" s="9" t="inlineStr">
        <is>
          <t>Loại nhóm được bật nhưng chưa có kết quả, hoặc tham chiếu đã lưu không còn hợp lệ → Chưa xét được, không tự đổi nhóm</t>
        </is>
      </c>
      <c r="C77" s="9" t="inlineStr">
        <is>
          <t>C. Business Rules</t>
        </is>
      </c>
      <c r="D77" s="9" t="inlineStr">
        <is>
          <t>- Điều kiện: Quy tắc trên mục số nguyên (M=100) có điều kiện Trung bình `A≥50`, cố định 30 `&lt;`; S01 = 29, đang Đỏ theo nguồn X / Lớp học（授業） đã tổng hợp.
- Dữ liệu test: thiết lập tổng hợp X đã bật thêm Lớp học（授業）, nhóm tổng hợp thứ hạng “Toán I khối 1+2”; mục số nguyên (M=100); học sinh S01 (điểm 29)</t>
        </is>
      </c>
      <c r="E77" s="9" t="inlineStr">
        <is>
          <t>Cao</t>
        </is>
      </c>
      <c r="F77" s="9" t="inlineStr">
        <is>
          <t>CONFIRMED</t>
        </is>
      </c>
      <c r="G77" s="9" t="inlineStr">
        <is>
          <t>UNASSESSED</t>
        </is>
      </c>
      <c r="H77" s="9" t="inlineStr">
        <is>
          <t>tiêu chí nghiệm thu “Ưu tiên bản chốt và xử lý thiếu nguồn” (AC-G13 «Ưu tiên bản chốt và xử lý thiếu nguồn»); tiêu chí nghiệm thu “Giữ kết quả trước khi chạy lại” (AC-G21 «Giữ kết quả trước khi chạy lại và xóa rule cuối»)</t>
        </is>
      </c>
      <c r="I77" s="9" t="inlineStr">
        <is>
          <t>C. Business Rules</t>
        </is>
      </c>
      <c r="J77" s="9" t="inlineStr">
        <is>
          <t>test-cases.vi.md</t>
        </is>
      </c>
      <c r="K77" s="9" t="inlineStr">
        <is>
          <t>1. (a) Tạo quy tắc mới dùng nhóm tổng hợp nhóm tổng hợp thứ hạng “Toán I khối 1+2” nhưng X chưa chạy tổng hợp cho nhóm này; chạy nút cam; xem S01.
2. (b) Quy tắc đang dùng X / Lớp học: tắt công tắc Lớp học（授業） của trường/năm; mở danh sách quy tắc và xem S01 (chưa chạy).
3. Chạy nút cam; xem S01.
4. (c) Xóa nhóm nhóm tổng hợp thứ hạng “Toán I khối 1+2” đang được quy tắc khác tham chiếu; chạy nút cam; xem ô dùng quy tắc đó.
| Lượt chạy | Phạm vi thực hiện và đối chiếu |
| --- | --- |
| Run: missing-source | Nguồn mới thiếu |
| Run: disabled-group | Nhóm bị tắt |
| Run: deleted-group | Nhóm bị xóa |</t>
        </is>
      </c>
      <c r="L77" s="9" t="inlineStr">
        <is>
          <t>1. S01 Chưa xét được (thiếu nguồn); lựa chọn nhóm tồn tại không có nghĩa đã có dữ liệu.
2. Chỉ đổi cấu hình: S01 vẫn giữ kết quả Đỏ trước (không bị xóa ngay).
3. S01 Chưa xét được; không tự chuyển sang khối/lớp chủ nhiệm hoặc nhóm khác, không dùng quy tắc ưu tiên thấp hơn, không dùng kết quả cũ làm hiện hành.
4. Ô chịu ảnh hưởng Chưa xét được; không âm thầm đổi loại/ID nhóm đã lưu.
## 3. Validation (VAL)</t>
        </is>
      </c>
      <c r="M77" s="9"/>
      <c r="N77" s="9"/>
      <c r="O77" s="9">
        <v>3</v>
      </c>
      <c r="P77" s="9">
        <f>IF(OR(COUNTIF('Run Log'!$B:$B,A77)&lt;&gt;O77,COUNTIF('Run Log'!$A:$A,"RUN-TC-RS-BR-040-missing-source")&lt;&gt;1,COUNTIFS('Run Log'!$A:$A,"RUN-TC-RS-BR-040-missing-source",'Run Log'!$B:$B,A77,'Run Log'!$C:$C,"missing-source")&lt;&gt;1,COUNTIF('Run Log'!$A:$A,"RUN-TC-RS-BR-040-disabled-group")&lt;&gt;1,COUNTIFS('Run Log'!$A:$A,"RUN-TC-RS-BR-040-disabled-group",'Run Log'!$B:$B,A77,'Run Log'!$C:$C,"disabled-group")&lt;&gt;1,COUNTIF('Run Log'!$A:$A,"RUN-TC-RS-BR-040-deleted-group")&lt;&gt;1,COUNTIFS('Run Log'!$A:$A,"RUN-TC-RS-BR-040-deleted-group",'Run Log'!$B:$B,A77,'Run Log'!$C:$C,"deleted-group")&lt;&gt;1),"INCOMPLETE",IF(COUNTIFS('Run Log'!$B:$B,A77,'Run Log'!$D:$D,"PASS")=O77,"PASS",IF(COUNTIFS('Run Log'!$B:$B,A77,'Run Log'!$D:$D,"FAIL")&gt;0,"FAIL",IF(COUNTIFS('Run Log'!$B:$B,A77,'Run Log'!$D:$D,"BLOCKED")&gt;0,"BLOCKED",IF(COUNTIFS('Run Log'!$B:$B,A77,'Run Log'!$D:$D,"SKIPPED")&gt;0,"SKIPPED","NOT RUN")))))</f>
      </c>
    </row>
    <row r="78">
      <c r="A78" s="9" t="inlineStr">
        <is>
          <t>TC-RS-VAL-001</t>
        </is>
      </c>
      <c r="B78" s="9" t="inlineStr">
        <is>
          <t>Điểm cố định: biên −1 / 0 / 100 / 101 với M=100</t>
        </is>
      </c>
      <c r="C78" s="9" t="inlineStr">
        <is>
          <t>B. Validation</t>
        </is>
      </c>
      <c r="D78" s="9" t="inlineStr">
        <is>
          <t>- Điều kiện: mục số nguyên (M=100) (M=100 cho mọi đối tượng), Toàn bộ đối tượng.
- Dữ liệu test: mục số nguyên (M=100); N = −1, 0, 100, 101</t>
        </is>
      </c>
      <c r="E78" s="9" t="inlineStr">
        <is>
          <t>TBD</t>
        </is>
      </c>
      <c r="F78" s="9" t="inlineStr">
        <is>
          <t>CONFIRMED</t>
        </is>
      </c>
      <c r="G78" s="9" t="inlineStr">
        <is>
          <t>UNASSESSED</t>
        </is>
      </c>
      <c r="H78" s="9" t="inlineStr">
        <is>
          <t>tiêu chí nghiệm thu “Điểm cố định” (AC-G08 «Điểm cố định»)</t>
        </is>
      </c>
      <c r="I78" s="9" t="inlineStr">
        <is>
          <t>B. Validation</t>
        </is>
      </c>
      <c r="J78" s="9" t="inlineStr">
        <is>
          <t>test-cases.vi.md</t>
        </is>
      </c>
      <c r="K78" s="9" t="inlineStr">
        <is>
          <t>Lần lượt nhập Điểm cố định（固定点数）= −1, 0, 100, 101 và bấm Cập nhật（更新する）.
| Lượt chạy | Phạm vi thực hiện và đối chiếu |
| --- | --- |
| Run: negative | N=-1 |
| Run: zero | N=0 |
| Run: maximum | N=100 |
| Run: above | N=101 |</t>
        </is>
      </c>
      <c r="L78" s="9" t="inlineStr">
        <is>
          <t>−1: không lưu được, có lỗi. 0: lưu được. 100: lưu được. 101: không lưu được, có lỗi vượt M. Khi lỗi, cấu hình đã lưu trước đó không đổi.</t>
        </is>
      </c>
      <c r="M78" s="9"/>
      <c r="N78" s="9"/>
      <c r="O78" s="9">
        <v>4</v>
      </c>
      <c r="P78" s="9">
        <f>IF(OR(COUNTIF('Run Log'!$B:$B,A78)&lt;&gt;O78,COUNTIF('Run Log'!$A:$A,"RUN-TC-RS-VAL-001-negative")&lt;&gt;1,COUNTIFS('Run Log'!$A:$A,"RUN-TC-RS-VAL-001-negative",'Run Log'!$B:$B,A78,'Run Log'!$C:$C,"negative")&lt;&gt;1,COUNTIF('Run Log'!$A:$A,"RUN-TC-RS-VAL-001-zero")&lt;&gt;1,COUNTIFS('Run Log'!$A:$A,"RUN-TC-RS-VAL-001-zero",'Run Log'!$B:$B,A78,'Run Log'!$C:$C,"zero")&lt;&gt;1,COUNTIF('Run Log'!$A:$A,"RUN-TC-RS-VAL-001-maximum")&lt;&gt;1,COUNTIFS('Run Log'!$A:$A,"RUN-TC-RS-VAL-001-maximum",'Run Log'!$B:$B,A78,'Run Log'!$C:$C,"maximum")&lt;&gt;1,COUNTIF('Run Log'!$A:$A,"RUN-TC-RS-VAL-001-above")&lt;&gt;1,COUNTIFS('Run Log'!$A:$A,"RUN-TC-RS-VAL-001-above",'Run Log'!$B:$B,A78,'Run Log'!$C:$C,"above")&lt;&gt;1),"INCOMPLETE",IF(COUNTIFS('Run Log'!$B:$B,A78,'Run Log'!$D:$D,"PASS")=O78,"PASS",IF(COUNTIFS('Run Log'!$B:$B,A78,'Run Log'!$D:$D,"FAIL")&gt;0,"FAIL",IF(COUNTIFS('Run Log'!$B:$B,A78,'Run Log'!$D:$D,"BLOCKED")&gt;0,"BLOCKED",IF(COUNTIFS('Run Log'!$B:$B,A78,'Run Log'!$D:$D,"SKIPPED")&gt;0,"SKIPPED","NOT RUN")))))</f>
      </c>
    </row>
    <row r="79">
      <c r="A79" s="9" t="inlineStr">
        <is>
          <t>TC-RS-VAL-002</t>
        </is>
      </c>
      <c r="B79" s="9" t="inlineStr">
        <is>
          <t>Điểm cố định phải ≤ M của mọi đối tượng (M=20 và M=100)</t>
        </is>
      </c>
      <c r="C79" s="9" t="inlineStr">
        <is>
          <t>B. Validation</t>
        </is>
      </c>
      <c r="D79" s="9" t="inlineStr">
        <is>
          <t>- Điều kiện: mục có M khác nhau theo lớp (G-A M=20, G-B M=100) (G-A M=20, G-B M=100).
- Dữ liệu test: mục có M khác nhau theo lớp (G-A M=20, G-B M=100); N = 30, 20</t>
        </is>
      </c>
      <c r="E79" s="9" t="inlineStr">
        <is>
          <t>TBD</t>
        </is>
      </c>
      <c r="F79" s="9" t="inlineStr">
        <is>
          <t>CONFIRMED</t>
        </is>
      </c>
      <c r="G79" s="9" t="inlineStr">
        <is>
          <t>UNASSESSED</t>
        </is>
      </c>
      <c r="H79" s="9" t="inlineStr">
        <is>
          <t>tiêu chí nghiệm thu “Điểm cố định” (AC-G08 «Điểm cố định»)</t>
        </is>
      </c>
      <c r="I79" s="9" t="inlineStr">
        <is>
          <t>B. Validation</t>
        </is>
      </c>
      <c r="J79" s="9" t="inlineStr">
        <is>
          <t>test-cases.vi.md</t>
        </is>
      </c>
      <c r="K79" s="9" t="inlineStr">
        <is>
          <t>1. Toàn bộ đối tượng, N=30, Lưu.
2. Toàn bộ đối tượng, N=20, Lưu.
3. Lọc chỉ lớp G-B, N=30, Lưu.
| Lượt chạy | Phạm vi thực hiện và đối chiếu |
| --- | --- |
| Run: all30 | Toàn bộ N=30 |
| Run: all20 | Toàn bộ N=20 |
| Run: gb30 | Chỉ G-B N=30 |</t>
        </is>
      </c>
      <c r="L79" s="9" t="inlineStr">
        <is>
          <t>1. Không lưu được (G-A M=20).
2. Lưu được.
3. Lưu được.</t>
        </is>
      </c>
      <c r="M79" s="9"/>
      <c r="N79" s="9"/>
      <c r="O79" s="9">
        <v>3</v>
      </c>
      <c r="P79" s="9">
        <f>IF(OR(COUNTIF('Run Log'!$B:$B,A79)&lt;&gt;O79,COUNTIF('Run Log'!$A:$A,"RUN-TC-RS-VAL-002-all30")&lt;&gt;1,COUNTIFS('Run Log'!$A:$A,"RUN-TC-RS-VAL-002-all30",'Run Log'!$B:$B,A79,'Run Log'!$C:$C,"all30")&lt;&gt;1,COUNTIF('Run Log'!$A:$A,"RUN-TC-RS-VAL-002-all20")&lt;&gt;1,COUNTIFS('Run Log'!$A:$A,"RUN-TC-RS-VAL-002-all20",'Run Log'!$B:$B,A79,'Run Log'!$C:$C,"all20")&lt;&gt;1,COUNTIF('Run Log'!$A:$A,"RUN-TC-RS-VAL-002-gb30")&lt;&gt;1,COUNTIFS('Run Log'!$A:$A,"RUN-TC-RS-VAL-002-gb30",'Run Log'!$B:$B,A79,'Run Log'!$C:$C,"gb30")&lt;&gt;1),"INCOMPLETE",IF(COUNTIFS('Run Log'!$B:$B,A79,'Run Log'!$D:$D,"PASS")=O79,"PASS",IF(COUNTIFS('Run Log'!$B:$B,A79,'Run Log'!$D:$D,"FAIL")&gt;0,"FAIL",IF(COUNTIFS('Run Log'!$B:$B,A79,'Run Log'!$D:$D,"BLOCKED")&gt;0,"BLOCKED",IF(COUNTIFS('Run Log'!$B:$B,A79,'Run Log'!$D:$D,"SKIPPED")&gt;0,"SKIPPED","NOT RUN")))))</f>
      </c>
    </row>
    <row r="80">
      <c r="A80" s="9" t="inlineStr">
        <is>
          <t>TC-RS-VAL-003</t>
        </is>
      </c>
      <c r="B80" s="9" t="inlineStr">
        <is>
          <t>Mở rộng phạm vi sau khi lưu: kiểm lại ngưỡng cố định với M của đối tượng mới</t>
        </is>
      </c>
      <c r="C80" s="9" t="inlineStr">
        <is>
          <t>B. Validation</t>
        </is>
      </c>
      <c r="D80" s="9" t="inlineStr">
        <is>
          <t>- Điều kiện: mục có M khác nhau theo lớp (G-A M=20, G-B M=100); quy tắc lọc chỉ G-B, cố định 30 đã lưu.
- Dữ liệu test: mục có M khác nhau theo lớp (G-A M=20, G-B M=100)</t>
        </is>
      </c>
      <c r="E80" s="9" t="inlineStr">
        <is>
          <t>TBD</t>
        </is>
      </c>
      <c r="F80" s="9" t="inlineStr">
        <is>
          <t>CONFIRMED</t>
        </is>
      </c>
      <c r="G80" s="9" t="inlineStr">
        <is>
          <t>UNASSESSED</t>
        </is>
      </c>
      <c r="H80" s="9" t="inlineStr">
        <is>
          <t>tiêu chí nghiệm thu “Điểm cố định” (AC-G08 «Điểm cố định»)</t>
        </is>
      </c>
      <c r="I80" s="9" t="inlineStr">
        <is>
          <t>B. Validation</t>
        </is>
      </c>
      <c r="J80" s="9" t="inlineStr">
        <is>
          <t>test-cases.vi.md</t>
        </is>
      </c>
      <c r="K80" s="9" t="inlineStr">
        <is>
          <t>Sửa bộ lọc thành G-A hoặc G-B (giữ N=30), bấm Lưu.
| Lượt chạy | Phạm vi thực hiện và đối chiếu |
| --- | --- |
| Run: Base | Toàn bộ thủ tục theo đúng thứ tự; các đối chứng cùng fixture được kiểm trong cùng lượt, không bỏ bước |</t>
        </is>
      </c>
      <c r="L80" s="9" t="inlineStr">
        <is>
          <t>Không lưu được vì G-A có M=20; cấu hình cũ (chỉ G-B) giữ nguyên.</t>
        </is>
      </c>
      <c r="M80" s="9"/>
      <c r="N80" s="9"/>
      <c r="O80" s="9">
        <v>1</v>
      </c>
      <c r="P80" s="9">
        <f>IF(OR(COUNTIF('Run Log'!$B:$B,A80)&lt;&gt;O80,COUNTIF('Run Log'!$A:$A,"RUN-TC-RS-VAL-003-Base")&lt;&gt;1,COUNTIFS('Run Log'!$A:$A,"RUN-TC-RS-VAL-003-Base",'Run Log'!$B:$B,A80,'Run Log'!$C:$C,"Base")&lt;&gt;1),"INCOMPLETE",IF(COUNTIFS('Run Log'!$B:$B,A80,'Run Log'!$D:$D,"PASS")=O80,"PASS",IF(COUNTIFS('Run Log'!$B:$B,A80,'Run Log'!$D:$D,"FAIL")&gt;0,"FAIL",IF(COUNTIFS('Run Log'!$B:$B,A80,'Run Log'!$D:$D,"BLOCKED")&gt;0,"BLOCKED",IF(COUNTIFS('Run Log'!$B:$B,A80,'Run Log'!$D:$D,"SKIPPED")&gt;0,"SKIPPED","NOT RUN")))))</f>
      </c>
    </row>
    <row r="81">
      <c r="A81" s="9" t="inlineStr">
        <is>
          <t>TC-RS-VAL-004</t>
        </is>
      </c>
      <c r="B81" s="9" t="inlineStr">
        <is>
          <t>Ngưỡng cố định/tỷ lệ trống hoặc không phải số</t>
        </is>
      </c>
      <c r="C81" s="9" t="inlineStr">
        <is>
          <t>B. Validation</t>
        </is>
      </c>
      <c r="D81" s="9" t="inlineStr">
        <is>
          <t>- Điều kiện: Màn cấu hình mục số nguyên (M=100).
- Dữ liệu test: mục số nguyên (M=100); Giá trị: trống, `abc`, `3O` (chữ O), `３０` (số toàn khổ)</t>
        </is>
      </c>
      <c r="E81" s="9" t="inlineStr">
        <is>
          <t>TBD</t>
        </is>
      </c>
      <c r="F81" s="9" t="inlineStr">
        <is>
          <t>CONFIRMED</t>
        </is>
      </c>
      <c r="G81" s="9" t="inlineStr">
        <is>
          <t>UNASSESSED</t>
        </is>
      </c>
      <c r="H81" s="9" t="inlineStr">
        <is>
          <t>tiêu chí nghiệm thu “Giữ chính xác giá trị” (AC-G11 «Giữ chính xác giá trị»)</t>
        </is>
      </c>
      <c r="I81" s="9" t="inlineStr">
        <is>
          <t>B. Validation</t>
        </is>
      </c>
      <c r="J81" s="9" t="inlineStr">
        <is>
          <t>test-cases.vi.md</t>
        </is>
      </c>
      <c r="K81" s="9" t="inlineStr">
        <is>
          <t>Với loại Điểm cố định（固定点数） rồi Tỷ lệ điểm tối đa（得点率）: nhập từng giá trị, bấm Lưu.
| Lượt chạy | Phạm vi thực hiện và đối chiếu |
| --- | --- |
| Run: fixed-empty | Cố định với trống |
| Run: fixed-abc | Cố định với abc |
| Run: fixed-3O | Cố định với 3O |
| Run: fixed-fullwidth | Cố định với chữ số toàn chiều rộng, phần TBD giữ BLOCKED |
| Run: ratio-empty | Tỷ lệ với trống |
| Run: ratio-abc | Tỷ lệ với abc |
| Run: ratio-3O | Tỷ lệ với 3O |
| Run: ratio-fullwidth | Tỷ lệ với chữ số toàn chiều rộng, phần TBD giữ BLOCKED |</t>
        </is>
      </c>
      <c r="L81" s="9" t="inlineStr">
        <is>
          <t>Trống, `abc`, `3O`: không lưu được, có lỗi. `３０`: xử lý theo quy ước nhập số hiện hành của BLEND (TBD — có thể chuẩn hóa thành 30 hoặc báo lỗi).</t>
        </is>
      </c>
      <c r="M81" s="9"/>
      <c r="N81" s="9"/>
      <c r="O81" s="9">
        <v>8</v>
      </c>
      <c r="P81" s="9">
        <f>IF(OR(COUNTIF('Run Log'!$B:$B,A81)&lt;&gt;O81,COUNTIF('Run Log'!$A:$A,"RUN-TC-RS-VAL-004-fixed-empty")&lt;&gt;1,COUNTIFS('Run Log'!$A:$A,"RUN-TC-RS-VAL-004-fixed-empty",'Run Log'!$B:$B,A81,'Run Log'!$C:$C,"fixed-empty")&lt;&gt;1,COUNTIF('Run Log'!$A:$A,"RUN-TC-RS-VAL-004-fixed-abc")&lt;&gt;1,COUNTIFS('Run Log'!$A:$A,"RUN-TC-RS-VAL-004-fixed-abc",'Run Log'!$B:$B,A81,'Run Log'!$C:$C,"fixed-abc")&lt;&gt;1,COUNTIF('Run Log'!$A:$A,"RUN-TC-RS-VAL-004-fixed-3O")&lt;&gt;1,COUNTIFS('Run Log'!$A:$A,"RUN-TC-RS-VAL-004-fixed-3O",'Run Log'!$B:$B,A81,'Run Log'!$C:$C,"fixed-3O")&lt;&gt;1,COUNTIF('Run Log'!$A:$A,"RUN-TC-RS-VAL-004-fixed-fullwidth")&lt;&gt;1,COUNTIFS('Run Log'!$A:$A,"RUN-TC-RS-VAL-004-fixed-fullwidth",'Run Log'!$B:$B,A81,'Run Log'!$C:$C,"fixed-fullwidth")&lt;&gt;1,COUNTIF('Run Log'!$A:$A,"RUN-TC-RS-VAL-004-ratio-empty")&lt;&gt;1,COUNTIFS('Run Log'!$A:$A,"RUN-TC-RS-VAL-004-ratio-empty",'Run Log'!$B:$B,A81,'Run Log'!$C:$C,"ratio-empty")&lt;&gt;1,COUNTIF('Run Log'!$A:$A,"RUN-TC-RS-VAL-004-ratio-abc")&lt;&gt;1,COUNTIFS('Run Log'!$A:$A,"RUN-TC-RS-VAL-004-ratio-abc",'Run Log'!$B:$B,A81,'Run Log'!$C:$C,"ratio-abc")&lt;&gt;1,COUNTIF('Run Log'!$A:$A,"RUN-TC-RS-VAL-004-ratio-3O")&lt;&gt;1,COUNTIFS('Run Log'!$A:$A,"RUN-TC-RS-VAL-004-ratio-3O",'Run Log'!$B:$B,A81,'Run Log'!$C:$C,"ratio-3O")&lt;&gt;1,COUNTIF('Run Log'!$A:$A,"RUN-TC-RS-VAL-004-ratio-fullwidth")&lt;&gt;1,COUNTIFS('Run Log'!$A:$A,"RUN-TC-RS-VAL-004-ratio-fullwidth",'Run Log'!$B:$B,A81,'Run Log'!$C:$C,"ratio-fullwidth")&lt;&gt;1),"INCOMPLETE",IF(COUNTIFS('Run Log'!$B:$B,A81,'Run Log'!$D:$D,"PASS")=O81,"PASS",IF(COUNTIFS('Run Log'!$B:$B,A81,'Run Log'!$D:$D,"FAIL")&gt;0,"FAIL",IF(COUNTIFS('Run Log'!$B:$B,A81,'Run Log'!$D:$D,"BLOCKED")&gt;0,"BLOCKED",IF(COUNTIFS('Run Log'!$B:$B,A81,'Run Log'!$D:$D,"SKIPPED")&gt;0,"SKIPPED","NOT RUN")))))</f>
      </c>
    </row>
    <row r="82">
      <c r="A82" s="9" t="inlineStr">
        <is>
          <t>TC-RS-VAL-005</t>
        </is>
      </c>
      <c r="B82" s="9" t="inlineStr">
        <is>
          <t>Điểm cố định thập phân</t>
        </is>
      </c>
      <c r="C82" s="9" t="inlineStr">
        <is>
          <t>B. Validation</t>
        </is>
      </c>
      <c r="D82" s="9" t="inlineStr">
        <is>
          <t>- Điều kiện: mục số thập phân (M=100) (thập phân).
- Dữ liệu test: mục số thập phân (M=100); N = 29.5, 29.55, 29.555, 29.5555</t>
        </is>
      </c>
      <c r="E82" s="9" t="inlineStr">
        <is>
          <t>TBD</t>
        </is>
      </c>
      <c r="F82" s="9" t="inlineStr">
        <is>
          <t>PROPOSED</t>
        </is>
      </c>
      <c r="G82" s="9" t="inlineStr">
        <is>
          <t>UNASSESSED</t>
        </is>
      </c>
      <c r="H82" s="9" t="inlineStr">
        <is>
          <t>tiêu chí nghiệm thu “Giữ chính xác giá trị” (AC-G11 «Giữ chính xác giá trị»)</t>
        </is>
      </c>
      <c r="I82" s="9" t="inlineStr">
        <is>
          <t>B. Validation</t>
        </is>
      </c>
      <c r="J82" s="9" t="inlineStr">
        <is>
          <t>test-cases.vi.md</t>
        </is>
      </c>
      <c r="K82" s="9" t="inlineStr">
        <is>
          <t>Nhập từng giá trị, Lưu, mở lại.
| Lượt chạy | Phạm vi thực hiện và đối chiếu |
| --- | --- |
| Run: d1 | 29.5 |
| Run: d2 | 29.55 |
| Run: d3 | 29.555 |
| Run: d4 | 29.5555 |</t>
        </is>
      </c>
      <c r="L82" s="9" t="inlineStr">
        <is>
          <t>Đề xuất (thiết kế DB v2 mục 4.2 “Xử lý phần lẻ và miền lưu trữ”): 29.5, 29.55, 29.555 lưu và mở lại đúng; 29.5555 bị từ chối, không tự cắt/làm tròn. Tối thiểu (CONFIRMED, đặc tả v2 mục 6.8 “Yêu cầu độ chính xác”): không được âm thầm làm tròn/cắt giá trị mà không báo.</t>
        </is>
      </c>
      <c r="M82" s="9"/>
      <c r="N82" s="9"/>
      <c r="O82" s="9">
        <v>4</v>
      </c>
      <c r="P82" s="9">
        <f>IF(OR(COUNTIF('Run Log'!$B:$B,A82)&lt;&gt;O82,COUNTIF('Run Log'!$A:$A,"RUN-TC-RS-VAL-005-d1")&lt;&gt;1,COUNTIFS('Run Log'!$A:$A,"RUN-TC-RS-VAL-005-d1",'Run Log'!$B:$B,A82,'Run Log'!$C:$C,"d1")&lt;&gt;1,COUNTIF('Run Log'!$A:$A,"RUN-TC-RS-VAL-005-d2")&lt;&gt;1,COUNTIFS('Run Log'!$A:$A,"RUN-TC-RS-VAL-005-d2",'Run Log'!$B:$B,A82,'Run Log'!$C:$C,"d2")&lt;&gt;1,COUNTIF('Run Log'!$A:$A,"RUN-TC-RS-VAL-005-d3")&lt;&gt;1,COUNTIFS('Run Log'!$A:$A,"RUN-TC-RS-VAL-005-d3",'Run Log'!$B:$B,A82,'Run Log'!$C:$C,"d3")&lt;&gt;1,COUNTIF('Run Log'!$A:$A,"RUN-TC-RS-VAL-005-d4")&lt;&gt;1,COUNTIFS('Run Log'!$A:$A,"RUN-TC-RS-VAL-005-d4",'Run Log'!$B:$B,A82,'Run Log'!$C:$C,"d4")&lt;&gt;1),"INCOMPLETE",IF(COUNTIFS('Run Log'!$B:$B,A82,'Run Log'!$D:$D,"PASS")=O82,"PASS",IF(COUNTIFS('Run Log'!$B:$B,A82,'Run Log'!$D:$D,"FAIL")&gt;0,"FAIL",IF(COUNTIFS('Run Log'!$B:$B,A82,'Run Log'!$D:$D,"BLOCKED")&gt;0,"BLOCKED",IF(COUNTIFS('Run Log'!$B:$B,A82,'Run Log'!$D:$D,"SKIPPED")&gt;0,"SKIPPED","NOT RUN")))))</f>
      </c>
    </row>
    <row r="83">
      <c r="A83" s="9" t="inlineStr">
        <is>
          <t>TC-RS-VAL-006</t>
        </is>
      </c>
      <c r="B83" s="9" t="inlineStr">
        <is>
          <t>Tỷ lệ N: biên −1 / 0 / 100 / 101</t>
        </is>
      </c>
      <c r="C83" s="9" t="inlineStr">
        <is>
          <t>B. Validation</t>
        </is>
      </c>
      <c r="D83" s="9" t="inlineStr">
        <is>
          <t>- Điều kiện: mục số nguyên (M=100), loại Tỷ lệ điểm tối đa（得点率）.
- Dữ liệu test: mục số nguyên (M=100); N = −1, 0, 100, 101; biến thể thập phân 30.5, 30.5555</t>
        </is>
      </c>
      <c r="E83" s="9" t="inlineStr">
        <is>
          <t>Cao</t>
        </is>
      </c>
      <c r="F83" s="9" t="inlineStr">
        <is>
          <t>CONFIRMED</t>
        </is>
      </c>
      <c r="G83" s="9" t="inlineStr">
        <is>
          <t>UNASSESSED</t>
        </is>
      </c>
      <c r="H83" s="9" t="inlineStr">
        <is>
          <t>tiêu chí nghiệm thu “Tỷ lệ điểm tối đa” (AC-G10 «Tỷ lệ điểm tối đa»)</t>
        </is>
      </c>
      <c r="I83" s="9" t="inlineStr">
        <is>
          <t>B. Validation</t>
        </is>
      </c>
      <c r="J83" s="9" t="inlineStr">
        <is>
          <t>test-cases.vi.md</t>
        </is>
      </c>
      <c r="K83" s="9" t="inlineStr">
        <is>
          <t>Nhập từng giá trị, Lưu.
| Lượt chạy | Phạm vi thực hiện và đối chiếu |
| --- | --- |
| Run: negative | -1 |
| Run: zero | 0 |
| Run: hundred | 100 |
| Run: above | 101 |
| Run: decimal | 30.5 |
| Run: long-decimal | 30.5555 |</t>
        </is>
      </c>
      <c r="L83" s="9" t="inlineStr">
        <is>
          <t>−1 và 101: không lưu được. 0 và 100: lưu được. 30.5 lưu được, 30.5555 bị từ chối (PROPOSED, thiết kế DB v2 mục 4.2 “Xử lý phần lẻ và miền lưu trữ”).</t>
        </is>
      </c>
      <c r="M83" s="9"/>
      <c r="N83" s="9"/>
      <c r="O83" s="9">
        <v>6</v>
      </c>
      <c r="P83" s="9">
        <f>IF(OR(COUNTIF('Run Log'!$B:$B,A83)&lt;&gt;O83,COUNTIF('Run Log'!$A:$A,"RUN-TC-RS-VAL-006-negative")&lt;&gt;1,COUNTIFS('Run Log'!$A:$A,"RUN-TC-RS-VAL-006-negative",'Run Log'!$B:$B,A83,'Run Log'!$C:$C,"negative")&lt;&gt;1,COUNTIF('Run Log'!$A:$A,"RUN-TC-RS-VAL-006-zero")&lt;&gt;1,COUNTIFS('Run Log'!$A:$A,"RUN-TC-RS-VAL-006-zero",'Run Log'!$B:$B,A83,'Run Log'!$C:$C,"zero")&lt;&gt;1,COUNTIF('Run Log'!$A:$A,"RUN-TC-RS-VAL-006-hundred")&lt;&gt;1,COUNTIFS('Run Log'!$A:$A,"RUN-TC-RS-VAL-006-hundred",'Run Log'!$B:$B,A83,'Run Log'!$C:$C,"hundred")&lt;&gt;1,COUNTIF('Run Log'!$A:$A,"RUN-TC-RS-VAL-006-above")&lt;&gt;1,COUNTIFS('Run Log'!$A:$A,"RUN-TC-RS-VAL-006-above",'Run Log'!$B:$B,A83,'Run Log'!$C:$C,"above")&lt;&gt;1,COUNTIF('Run Log'!$A:$A,"RUN-TC-RS-VAL-006-decimal")&lt;&gt;1,COUNTIFS('Run Log'!$A:$A,"RUN-TC-RS-VAL-006-decimal",'Run Log'!$B:$B,A83,'Run Log'!$C:$C,"decimal")&lt;&gt;1,COUNTIF('Run Log'!$A:$A,"RUN-TC-RS-VAL-006-long-decimal")&lt;&gt;1,COUNTIFS('Run Log'!$A:$A,"RUN-TC-RS-VAL-006-long-decimal",'Run Log'!$B:$B,A83,'Run Log'!$C:$C,"long-decimal")&lt;&gt;1),"INCOMPLETE",IF(COUNTIFS('Run Log'!$B:$B,A83,'Run Log'!$D:$D,"PASS")=O83,"PASS",IF(COUNTIFS('Run Log'!$B:$B,A83,'Run Log'!$D:$D,"FAIL")&gt;0,"FAIL",IF(COUNTIFS('Run Log'!$B:$B,A83,'Run Log'!$D:$D,"BLOCKED")&gt;0,"BLOCKED",IF(COUNTIFS('Run Log'!$B:$B,A83,'Run Log'!$D:$D,"SKIPPED")&gt;0,"SKIPPED","NOT RUN")))))</f>
      </c>
    </row>
    <row r="84">
      <c r="A84" s="9" t="inlineStr">
        <is>
          <t>TC-RS-VAL-007</t>
        </is>
      </c>
      <c r="B84" s="9" t="inlineStr">
        <is>
          <t>Xử lý phần lẻ: bắt buộc chọn cách làm tròn; p = 0 / 1 / 9 / 10; lần đầu p=1</t>
        </is>
      </c>
      <c r="C84" s="9" t="inlineStr">
        <is>
          <t>B. Validation</t>
        </is>
      </c>
      <c r="D84" s="9" t="inlineStr">
        <is>
          <t>- Điều kiện: mục số nguyên (M=100), Tỷ lệ 30%.
- Dữ liệu test: mục số nguyên (M=100); p = 0, 1, 9, 10; cách làm tròn: chưa chọn</t>
        </is>
      </c>
      <c r="E84" s="9" t="inlineStr">
        <is>
          <t>TBD</t>
        </is>
      </c>
      <c r="F84" s="9" t="inlineStr">
        <is>
          <t>PROPOSED</t>
        </is>
      </c>
      <c r="G84" s="9" t="inlineStr">
        <is>
          <t>UNASSESSED</t>
        </is>
      </c>
      <c r="H84" s="9" t="inlineStr">
        <is>
          <t>đặc tả v2 mục 6.5 “Xử lý phần lẻ”, mục 6.8 “Yêu cầu độ chính xác”</t>
        </is>
      </c>
      <c r="I84" s="9" t="inlineStr">
        <is>
          <t>B. Validation</t>
        </is>
      </c>
      <c r="J84" s="9" t="inlineStr">
        <is>
          <t>test-cases.vi.md</t>
        </is>
      </c>
      <c r="K84" s="9" t="inlineStr">
        <is>
          <t>1. Bật Xử lý phần lẻ（端数処理）: quan sát giá trị p mặc định.
2. Không chọn cách làm tròn, Lưu.
3. Chọn Làm tròn xuống（切り捨て） với p=0, 1, 9, 10; Lưu từng lần.
| Lượt chạy | Phạm vi thực hiện và đối chiếu |
| --- | --- |
| Run: default | Giá trị mặc định p=1 |
| Run: missing-method | Thiếu phương thức |
| Run: p0 | p=0 |
| Run: p1 | p=1 |
| Run: p9 | p=9 |
| Run: p10 | p=10 |</t>
        </is>
      </c>
      <c r="L84" s="9" t="inlineStr">
        <is>
          <t>1. p hiển thị 1.
2. Không lưu được.
3. p=1 và 9 lưu được; p=0 và 10 không lưu được.</t>
        </is>
      </c>
      <c r="M84" s="9"/>
      <c r="N84" s="9"/>
      <c r="O84" s="9">
        <v>6</v>
      </c>
      <c r="P84" s="9">
        <f>IF(OR(COUNTIF('Run Log'!$B:$B,A84)&lt;&gt;O84,COUNTIF('Run Log'!$A:$A,"RUN-TC-RS-VAL-007-default")&lt;&gt;1,COUNTIFS('Run Log'!$A:$A,"RUN-TC-RS-VAL-007-default",'Run Log'!$B:$B,A84,'Run Log'!$C:$C,"default")&lt;&gt;1,COUNTIF('Run Log'!$A:$A,"RUN-TC-RS-VAL-007-missing-method")&lt;&gt;1,COUNTIFS('Run Log'!$A:$A,"RUN-TC-RS-VAL-007-missing-method",'Run Log'!$B:$B,A84,'Run Log'!$C:$C,"missing-method")&lt;&gt;1,COUNTIF('Run Log'!$A:$A,"RUN-TC-RS-VAL-007-p0")&lt;&gt;1,COUNTIFS('Run Log'!$A:$A,"RUN-TC-RS-VAL-007-p0",'Run Log'!$B:$B,A84,'Run Log'!$C:$C,"p0")&lt;&gt;1,COUNTIF('Run Log'!$A:$A,"RUN-TC-RS-VAL-007-p1")&lt;&gt;1,COUNTIFS('Run Log'!$A:$A,"RUN-TC-RS-VAL-007-p1",'Run Log'!$B:$B,A84,'Run Log'!$C:$C,"p1")&lt;&gt;1,COUNTIF('Run Log'!$A:$A,"RUN-TC-RS-VAL-007-p9")&lt;&gt;1,COUNTIFS('Run Log'!$A:$A,"RUN-TC-RS-VAL-007-p9",'Run Log'!$B:$B,A84,'Run Log'!$C:$C,"p9")&lt;&gt;1,COUNTIF('Run Log'!$A:$A,"RUN-TC-RS-VAL-007-p10")&lt;&gt;1,COUNTIFS('Run Log'!$A:$A,"RUN-TC-RS-VAL-007-p10",'Run Log'!$B:$B,A84,'Run Log'!$C:$C,"p10")&lt;&gt;1),"INCOMPLETE",IF(COUNTIFS('Run Log'!$B:$B,A84,'Run Log'!$D:$D,"PASS")=O84,"PASS",IF(COUNTIFS('Run Log'!$B:$B,A84,'Run Log'!$D:$D,"FAIL")&gt;0,"FAIL",IF(COUNTIFS('Run Log'!$B:$B,A84,'Run Log'!$D:$D,"BLOCKED")&gt;0,"BLOCKED",IF(COUNTIFS('Run Log'!$B:$B,A84,'Run Log'!$D:$D,"SKIPPED")&gt;0,"SKIPPED","NOT RUN")))))</f>
      </c>
    </row>
    <row r="85">
      <c r="A85" s="9" t="inlineStr">
        <is>
          <t>TC-RS-VAL-008</t>
        </is>
      </c>
      <c r="B85" s="9" t="inlineStr">
        <is>
          <t>Công thức phải có ít nhất một dòng</t>
        </is>
      </c>
      <c r="C85" s="9" t="inlineStr">
        <is>
          <t>B. Validation</t>
        </is>
      </c>
      <c r="D85" s="9" t="inlineStr">
        <is>
          <t>- Điều kiện: Loại Công thức tính（計算式）.
- Dữ liệu test: —</t>
        </is>
      </c>
      <c r="E85" s="9" t="inlineStr">
        <is>
          <t>TBD</t>
        </is>
      </c>
      <c r="F85" s="9" t="inlineStr">
        <is>
          <t>CONFIRMED</t>
        </is>
      </c>
      <c r="G85" s="9" t="inlineStr">
        <is>
          <t>UNASSESSED</t>
        </is>
      </c>
      <c r="H85" s="9" t="inlineStr">
        <is>
          <t>tiêu chí nghiệm thu “Kiểm công thức khi lưu” (AC-G17 «Kiểm công thức khi lưu»)</t>
        </is>
      </c>
      <c r="I85" s="9" t="inlineStr">
        <is>
          <t>B. Validation</t>
        </is>
      </c>
      <c r="J85" s="9" t="inlineStr">
        <is>
          <t>test-cases.vi.md</t>
        </is>
      </c>
      <c r="K85" s="9" t="inlineStr">
        <is>
          <t>Xóa hết các dòng công thức (nếu UI cho phép), bấm Lưu.
| Lượt chạy | Phạm vi thực hiện và đối chiếu |
| --- | --- |
| Run: Base | Toàn bộ thủ tục theo đúng thứ tự; các đối chứng cùng fixture được kiểm trong cùng lượt, không bỏ bước |</t>
        </is>
      </c>
      <c r="L85" s="9" t="inlineStr">
        <is>
          <t>Không lưu được (hoặc UI không cho xóa dòng cuối).</t>
        </is>
      </c>
      <c r="M85" s="9"/>
      <c r="N85" s="9"/>
      <c r="O85" s="9">
        <v>1</v>
      </c>
      <c r="P85" s="9">
        <f>IF(OR(COUNTIF('Run Log'!$B:$B,A85)&lt;&gt;O85,COUNTIF('Run Log'!$A:$A,"RUN-TC-RS-VAL-008-Base")&lt;&gt;1,COUNTIFS('Run Log'!$A:$A,"RUN-TC-RS-VAL-008-Base",'Run Log'!$B:$B,A85,'Run Log'!$C:$C,"Base")&lt;&gt;1),"INCOMPLETE",IF(COUNTIFS('Run Log'!$B:$B,A85,'Run Log'!$D:$D,"PASS")=O85,"PASS",IF(COUNTIFS('Run Log'!$B:$B,A85,'Run Log'!$D:$D,"FAIL")&gt;0,"FAIL",IF(COUNTIFS('Run Log'!$B:$B,A85,'Run Log'!$D:$D,"BLOCKED")&gt;0,"BLOCKED",IF(COUNTIFS('Run Log'!$B:$B,A85,'Run Log'!$D:$D,"SKIPPED")&gt;0,"SKIPPED","NOT RUN")))))</f>
      </c>
    </row>
    <row r="86">
      <c r="A86" s="9" t="inlineStr">
        <is>
          <t>TC-RS-VAL-009</t>
        </is>
      </c>
      <c r="B86" s="9" t="inlineStr">
        <is>
          <t>Chia cho số cố định 0 không lưu được</t>
        </is>
      </c>
      <c r="C86" s="9" t="inlineStr">
        <is>
          <t>B. Validation</t>
        </is>
      </c>
      <c r="D86" s="9" t="inlineStr">
        <is>
          <t>- Điều kiện: Loại Công thức tính（計算式）.
- Dữ liệu test: Dòng 1: Trung bình（平均点）÷ Số cố định（固定値）0; biến thể 0.0</t>
        </is>
      </c>
      <c r="E86" s="9" t="inlineStr">
        <is>
          <t>TBD</t>
        </is>
      </c>
      <c r="F86" s="9" t="inlineStr">
        <is>
          <t>CONFIRMED</t>
        </is>
      </c>
      <c r="G86" s="9" t="inlineStr">
        <is>
          <t>UNASSESSED</t>
        </is>
      </c>
      <c r="H86" s="9" t="inlineStr">
        <is>
          <t>tiêu chí nghiệm thu “Kiểm công thức khi lưu” (AC-G17 «Kiểm công thức khi lưu»)</t>
        </is>
      </c>
      <c r="I86" s="9" t="inlineStr">
        <is>
          <t>B. Validation</t>
        </is>
      </c>
      <c r="J86" s="9" t="inlineStr">
        <is>
          <t>test-cases.vi.md</t>
        </is>
      </c>
      <c r="K86" s="9" t="inlineStr">
        <is>
          <t>Nhập công thức, Lưu.
| Lượt chạy | Phạm vi thực hiện và đối chiếu |
| --- | --- |
| Run: zero | Chia 0 |
| Run: decimal-zero | Chia 0.0 |</t>
        </is>
      </c>
      <c r="L86" s="9" t="inlineStr">
        <is>
          <t>Không lưu được; lỗi chỉ rõ dòng/vế phải.</t>
        </is>
      </c>
      <c r="M86" s="9"/>
      <c r="N86" s="9"/>
      <c r="O86" s="9">
        <v>2</v>
      </c>
      <c r="P86" s="9">
        <f>IF(OR(COUNTIF('Run Log'!$B:$B,A86)&lt;&gt;O86,COUNTIF('Run Log'!$A:$A,"RUN-TC-RS-VAL-009-zero")&lt;&gt;1,COUNTIFS('Run Log'!$A:$A,"RUN-TC-RS-VAL-009-zero",'Run Log'!$B:$B,A86,'Run Log'!$C:$C,"zero")&lt;&gt;1,COUNTIF('Run Log'!$A:$A,"RUN-TC-RS-VAL-009-decimal-zero")&lt;&gt;1,COUNTIFS('Run Log'!$A:$A,"RUN-TC-RS-VAL-009-decimal-zero",'Run Log'!$B:$B,A86,'Run Log'!$C:$C,"decimal-zero")&lt;&gt;1),"INCOMPLETE",IF(COUNTIFS('Run Log'!$B:$B,A86,'Run Log'!$D:$D,"PASS")=O86,"PASS",IF(COUNTIFS('Run Log'!$B:$B,A86,'Run Log'!$D:$D,"FAIL")&gt;0,"FAIL",IF(COUNTIFS('Run Log'!$B:$B,A86,'Run Log'!$D:$D,"BLOCKED")&gt;0,"BLOCKED",IF(COUNTIFS('Run Log'!$B:$B,A86,'Run Log'!$D:$D,"SKIPPED")&gt;0,"SKIPPED","NOT RUN")))))</f>
      </c>
    </row>
    <row r="87">
      <c r="A87" s="9" t="inlineStr">
        <is>
          <t>TC-RS-VAL-010</t>
        </is>
      </c>
      <c r="B87" s="9" t="inlineStr">
        <is>
          <t>Toán hạng trống hoặc không phải số</t>
        </is>
      </c>
      <c r="C87" s="9" t="inlineStr">
        <is>
          <t>B. Validation</t>
        </is>
      </c>
      <c r="D87" s="9" t="inlineStr">
        <is>
          <t>- Điều kiện: Loại Công thức tính（計算式）.
- Dữ liệu test: Vế phải Số cố định（固定値）: trống, `abc`; toán tử: chưa chọn</t>
        </is>
      </c>
      <c r="E87" s="9" t="inlineStr">
        <is>
          <t>TBD</t>
        </is>
      </c>
      <c r="F87" s="9" t="inlineStr">
        <is>
          <t>CONFIRMED</t>
        </is>
      </c>
      <c r="G87" s="9" t="inlineStr">
        <is>
          <t>UNASSESSED</t>
        </is>
      </c>
      <c r="H87" s="9" t="inlineStr">
        <is>
          <t>tiêu chí nghiệm thu “Kiểm công thức khi lưu” (AC-G17 «Kiểm công thức khi lưu»)</t>
        </is>
      </c>
      <c r="I87" s="9" t="inlineStr">
        <is>
          <t>B. Validation</t>
        </is>
      </c>
      <c r="J87" s="9" t="inlineStr">
        <is>
          <t>test-cases.vi.md</t>
        </is>
      </c>
      <c r="K87" s="9" t="inlineStr">
        <is>
          <t>Nhập từng biến thể, Lưu.
| Lượt chạy | Phạm vi thực hiện và đối chiếu |
| --- | --- |
| Run: empty | Trống toán hạng |
| Run: text | Toán hạng không phải số |
| Run: operator | Thiếu phép toán |</t>
        </is>
      </c>
      <c r="L87" s="9" t="inlineStr">
        <is>
          <t>Không lưu được; lỗi chỉ ra dòng thiếu.</t>
        </is>
      </c>
      <c r="M87" s="9"/>
      <c r="N87" s="9"/>
      <c r="O87" s="9">
        <v>3</v>
      </c>
      <c r="P87" s="9">
        <f>IF(OR(COUNTIF('Run Log'!$B:$B,A87)&lt;&gt;O87,COUNTIF('Run Log'!$A:$A,"RUN-TC-RS-VAL-010-empty")&lt;&gt;1,COUNTIFS('Run Log'!$A:$A,"RUN-TC-RS-VAL-010-empty",'Run Log'!$B:$B,A87,'Run Log'!$C:$C,"empty")&lt;&gt;1,COUNTIF('Run Log'!$A:$A,"RUN-TC-RS-VAL-010-text")&lt;&gt;1,COUNTIFS('Run Log'!$A:$A,"RUN-TC-RS-VAL-010-text",'Run Log'!$B:$B,A87,'Run Log'!$C:$C,"text")&lt;&gt;1,COUNTIF('Run Log'!$A:$A,"RUN-TC-RS-VAL-010-operator")&lt;&gt;1,COUNTIFS('Run Log'!$A:$A,"RUN-TC-RS-VAL-010-operator",'Run Log'!$B:$B,A87,'Run Log'!$C:$C,"operator")&lt;&gt;1),"INCOMPLETE",IF(COUNTIFS('Run Log'!$B:$B,A87,'Run Log'!$D:$D,"PASS")=O87,"PASS",IF(COUNTIFS('Run Log'!$B:$B,A87,'Run Log'!$D:$D,"FAIL")&gt;0,"FAIL",IF(COUNTIFS('Run Log'!$B:$B,A87,'Run Log'!$D:$D,"BLOCKED")&gt;0,"BLOCKED",IF(COUNTIFS('Run Log'!$B:$B,A87,'Run Log'!$D:$D,"SKIPPED")&gt;0,"SKIPPED","NOT RUN")))))</f>
      </c>
    </row>
    <row r="88">
      <c r="A88" s="9" t="inlineStr">
        <is>
          <t>TC-RS-VAL-011</t>
        </is>
      </c>
      <c r="B88" s="9" t="inlineStr">
        <is>
          <t>Kết quả phép tính（式の結果） chỉ tham chiếu dòng phía trước</t>
        </is>
      </c>
      <c r="C88" s="9" t="inlineStr">
        <is>
          <t>B. Validation</t>
        </is>
      </c>
      <c r="D88" s="9" t="inlineStr">
        <is>
          <t>- Điều kiện: Công thức 3 dòng.
- Dữ liệu test: (a) Dòng 1 dùng Kết quả phép tính; (b) dòng 2 tham chiếu chính dòng 2; (c) dòng 2 tham chiếu dòng 3; (d) dòng 3 tham chiếu dòng 1</t>
        </is>
      </c>
      <c r="E88" s="9" t="inlineStr">
        <is>
          <t>TBD</t>
        </is>
      </c>
      <c r="F88" s="9" t="inlineStr">
        <is>
          <t>CONFIRMED</t>
        </is>
      </c>
      <c r="G88" s="9" t="inlineStr">
        <is>
          <t>UNASSESSED</t>
        </is>
      </c>
      <c r="H88" s="9" t="inlineStr">
        <is>
          <t>tiêu chí nghiệm thu “Kiểm công thức khi lưu” (AC-G17 «Kiểm công thức khi lưu»)</t>
        </is>
      </c>
      <c r="I88" s="9" t="inlineStr">
        <is>
          <t>B. Validation</t>
        </is>
      </c>
      <c r="J88" s="9" t="inlineStr">
        <is>
          <t>test-cases.vi.md</t>
        </is>
      </c>
      <c r="K88" s="9" t="inlineStr">
        <is>
          <t>Thử từng biến thể, bấm Lưu.
| Lượt chạy | Phạm vi thực hiện và đối chiếu |
| --- | --- |
| Run: first | Tham chiếu dòng đầu |
| Run: self | Tham chiếu chính dòng |
| Run: forward | Tham chiếu dòng sau |
| Run: backward | Tham chiếu dòng trước |</t>
        </is>
      </c>
      <c r="L88" s="9" t="inlineStr">
        <is>
          <t>(a), (b), (c): không chọn được hoặc không lưu được.
(d): lưu được.</t>
        </is>
      </c>
      <c r="M88" s="9"/>
      <c r="N88" s="9"/>
      <c r="O88" s="9">
        <v>4</v>
      </c>
      <c r="P88" s="9">
        <f>IF(OR(COUNTIF('Run Log'!$B:$B,A88)&lt;&gt;O88,COUNTIF('Run Log'!$A:$A,"RUN-TC-RS-VAL-011-first")&lt;&gt;1,COUNTIFS('Run Log'!$A:$A,"RUN-TC-RS-VAL-011-first",'Run Log'!$B:$B,A88,'Run Log'!$C:$C,"first")&lt;&gt;1,COUNTIF('Run Log'!$A:$A,"RUN-TC-RS-VAL-011-self")&lt;&gt;1,COUNTIFS('Run Log'!$A:$A,"RUN-TC-RS-VAL-011-self",'Run Log'!$B:$B,A88,'Run Log'!$C:$C,"self")&lt;&gt;1,COUNTIF('Run Log'!$A:$A,"RUN-TC-RS-VAL-011-forward")&lt;&gt;1,COUNTIFS('Run Log'!$A:$A,"RUN-TC-RS-VAL-011-forward",'Run Log'!$B:$B,A88,'Run Log'!$C:$C,"forward")&lt;&gt;1,COUNTIF('Run Log'!$A:$A,"RUN-TC-RS-VAL-011-backward")&lt;&gt;1,COUNTIFS('Run Log'!$A:$A,"RUN-TC-RS-VAL-011-backward",'Run Log'!$B:$B,A88,'Run Log'!$C:$C,"backward")&lt;&gt;1),"INCOMPLETE",IF(COUNTIFS('Run Log'!$B:$B,A88,'Run Log'!$D:$D,"PASS")=O88,"PASS",IF(COUNTIFS('Run Log'!$B:$B,A88,'Run Log'!$D:$D,"FAIL")&gt;0,"FAIL",IF(COUNTIFS('Run Log'!$B:$B,A88,'Run Log'!$D:$D,"BLOCKED")&gt;0,"BLOCKED",IF(COUNTIFS('Run Log'!$B:$B,A88,'Run Log'!$D:$D,"SKIPPED")&gt;0,"SKIPPED","NOT RUN")))))</f>
      </c>
    </row>
    <row r="89">
      <c r="A89" s="9" t="inlineStr">
        <is>
          <t>TC-RS-VAL-012</t>
        </is>
      </c>
      <c r="B89" s="9" t="inlineStr">
        <is>
          <t>Xóa/đổi thứ tự dòng không tự nối lại tham chiếu</t>
        </is>
      </c>
      <c r="C89" s="9" t="inlineStr">
        <is>
          <t>B. Validation</t>
        </is>
      </c>
      <c r="D89" s="9" t="inlineStr">
        <is>
          <t>- Điều kiện: Công thức 3 dòng: dòng 2 dùng kết quả dòng 1, dòng 3 dùng kết quả dòng 2.
- Dữ liệu test: —</t>
        </is>
      </c>
      <c r="E89" s="9" t="inlineStr">
        <is>
          <t>TBD</t>
        </is>
      </c>
      <c r="F89" s="9" t="inlineStr">
        <is>
          <t>CONFIRMED</t>
        </is>
      </c>
      <c r="G89" s="9" t="inlineStr">
        <is>
          <t>UNASSESSED</t>
        </is>
      </c>
      <c r="H89" s="9" t="inlineStr">
        <is>
          <t>tiêu chí nghiệm thu “Kiểm công thức khi lưu” (AC-G17 «Kiểm công thức khi lưu»)</t>
        </is>
      </c>
      <c r="I89" s="9" t="inlineStr">
        <is>
          <t>B. Validation</t>
        </is>
      </c>
      <c r="J89" s="9" t="inlineStr">
        <is>
          <t>test-cases.vi.md</t>
        </is>
      </c>
      <c r="K89" s="9" t="inlineStr">
        <is>
          <t>1. Xóa dòng 2, bấm Lưu.
2. Tạo lại công thức 3 dòng như điều kiện đầu; đổi thứ tự để dòng 3 lên vị trí 2, bấm Lưu.
| Lượt chạy | Phạm vi thực hiện và đối chiếu |
| --- | --- |
| Run: delete | Xóa dòng được tham chiếu |
| Run: reorder | Đổi thứ tự dòng được tham chiếu |</t>
        </is>
      </c>
      <c r="L89" s="9" t="inlineStr">
        <is>
          <t>1. Dòng 3 báo tham chiếu không hợp lệ hoặc buộc chọn lại; không âm thầm trỏ sang dòng 1.
2. Dòng vừa chuyển lên (đang tham chiếu dòng mới nằm phía sau nó) bị báo tham chiếu không hợp lệ hoặc buộc chọn lại; không tự đổi sang dòng khác chỉ vì cùng số thứ tự.</t>
        </is>
      </c>
      <c r="M89" s="9"/>
      <c r="N89" s="9"/>
      <c r="O89" s="9">
        <v>2</v>
      </c>
      <c r="P89" s="9">
        <f>IF(OR(COUNTIF('Run Log'!$B:$B,A89)&lt;&gt;O89,COUNTIF('Run Log'!$A:$A,"RUN-TC-RS-VAL-012-delete")&lt;&gt;1,COUNTIFS('Run Log'!$A:$A,"RUN-TC-RS-VAL-012-delete",'Run Log'!$B:$B,A89,'Run Log'!$C:$C,"delete")&lt;&gt;1,COUNTIF('Run Log'!$A:$A,"RUN-TC-RS-VAL-012-reorder")&lt;&gt;1,COUNTIFS('Run Log'!$A:$A,"RUN-TC-RS-VAL-012-reorder",'Run Log'!$B:$B,A89,'Run Log'!$C:$C,"reorder")&lt;&gt;1),"INCOMPLETE",IF(COUNTIFS('Run Log'!$B:$B,A89,'Run Log'!$D:$D,"PASS")=O89,"PASS",IF(COUNTIFS('Run Log'!$B:$B,A89,'Run Log'!$D:$D,"FAIL")&gt;0,"FAIL",IF(COUNTIFS('Run Log'!$B:$B,A89,'Run Log'!$D:$D,"BLOCKED")&gt;0,"BLOCKED",IF(COUNTIFS('Run Log'!$B:$B,A89,'Run Log'!$D:$D,"SKIPPED")&gt;0,"SKIPPED","NOT RUN")))))</f>
      </c>
    </row>
    <row r="90">
      <c r="A90" s="9" t="inlineStr">
        <is>
          <t>TC-RS-VAL-013</t>
        </is>
      </c>
      <c r="B90" s="9" t="inlineStr">
        <is>
          <t>Số cố định trong công thức không bị giới hạn 0–100</t>
        </is>
      </c>
      <c r="C90" s="9" t="inlineStr">
        <is>
          <t>B. Validation</t>
        </is>
      </c>
      <c r="D90" s="9" t="inlineStr">
        <is>
          <t>- Điều kiện: Loại Công thức tính（計算式）.
- Dữ liệu test: `A × 150`, `A × 0.5`, `A − 150`</t>
        </is>
      </c>
      <c r="E90" s="9" t="inlineStr">
        <is>
          <t>TBD</t>
        </is>
      </c>
      <c r="F90" s="9" t="inlineStr">
        <is>
          <t>PROPOSED</t>
        </is>
      </c>
      <c r="G90" s="9" t="inlineStr">
        <is>
          <t>UNASSESSED</t>
        </is>
      </c>
      <c r="H90" s="9" t="inlineStr">
        <is>
          <t>đặc tả v2 mục 6.4 “Công thức dùng trung bình”, mục 6.8 “Yêu cầu độ chính xác”</t>
        </is>
      </c>
      <c r="I90" s="9" t="inlineStr">
        <is>
          <t>B. Validation</t>
        </is>
      </c>
      <c r="J90" s="9" t="inlineStr">
        <is>
          <t>test-cases.vi.md</t>
        </is>
      </c>
      <c r="K90" s="9" t="inlineStr">
        <is>
          <t>Nhập từng công thức, Lưu.
| Lượt chạy | Phạm vi thực hiện và đối chiếu |
| --- | --- |
| Run: times150 | Nhân 150 |
| Run: times05 | Nhân 0.5 |
| Run: minus150 | Trừ 150 |</t>
        </is>
      </c>
      <c r="L90" s="9" t="inlineStr">
        <is>
          <t>Lưu được (không áp giới hạn 0–100 hay 0–M cho toán hạng).</t>
        </is>
      </c>
      <c r="M90" s="9"/>
      <c r="N90" s="9"/>
      <c r="O90" s="9">
        <v>3</v>
      </c>
      <c r="P90" s="9">
        <f>IF(OR(COUNTIF('Run Log'!$B:$B,A90)&lt;&gt;O90,COUNTIF('Run Log'!$A:$A,"RUN-TC-RS-VAL-013-times150")&lt;&gt;1,COUNTIFS('Run Log'!$A:$A,"RUN-TC-RS-VAL-013-times150",'Run Log'!$B:$B,A90,'Run Log'!$C:$C,"times150")&lt;&gt;1,COUNTIF('Run Log'!$A:$A,"RUN-TC-RS-VAL-013-times05")&lt;&gt;1,COUNTIFS('Run Log'!$A:$A,"RUN-TC-RS-VAL-013-times05",'Run Log'!$B:$B,A90,'Run Log'!$C:$C,"times05")&lt;&gt;1,COUNTIF('Run Log'!$A:$A,"RUN-TC-RS-VAL-013-minus150")&lt;&gt;1,COUNTIFS('Run Log'!$A:$A,"RUN-TC-RS-VAL-013-minus150",'Run Log'!$B:$B,A90,'Run Log'!$C:$C,"minus150")&lt;&gt;1),"INCOMPLETE",IF(COUNTIFS('Run Log'!$B:$B,A90,'Run Log'!$D:$D,"PASS")=O90,"PASS",IF(COUNTIFS('Run Log'!$B:$B,A90,'Run Log'!$D:$D,"FAIL")&gt;0,"FAIL",IF(COUNTIFS('Run Log'!$B:$B,A90,'Run Log'!$D:$D,"BLOCKED")&gt;0,"BLOCKED",IF(COUNTIFS('Run Log'!$B:$B,A90,'Run Log'!$D:$D,"SKIPPED")&gt;0,"SKIPPED","NOT RUN")))))</f>
      </c>
    </row>
    <row r="91">
      <c r="A91" s="9" t="inlineStr">
        <is>
          <t>TC-RS-VAL-014</t>
        </is>
      </c>
      <c r="B91" s="9" t="inlineStr">
        <is>
          <t>Tên thiết lập: bắt buộc, độ dài, trùng tên</t>
        </is>
      </c>
      <c r="C91" s="9" t="inlineStr">
        <is>
          <t>B. Validation</t>
        </is>
      </c>
      <c r="D91" s="9" t="inlineStr">
        <is>
          <t>- Điều kiện: Màn thêm quy tắc.
- Dữ liệu test: Tên trống; tên chỉ khoảng trắng; 255 ký tự; 256 ký tự; 255 ký tự có thêm khoảng trắng ở đầu và cuối; hai quy tắc cùng tên</t>
        </is>
      </c>
      <c r="E91" s="9" t="inlineStr">
        <is>
          <t>TBD</t>
        </is>
      </c>
      <c r="F91" s="9" t="inlineStr">
        <is>
          <t>PROPOSED</t>
        </is>
      </c>
      <c r="G91" s="9" t="inlineStr">
        <is>
          <t>UNASSESSED</t>
        </is>
      </c>
      <c r="H91" s="9" t="inlineStr">
        <is>
          <t>đặc tả v2 mục 4.2 “Nội dung một dòng”, mục 5.1 “Đối tượng áp dụng”</t>
        </is>
      </c>
      <c r="I91" s="9" t="inlineStr">
        <is>
          <t>B. Validation</t>
        </is>
      </c>
      <c r="J91" s="9" t="inlineStr">
        <is>
          <t>test-cases.vi.md</t>
        </is>
      </c>
      <c r="K91" s="9" t="inlineStr">
        <is>
          <t>1. Nhập từng giá trị, Lưu, mở lại.
2. Tạo quy tắc thứ hai trùng tên quy tắc thứ nhất, Lưu.
| Lượt chạy | Phạm vi thực hiện và đối chiếu |
| --- | --- |
| Run: empty | Tên trống |
| Run: space | Chỉ khoảng trắng |
| Run: len255 | 255 ký tự |
| Run: len256 | 256 ký tự |
| Run: padded255 | 255 ký tự kèm khoảng trắng |
| Run: duplicate | Trùng tên |</t>
        </is>
      </c>
      <c r="L91" s="9" t="inlineStr">
        <is>
          <t>1. Trống/chỉ khoảng trắng: không lưu được. 255 ký tự: lưu được, mở lại đủ. 256 ký tự: bị từ chối, không tự cắt. 255 ký tự kèm khoảng trắng đầu/cuối: lưu được, tên lưu đã bỏ khoảng trắng đầu/cuối (đủ 255 ký tự).
2. Lưu được; hai dòng riêng theo ưu tiên.</t>
        </is>
      </c>
      <c r="M91" s="9"/>
      <c r="N91" s="9"/>
      <c r="O91" s="9">
        <v>6</v>
      </c>
      <c r="P91" s="9">
        <f>IF(OR(COUNTIF('Run Log'!$B:$B,A91)&lt;&gt;O91,COUNTIF('Run Log'!$A:$A,"RUN-TC-RS-VAL-014-empty")&lt;&gt;1,COUNTIFS('Run Log'!$A:$A,"RUN-TC-RS-VAL-014-empty",'Run Log'!$B:$B,A91,'Run Log'!$C:$C,"empty")&lt;&gt;1,COUNTIF('Run Log'!$A:$A,"RUN-TC-RS-VAL-014-space")&lt;&gt;1,COUNTIFS('Run Log'!$A:$A,"RUN-TC-RS-VAL-014-space",'Run Log'!$B:$B,A91,'Run Log'!$C:$C,"space")&lt;&gt;1,COUNTIF('Run Log'!$A:$A,"RUN-TC-RS-VAL-014-len255")&lt;&gt;1,COUNTIFS('Run Log'!$A:$A,"RUN-TC-RS-VAL-014-len255",'Run Log'!$B:$B,A91,'Run Log'!$C:$C,"len255")&lt;&gt;1,COUNTIF('Run Log'!$A:$A,"RUN-TC-RS-VAL-014-len256")&lt;&gt;1,COUNTIFS('Run Log'!$A:$A,"RUN-TC-RS-VAL-014-len256",'Run Log'!$B:$B,A91,'Run Log'!$C:$C,"len256")&lt;&gt;1,COUNTIF('Run Log'!$A:$A,"RUN-TC-RS-VAL-014-padded255")&lt;&gt;1,COUNTIFS('Run Log'!$A:$A,"RUN-TC-RS-VAL-014-padded255",'Run Log'!$B:$B,A91,'Run Log'!$C:$C,"padded255")&lt;&gt;1,COUNTIF('Run Log'!$A:$A,"RUN-TC-RS-VAL-014-duplicate")&lt;&gt;1,COUNTIFS('Run Log'!$A:$A,"RUN-TC-RS-VAL-014-duplicate",'Run Log'!$B:$B,A91,'Run Log'!$C:$C,"duplicate")&lt;&gt;1),"INCOMPLETE",IF(COUNTIFS('Run Log'!$B:$B,A91,'Run Log'!$D:$D,"PASS")=O91,"PASS",IF(COUNTIFS('Run Log'!$B:$B,A91,'Run Log'!$D:$D,"FAIL")&gt;0,"FAIL",IF(COUNTIFS('Run Log'!$B:$B,A91,'Run Log'!$D:$D,"BLOCKED")&gt;0,"BLOCKED",IF(COUNTIFS('Run Log'!$B:$B,A91,'Run Log'!$D:$D,"SKIPPED")&gt;0,"SKIPPED","NOT RUN")))))</f>
      </c>
    </row>
    <row r="92">
      <c r="A92" s="9" t="inlineStr">
        <is>
          <t>TC-RS-VAL-015</t>
        </is>
      </c>
      <c r="B92" s="9" t="inlineStr">
        <is>
          <t>Chọn giới hạn bằng bộ lọc nhưng không có bộ lọc nào</t>
        </is>
      </c>
      <c r="C92" s="9" t="inlineStr">
        <is>
          <t>B. Validation</t>
        </is>
      </c>
      <c r="D92" s="9" t="inlineStr">
        <is>
          <t>- Điều kiện: Màn thêm quy tắc.
- Dữ liệu test: Giới hạn bằng bộ lọc（特定条件で絞り込む）, không chọn giá trị</t>
        </is>
      </c>
      <c r="E92" s="9" t="inlineStr">
        <is>
          <t>TBD</t>
        </is>
      </c>
      <c r="F92" s="9" t="inlineStr">
        <is>
          <t>PROPOSED</t>
        </is>
      </c>
      <c r="G92" s="9" t="inlineStr">
        <is>
          <t>UNASSESSED</t>
        </is>
      </c>
      <c r="H92" s="9" t="inlineStr">
        <is>
          <t>tiêu chí nghiệm thu “Đối tượng áp dụng và nhu cầu nguồn” (AC-G05 «Đối tượng áp dụng và nhu cầu nguồn»)</t>
        </is>
      </c>
      <c r="I92" s="9" t="inlineStr">
        <is>
          <t>B. Validation</t>
        </is>
      </c>
      <c r="J92" s="9" t="inlineStr">
        <is>
          <t>test-cases.vi.md</t>
        </is>
      </c>
      <c r="K92" s="9" t="inlineStr">
        <is>
          <t>Chọn giới hạn bằng bộ lọc, không chọn điều kiện, Lưu.
| Lượt chạy | Phạm vi thực hiện và đối chiếu |
| --- | --- |
| Run: Base | Toàn bộ thủ tục theo đúng thứ tự; các đối chứng cùng fixture được kiểm trong cùng lượt, không bỏ bước |</t>
        </is>
      </c>
      <c r="L92" s="9" t="inlineStr">
        <is>
          <t>Không lưu được; có thông báo lỗi. Câu chữ thông báo không phải must-pass (Figma chưa có).</t>
        </is>
      </c>
      <c r="M92" s="9"/>
      <c r="N92" s="9"/>
      <c r="O92" s="9">
        <v>1</v>
      </c>
      <c r="P92" s="9">
        <f>IF(OR(COUNTIF('Run Log'!$B:$B,A92)&lt;&gt;O92,COUNTIF('Run Log'!$A:$A,"RUN-TC-RS-VAL-015-Base")&lt;&gt;1,COUNTIFS('Run Log'!$A:$A,"RUN-TC-RS-VAL-015-Base",'Run Log'!$B:$B,A92,'Run Log'!$C:$C,"Base")&lt;&gt;1),"INCOMPLETE",IF(COUNTIFS('Run Log'!$B:$B,A92,'Run Log'!$D:$D,"PASS")=O92,"PASS",IF(COUNTIFS('Run Log'!$B:$B,A92,'Run Log'!$D:$D,"FAIL")&gt;0,"FAIL",IF(COUNTIFS('Run Log'!$B:$B,A92,'Run Log'!$D:$D,"BLOCKED")&gt;0,"BLOCKED",IF(COUNTIFS('Run Log'!$B:$B,A92,'Run Log'!$D:$D,"SKIPPED")&gt;0,"SKIPPED","NOT RUN")))))</f>
      </c>
    </row>
    <row r="93">
      <c r="A93" s="9" t="inlineStr">
        <is>
          <t>TC-RS-VAL-016</t>
        </is>
      </c>
      <c r="B93" s="9" t="inlineStr">
        <is>
          <t>Lỗi khi lưu không làm mất cấu hình/kết quả đã lưu</t>
        </is>
      </c>
      <c r="C93" s="9" t="inlineStr">
        <is>
          <t>B. Validation</t>
        </is>
      </c>
      <c r="D93" s="9" t="inlineStr">
        <is>
          <t>- Điều kiện: quy tắc “Cố định 30” (dưới 30) đã lưu; S01 Đỏ.
- Dữ liệu test: quy tắc “Cố định 30” (dưới 30); N = 101</t>
        </is>
      </c>
      <c r="E93" s="9" t="inlineStr">
        <is>
          <t>Cao</t>
        </is>
      </c>
      <c r="F93" s="9" t="inlineStr">
        <is>
          <t>CONFIRMED</t>
        </is>
      </c>
      <c r="G93" s="9" t="inlineStr">
        <is>
          <t>UNASSESSED</t>
        </is>
      </c>
      <c r="H93" s="9" t="inlineStr">
        <is>
          <t>tiêu chí nghiệm thu “Lưu và mở lại nhiều thiết lập” (AC-G04 «Lưu và mở lại nhiều thiết lập»)</t>
        </is>
      </c>
      <c r="I93" s="9" t="inlineStr">
        <is>
          <t>B. Validation</t>
        </is>
      </c>
      <c r="J93" s="9" t="inlineStr">
        <is>
          <t>test-cases.vi.md</t>
        </is>
      </c>
      <c r="K93" s="9" t="inlineStr">
        <is>
          <t>1. Mở quy tắc “Cố định 30” (dưới 30), đổi N=101, Lưu (lỗi).
2. Quay lại danh sách, xem ba đầu ra.
| Lượt chạy | Phạm vi thực hiện và đối chiếu |
| --- | --- |
| Run: Base | Toàn bộ thủ tục theo đúng thứ tự; các đối chứng cùng fixture được kiểm trong cùng lượt, không bỏ bước |</t>
        </is>
      </c>
      <c r="L93" s="9" t="inlineStr">
        <is>
          <t>Cấu hình vẫn 30; S01 vẫn Đỏ. Giá trị vừa nhập có được giữ trên form hay không: PROPOSED (không must-pass).</t>
        </is>
      </c>
      <c r="M93" s="9"/>
      <c r="N93" s="9"/>
      <c r="O93" s="9">
        <v>1</v>
      </c>
      <c r="P93" s="9">
        <f>IF(OR(COUNTIF('Run Log'!$B:$B,A93)&lt;&gt;O93,COUNTIF('Run Log'!$A:$A,"RUN-TC-RS-VAL-016-Base")&lt;&gt;1,COUNTIFS('Run Log'!$A:$A,"RUN-TC-RS-VAL-016-Base",'Run Log'!$B:$B,A93,'Run Log'!$C:$C,"Base")&lt;&gt;1),"INCOMPLETE",IF(COUNTIFS('Run Log'!$B:$B,A93,'Run Log'!$D:$D,"PASS")=O93,"PASS",IF(COUNTIFS('Run Log'!$B:$B,A93,'Run Log'!$D:$D,"FAIL")&gt;0,"FAIL",IF(COUNTIFS('Run Log'!$B:$B,A93,'Run Log'!$D:$D,"BLOCKED")&gt;0,"BLOCKED",IF(COUNTIFS('Run Log'!$B:$B,A93,'Run Log'!$D:$D,"SKIPPED")&gt;0,"SKIPPED","NOT RUN")))))</f>
      </c>
    </row>
    <row r="94">
      <c r="A94" s="9" t="inlineStr">
        <is>
          <t>TC-RS-VAL-017</t>
        </is>
      </c>
      <c r="B94" s="9" t="inlineStr">
        <is>
          <t>Trích xuất: bật ký hiệu thì bắt buộc nhập ký hiệu</t>
        </is>
      </c>
      <c r="C94" s="9" t="inlineStr">
        <is>
          <t>B. Validation</t>
        </is>
      </c>
      <c r="D94" s="9" t="inlineStr">
        <is>
          <t>- Điều kiện: Mở Trích xuất thành tích（成績抽出）, tài khoản phụ trách đầu ra (trích xuất, công khai, phiếu điểm).
- Dữ liệu test: Ký hiệu đầu BẬT, ô trống; ký hiệu cuối BẬT, ô trống</t>
        </is>
      </c>
      <c r="E94" s="9" t="inlineStr">
        <is>
          <t>TBD</t>
        </is>
      </c>
      <c r="F94" s="9" t="inlineStr">
        <is>
          <t>IMPLEMENTED</t>
        </is>
      </c>
      <c r="G94" s="9" t="inlineStr">
        <is>
          <t>UNASSESSED</t>
        </is>
      </c>
      <c r="H94" s="9" t="inlineStr">
        <is>
          <t>tiêu chí nghiệm thu “Hiển thị ô trích xuất” (AC-G30 «Hiển thị ô trích xuất»)</t>
        </is>
      </c>
      <c r="I94" s="9" t="inlineStr">
        <is>
          <t>B. Validation</t>
        </is>
      </c>
      <c r="J94" s="9" t="inlineStr">
        <is>
          <t>test-cases.vi.md</t>
        </is>
      </c>
      <c r="K94" s="9" t="inlineStr">
        <is>
          <t>Chạy trích xuất với từng biến thể.
| Lượt chạy | Phạm vi thực hiện và đối chiếu |
| --- | --- |
| Run: prefix | Ký hiệu trước trống |
| Run: suffix | Ký hiệu sau trống |</t>
        </is>
      </c>
      <c r="L94" s="9" t="inlineStr">
        <is>
          <t>Có lỗi yêu cầu nhập ký hiệu; không chạy trích xuất.</t>
        </is>
      </c>
      <c r="M94" s="9"/>
      <c r="N94" s="9"/>
      <c r="O94" s="9">
        <v>2</v>
      </c>
      <c r="P94" s="9">
        <f>IF(OR(COUNTIF('Run Log'!$B:$B,A94)&lt;&gt;O94,COUNTIF('Run Log'!$A:$A,"RUN-TC-RS-VAL-017-prefix")&lt;&gt;1,COUNTIFS('Run Log'!$A:$A,"RUN-TC-RS-VAL-017-prefix",'Run Log'!$B:$B,A94,'Run Log'!$C:$C,"prefix")&lt;&gt;1,COUNTIF('Run Log'!$A:$A,"RUN-TC-RS-VAL-017-suffix")&lt;&gt;1,COUNTIFS('Run Log'!$A:$A,"RUN-TC-RS-VAL-017-suffix",'Run Log'!$B:$B,A94,'Run Log'!$C:$C,"suffix")&lt;&gt;1),"INCOMPLETE",IF(COUNTIFS('Run Log'!$B:$B,A94,'Run Log'!$D:$D,"PASS")=O94,"PASS",IF(COUNTIFS('Run Log'!$B:$B,A94,'Run Log'!$D:$D,"FAIL")&gt;0,"FAIL",IF(COUNTIFS('Run Log'!$B:$B,A94,'Run Log'!$D:$D,"BLOCKED")&gt;0,"BLOCKED",IF(COUNTIFS('Run Log'!$B:$B,A94,'Run Log'!$D:$D,"SKIPPED")&gt;0,"SKIPPED","NOT RUN")))))</f>
      </c>
    </row>
    <row r="95">
      <c r="A95" s="9" t="inlineStr">
        <is>
          <t>TC-RS-VAL-018</t>
        </is>
      </c>
      <c r="B95" s="9" t="inlineStr">
        <is>
          <t>Phiếu điểm: chỉ bắt buộc ký tự khi chọn phía trước/phía sau</t>
        </is>
      </c>
      <c r="C95" s="9" t="inlineStr">
        <is>
          <t>B. Validation</t>
        </is>
      </c>
      <c r="D95" s="9" t="inlineStr">
        <is>
          <t>- Điều kiện: Công cụ phiếu điểm（通知表ツール）, dòng Thiết lập điểm đỏ（赤点設定）.
- Dữ liệu test: Nguyên trạng（そのまま表示）, Kèm ngoặc（カッコ付き）, Ký tự phía trước（前に任意の文字） để trống, Ký tự phía sau（後ろに任意の文字） để trống</t>
        </is>
      </c>
      <c r="E95" s="9" t="inlineStr">
        <is>
          <t>TBD</t>
        </is>
      </c>
      <c r="F95" s="9" t="inlineStr">
        <is>
          <t>IMPLEMENTED</t>
        </is>
      </c>
      <c r="G95" s="9" t="inlineStr">
        <is>
          <t>UNASSESSED</t>
        </is>
      </c>
      <c r="H95" s="9" t="inlineStr">
        <is>
          <t>tiêu chí nghiệm thu “Tùy chọn trên phiếu” (AC-G35 «Tùy chọn trên phiếu»)</t>
        </is>
      </c>
      <c r="I95" s="9" t="inlineStr">
        <is>
          <t>B. Validation</t>
        </is>
      </c>
      <c r="J95" s="9" t="inlineStr">
        <is>
          <t>test-cases.vi.md</t>
        </is>
      </c>
      <c r="K95" s="9" t="inlineStr">
        <is>
          <t>Chọn từng lựa chọn ở dòng Thiết lập điểm đỏ（赤点設定）, bấm Cập nhật（更新する）.
| Lượt chạy | Phạm vi thực hiện và đối chiếu |
| --- | --- |
| Run: unchanged | Nguyên trạng |
| Run: parentheses | Kèm ngoặc |
| Run: prefix | Ký tự trước trống |
| Run: suffix | Ký tự sau trống |</t>
        </is>
      </c>
      <c r="L95" s="9" t="inlineStr">
        <is>
          <t>Nguyên trạng, Kèm ngoặc: không hiện ô ký tự, lưu được. Phía trước/sau để trống: không lưu được.</t>
        </is>
      </c>
      <c r="M95" s="9"/>
      <c r="N95" s="9"/>
      <c r="O95" s="9">
        <v>4</v>
      </c>
      <c r="P95" s="9">
        <f>IF(OR(COUNTIF('Run Log'!$B:$B,A95)&lt;&gt;O95,COUNTIF('Run Log'!$A:$A,"RUN-TC-RS-VAL-018-unchanged")&lt;&gt;1,COUNTIFS('Run Log'!$A:$A,"RUN-TC-RS-VAL-018-unchanged",'Run Log'!$B:$B,A95,'Run Log'!$C:$C,"unchanged")&lt;&gt;1,COUNTIF('Run Log'!$A:$A,"RUN-TC-RS-VAL-018-parentheses")&lt;&gt;1,COUNTIFS('Run Log'!$A:$A,"RUN-TC-RS-VAL-018-parentheses",'Run Log'!$B:$B,A95,'Run Log'!$C:$C,"parentheses")&lt;&gt;1,COUNTIF('Run Log'!$A:$A,"RUN-TC-RS-VAL-018-prefix")&lt;&gt;1,COUNTIFS('Run Log'!$A:$A,"RUN-TC-RS-VAL-018-prefix",'Run Log'!$B:$B,A95,'Run Log'!$C:$C,"prefix")&lt;&gt;1,COUNTIF('Run Log'!$A:$A,"RUN-TC-RS-VAL-018-suffix")&lt;&gt;1,COUNTIFS('Run Log'!$A:$A,"RUN-TC-RS-VAL-018-suffix",'Run Log'!$B:$B,A95,'Run Log'!$C:$C,"suffix")&lt;&gt;1),"INCOMPLETE",IF(COUNTIFS('Run Log'!$B:$B,A95,'Run Log'!$D:$D,"PASS")=O95,"PASS",IF(COUNTIFS('Run Log'!$B:$B,A95,'Run Log'!$D:$D,"FAIL")&gt;0,"FAIL",IF(COUNTIFS('Run Log'!$B:$B,A95,'Run Log'!$D:$D,"BLOCKED")&gt;0,"BLOCKED",IF(COUNTIFS('Run Log'!$B:$B,A95,'Run Log'!$D:$D,"SKIPPED")&gt;0,"SKIPPED","NOT RUN")))))</f>
      </c>
    </row>
    <row r="96">
      <c r="A96" s="9" t="inlineStr">
        <is>
          <t>TC-RS-VAL-019</t>
        </is>
      </c>
      <c r="B96" s="9" t="inlineStr">
        <is>
          <t>Cảnh báo ngưỡng biên không chặn lưu</t>
        </is>
      </c>
      <c r="C96" s="9" t="inlineStr">
        <is>
          <t>B. Validation</t>
        </is>
      </c>
      <c r="D96" s="9" t="inlineStr">
        <is>
          <t>- Điều kiện: mục số nguyên (M=100).
- Dữ liệu test: mục số nguyên (M=100); Cố định N=0 và N=100, mỗi giá trị với `&lt;` và `≤`; Tỷ lệ N=0, N=100; Tỷ lệ N=0.4 với Làm tròn（四捨五入） (ra `T=0`)</t>
        </is>
      </c>
      <c r="E96" s="9" t="inlineStr">
        <is>
          <t>TBD</t>
        </is>
      </c>
      <c r="F96" s="9" t="inlineStr">
        <is>
          <t>CONFIRMED</t>
        </is>
      </c>
      <c r="G96" s="9" t="inlineStr">
        <is>
          <t>UNASSESSED</t>
        </is>
      </c>
      <c r="H96" s="9" t="inlineStr">
        <is>
          <t>tiêu chí nghiệm thu “Biên so sánh và cảnh báo” (AC-G07 «Biên so sánh và cảnh báo»)</t>
        </is>
      </c>
      <c r="I96" s="9" t="inlineStr">
        <is>
          <t>B. Validation</t>
        </is>
      </c>
      <c r="J96" s="9" t="inlineStr">
        <is>
          <t>test-cases.vi.md</t>
        </is>
      </c>
      <c r="K96" s="9" t="inlineStr">
        <is>
          <t>Nhập từng giá trị, Lưu, mở lại.
| Lượt chạy | Phạm vi thực hiện và đối chiếu |
| --- | --- |
| Run: fixed0-lt | Cố định 0 nhỏ hơn |
| Run: fixed0-le | Cố định 0 nhỏ hơn hoặc bằng |
| Run: fixed100-lt | Cố định 100 nhỏ hơn |
| Run: fixed100-le | Cố định 100 nhỏ hơn hoặc bằng |
| Run: ratio0 | Tỷ lệ 0, dấu nhỏ hơn, không xử lý phần lẻ: T=0, có cảnh báo |
| Run: ratio100 | Tỷ lệ 100, dấu nhỏ hơn hoặc bằng, không xử lý phần lẻ: T=100, có cảnh báo |
| Run: ratio04 | Tỷ lệ 0.4, dấu nhỏ hơn, làm tròn gần nhất p=1: T=0, có cảnh báo |</t>
        </is>
      </c>
      <c r="L96" s="9" t="inlineStr">
        <is>
          <t>1. Cảnh báo theo `T` cuối và dấu: `&lt;0` (không ai đỏ) và `≤100` (mọi điểm hợp lệ đỏ) phải có cảnh báo; các tổ hợp biên khác theo thiết kế.
2. Tỷ lệ 0.4 làm tròn ra `T=0`: cảnh báo xét theo `T=0`, không theo giá trị nhập 0.4.
3. Cảnh báo không chặn lưu; mở lại, giá trị đã lưu giữ nguyên (không tự đổi thành giá trị khác).</t>
        </is>
      </c>
      <c r="M96" s="9"/>
      <c r="N96" s="9"/>
      <c r="O96" s="9">
        <v>7</v>
      </c>
      <c r="P96" s="9">
        <f>IF(OR(COUNTIF('Run Log'!$B:$B,A96)&lt;&gt;O96,COUNTIF('Run Log'!$A:$A,"RUN-TC-RS-VAL-019-fixed0-lt")&lt;&gt;1,COUNTIFS('Run Log'!$A:$A,"RUN-TC-RS-VAL-019-fixed0-lt",'Run Log'!$B:$B,A96,'Run Log'!$C:$C,"fixed0-lt")&lt;&gt;1,COUNTIF('Run Log'!$A:$A,"RUN-TC-RS-VAL-019-fixed0-le")&lt;&gt;1,COUNTIFS('Run Log'!$A:$A,"RUN-TC-RS-VAL-019-fixed0-le",'Run Log'!$B:$B,A96,'Run Log'!$C:$C,"fixed0-le")&lt;&gt;1,COUNTIF('Run Log'!$A:$A,"RUN-TC-RS-VAL-019-fixed100-lt")&lt;&gt;1,COUNTIFS('Run Log'!$A:$A,"RUN-TC-RS-VAL-019-fixed100-lt",'Run Log'!$B:$B,A96,'Run Log'!$C:$C,"fixed100-lt")&lt;&gt;1,COUNTIF('Run Log'!$A:$A,"RUN-TC-RS-VAL-019-fixed100-le")&lt;&gt;1,COUNTIFS('Run Log'!$A:$A,"RUN-TC-RS-VAL-019-fixed100-le",'Run Log'!$B:$B,A96,'Run Log'!$C:$C,"fixed100-le")&lt;&gt;1,COUNTIF('Run Log'!$A:$A,"RUN-TC-RS-VAL-019-ratio0")&lt;&gt;1,COUNTIFS('Run Log'!$A:$A,"RUN-TC-RS-VAL-019-ratio0",'Run Log'!$B:$B,A96,'Run Log'!$C:$C,"ratio0")&lt;&gt;1,COUNTIF('Run Log'!$A:$A,"RUN-TC-RS-VAL-019-ratio100")&lt;&gt;1,COUNTIFS('Run Log'!$A:$A,"RUN-TC-RS-VAL-019-ratio100",'Run Log'!$B:$B,A96,'Run Log'!$C:$C,"ratio100")&lt;&gt;1,COUNTIF('Run Log'!$A:$A,"RUN-TC-RS-VAL-019-ratio04")&lt;&gt;1,COUNTIFS('Run Log'!$A:$A,"RUN-TC-RS-VAL-019-ratio04",'Run Log'!$B:$B,A96,'Run Log'!$C:$C,"ratio04")&lt;&gt;1),"INCOMPLETE",IF(COUNTIFS('Run Log'!$B:$B,A96,'Run Log'!$D:$D,"PASS")=O96,"PASS",IF(COUNTIFS('Run Log'!$B:$B,A96,'Run Log'!$D:$D,"FAIL")&gt;0,"FAIL",IF(COUNTIFS('Run Log'!$B:$B,A96,'Run Log'!$D:$D,"BLOCKED")&gt;0,"BLOCKED",IF(COUNTIFS('Run Log'!$B:$B,A96,'Run Log'!$D:$D,"SKIPPED")&gt;0,"SKIPPED","NOT RUN")))))</f>
      </c>
    </row>
    <row r="97">
      <c r="A97" s="9" t="inlineStr">
        <is>
          <t>TC-RS-VAL-020</t>
        </is>
      </c>
      <c r="B97" s="9" t="inlineStr">
        <is>
          <t>Kết quả công thức âm hoặc vượt M không phải lỗi lưu</t>
        </is>
      </c>
      <c r="C97" s="9" t="inlineStr">
        <is>
          <t>B. Validation</t>
        </is>
      </c>
      <c r="D97" s="9" t="inlineStr">
        <is>
          <t>- Điều kiện: Loại Công thức tính（計算式）.
- Dữ liệu test: quy tắc công thức trung bình − 20 (`A−20`); công thức `A × 3`</t>
        </is>
      </c>
      <c r="E97" s="9" t="inlineStr">
        <is>
          <t>TBD</t>
        </is>
      </c>
      <c r="F97" s="9" t="inlineStr">
        <is>
          <t>CONFIRMED</t>
        </is>
      </c>
      <c r="G97" s="9" t="inlineStr">
        <is>
          <t>UNASSESSED</t>
        </is>
      </c>
      <c r="H97" s="9" t="inlineStr">
        <is>
          <t>tiêu chí nghiệm thu “Ngưỡng âm” (AC-G18 «Ngưỡng âm»)</t>
        </is>
      </c>
      <c r="I97" s="9" t="inlineStr">
        <is>
          <t>B. Validation</t>
        </is>
      </c>
      <c r="J97" s="9" t="inlineStr">
        <is>
          <t>test-cases.vi.md</t>
        </is>
      </c>
      <c r="K97" s="9" t="inlineStr">
        <is>
          <t>Lưu từng công thức.
| Lượt chạy | Phạm vi thực hiện và đối chiếu |
| --- | --- |
| Run: minus20 | Trừ 20 |
| Run: times3 | Nhân 3 |</t>
        </is>
      </c>
      <c r="L97" s="9" t="inlineStr">
        <is>
          <t>Lưu được; không kiểm `0≤T≤M` tại lúc lưu cho công thức.</t>
        </is>
      </c>
      <c r="M97" s="9"/>
      <c r="N97" s="9"/>
      <c r="O97" s="9">
        <v>2</v>
      </c>
      <c r="P97" s="9">
        <f>IF(OR(COUNTIF('Run Log'!$B:$B,A97)&lt;&gt;O97,COUNTIF('Run Log'!$A:$A,"RUN-TC-RS-VAL-020-minus20")&lt;&gt;1,COUNTIFS('Run Log'!$A:$A,"RUN-TC-RS-VAL-020-minus20",'Run Log'!$B:$B,A97,'Run Log'!$C:$C,"minus20")&lt;&gt;1,COUNTIF('Run Log'!$A:$A,"RUN-TC-RS-VAL-020-times3")&lt;&gt;1,COUNTIFS('Run Log'!$A:$A,"RUN-TC-RS-VAL-020-times3",'Run Log'!$B:$B,A97,'Run Log'!$C:$C,"times3")&lt;&gt;1),"INCOMPLETE",IF(COUNTIFS('Run Log'!$B:$B,A97,'Run Log'!$D:$D,"PASS")=O97,"PASS",IF(COUNTIFS('Run Log'!$B:$B,A97,'Run Log'!$D:$D,"FAIL")&gt;0,"FAIL",IF(COUNTIFS('Run Log'!$B:$B,A97,'Run Log'!$D:$D,"BLOCKED")&gt;0,"BLOCKED",IF(COUNTIFS('Run Log'!$B:$B,A97,'Run Log'!$D:$D,"SKIPPED")&gt;0,"SKIPPED","NOT RUN")))))</f>
      </c>
    </row>
    <row r="98">
      <c r="A98" s="9" t="inlineStr">
        <is>
          <t>TC-RS-VAL-021</t>
        </is>
      </c>
      <c r="B98" s="9" t="inlineStr">
        <is>
          <t>Đổi loại ngưỡng trong cùng phiên sửa</t>
        </is>
      </c>
      <c r="C98" s="9" t="inlineStr">
        <is>
          <t>B. Validation</t>
        </is>
      </c>
      <c r="D98" s="9" t="inlineStr">
        <is>
          <t>- Điều kiện: quy tắc “Cố định 30” (dưới 30) (cố định 30) đã lưu.
- Dữ liệu test: quy tắc “Cố định 30” (dưới 30)</t>
        </is>
      </c>
      <c r="E98" s="9" t="inlineStr">
        <is>
          <t>TBD</t>
        </is>
      </c>
      <c r="F98" s="9" t="inlineStr">
        <is>
          <t>PROPOSED</t>
        </is>
      </c>
      <c r="G98" s="9" t="inlineStr">
        <is>
          <t>UNASSESSED</t>
        </is>
      </c>
      <c r="H98" s="9" t="inlineStr">
        <is>
          <t>đặc tả v2 mục 6.7 “Đổi loại ngưỡng và đổi toán hạng”</t>
        </is>
      </c>
      <c r="I98" s="9" t="inlineStr">
        <is>
          <t>B. Validation</t>
        </is>
      </c>
      <c r="J98" s="9" t="inlineStr">
        <is>
          <t>test-cases.vi.md</t>
        </is>
      </c>
      <c r="K98" s="9" t="inlineStr">
        <is>
          <t>1. Đổi sang Tỷ lệ, nhập 40, đổi lại Cố định; xem ô Cố định; đổi sang Tỷ lệ lần nữa, xem ô Tỷ lệ.
2. Đổi lại Cố định, Lưu.
3. Mở lại quy tắc.
4. Đổi sang Tỷ lệ, nhập 50, bấm Hủy; mở lại.
5. (Khi có schema) Lưu quy tắc Tỷ lệ 40 có bật xử lý phần lẻ; đổi sang Cố định 30, Lưu, SELECT; đổi sang Công thức `A×0.5`, Lưu, SELECT.
| Lượt chạy | Phạm vi thực hiện và đối chiếu |
| --- | --- |
| Run: Base | Toàn bộ thủ tục theo đúng thứ tự; các đối chứng cùng fixture được kiểm trong cùng lượt, không bỏ bước |</t>
        </is>
      </c>
      <c r="L98" s="9" t="inlineStr">
        <is>
          <t>1. (PROPOSED) Trong phiên: ô Cố định vẫn 30; quay lại Tỷ lệ vẫn thấy 40.
2. Chỉ giá trị loại cuối cùng (Cố định 30) được kiểm và lưu; không lưu lẫn dữ liệu của loại khác.
3. Mở lại: Cố định 30; không bắt buộc còn giá trị Tỷ lệ 40.
4. Vẫn Cố định 30 (cấu hình đã lưu gần nhất).
5. (PROPOSED theo thiết kế DB v2) Sau mỗi lần lưu, các cột không dùng cho loại hiện tại (`round_*`, `threshold_value`, cột công thức/nguồn) là SQL NULL.</t>
        </is>
      </c>
      <c r="M98" s="9"/>
      <c r="N98" s="9"/>
      <c r="O98" s="9">
        <v>1</v>
      </c>
      <c r="P98" s="9">
        <f>IF(OR(COUNTIF('Run Log'!$B:$B,A98)&lt;&gt;O98,COUNTIF('Run Log'!$A:$A,"RUN-TC-RS-VAL-021-Base")&lt;&gt;1,COUNTIFS('Run Log'!$A:$A,"RUN-TC-RS-VAL-021-Base",'Run Log'!$B:$B,A98,'Run Log'!$C:$C,"Base")&lt;&gt;1),"INCOMPLETE",IF(COUNTIFS('Run Log'!$B:$B,A98,'Run Log'!$D:$D,"PASS")=O98,"PASS",IF(COUNTIFS('Run Log'!$B:$B,A98,'Run Log'!$D:$D,"FAIL")&gt;0,"FAIL",IF(COUNTIFS('Run Log'!$B:$B,A98,'Run Log'!$D:$D,"BLOCKED")&gt;0,"BLOCKED",IF(COUNTIFS('Run Log'!$B:$B,A98,'Run Log'!$D:$D,"SKIPPED")&gt;0,"SKIPPED","NOT RUN")))))</f>
      </c>
    </row>
    <row r="99">
      <c r="A99" s="9" t="inlineStr">
        <is>
          <t>TC-RS-VAL-022</t>
        </is>
      </c>
      <c r="B99" s="9" t="inlineStr">
        <is>
          <t>Giá trị điều kiện phân nhánh (trung bình/tỷ lệ nhóm)</t>
        </is>
      </c>
      <c r="C99" s="9" t="inlineStr">
        <is>
          <t>B. Validation</t>
        </is>
      </c>
      <c r="D99" s="9" t="inlineStr">
        <is>
          <t>- Điều kiện: Màn thêm quy tắc có điều kiện.
- Dữ liệu test: Trung bình: trống, −1, 101, 60.5, 60.123456789; tỷ lệ nhóm: −1, 0, 100, 101</t>
        </is>
      </c>
      <c r="E99" s="9" t="inlineStr">
        <is>
          <t>TBD</t>
        </is>
      </c>
      <c r="F99" s="9" t="inlineStr">
        <is>
          <t>PROPOSED</t>
        </is>
      </c>
      <c r="G99" s="9" t="inlineStr">
        <is>
          <t>UNASSESSED</t>
        </is>
      </c>
      <c r="H99" s="9" t="inlineStr">
        <is>
          <t>đặc tả v2 mục 5.2 “Điều kiện dựa trên trung bình”</t>
        </is>
      </c>
      <c r="I99" s="9" t="inlineStr">
        <is>
          <t>B. Validation</t>
        </is>
      </c>
      <c r="J99" s="9" t="inlineStr">
        <is>
          <t>test-cases.vi.md</t>
        </is>
      </c>
      <c r="K99" s="9" t="inlineStr">
        <is>
          <t>Nhập từng giá trị, Lưu.
| Lượt chạy | Phạm vi thực hiện và đối chiếu |
| --- | --- |
| Run: avg-empty | Trung bình trống |
| Run: avg-negative | Trung bình -1 |
| Run: avg101 | Trung bình 101 |
| Run: avg605 | Trung bình 60.5 |
| Run: avg-long | Trung bình 60.123456789 |
| Run: ratio-negative | Tỷ lệ -1 |
| Run: ratio0 | Tỷ lệ 0 |
| Run: ratio100 | Tỷ lệ 100 |
| Run: ratio101 | Tỷ lệ 101 |</t>
        </is>
      </c>
      <c r="L99" s="9" t="inlineStr">
        <is>
          <t>Đề xuất (thiết kế DB v2): trống → không lưu được (điều kiện chưa đủ); 60.5 lưu được; 60.123456789 (9 chữ số lẻ) bị từ chối; tỷ lệ nhóm 0 và 100 lưu được, −1 và 101 bị từ chối. Trung bình −1 và 101: thiết kế DB v2 không nêu miền — TBD, ghi hành vi thực tế.</t>
        </is>
      </c>
      <c r="M99" s="9"/>
      <c r="N99" s="9"/>
      <c r="O99" s="9">
        <v>9</v>
      </c>
      <c r="P99" s="9">
        <f>IF(OR(COUNTIF('Run Log'!$B:$B,A99)&lt;&gt;O99,COUNTIF('Run Log'!$A:$A,"RUN-TC-RS-VAL-022-avg-empty")&lt;&gt;1,COUNTIFS('Run Log'!$A:$A,"RUN-TC-RS-VAL-022-avg-empty",'Run Log'!$B:$B,A99,'Run Log'!$C:$C,"avg-empty")&lt;&gt;1,COUNTIF('Run Log'!$A:$A,"RUN-TC-RS-VAL-022-avg-negative")&lt;&gt;1,COUNTIFS('Run Log'!$A:$A,"RUN-TC-RS-VAL-022-avg-negative",'Run Log'!$B:$B,A99,'Run Log'!$C:$C,"avg-negative")&lt;&gt;1,COUNTIF('Run Log'!$A:$A,"RUN-TC-RS-VAL-022-avg101")&lt;&gt;1,COUNTIFS('Run Log'!$A:$A,"RUN-TC-RS-VAL-022-avg101",'Run Log'!$B:$B,A99,'Run Log'!$C:$C,"avg101")&lt;&gt;1,COUNTIF('Run Log'!$A:$A,"RUN-TC-RS-VAL-022-avg605")&lt;&gt;1,COUNTIFS('Run Log'!$A:$A,"RUN-TC-RS-VAL-022-avg605",'Run Log'!$B:$B,A99,'Run Log'!$C:$C,"avg605")&lt;&gt;1,COUNTIF('Run Log'!$A:$A,"RUN-TC-RS-VAL-022-avg-long")&lt;&gt;1,COUNTIFS('Run Log'!$A:$A,"RUN-TC-RS-VAL-022-avg-long",'Run Log'!$B:$B,A99,'Run Log'!$C:$C,"avg-long")&lt;&gt;1,COUNTIF('Run Log'!$A:$A,"RUN-TC-RS-VAL-022-ratio-negative")&lt;&gt;1,COUNTIFS('Run Log'!$A:$A,"RUN-TC-RS-VAL-022-ratio-negative",'Run Log'!$B:$B,A99,'Run Log'!$C:$C,"ratio-negative")&lt;&gt;1,COUNTIF('Run Log'!$A:$A,"RUN-TC-RS-VAL-022-ratio0")&lt;&gt;1,COUNTIFS('Run Log'!$A:$A,"RUN-TC-RS-VAL-022-ratio0",'Run Log'!$B:$B,A99,'Run Log'!$C:$C,"ratio0")&lt;&gt;1,COUNTIF('Run Log'!$A:$A,"RUN-TC-RS-VAL-022-ratio100")&lt;&gt;1,COUNTIFS('Run Log'!$A:$A,"RUN-TC-RS-VAL-022-ratio100",'Run Log'!$B:$B,A99,'Run Log'!$C:$C,"ratio100")&lt;&gt;1,COUNTIF('Run Log'!$A:$A,"RUN-TC-RS-VAL-022-ratio101")&lt;&gt;1,COUNTIFS('Run Log'!$A:$A,"RUN-TC-RS-VAL-022-ratio101",'Run Log'!$B:$B,A99,'Run Log'!$C:$C,"ratio101")&lt;&gt;1),"INCOMPLETE",IF(COUNTIFS('Run Log'!$B:$B,A99,'Run Log'!$D:$D,"PASS")=O99,"PASS",IF(COUNTIFS('Run Log'!$B:$B,A99,'Run Log'!$D:$D,"FAIL")&gt;0,"FAIL",IF(COUNTIFS('Run Log'!$B:$B,A99,'Run Log'!$D:$D,"BLOCKED")&gt;0,"BLOCKED",IF(COUNTIFS('Run Log'!$B:$B,A99,'Run Log'!$D:$D,"SKIPPED")&gt;0,"SKIPPED","NOT RUN")))))</f>
      </c>
    </row>
    <row r="100">
      <c r="A100" s="9" t="inlineStr">
        <is>
          <t>TC-RS-VAL-023</t>
        </is>
      </c>
      <c r="B100" s="9" t="inlineStr">
        <is>
          <t>Giới hạn công thức: 20/21 dòng và số chữ số của số cố định</t>
        </is>
      </c>
      <c r="C100" s="9" t="inlineStr">
        <is>
          <t>B. Validation</t>
        </is>
      </c>
      <c r="D100" s="9" t="inlineStr">
        <is>
          <t>- Điều kiện: Màn Công thức（計算式）, nguồn mặc định.
- Dữ liệu test: (a) 20 dòng: dòng 1 `A × 1`, các dòng sau `kết quả dòng trước × 1`; (b) 21 dòng như (a); (c) `A × 999999999.99999999`; (d) `A × 1000000000`; (e) `A × 0.123456789`</t>
        </is>
      </c>
      <c r="E100" s="9" t="inlineStr">
        <is>
          <t>TBD</t>
        </is>
      </c>
      <c r="F100" s="9" t="inlineStr">
        <is>
          <t>PROPOSED</t>
        </is>
      </c>
      <c r="G100" s="9" t="inlineStr">
        <is>
          <t>UNASSESSED</t>
        </is>
      </c>
      <c r="H100" s="9" t="inlineStr">
        <is>
          <t>tiêu chí nghiệm thu “Giữ chính xác giá trị” (AC-G11 «Giữ chính xác giá trị»)</t>
        </is>
      </c>
      <c r="I100" s="9" t="inlineStr">
        <is>
          <t>B. Validation</t>
        </is>
      </c>
      <c r="J100" s="9" t="inlineStr">
        <is>
          <t>test-cases.vi.md</t>
        </is>
      </c>
      <c r="K100" s="9" t="inlineStr">
        <is>
          <t>Nhập từng cấu hình, Lưu, mở lại.
| Lượt chạy | Phạm vi thực hiện và đối chiếu |
| --- | --- |
| Run: lines20 | 20 dòng |
| Run: lines21 | 21 dòng |
| Run: constant | Hằng số cực lớn |
| Run: integer-overflow | Vượt phần nguyên |
| Run: fraction-overflow | Vượt phần thập phân |</t>
        </is>
      </c>
      <c r="L100" s="9" t="inlineStr">
        <is>
          <t>(a) Lưu được, mở lại đủ 20 dòng.
(b) Không thêm được dòng 21 hoặc bị từ chối khi lưu.
(c) Lưu được, giá trị giữ nguyên.
(d), (e) Bị từ chối, không tự cắt/làm tròn.
Gửi trực tiếp request vượt giới hạn cũng bị server từ chối (case “Server kiểm miền giá trị khi bỏ qua kiểm tra phía trình duyệt”).</t>
        </is>
      </c>
      <c r="M100" s="9"/>
      <c r="N100" s="9"/>
      <c r="O100" s="9">
        <v>5</v>
      </c>
      <c r="P100" s="9">
        <f>IF(OR(COUNTIF('Run Log'!$B:$B,A100)&lt;&gt;O100,COUNTIF('Run Log'!$A:$A,"RUN-TC-RS-VAL-023-lines20")&lt;&gt;1,COUNTIFS('Run Log'!$A:$A,"RUN-TC-RS-VAL-023-lines20",'Run Log'!$B:$B,A100,'Run Log'!$C:$C,"lines20")&lt;&gt;1,COUNTIF('Run Log'!$A:$A,"RUN-TC-RS-VAL-023-lines21")&lt;&gt;1,COUNTIFS('Run Log'!$A:$A,"RUN-TC-RS-VAL-023-lines21",'Run Log'!$B:$B,A100,'Run Log'!$C:$C,"lines21")&lt;&gt;1,COUNTIF('Run Log'!$A:$A,"RUN-TC-RS-VAL-023-constant")&lt;&gt;1,COUNTIFS('Run Log'!$A:$A,"RUN-TC-RS-VAL-023-constant",'Run Log'!$B:$B,A100,'Run Log'!$C:$C,"constant")&lt;&gt;1,COUNTIF('Run Log'!$A:$A,"RUN-TC-RS-VAL-023-integer-overflow")&lt;&gt;1,COUNTIFS('Run Log'!$A:$A,"RUN-TC-RS-VAL-023-integer-overflow",'Run Log'!$B:$B,A100,'Run Log'!$C:$C,"integer-overflow")&lt;&gt;1,COUNTIF('Run Log'!$A:$A,"RUN-TC-RS-VAL-023-fraction-overflow")&lt;&gt;1,COUNTIFS('Run Log'!$A:$A,"RUN-TC-RS-VAL-023-fraction-overflow",'Run Log'!$B:$B,A100,'Run Log'!$C:$C,"fraction-overflow")&lt;&gt;1),"INCOMPLETE",IF(COUNTIFS('Run Log'!$B:$B,A100,'Run Log'!$D:$D,"PASS")=O100,"PASS",IF(COUNTIFS('Run Log'!$B:$B,A100,'Run Log'!$D:$D,"FAIL")&gt;0,"FAIL",IF(COUNTIFS('Run Log'!$B:$B,A100,'Run Log'!$D:$D,"BLOCKED")&gt;0,"BLOCKED",IF(COUNTIFS('Run Log'!$B:$B,A100,'Run Log'!$D:$D,"SKIPPED")&gt;0,"SKIPPED","NOT RUN")))))</f>
      </c>
    </row>
    <row r="101">
      <c r="A101" s="9" t="inlineStr">
        <is>
          <t>TC-RS-VAL-024</t>
        </is>
      </c>
      <c r="B101" s="9" t="inlineStr">
        <is>
          <t>Quy tắc dùng trung bình/tỷ lệ nhóm không lưu được khi thiếu nguồn</t>
        </is>
      </c>
      <c r="C101" s="9" t="inlineStr">
        <is>
          <t>B. Validation</t>
        </is>
      </c>
      <c r="D101" s="9" t="inlineStr">
        <is>
          <t>- Điều kiện: Màn thêm quy tắc của mục số nguyên (M=100).
- Dữ liệu test: mục số nguyên (M=100); (a) Điều kiện trung bình `A≥60`, ngưỡng cố định 30, bỏ trống một phần hoặc toàn bộ nguồn (thời kỳ, thiết lập tổng hợp, nhóm tham chiếu); (b) điều kiện tỷ lệ nhóm ≥65%, nguồn bỏ trống; (c) Toàn bộ đối tượng, ngưỡng Công thức tính（計算式） `A×0.5`, nguồn của công thức bỏ trống</t>
        </is>
      </c>
      <c r="E101" s="9" t="inlineStr">
        <is>
          <t>TBD</t>
        </is>
      </c>
      <c r="F101" s="9" t="inlineStr">
        <is>
          <t>CONFIRMED</t>
        </is>
      </c>
      <c r="G101" s="9" t="inlineStr">
        <is>
          <t>UNASSESSED</t>
        </is>
      </c>
      <c r="H101" s="9" t="inlineStr">
        <is>
          <t>tiêu chí nghiệm thu “Đối tượng áp dụng và nhu cầu nguồn” (AC-G05 «Đối tượng áp dụng và nhu cầu nguồn»)</t>
        </is>
      </c>
      <c r="I101" s="9" t="inlineStr">
        <is>
          <t>B. Validation</t>
        </is>
      </c>
      <c r="J101" s="9" t="inlineStr">
        <is>
          <t>test-cases.vi.md</t>
        </is>
      </c>
      <c r="K101" s="9" t="inlineStr">
        <is>
          <t>Nhập từng biến thể, bấm Lưu; mở lại danh sách.
| Lượt chạy | Phạm vi thực hiện và đối chiếu |
| --- | --- |
| Run: condition-period | Điều kiện trung bình thiếu kỳ |
| Run: condition-setting | Điều kiện trung bình thiếu thiết lập |
| Run: condition-group | Điều kiện trung bình thiếu nhóm |
| Run: condition-all | Điều kiện trung bình thiếu toàn bộ |
| Run: ratio-all | Điều kiện tỷ lệ thiếu nguồn |
| Run: formula-all | Công thức thiếu nguồn |</t>
        </is>
      </c>
      <c r="L101" s="9" t="inlineStr">
        <is>
          <t>Cả ba biến thể không lưu được; có thông báo thiếu nguồn. Không lưu quy tắc với điều kiện bị bỏ đi hoặc nguồn trống; danh sách quy tắc không đổi.</t>
        </is>
      </c>
      <c r="M101" s="9"/>
      <c r="N101" s="9"/>
      <c r="O101" s="9">
        <v>6</v>
      </c>
      <c r="P101" s="9">
        <f>IF(OR(COUNTIF('Run Log'!$B:$B,A101)&lt;&gt;O101,COUNTIF('Run Log'!$A:$A,"RUN-TC-RS-VAL-024-condition-period")&lt;&gt;1,COUNTIFS('Run Log'!$A:$A,"RUN-TC-RS-VAL-024-condition-period",'Run Log'!$B:$B,A101,'Run Log'!$C:$C,"condition-period")&lt;&gt;1,COUNTIF('Run Log'!$A:$A,"RUN-TC-RS-VAL-024-condition-setting")&lt;&gt;1,COUNTIFS('Run Log'!$A:$A,"RUN-TC-RS-VAL-024-condition-setting",'Run Log'!$B:$B,A101,'Run Log'!$C:$C,"condition-setting")&lt;&gt;1,COUNTIF('Run Log'!$A:$A,"RUN-TC-RS-VAL-024-condition-group")&lt;&gt;1,COUNTIFS('Run Log'!$A:$A,"RUN-TC-RS-VAL-024-condition-group",'Run Log'!$B:$B,A101,'Run Log'!$C:$C,"condition-group")&lt;&gt;1,COUNTIF('Run Log'!$A:$A,"RUN-TC-RS-VAL-024-condition-all")&lt;&gt;1,COUNTIFS('Run Log'!$A:$A,"RUN-TC-RS-VAL-024-condition-all",'Run Log'!$B:$B,A101,'Run Log'!$C:$C,"condition-all")&lt;&gt;1,COUNTIF('Run Log'!$A:$A,"RUN-TC-RS-VAL-024-ratio-all")&lt;&gt;1,COUNTIFS('Run Log'!$A:$A,"RUN-TC-RS-VAL-024-ratio-all",'Run Log'!$B:$B,A101,'Run Log'!$C:$C,"ratio-all")&lt;&gt;1,COUNTIF('Run Log'!$A:$A,"RUN-TC-RS-VAL-024-formula-all")&lt;&gt;1,COUNTIFS('Run Log'!$A:$A,"RUN-TC-RS-VAL-024-formula-all",'Run Log'!$B:$B,A101,'Run Log'!$C:$C,"formula-all")&lt;&gt;1),"INCOMPLETE",IF(COUNTIFS('Run Log'!$B:$B,A101,'Run Log'!$D:$D,"PASS")=O101,"PASS",IF(COUNTIFS('Run Log'!$B:$B,A101,'Run Log'!$D:$D,"FAIL")&gt;0,"FAIL",IF(COUNTIFS('Run Log'!$B:$B,A101,'Run Log'!$D:$D,"BLOCKED")&gt;0,"BLOCKED",IF(COUNTIFS('Run Log'!$B:$B,A101,'Run Log'!$D:$D,"SKIPPED")&gt;0,"SKIPPED","NOT RUN")))))</f>
      </c>
    </row>
    <row r="102">
      <c r="A102" s="9" t="inlineStr">
        <is>
          <t>TC-RS-VAL-025</t>
        </is>
      </c>
      <c r="B102" s="9" t="inlineStr">
        <is>
          <t>Server từ chối lưu nhóm tham chiếu không khả dụng hoặc ngoài trường/năm</t>
        </is>
      </c>
      <c r="C102" s="9" t="inlineStr">
        <is>
          <t>B. Validation</t>
        </is>
      </c>
      <c r="D102" s="9" t="inlineStr">
        <is>
          <t>- Điều kiện: thiết lập tổng hợp X（評点集計） (lớp học tắt). Công cụ sửa request (DevTools/proxy) trên môi trường test.
- Dữ liệu test: thiết lập tổng hợp X（評点集計）; ID nhóm tổng hợp của trường B (trường B (trường khác)); ID nhóm tổng hợp của năm khác; mục số nguyên (M=100); tài khoản giáo viên có quyền sửa mục</t>
        </is>
      </c>
      <c r="E102" s="9" t="inlineStr">
        <is>
          <t>Cao</t>
        </is>
      </c>
      <c r="F102" s="9" t="inlineStr">
        <is>
          <t>CONFIRMED</t>
        </is>
      </c>
      <c r="G102" s="9" t="inlineStr">
        <is>
          <t>UNASSESSED</t>
        </is>
      </c>
      <c r="H102" s="9" t="inlineStr">
        <is>
          <t>tiêu chí nghiệm thu “Đúng phạm vi tham chiếu” (AC-G12 «Đúng phạm vi tham chiếu»)</t>
        </is>
      </c>
      <c r="I102" s="9" t="inlineStr">
        <is>
          <t>B. Validation</t>
        </is>
      </c>
      <c r="J102" s="9" t="inlineStr">
        <is>
          <t>test-cases.vi.md</t>
        </is>
      </c>
      <c r="K102" s="9" t="inlineStr">
        <is>
          <t>Gửi request lưu quy tắc có nguồn (điều kiện hoặc công thức) với từng biến thể:
1. Loại Lớp học（授業） trong khi công tắc lớp học đang tắt.
2. Nhóm tổng hợp mang ID của trường B.
3. Nhóm tổng hợp mang ID của năm học khác.
4. Nhóm môn học（科目グループ） có ID không tồn tại.
| Lượt chạy | Phạm vi thực hiện và đối chiếu |
| --- | --- |
| Run: condition-disabled | Điều kiện nhóm tắt |
| Run: condition-school | Điều kiện sai trường |
| Run: condition-year | Điều kiện sai năm |
| Run: condition-missing | Điều kiện nhóm không tồn tại |
| Run: formula-disabled | Công thức nhóm tắt |
| Run: formula-school | Công thức sai trường |
| Run: formula-year | Công thức sai năm |
| Run: formula-missing | Công thức nhóm không tồn tại |</t>
        </is>
      </c>
      <c r="L102" s="9" t="inlineStr">
        <is>
          <t>Cả bốn biến thể bị từ chối; không lưu quy tắc; danh sách quy tắc không đổi; không trả về tên/dữ liệu của trường hay năm khác.
## 4. Data / Persistence (DATA)</t>
        </is>
      </c>
      <c r="M102" s="9"/>
      <c r="N102" s="9"/>
      <c r="O102" s="9">
        <v>8</v>
      </c>
      <c r="P102" s="9">
        <f>IF(OR(COUNTIF('Run Log'!$B:$B,A102)&lt;&gt;O102,COUNTIF('Run Log'!$A:$A,"RUN-TC-RS-VAL-025-condition-disabled")&lt;&gt;1,COUNTIFS('Run Log'!$A:$A,"RUN-TC-RS-VAL-025-condition-disabled",'Run Log'!$B:$B,A102,'Run Log'!$C:$C,"condition-disabled")&lt;&gt;1,COUNTIF('Run Log'!$A:$A,"RUN-TC-RS-VAL-025-condition-school")&lt;&gt;1,COUNTIFS('Run Log'!$A:$A,"RUN-TC-RS-VAL-025-condition-school",'Run Log'!$B:$B,A102,'Run Log'!$C:$C,"condition-school")&lt;&gt;1,COUNTIF('Run Log'!$A:$A,"RUN-TC-RS-VAL-025-condition-year")&lt;&gt;1,COUNTIFS('Run Log'!$A:$A,"RUN-TC-RS-VAL-025-condition-year",'Run Log'!$B:$B,A102,'Run Log'!$C:$C,"condition-year")&lt;&gt;1,COUNTIF('Run Log'!$A:$A,"RUN-TC-RS-VAL-025-condition-missing")&lt;&gt;1,COUNTIFS('Run Log'!$A:$A,"RUN-TC-RS-VAL-025-condition-missing",'Run Log'!$B:$B,A102,'Run Log'!$C:$C,"condition-missing")&lt;&gt;1,COUNTIF('Run Log'!$A:$A,"RUN-TC-RS-VAL-025-formula-disabled")&lt;&gt;1,COUNTIFS('Run Log'!$A:$A,"RUN-TC-RS-VAL-025-formula-disabled",'Run Log'!$B:$B,A102,'Run Log'!$C:$C,"formula-disabled")&lt;&gt;1,COUNTIF('Run Log'!$A:$A,"RUN-TC-RS-VAL-025-formula-school")&lt;&gt;1,COUNTIFS('Run Log'!$A:$A,"RUN-TC-RS-VAL-025-formula-school",'Run Log'!$B:$B,A102,'Run Log'!$C:$C,"formula-school")&lt;&gt;1,COUNTIF('Run Log'!$A:$A,"RUN-TC-RS-VAL-025-formula-year")&lt;&gt;1,COUNTIFS('Run Log'!$A:$A,"RUN-TC-RS-VAL-025-formula-year",'Run Log'!$B:$B,A102,'Run Log'!$C:$C,"formula-year")&lt;&gt;1,COUNTIF('Run Log'!$A:$A,"RUN-TC-RS-VAL-025-formula-missing")&lt;&gt;1,COUNTIFS('Run Log'!$A:$A,"RUN-TC-RS-VAL-025-formula-missing",'Run Log'!$B:$B,A102,'Run Log'!$C:$C,"formula-missing")&lt;&gt;1),"INCOMPLETE",IF(COUNTIFS('Run Log'!$B:$B,A102,'Run Log'!$D:$D,"PASS")=O102,"PASS",IF(COUNTIFS('Run Log'!$B:$B,A102,'Run Log'!$D:$D,"FAIL")&gt;0,"FAIL",IF(COUNTIFS('Run Log'!$B:$B,A102,'Run Log'!$D:$D,"BLOCKED")&gt;0,"BLOCKED",IF(COUNTIFS('Run Log'!$B:$B,A102,'Run Log'!$D:$D,"SKIPPED")&gt;0,"SKIPPED","NOT RUN")))))</f>
      </c>
    </row>
    <row r="103">
      <c r="A103" s="9" t="inlineStr">
        <is>
          <t>TC-RS-DATA-001</t>
        </is>
      </c>
      <c r="B103" s="9" t="inlineStr">
        <is>
          <t>Cấu hình lưu và mở lại đầy đủ, không cắt/làm tròn âm thầm</t>
        </is>
      </c>
      <c r="C103" s="9" t="inlineStr">
        <is>
          <t>G. Data • Persistence</t>
        </is>
      </c>
      <c r="D103" s="9" t="inlineStr">
        <is>
          <t>- Điều kiện: mục số thập phân (M=100).
- Dữ liệu test: mục số thập phân (M=100); quy tắc “Cố định 30” (dưới 30) với N=29.5; quy tắc tỷ lệ 30% làm tròn xuống; quy tắc công thức hai dòng (trung bình ÷ 2 × 0.8); quy tắc có bộ lọc kết hợp (khối 1 hoặc 2, nhóm Nâng cao)</t>
        </is>
      </c>
      <c r="E103" s="9" t="inlineStr">
        <is>
          <t>TBD</t>
        </is>
      </c>
      <c r="F103" s="9" t="inlineStr">
        <is>
          <t>CONFIRMED</t>
        </is>
      </c>
      <c r="G103" s="9" t="inlineStr">
        <is>
          <t>UNASSESSED</t>
        </is>
      </c>
      <c r="H103" s="9" t="inlineStr">
        <is>
          <t>tiêu chí nghiệm thu “Lưu và mở lại nhiều thiết lập” (AC-G04 «Lưu và mở lại nhiều thiết lập»); tiêu chí nghiệm thu “Giữ chính xác giá trị” (AC-G11 «Giữ chính xác giá trị»)</t>
        </is>
      </c>
      <c r="I103" s="9" t="inlineStr">
        <is>
          <t>G. Data • Persistence</t>
        </is>
      </c>
      <c r="J103" s="9" t="inlineStr">
        <is>
          <t>test-cases.vi.md</t>
        </is>
      </c>
      <c r="K103" s="9" t="inlineStr">
        <is>
          <t>1. Lưu từng quy tắc.
2. Tải lại trang, mở từng quy tắc.
3. SELECT cấu hình (khi có schema).
| Lượt chạy | Phạm vi thực hiện và đối chiếu |
| --- | --- |
| Run: fixed | Cố định 29.5 |
| Run: ratio | Tỷ lệ 30 phần trăm cắt xuống |
| Run: formula | Công thức hai dòng |
| Run: filter | Bộ lọc kết hợp |</t>
        </is>
      </c>
      <c r="L103" s="9" t="inlineStr">
        <is>
          <t>Mọi trường (tên, phạm vi, bộ lọc, điều kiện, loại, N, p, cách làm tròn, toán hạng, so sánh, thứ tự) trùng giá trị đã nhập.</t>
        </is>
      </c>
      <c r="M103" s="9"/>
      <c r="N103" s="9"/>
      <c r="O103" s="9">
        <v>4</v>
      </c>
      <c r="P103" s="9">
        <f>IF(OR(COUNTIF('Run Log'!$B:$B,A103)&lt;&gt;O103,COUNTIF('Run Log'!$A:$A,"RUN-TC-RS-DATA-001-fixed")&lt;&gt;1,COUNTIFS('Run Log'!$A:$A,"RUN-TC-RS-DATA-001-fixed",'Run Log'!$B:$B,A103,'Run Log'!$C:$C,"fixed")&lt;&gt;1,COUNTIF('Run Log'!$A:$A,"RUN-TC-RS-DATA-001-ratio")&lt;&gt;1,COUNTIFS('Run Log'!$A:$A,"RUN-TC-RS-DATA-001-ratio",'Run Log'!$B:$B,A103,'Run Log'!$C:$C,"ratio")&lt;&gt;1,COUNTIF('Run Log'!$A:$A,"RUN-TC-RS-DATA-001-formula")&lt;&gt;1,COUNTIFS('Run Log'!$A:$A,"RUN-TC-RS-DATA-001-formula",'Run Log'!$B:$B,A103,'Run Log'!$C:$C,"formula")&lt;&gt;1,COUNTIF('Run Log'!$A:$A,"RUN-TC-RS-DATA-001-filter")&lt;&gt;1,COUNTIFS('Run Log'!$A:$A,"RUN-TC-RS-DATA-001-filter",'Run Log'!$B:$B,A103,'Run Log'!$C:$C,"filter")&lt;&gt;1),"INCOMPLETE",IF(COUNTIFS('Run Log'!$B:$B,A103,'Run Log'!$D:$D,"PASS")=O103,"PASS",IF(COUNTIFS('Run Log'!$B:$B,A103,'Run Log'!$D:$D,"FAIL")&gt;0,"FAIL",IF(COUNTIFS('Run Log'!$B:$B,A103,'Run Log'!$D:$D,"BLOCKED")&gt;0,"BLOCKED",IF(COUNTIFS('Run Log'!$B:$B,A103,'Run Log'!$D:$D,"SKIPPED")&gt;0,"SKIPPED","NOT RUN")))))</f>
      </c>
    </row>
    <row r="104">
      <c r="A104" s="9" t="inlineStr">
        <is>
          <t>TC-RS-DATA-002</t>
        </is>
      </c>
      <c r="B104" s="9" t="inlineStr">
        <is>
          <t>Kết quả lưu theo định danh ô; mỗi ô chỉ một kết quả hiện hành</t>
        </is>
      </c>
      <c r="C104" s="9" t="inlineStr">
        <is>
          <t>G. Data • Persistence</t>
        </is>
      </c>
      <c r="D104" s="9" t="inlineStr">
        <is>
          <t>- Điều kiện: Đã xét S01 (mục số nguyên (M=100)) và S06 U1/U2 (mục điểm đơn vị (đơn vị U1 có M riêng 40)).
- Dữ liệu test: mục số nguyên (M=100); học sinh S01 (điểm 29), mục điểm đơn vị (đơn vị U1 có M riêng 40); quy tắc “Cố định 30” (dưới 30) (bước 4)</t>
        </is>
      </c>
      <c r="E104" s="9" t="inlineStr">
        <is>
          <t>Cao</t>
        </is>
      </c>
      <c r="F104" s="9" t="inlineStr">
        <is>
          <t>CONFIRMED</t>
        </is>
      </c>
      <c r="G104" s="9" t="inlineStr">
        <is>
          <t>UNASSESSED</t>
        </is>
      </c>
      <c r="H104" s="9" t="inlineStr">
        <is>
          <t>tiêu chí nghiệm thu “Nhận diện ô điểm” (AC-G03 «Nhận diện ô điểm»)</t>
        </is>
      </c>
      <c r="I104" s="9" t="inlineStr">
        <is>
          <t>G. Data • Persistence</t>
        </is>
      </c>
      <c r="J104" s="9" t="inlineStr">
        <is>
          <t>test-cases.vi.md</t>
        </is>
      </c>
      <c r="K104" s="9" t="inlineStr">
        <is>
          <t>1. SELECT `red_score_results` theo `school_id`, `year`, `evaluate_frame_item_id`, `group_id`, `student_id`, `tangen_id` của các ô.
2. Chạy lại nút cam, SELECT lại.
3. `SHOW INDEX FROM red_score_results`.
4. Chuẩn bị hai mục cùng tên Điểm đánh giá（評点） ở hai kỳ khác nhau; chỉ mục kỳ 1 có quy tắc “Cố định 30” (dưới 30). Đăng ký S01 = 25 ở cả hai mục, xem đầu ra và SELECT.
5. Đổi tên mục kỳ 1 và đổi thứ tự cột mục trên khung đánh giá (nếu màn hỗ trợ); xem đầu ra và SELECT lại, chưa chạy xét.
| Lượt chạy | Phạm vi thực hiện và đối chiếu |
| --- | --- |
| Run: Base | Toàn bộ thủ tục theo đúng thứ tự; các đối chứng cùng fixture được kiểm trong cùng lượt, không bỏ bước |</t>
        </is>
      </c>
      <c r="L104" s="9" t="inlineStr">
        <is>
          <t>1–3. Mỗi ô (trường, năm, mục trên khung đánh giá — gồm kỳ/thời điểm, lớp, học sinh, đơn vị) có đúng một dòng hiện hành; U1/U2 của S06 là hai dòng; ô điểm thường có `tangen_id=0`. Chạy lại không tạo dòng thứ hai.
4. Ô kỳ 1 Đỏ; ô kỳ 2 không có dấu đỏ (không mượn quy tắc hay kết quả của mục cùng tên); hai kết quả gắn đúng `evaluate_frame_item_id` của từng mục.
5. Kết quả Đỏ vẫn gắn với đúng mục kỳ 1 (không theo số thứ tự cột hay tên mục).</t>
        </is>
      </c>
      <c r="M104" s="9"/>
      <c r="N104" s="9"/>
      <c r="O104" s="9">
        <v>1</v>
      </c>
      <c r="P104" s="9">
        <f>IF(OR(COUNTIF('Run Log'!$B:$B,A104)&lt;&gt;O104,COUNTIF('Run Log'!$A:$A,"RUN-TC-RS-DATA-002-Base")&lt;&gt;1,COUNTIFS('Run Log'!$A:$A,"RUN-TC-RS-DATA-002-Base",'Run Log'!$B:$B,A104,'Run Log'!$C:$C,"Base")&lt;&gt;1),"INCOMPLETE",IF(COUNTIFS('Run Log'!$B:$B,A104,'Run Log'!$D:$D,"PASS")=O104,"PASS",IF(COUNTIFS('Run Log'!$B:$B,A104,'Run Log'!$D:$D,"FAIL")&gt;0,"FAIL",IF(COUNTIFS('Run Log'!$B:$B,A104,'Run Log'!$D:$D,"BLOCKED")&gt;0,"BLOCKED",IF(COUNTIFS('Run Log'!$B:$B,A104,'Run Log'!$D:$D,"SKIPPED")&gt;0,"SKIPPED","NOT RUN")))))</f>
      </c>
    </row>
    <row r="105">
      <c r="A105" s="9" t="inlineStr">
        <is>
          <t>TC-RS-DATA-003</t>
        </is>
      </c>
      <c r="B105" s="9" t="inlineStr">
        <is>
          <t>Sáu trạng thái phân biệt được khi lưu</t>
        </is>
      </c>
      <c r="C105" s="9" t="inlineStr">
        <is>
          <t>G. Data • Persistence</t>
        </is>
      </c>
      <c r="D105" s="9" t="inlineStr">
        <is>
          <t>- Điều kiện: Có ô ở mỗi trạng thái: Đỏ (S01), Không đỏ (S03), Chưa từng xét (ô mới chưa chạy), Chưa xét được (case “Chưa có kết quả tổng hợp → Chưa xét được, không thay bằng 0 hay nhóm khác”), Không áp dụng (case “Không quy tắc nào khớp khi đủ dữ liệu → Không áp dụng”), Không có điểm (S05).
- Dữ liệu test: quy tắc “Cố định 30” (dưới 30); học sinh S01 (điểm 29), học sinh S03 (điểm 31), học sinh S05 (ô trống)</t>
        </is>
      </c>
      <c r="E105" s="9" t="inlineStr">
        <is>
          <t>Cao</t>
        </is>
      </c>
      <c r="F105" s="9" t="inlineStr">
        <is>
          <t>CONFIRMED</t>
        </is>
      </c>
      <c r="G105" s="9" t="inlineStr">
        <is>
          <t>UNASSESSED</t>
        </is>
      </c>
      <c r="H105" s="9" t="inlineStr">
        <is>
          <t>tiêu chí nghiệm thu “Trạng thái sau lần chạy” (AC-G20 «Trạng thái sau lần chạy»)</t>
        </is>
      </c>
      <c r="I105" s="9" t="inlineStr">
        <is>
          <t>G. Data • Persistence</t>
        </is>
      </c>
      <c r="J105" s="9" t="inlineStr">
        <is>
          <t>test-cases.vi.md</t>
        </is>
      </c>
      <c r="K105" s="9" t="inlineStr">
        <is>
          <t>1. SELECT `judgment_status`, `is_red`, `red_score_setting_id`, `reason_code` của các ô.
2. Đổi ngưỡng quy tắc “Cố định 30” (dưới 30) thành 35 (chỉ lưu), SELECT lại ô S03.
| Lượt chạy | Phạm vi thực hiện và đối chiếu |
| --- | --- |
| Run: Base | Toàn bộ thủ tục theo đúng thứ tự; các đối chứng cùng fixture được kiểm trong cùng lượt, không bỏ bước |</t>
        </is>
      </c>
      <c r="L105" s="9" t="inlineStr">
        <is>
          <t>1. Sáu trạng thái phân biệt được, không gộp Chưa xét được với Không áp dụng hay Không đỏ. Việc dùng cột, mã số, `reason_code` hoặc `red_score_setting_id` cụ thể là phần thiết kế DB cần đối chiếu khi schema được chốt; không dùng mapping đề xuất làm business oracle. Bất kể cách lưu, kết quả quan sát phải phân biệt rõ sáu trạng thái và trạng thái Đang chờ chạy lại.
2. Dòng của S03 giữ nguyên (đang chờ chạy lại không có trạng thái riêng).</t>
        </is>
      </c>
      <c r="M105" s="9"/>
      <c r="N105" s="9"/>
      <c r="O105" s="9">
        <v>1</v>
      </c>
      <c r="P105" s="9">
        <f>IF(OR(COUNTIF('Run Log'!$B:$B,A105)&lt;&gt;O105,COUNTIF('Run Log'!$A:$A,"RUN-TC-RS-DATA-003-Base")&lt;&gt;1,COUNTIFS('Run Log'!$A:$A,"RUN-TC-RS-DATA-003-Base",'Run Log'!$B:$B,A105,'Run Log'!$C:$C,"Base")&lt;&gt;1),"INCOMPLETE",IF(COUNTIFS('Run Log'!$B:$B,A105,'Run Log'!$D:$D,"PASS")=O105,"PASS",IF(COUNTIFS('Run Log'!$B:$B,A105,'Run Log'!$D:$D,"FAIL")&gt;0,"FAIL",IF(COUNTIFS('Run Log'!$B:$B,A105,'Run Log'!$D:$D,"BLOCKED")&gt;0,"BLOCKED",IF(COUNTIFS('Run Log'!$B:$B,A105,'Run Log'!$D:$D,"SKIPPED")&gt;0,"SKIPPED","NOT RUN")))))</f>
      </c>
    </row>
    <row r="106">
      <c r="A106" s="9" t="inlineStr">
        <is>
          <t>TC-RS-DATA-004</t>
        </is>
      </c>
      <c r="B106" s="9" t="inlineStr">
        <is>
          <t>Xóa quy tắc không xóa dây chuyền kết quả hay điểm</t>
        </is>
      </c>
      <c r="C106" s="9" t="inlineStr">
        <is>
          <t>G. Data • Persistence</t>
        </is>
      </c>
      <c r="D106" s="9" t="inlineStr">
        <is>
          <t>- Điều kiện: quy tắc “Cố định 30” (dưới 30); S01 Đỏ.
- Dữ liệu test: quy tắc “Cố định 30” (dưới 30); học sinh S01 (điểm 29)</t>
        </is>
      </c>
      <c r="E106" s="9" t="inlineStr">
        <is>
          <t>Cao</t>
        </is>
      </c>
      <c r="F106" s="9" t="inlineStr">
        <is>
          <t>CONFIRMED</t>
        </is>
      </c>
      <c r="G106" s="9" t="inlineStr">
        <is>
          <t>UNASSESSED</t>
        </is>
      </c>
      <c r="H106" s="9" t="inlineStr">
        <is>
          <t>đặc tả v2 mục 4.1 “Điểm vào và trạng thái trống”, mục 12.2 “Điểm tích hợp chính”</t>
        </is>
      </c>
      <c r="I106" s="9" t="inlineStr">
        <is>
          <t>G. Data • Persistence</t>
        </is>
      </c>
      <c r="J106" s="9" t="inlineStr">
        <is>
          <t>test-cases.vi.md</t>
        </is>
      </c>
      <c r="K106" s="9" t="inlineStr">
        <is>
          <t>1. Xóa quy tắc “Cố định 30” (dưới 30).
2. SELECT kết quả và điểm của S01.
| Lượt chạy | Phạm vi thực hiện và đối chiếu |
| --- | --- |
| Run: Base | Toàn bộ thủ tục theo đúng thứ tự; các đối chứng cùng fixture được kiểm trong cùng lượt, không bỏ bước |</t>
        </is>
      </c>
      <c r="L106" s="9" t="inlineStr">
        <is>
          <t>Kết quả S01 vẫn còn; điểm 29 giữ nguyên.</t>
        </is>
      </c>
      <c r="M106" s="9"/>
      <c r="N106" s="9"/>
      <c r="O106" s="9">
        <v>1</v>
      </c>
      <c r="P106" s="9">
        <f>IF(OR(COUNTIF('Run Log'!$B:$B,A106)&lt;&gt;O106,COUNTIF('Run Log'!$A:$A,"RUN-TC-RS-DATA-004-Base")&lt;&gt;1,COUNTIFS('Run Log'!$A:$A,"RUN-TC-RS-DATA-004-Base",'Run Log'!$B:$B,A106,'Run Log'!$C:$C,"Base")&lt;&gt;1),"INCOMPLETE",IF(COUNTIFS('Run Log'!$B:$B,A106,'Run Log'!$D:$D,"PASS")=O106,"PASS",IF(COUNTIFS('Run Log'!$B:$B,A106,'Run Log'!$D:$D,"FAIL")&gt;0,"FAIL",IF(COUNTIFS('Run Log'!$B:$B,A106,'Run Log'!$D:$D,"BLOCKED")&gt;0,"BLOCKED",IF(COUNTIFS('Run Log'!$B:$B,A106,'Run Log'!$D:$D,"SKIPPED")&gt;0,"SKIPPED","NOT RUN")))))</f>
      </c>
    </row>
    <row r="107">
      <c r="A107" s="9" t="inlineStr">
        <is>
          <t>TC-RS-DATA-005</t>
        </is>
      </c>
      <c r="B107" s="9" t="inlineStr">
        <is>
          <t>Xét điểm đỏ không ghi đè điểm học sinh</t>
        </is>
      </c>
      <c r="C107" s="9" t="inlineStr">
        <is>
          <t>G. Data • Persistence</t>
        </is>
      </c>
      <c r="D107" s="9" t="inlineStr">
        <is>
          <t>- Điều kiện: học sinh S01–S09 có điểm. quy tắc công thức hai dòng (trung bình ÷ 2 × 0.8) (có làm tròn).
- Dữ liệu test: quy tắc công thức hai dòng (trung bình ÷ 2 × 0.8); học sinh S01–S09</t>
        </is>
      </c>
      <c r="E107" s="9" t="inlineStr">
        <is>
          <t>Cao</t>
        </is>
      </c>
      <c r="F107" s="9" t="inlineStr">
        <is>
          <t>CONFIRMED</t>
        </is>
      </c>
      <c r="G107" s="9" t="inlineStr">
        <is>
          <t>UNASSESSED</t>
        </is>
      </c>
      <c r="H107" s="9" t="inlineStr">
        <is>
          <t>đặc tả v2 mục 6.4 “Công thức dùng trung bình”, mục 7.1 “Trình tự cho một ô”</t>
        </is>
      </c>
      <c r="I107" s="9" t="inlineStr">
        <is>
          <t>G. Data • Persistence</t>
        </is>
      </c>
      <c r="J107" s="9" t="inlineStr">
        <is>
          <t>test-cases.vi.md</t>
        </is>
      </c>
      <c r="K107" s="9" t="inlineStr">
        <is>
          <t>1. SELECT điểm trước.
2. Chạy nút cam.
3. SELECT điểm sau.
| Lượt chạy | Phạm vi thực hiện và đối chiếu |
| --- | --- |
| Run: Base | Toàn bộ thủ tục theo đúng thứ tự; các đối chứng cùng fixture được kiểm trong cùng lượt, không bỏ bước |</t>
        </is>
      </c>
      <c r="L107" s="9" t="inlineStr">
        <is>
          <t>Mọi điểm giữ nguyên (kể cả S09=29.5).</t>
        </is>
      </c>
      <c r="M107" s="9"/>
      <c r="N107" s="9"/>
      <c r="O107" s="9">
        <v>1</v>
      </c>
      <c r="P107" s="9">
        <f>IF(OR(COUNTIF('Run Log'!$B:$B,A107)&lt;&gt;O107,COUNTIF('Run Log'!$A:$A,"RUN-TC-RS-DATA-005-Base")&lt;&gt;1,COUNTIFS('Run Log'!$A:$A,"RUN-TC-RS-DATA-005-Base",'Run Log'!$B:$B,A107,'Run Log'!$C:$C,"Base")&lt;&gt;1),"INCOMPLETE",IF(COUNTIFS('Run Log'!$B:$B,A107,'Run Log'!$D:$D,"PASS")=O107,"PASS",IF(COUNTIFS('Run Log'!$B:$B,A107,'Run Log'!$D:$D,"FAIL")&gt;0,"FAIL",IF(COUNTIFS('Run Log'!$B:$B,A107,'Run Log'!$D:$D,"BLOCKED")&gt;0,"BLOCKED",IF(COUNTIFS('Run Log'!$B:$B,A107,'Run Log'!$D:$D,"SKIPPED")&gt;0,"SKIPPED","NOT RUN")))))</f>
      </c>
    </row>
    <row r="108">
      <c r="A108" s="9" t="inlineStr">
        <is>
          <t>TC-RS-DATA-007</t>
        </is>
      </c>
      <c r="B108" s="9" t="inlineStr">
        <is>
          <t>Cấu hình trình bày ở từng đầu ra lưu riêng, không làm đổi quy tắc/kết quả</t>
        </is>
      </c>
      <c r="C108" s="9" t="inlineStr">
        <is>
          <t>G. Data • Persistence</t>
        </is>
      </c>
      <c r="D108" s="9" t="inlineStr">
        <is>
          <t>- Điều kiện: cấu hình trích xuất: lọc, ký hiệu “*” phía trước, tô màu, cấu hình công khai: “*” phía trước, cấu hình phiếu điểm: ký tự “※” phía trước.
- Dữ liệu test: cấu hình trích xuất: lọc, ký hiệu “*” phía trước, tô màu, cấu hình công khai: “*” phía trước, cấu hình phiếu điểm: ký tự “※” phía trước</t>
        </is>
      </c>
      <c r="E108" s="9" t="inlineStr">
        <is>
          <t>Cao</t>
        </is>
      </c>
      <c r="F108" s="9" t="inlineStr">
        <is>
          <t>CONFIRMED</t>
        </is>
      </c>
      <c r="G108" s="9" t="inlineStr">
        <is>
          <t>UNASSESSED</t>
        </is>
      </c>
      <c r="H108" s="9" t="inlineStr">
        <is>
          <t>đặc tả v2 mục 9.1 “Thiết lập”, mục 10.1 “Phạm vi và tùy chọn”, mục 11.1 “Tùy chọn hiển thị đỏ”</t>
        </is>
      </c>
      <c r="I108" s="9" t="inlineStr">
        <is>
          <t>G. Data • Persistence</t>
        </is>
      </c>
      <c r="J108" s="9" t="inlineStr">
        <is>
          <t>test-cases.vi.md</t>
        </is>
      </c>
      <c r="K108" s="9" t="inlineStr">
        <is>
          <t>1. Đổi từng cấu hình đầu ra, lưu.
2. Kiểm quy tắc và kết quả xét.
| Lượt chạy | Phạm vi thực hiện và đối chiếu |
| --- | --- |
| Run: extract | Cấu hình trích xuất |
| Run: publish | Cấu hình công khai |
| Run: report | Cấu hình phiếu điểm |</t>
        </is>
      </c>
      <c r="L108" s="9" t="inlineStr">
        <is>
          <t>Quy tắc và kết quả không đổi; cấu hình mỗi đầu ra độc lập (đổi công khai không đổi trích xuất).</t>
        </is>
      </c>
      <c r="M108" s="9"/>
      <c r="N108" s="9"/>
      <c r="O108" s="9">
        <v>3</v>
      </c>
      <c r="P108" s="9">
        <f>IF(OR(COUNTIF('Run Log'!$B:$B,A108)&lt;&gt;O108,COUNTIF('Run Log'!$A:$A,"RUN-TC-RS-DATA-007-extract")&lt;&gt;1,COUNTIFS('Run Log'!$A:$A,"RUN-TC-RS-DATA-007-extract",'Run Log'!$B:$B,A108,'Run Log'!$C:$C,"extract")&lt;&gt;1,COUNTIF('Run Log'!$A:$A,"RUN-TC-RS-DATA-007-publish")&lt;&gt;1,COUNTIFS('Run Log'!$A:$A,"RUN-TC-RS-DATA-007-publish",'Run Log'!$B:$B,A108,'Run Log'!$C:$C,"publish")&lt;&gt;1,COUNTIF('Run Log'!$A:$A,"RUN-TC-RS-DATA-007-report")&lt;&gt;1,COUNTIFS('Run Log'!$A:$A,"RUN-TC-RS-DATA-007-report",'Run Log'!$B:$B,A108,'Run Log'!$C:$C,"report")&lt;&gt;1),"INCOMPLETE",IF(COUNTIFS('Run Log'!$B:$B,A108,'Run Log'!$D:$D,"PASS")=O108,"PASS",IF(COUNTIFS('Run Log'!$B:$B,A108,'Run Log'!$D:$D,"FAIL")&gt;0,"FAIL",IF(COUNTIFS('Run Log'!$B:$B,A108,'Run Log'!$D:$D,"BLOCKED")&gt;0,"BLOCKED",IF(COUNTIFS('Run Log'!$B:$B,A108,'Run Log'!$D:$D,"SKIPPED")&gt;0,"SKIPPED","NOT RUN")))))</f>
      </c>
    </row>
    <row r="109">
      <c r="A109" s="9" t="inlineStr">
        <is>
          <t>TC-RS-DATA-008</t>
        </is>
      </c>
      <c r="B109" s="9" t="inlineStr">
        <is>
          <t>Lưu thông tin giải thích kết quả</t>
        </is>
      </c>
      <c r="C109" s="9" t="inlineStr">
        <is>
          <t>G. Data • Persistence</t>
        </is>
      </c>
      <c r="D109" s="9" t="inlineStr">
        <is>
          <t>- Điều kiện: Có ô Đỏ, ô Chưa xét được, ô Không áp dụng và (nếu tạo được) một ô chưa từng xét đã có dòng điều khiển; một ô dùng quy tắc Tỷ lệ (quy tắc tỷ lệ 30%); một ô dùng quy tắc có nguồn trung bình (quy tắc công thức hai dòng (trung bình ÷ 2 × 0.8)).
- Dữ liệu test: học sinh S01 (điểm 29); quy tắc tỷ lệ 30%; quy tắc công thức hai dòng (trung bình ÷ 2 × 0.8)</t>
        </is>
      </c>
      <c r="E109" s="9" t="inlineStr">
        <is>
          <t>TBD</t>
        </is>
      </c>
      <c r="F109" s="9" t="inlineStr">
        <is>
          <t>PROPOSED</t>
        </is>
      </c>
      <c r="G109" s="9" t="inlineStr">
        <is>
          <t>UNASSESSED</t>
        </is>
      </c>
      <c r="H109" s="9" t="inlineStr">
        <is>
          <t>đặc tả v2 mục 12.1 “Dữ liệu cấu hình và kết quả cần quản lý”</t>
        </is>
      </c>
      <c r="I109" s="9" t="inlineStr">
        <is>
          <t>G. Data • Persistence</t>
        </is>
      </c>
      <c r="J109" s="9" t="inlineStr">
        <is>
          <t>test-cases.vi.md</t>
        </is>
      </c>
      <c r="K109" s="9" t="inlineStr">
        <is>
          <t>1. SELECT `red_score_setting_id`, `reason_code`, `judgment_context`, `judged_at` của ô Đỏ (S01), ô Chưa xét được, ô Không áp dụng, ô chưa từng xét, ô Tỷ lệ và ô có nguồn.
2. Làm ô S01 chuyển từ Đỏ sang Không áp dụng (như case “Xóa quy tắc cuối: giữ kết quả tới lần chạy lại; chạy lại → Không áp dụng”), SELECT lại.
| Lượt chạy | Phạm vi thực hiện và đối chiếu |
| --- | --- |
| Run: Base | Toàn bộ thủ tục theo đúng thứ tự; các đối chứng cùng fixture được kiểm trong cùng lượt, không bỏ bước |</t>
        </is>
      </c>
      <c r="L109" s="9" t="inlineStr">
        <is>
          <t>1. Ô Đỏ: có quy tắc được chọn; `judgment_context` có `score`="29", `threshold` dạng tử/mẫu (30/1), `compare_type`=1, `sources` rỗng với quy tắc cố định. Ô Chưa xét được: có `reason_code` (ví dụ `source_missing`). `judged_at` có giá trị cho cả ô Chưa xét được và Không áp dụng; NULL ở ô chưa từng xét. Ô có điểm hợp lệ: `judgment_context` có `grade_id` (ID dòng điểm nguồn). Ô Tỷ lệ: `judgment_context` có `maximum`. Ô có nguồn: `sources[]` có `usage`, `kind`, `reference`, `population_key`; với nhóm môn học（科目グループ） có thêm `resolved_population_type`/`resolved_population_ref_id` nhưng vẫn giữ loại/ID đã chọn. Không có tên học sinh, thông tin liên hệ hay câu lỗi SQL.
2. Sau khi chuyển sang Không áp dụng: không còn giữ ngưỡng, dấu so sánh hay nguồn của lần Đỏ trước.</t>
        </is>
      </c>
      <c r="M109" s="9"/>
      <c r="N109" s="9"/>
      <c r="O109" s="9">
        <v>1</v>
      </c>
      <c r="P109" s="9">
        <f>IF(OR(COUNTIF('Run Log'!$B:$B,A109)&lt;&gt;O109,COUNTIF('Run Log'!$A:$A,"RUN-TC-RS-DATA-008-Base")&lt;&gt;1,COUNTIFS('Run Log'!$A:$A,"RUN-TC-RS-DATA-008-Base",'Run Log'!$B:$B,A109,'Run Log'!$C:$C,"Base")&lt;&gt;1),"INCOMPLETE",IF(COUNTIFS('Run Log'!$B:$B,A109,'Run Log'!$D:$D,"PASS")=O109,"PASS",IF(COUNTIFS('Run Log'!$B:$B,A109,'Run Log'!$D:$D,"FAIL")&gt;0,"FAIL",IF(COUNTIFS('Run Log'!$B:$B,A109,'Run Log'!$D:$D,"BLOCKED")&gt;0,"BLOCKED",IF(COUNTIFS('Run Log'!$B:$B,A109,'Run Log'!$D:$D,"SKIPPED")&gt;0,"SKIPPED","NOT RUN")))))</f>
      </c>
    </row>
    <row r="110">
      <c r="A110" s="9" t="inlineStr">
        <is>
          <t>TC-RS-DATA-010</t>
        </is>
      </c>
      <c r="B110" s="9" t="inlineStr">
        <is>
          <t>Sao chép mẫu phiếu điểm giữ lựa chọn hiển thị đỏ</t>
        </is>
      </c>
      <c r="C110" s="9" t="inlineStr">
        <is>
          <t>G. Data • Persistence</t>
        </is>
      </c>
      <c r="D110" s="9" t="inlineStr">
        <is>
          <t>- Điều kiện: Mẫu phiếu A có cấu hình phiếu điểm: ký tự “※” phía trước; mẫu phiếu B chỉ bật điều kiện đỏ (các dòng khác không dùng).
- Dữ liệu test: cấu hình phiếu điểm: ký tự “※” phía trước</t>
        </is>
      </c>
      <c r="E110" s="9" t="inlineStr">
        <is>
          <t>Cao</t>
        </is>
      </c>
      <c r="F110" s="9" t="inlineStr">
        <is>
          <t>CONFIRMED</t>
        </is>
      </c>
      <c r="G110" s="9" t="inlineStr">
        <is>
          <t>UNASSESSED</t>
        </is>
      </c>
      <c r="H110" s="9" t="inlineStr">
        <is>
          <t>tiêu chí nghiệm thu “Lưu, sao chép và PDF phiếu” (AC-G37 «Lưu, sao chép và PDF phiếu»)</t>
        </is>
      </c>
      <c r="I110" s="9" t="inlineStr">
        <is>
          <t>G. Data • Persistence</t>
        </is>
      </c>
      <c r="J110" s="9" t="inlineStr">
        <is>
          <t>test-cases.vi.md</t>
        </is>
      </c>
      <c r="K110" s="9" t="inlineStr">
        <is>
          <t>1. Sao chép mẫu A và mẫu B.
2. Mở dòng Thiết lập điểm đỏ（赤点設定） ở từng bản sao.
3. Xuất PDF bản sao với S01.
| Lượt chạy | Phạm vi thực hiện và đối chiếu |
| --- | --- |
| Run: template-a | Sao chép và xuất mẫu A |
| Run: template-b | Sao chép và xuất mẫu B |</t>
        </is>
      </c>
      <c r="L110" s="9" t="inlineStr">
        <is>
          <t>1–2. Bản sao giữ lựa chọn Ký tự phía trước（前に任意の文字） `※`; mẫu chỉ dùng điều kiện đỏ vẫn còn hiệu lực.
3. PDF: ô S01 hiển thị `※29`. Không sao chép kết quả xét của học sinh.</t>
        </is>
      </c>
      <c r="M110" s="9"/>
      <c r="N110" s="9"/>
      <c r="O110" s="9">
        <v>2</v>
      </c>
      <c r="P110" s="9">
        <f>IF(OR(COUNTIF('Run Log'!$B:$B,A110)&lt;&gt;O110,COUNTIF('Run Log'!$A:$A,"RUN-TC-RS-DATA-010-template-a")&lt;&gt;1,COUNTIFS('Run Log'!$A:$A,"RUN-TC-RS-DATA-010-template-a",'Run Log'!$B:$B,A110,'Run Log'!$C:$C,"template-a")&lt;&gt;1,COUNTIF('Run Log'!$A:$A,"RUN-TC-RS-DATA-010-template-b")&lt;&gt;1,COUNTIFS('Run Log'!$A:$A,"RUN-TC-RS-DATA-010-template-b",'Run Log'!$B:$B,A110,'Run Log'!$C:$C,"template-b")&lt;&gt;1),"INCOMPLETE",IF(COUNTIFS('Run Log'!$B:$B,A110,'Run Log'!$D:$D,"PASS")=O110,"PASS",IF(COUNTIFS('Run Log'!$B:$B,A110,'Run Log'!$D:$D,"FAIL")&gt;0,"FAIL",IF(COUNTIFS('Run Log'!$B:$B,A110,'Run Log'!$D:$D,"BLOCKED")&gt;0,"BLOCKED",IF(COUNTIFS('Run Log'!$B:$B,A110,'Run Log'!$D:$D,"SKIPPED")&gt;0,"SKIPPED","NOT RUN")))))</f>
      </c>
    </row>
    <row r="111">
      <c r="A111" s="9" t="inlineStr">
        <is>
          <t>TC-RS-DATA-011</t>
        </is>
      </c>
      <c r="B111" s="9" t="inlineStr">
        <is>
          <t>Bảng/cột mới theo quy tắc schema của BLEND</t>
        </is>
      </c>
      <c r="C111" s="9" t="inlineStr">
        <is>
          <t>G. Data • Persistence</t>
        </is>
      </c>
      <c r="D111" s="9" t="inlineStr">
        <is>
          <t>- Điều kiện: Build có migration của tính năng.
- Dữ liệu test: quyền đọc DB local (chỉ SELECT/SHOW)</t>
        </is>
      </c>
      <c r="E111" s="9" t="inlineStr">
        <is>
          <t>TBD</t>
        </is>
      </c>
      <c r="F111" s="9" t="inlineStr">
        <is>
          <t>CONFIRMED</t>
        </is>
      </c>
      <c r="G111" s="9" t="inlineStr">
        <is>
          <t>UNASSESSED</t>
        </is>
      </c>
      <c r="H111" s="9" t="inlineStr">
        <is>
          <t>đặc tả v2 mục 12.1 “Dữ liệu cấu hình và kết quả cần quản lý”, mục 12.3 “Không chuyển đổi dữ liệu đỏ cũ”</t>
        </is>
      </c>
      <c r="I111" s="9" t="inlineStr">
        <is>
          <t>G. Data • Persistence</t>
        </is>
      </c>
      <c r="J111" s="9" t="inlineStr">
        <is>
          <t>test-cases.vi.md</t>
        </is>
      </c>
      <c r="K111" s="9" t="inlineStr">
        <is>
          <t>1. `SHOW CREATE TABLE` và `SHOW FULL COLUMNS` cho `red_score_settings`, `red_score_results`.
2. `SHOW CREATE TABLE` cho `grade_publish_conf_grade_items` và `grade_evaluate_frame_items`; so với bản trước migration (hoặc DDL gốc trong source).
| Lượt chạy | Phạm vi thực hiện và đối chiếu |
| --- | --- |
| Run: Base | Toàn bộ thủ tục theo đúng thứ tự; các đối chứng cùng fixture được kiểm trong cùng lượt, không bỏ bước |</t>
        </is>
      </c>
      <c r="L111" s="9" t="inlineStr">
        <is>
          <t>1. Có phạm vi trường/năm, cột audit và comment theo quy tắc schema hiện hành. Đối chiếu thêm với thiết kế (PROPOSED): InnoDB, `utf8mb4`/`utf8mb4_general_ci`, không khai báo foreign key, có `idx_red_score_settings_01`, `uk_red_score_results_01`, `idx_red_score_results_01`, `setting_status` mặc định 0 và phân biệt rõ trạng thái 0/1/2; `red_score_results` có thêm `cell_generation`, `write_version` (mặc định 0), `judged_version`, `rule_revision` (cho phép NULL); bảng/cột cũ (`red_score`, `changed_red_score`) không đổi.
2. (PROPOSED) Chỉ thêm `red_score_display_type TINYINT UNSIGNED NOT NULL DEFAULT 0` vào `grade_publish_conf_grade_items` và `red_score_revision BIGINT UNSIGNED NOT NULL DEFAULT 0` vào `grade_evaluate_frame_items`; không đổi kiểu/khóa/collation của cột có sẵn, không thêm index hay foreign key. Thiết lập đỏ của Trích xuất thành tích（成績抽出） và Công cụ phiếu điểm（通知表ツール） không có cột/bảng mới (dùng JSON `grade_extract_conf.extract_setting` và phần lưu bảng/điều kiện phiếu điểm hiện có).</t>
        </is>
      </c>
      <c r="M111" s="9"/>
      <c r="N111" s="9"/>
      <c r="O111" s="9">
        <v>1</v>
      </c>
      <c r="P111" s="9">
        <f>IF(OR(COUNTIF('Run Log'!$B:$B,A111)&lt;&gt;O111,COUNTIF('Run Log'!$A:$A,"RUN-TC-RS-DATA-011-Base")&lt;&gt;1,COUNTIFS('Run Log'!$A:$A,"RUN-TC-RS-DATA-011-Base",'Run Log'!$B:$B,A111,'Run Log'!$C:$C,"Base")&lt;&gt;1),"INCOMPLETE",IF(COUNTIFS('Run Log'!$B:$B,A111,'Run Log'!$D:$D,"PASS")=O111,"PASS",IF(COUNTIFS('Run Log'!$B:$B,A111,'Run Log'!$D:$D,"FAIL")&gt;0,"FAIL",IF(COUNTIFS('Run Log'!$B:$B,A111,'Run Log'!$D:$D,"BLOCKED")&gt;0,"BLOCKED",IF(COUNTIFS('Run Log'!$B:$B,A111,'Run Log'!$D:$D,"SKIPPED")&gt;0,"SKIPPED","NOT RUN")))))</f>
      </c>
    </row>
    <row r="112">
      <c r="A112" s="9" t="inlineStr">
        <is>
          <t>TC-RS-DATA-012</t>
        </is>
      </c>
      <c r="B112" s="9" t="inlineStr">
        <is>
          <t>Lưu, đọc lại và sao chép hiệu ứng đỏ theo dòng mục của cấu hình công khai</t>
        </is>
      </c>
      <c r="C112" s="9" t="inlineStr">
        <is>
          <t>G. Data • Persistence</t>
        </is>
      </c>
      <c r="D112" s="9" t="inlineStr">
        <is>
          <t>- Điều kiện: Build có migration thêm `red_score_display_type`; cấu hình công khai tạo trước khi migrate (dòng cũ) và hai cấu hình X, Y theo hai cấu hình công khai cùng một mục.
- Dữ liệu test: hai cấu hình công khai cùng một mục, cấu hình công khai có mục điểm thường và mục điểm đơn vị; quyền đọc DB local (chỉ SELECT/SHOW); tài khoản phụ trách đầu ra (trích xuất, công khai, phiếu điểm), tài khoản của trường B</t>
        </is>
      </c>
      <c r="E112" s="9" t="inlineStr">
        <is>
          <t>TBD</t>
        </is>
      </c>
      <c r="F112" s="9" t="inlineStr">
        <is>
          <t>PROPOSED</t>
        </is>
      </c>
      <c r="G112" s="9" t="inlineStr">
        <is>
          <t>UNASSESSED</t>
        </is>
      </c>
      <c r="H112" s="9" t="inlineStr">
        <is>
          <t>đặc tả v2 mục 10.1 “Phạm vi và tùy chọn”</t>
        </is>
      </c>
      <c r="I112" s="9" t="inlineStr">
        <is>
          <t>G. Data • Persistence</t>
        </is>
      </c>
      <c r="J112" s="9" t="inlineStr">
        <is>
          <t>test-cases.vi.md</t>
        </is>
      </c>
      <c r="K112" s="9" t="inlineStr">
        <is>
          <t>1. SELECT `grade_publish_conf_id`, `year`, `evaluate_item_id`, `tangen_flg`, `red_score_display_type` của X, Y và của cấu hình cũ.
2. Mở cấu hình cũ trên màn, xem màn học sinh của cấu hình đó.
3. Sao chép X; SELECT dòng của bản sao.
4. Gửi request lưu với `red_score_display_type`=4, và với ID cấu hình công khai của trường B (tài khoản của trường B / trường B (trường khác)).
| Lượt chạy | Phạm vi thực hiện và đối chiếu |
| --- | --- |
| Run: read-copy | Bước 1–3 đọc cấu hình cũ và sao chép |
| Run: invalid-enum | Bước 4 giá trị 4 |
| Run: foreign-school | Bước 4 ID trường B |</t>
        </is>
      </c>
      <c r="L112" s="9" t="inlineStr">
        <is>
          <t>1. X: 1 (ngoặc) ở dòng mục số nguyên (M=100); Y: 2 (`*` trước); dòng thường/đơn vị tách theo `tangen_flg`. Không có cột hiệu ứng trong bảng kết quả của học sinh.
2. Dòng cũ có giá trị 0; hiển thị giữ như trước khi có chức năng.
3. Bản sao có ID cấu hình mới và giữ giá trị 1; không có dòng kết quả học sinh nào được sao chép.
4. Bị từ chối; giá trị đã lưu không đổi.</t>
        </is>
      </c>
      <c r="M112" s="9"/>
      <c r="N112" s="9"/>
      <c r="O112" s="9">
        <v>3</v>
      </c>
      <c r="P112" s="9">
        <f>IF(OR(COUNTIF('Run Log'!$B:$B,A112)&lt;&gt;O112,COUNTIF('Run Log'!$A:$A,"RUN-TC-RS-DATA-012-read-copy")&lt;&gt;1,COUNTIFS('Run Log'!$A:$A,"RUN-TC-RS-DATA-012-read-copy",'Run Log'!$B:$B,A112,'Run Log'!$C:$C,"read-copy")&lt;&gt;1,COUNTIF('Run Log'!$A:$A,"RUN-TC-RS-DATA-012-invalid-enum")&lt;&gt;1,COUNTIFS('Run Log'!$A:$A,"RUN-TC-RS-DATA-012-invalid-enum",'Run Log'!$B:$B,A112,'Run Log'!$C:$C,"invalid-enum")&lt;&gt;1,COUNTIF('Run Log'!$A:$A,"RUN-TC-RS-DATA-012-foreign-school")&lt;&gt;1,COUNTIFS('Run Log'!$A:$A,"RUN-TC-RS-DATA-012-foreign-school",'Run Log'!$B:$B,A112,'Run Log'!$C:$C,"foreign-school")&lt;&gt;1),"INCOMPLETE",IF(COUNTIFS('Run Log'!$B:$B,A112,'Run Log'!$D:$D,"PASS")=O112,"PASS",IF(COUNTIFS('Run Log'!$B:$B,A112,'Run Log'!$D:$D,"FAIL")&gt;0,"FAIL",IF(COUNTIFS('Run Log'!$B:$B,A112,'Run Log'!$D:$D,"BLOCKED")&gt;0,"BLOCKED",IF(COUNTIFS('Run Log'!$B:$B,A112,'Run Log'!$D:$D,"SKIPPED")&gt;0,"SKIPPED","NOT RUN")))))</f>
      </c>
    </row>
    <row r="113">
      <c r="A113" s="9" t="inlineStr">
        <is>
          <t>TC-RS-DATA-013</t>
        </is>
      </c>
      <c r="B113" s="9" t="inlineStr">
        <is>
          <t>Phiên bản quy tắc, dòng điều khiển và thế hệ ô được cập nhật đúng sự kiện</t>
        </is>
      </c>
      <c r="C113" s="9" t="inlineStr">
        <is>
          <t>G. Data • Persistence</t>
        </is>
      </c>
      <c r="D113" s="9" t="inlineStr">
        <is>
          <t>- Điều kiện: Build có migration v2. mục số nguyên (M=100) có quy tắc “Cố định 30” (dưới 30) và cặp quy tắc cùng áp dụng (dưới 20 và dưới 30); S01 = 29 đã được xét (Đỏ); ô S02 chưa từng xét.
- Dữ liệu test: mục số nguyên (M=100); quy tắc “Cố định 30” (dưới 30), cặp quy tắc cùng áp dụng (dưới 20 và dưới 30); học sinh S01 (điểm 29), học sinh S02 (điểm 30); quyền đọc DB local (chỉ SELECT/SHOW)</t>
        </is>
      </c>
      <c r="E113" s="9" t="inlineStr">
        <is>
          <t>TBD</t>
        </is>
      </c>
      <c r="F113" s="9" t="inlineStr">
        <is>
          <t>PROPOSED</t>
        </is>
      </c>
      <c r="G113" s="9" t="inlineStr">
        <is>
          <t>UNASSESSED</t>
        </is>
      </c>
      <c r="H113" s="9" t="inlineStr">
        <is>
          <t>đặc tả v2 mục 7.5 “Phạm vi một lượt và thứ tự hoàn tất”, mục 12.1 “Dữ liệu cấu hình và kết quả cần quản lý”</t>
        </is>
      </c>
      <c r="I113" s="9" t="inlineStr">
        <is>
          <t>G. Data • Persistence</t>
        </is>
      </c>
      <c r="J113" s="9" t="inlineStr">
        <is>
          <t>test-cases.vi.md</t>
        </is>
      </c>
      <c r="K113" s="9" t="inlineStr">
        <is>
          <t>1. SELECT `red_score_revision` của mục mục số nguyên (M=100) trên `grade_evaluate_frame_items`; SELECT `cell_generation`, `write_version`, `judged_version`, `rule_revision`, `judgment_status` của S01.
2. Chuỗi revision độc lập: trên fixture A, lần lượt thêm quy tắc; sửa ngưỡng; đổi thứ tự; xóa quy tắc. SELECT `red_score_revision` và kết quả S01 sau mỗi thao tác, chưa chạy xét.
3. Chuỗi xóa cuối độc lập trên fixture B: tạo S01=29 Đỏ, xóa tới quy tắc cuối, rồi chạy lại; không dùng kết quả của chuỗi revision A làm baseline.
4. Chuỗi reservation độc lập trên fixture C: đặt batch S01 nhưng chưa hoàn tất, SELECT S01; chỉ đánh giá trạng thái theo R18 §7.5/§8.2, không mặc định payload cũ được giữ.
5. Chuỗi cell-generation độc lập trên fixture D: lưu điểm S02 lần đầu, rồi xóa trống ô S01; SELECT từng ô.
| Lượt chạy | Phạm vi thực hiện và đối chiếu |
| --- | --- |
| Run: revision | Bước 1–2 fixture A, SELECT sau từng sự kiện |
| Run: delete-last-rule | Bước 1 và 3 fixture B độc lập |
| Run: reservation | Bước 1 và 4 fixture C độc lập |
| Run: cell-generation | Bước 1 và 5 fixture D độc lập |</t>
        </is>
      </c>
      <c r="L113" s="9" t="inlineStr">
        <is>
          <t>1. Có giá trị ban đầu; `judged_version` của S01 bằng phiên bản của lần ghi hoàn tất.
2. Trên fixture A, `red_score_revision` tăng sau mỗi thao tác cấu hình; kết quả S01 chỉ được đối chiếu trước khi có trigger chạy lại.
3. Trên fixture B, sau xóa rule cuối và chạy lại, S01 chuyển theo trạng thái Không áp dụng/đã ngừng kết quả cũ của G20/G21; không đọc kết quả từ fixture A.
4. Trên fixture C, ghi nhận chính sách trạng thái thực tế; không dùng “payload đỏ vẫn còn” làm expected cố định khi phiên bản lệch.
5. Trên fixture D, có đúng một dòng điều khiển cho mỗi ô; sau khi hoàn tất có trạng thái và `judged_at`.
6. Trên fixture D, `cell_generation` mới và thông tin rule/ngưỡng/nguồn cũ bị xóa theo trạng thái xóa ô; dòng điều khiển được giữ.</t>
        </is>
      </c>
      <c r="M113" s="9"/>
      <c r="N113" s="9"/>
      <c r="O113" s="9">
        <v>4</v>
      </c>
      <c r="P113" s="9">
        <f>IF(OR(COUNTIF('Run Log'!$B:$B,A113)&lt;&gt;O113,COUNTIF('Run Log'!$A:$A,"RUN-TC-RS-DATA-013-revision")&lt;&gt;1,COUNTIFS('Run Log'!$A:$A,"RUN-TC-RS-DATA-013-revision",'Run Log'!$B:$B,A113,'Run Log'!$C:$C,"revision")&lt;&gt;1,COUNTIF('Run Log'!$A:$A,"RUN-TC-RS-DATA-013-delete-last-rule")&lt;&gt;1,COUNTIFS('Run Log'!$A:$A,"RUN-TC-RS-DATA-013-delete-last-rule",'Run Log'!$B:$B,A113,'Run Log'!$C:$C,"delete-last-rule")&lt;&gt;1,COUNTIF('Run Log'!$A:$A,"RUN-TC-RS-DATA-013-reservation")&lt;&gt;1,COUNTIFS('Run Log'!$A:$A,"RUN-TC-RS-DATA-013-reservation",'Run Log'!$B:$B,A113,'Run Log'!$C:$C,"reservation")&lt;&gt;1,COUNTIF('Run Log'!$A:$A,"RUN-TC-RS-DATA-013-cell-generation")&lt;&gt;1,COUNTIFS('Run Log'!$A:$A,"RUN-TC-RS-DATA-013-cell-generation",'Run Log'!$B:$B,A113,'Run Log'!$C:$C,"cell-generation")&lt;&gt;1),"INCOMPLETE",IF(COUNTIFS('Run Log'!$B:$B,A113,'Run Log'!$D:$D,"PASS")=O113,"PASS",IF(COUNTIFS('Run Log'!$B:$B,A113,'Run Log'!$D:$D,"FAIL")&gt;0,"FAIL",IF(COUNTIFS('Run Log'!$B:$B,A113,'Run Log'!$D:$D,"BLOCKED")&gt;0,"BLOCKED",IF(COUNTIFS('Run Log'!$B:$B,A113,'Run Log'!$D:$D,"SKIPPED")&gt;0,"SKIPPED","NOT RUN")))))</f>
      </c>
    </row>
    <row r="114">
      <c r="A114" s="9" t="inlineStr">
        <is>
          <t>TC-RS-CALC-001</t>
        </is>
      </c>
      <c r="B114" s="9" t="inlineStr">
        <is>
          <t>Ngưỡng cố định 30: S = 29 / 30 / 31 với `&lt;` và `≤`</t>
        </is>
      </c>
      <c r="C114" s="9" t="inlineStr">
        <is>
          <t>D. Calculation</t>
        </is>
      </c>
      <c r="D114" s="9" t="inlineStr">
        <is>
          <t>- Điều kiện: mục số nguyên (M=100) (M=100).
- Dữ liệu test: mục số nguyên (M=100); quy tắc “Cố định 30” (dưới 30), quy tắc cố định 30 với Nhỏ hơn hoặc bằng（以下）, học sinh S01 (điểm 29), học sinh S02 (điểm 30), học sinh S03 (điểm 31)</t>
        </is>
      </c>
      <c r="E114" s="9" t="inlineStr">
        <is>
          <t>Cao</t>
        </is>
      </c>
      <c r="F114" s="9" t="inlineStr">
        <is>
          <t>CONFIRMED</t>
        </is>
      </c>
      <c r="G114" s="9" t="inlineStr">
        <is>
          <t>UNASSESSED</t>
        </is>
      </c>
      <c r="H114" s="9" t="inlineStr">
        <is>
          <t>tiêu chí nghiệm thu “Biên so sánh và cảnh báo” (AC-G07 «Biên so sánh và cảnh báo»)</t>
        </is>
      </c>
      <c r="I114" s="9" t="inlineStr">
        <is>
          <t>D. Calculation</t>
        </is>
      </c>
      <c r="J114" s="9" t="inlineStr">
        <is>
          <t>test-cases.vi.md</t>
        </is>
      </c>
      <c r="K114" s="9" t="inlineStr">
        <is>
          <t>1. Chỉ có quy tắc “Cố định 30” (dưới 30) (`T=30`, `&lt;`): đăng ký S01=29, S02=30, S03=31.
2. Đổi thành quy tắc cố định 30 với Nhỏ hơn hoặc bằng（以下） (`≤`), chạy lại.
| Lượt chạy | Phạm vi thực hiện và đối chiếu |
| --- | --- |
| Run: lt | Ngưỡng 30, dấu nhỏ hơn, cả ba điểm |
| Run: le | Ngưỡng 30, dấu nhỏ hơn hoặc bằng, cả ba điểm |</t>
        </is>
      </c>
      <c r="L114" s="9" t="inlineStr">
        <is>
          <t>Bước 1: 29 Đỏ; 30 Không đỏ; 31 Không đỏ.
Bước 2: 29 Đỏ; 30 Đỏ; 31 Không đỏ.</t>
        </is>
      </c>
      <c r="M114" s="9"/>
      <c r="N114" s="9"/>
      <c r="O114" s="9">
        <v>2</v>
      </c>
      <c r="P114" s="9">
        <f>IF(OR(COUNTIF('Run Log'!$B:$B,A114)&lt;&gt;O114,COUNTIF('Run Log'!$A:$A,"RUN-TC-RS-CALC-001-lt")&lt;&gt;1,COUNTIFS('Run Log'!$A:$A,"RUN-TC-RS-CALC-001-lt",'Run Log'!$B:$B,A114,'Run Log'!$C:$C,"lt")&lt;&gt;1,COUNTIF('Run Log'!$A:$A,"RUN-TC-RS-CALC-001-le")&lt;&gt;1,COUNTIFS('Run Log'!$A:$A,"RUN-TC-RS-CALC-001-le",'Run Log'!$B:$B,A114,'Run Log'!$C:$C,"le")&lt;&gt;1),"INCOMPLETE",IF(COUNTIFS('Run Log'!$B:$B,A114,'Run Log'!$D:$D,"PASS")=O114,"PASS",IF(COUNTIFS('Run Log'!$B:$B,A114,'Run Log'!$D:$D,"FAIL")&gt;0,"FAIL",IF(COUNTIFS('Run Log'!$B:$B,A114,'Run Log'!$D:$D,"BLOCKED")&gt;0,"BLOCKED",IF(COUNTIFS('Run Log'!$B:$B,A114,'Run Log'!$D:$D,"SKIPPED")&gt;0,"SKIPPED","NOT RUN")))))</f>
      </c>
    </row>
    <row r="115">
      <c r="A115" s="9" t="inlineStr">
        <is>
          <t>TC-RS-CALC-002</t>
        </is>
      </c>
      <c r="B115" s="9" t="inlineStr">
        <is>
          <t>Điểm 0 với ngưỡng 0 và 30</t>
        </is>
      </c>
      <c r="C115" s="9" t="inlineStr">
        <is>
          <t>D. Calculation</t>
        </is>
      </c>
      <c r="D115" s="9" t="inlineStr">
        <is>
          <t>- Điều kiện: mục số nguyên (M=100).
- Dữ liệu test: mục số nguyên (M=100); học sinh S04 (điểm 0) (S=0); N = 0, 30</t>
        </is>
      </c>
      <c r="E115" s="9" t="inlineStr">
        <is>
          <t>Cao</t>
        </is>
      </c>
      <c r="F115" s="9" t="inlineStr">
        <is>
          <t>CONFIRMED</t>
        </is>
      </c>
      <c r="G115" s="9" t="inlineStr">
        <is>
          <t>UNASSESSED</t>
        </is>
      </c>
      <c r="H115" s="9" t="inlineStr">
        <is>
          <t>tiêu chí nghiệm thu “Biên so sánh và cảnh báo” (AC-G07 «Biên so sánh và cảnh báo»)</t>
        </is>
      </c>
      <c r="I115" s="9" t="inlineStr">
        <is>
          <t>D. Calculation</t>
        </is>
      </c>
      <c r="J115" s="9" t="inlineStr">
        <is>
          <t>test-cases.vi.md</t>
        </is>
      </c>
      <c r="K115" s="9" t="inlineStr">
        <is>
          <t>Với từng cấu hình: cố định 0 `&lt;`, cố định 0 `≤`, cố định 30 `&lt;`: chạy lại, xem S04.
| Lượt chạy | Phạm vi thực hiện và đối chiếu |
| --- | --- |
| Run: zero-lt | Ngưỡng 0 nhỏ hơn |
| Run: zero-le | Ngưỡng 0 nhỏ hơn hoặc bằng |
| Run: thirty-lt | Ngưỡng 30 nhỏ hơn |</t>
        </is>
      </c>
      <c r="L115" s="9" t="inlineStr">
        <is>
          <t>0 `&lt;`: `0&lt;0` sai → Không đỏ.
0 `≤`: `0≤0` → Đỏ.
30 `&lt;`: `0&lt;30` → Đỏ.</t>
        </is>
      </c>
      <c r="M115" s="9"/>
      <c r="N115" s="9"/>
      <c r="O115" s="9">
        <v>3</v>
      </c>
      <c r="P115" s="9">
        <f>IF(OR(COUNTIF('Run Log'!$B:$B,A115)&lt;&gt;O115,COUNTIF('Run Log'!$A:$A,"RUN-TC-RS-CALC-002-zero-lt")&lt;&gt;1,COUNTIFS('Run Log'!$A:$A,"RUN-TC-RS-CALC-002-zero-lt",'Run Log'!$B:$B,A115,'Run Log'!$C:$C,"zero-lt")&lt;&gt;1,COUNTIF('Run Log'!$A:$A,"RUN-TC-RS-CALC-002-zero-le")&lt;&gt;1,COUNTIFS('Run Log'!$A:$A,"RUN-TC-RS-CALC-002-zero-le",'Run Log'!$B:$B,A115,'Run Log'!$C:$C,"zero-le")&lt;&gt;1,COUNTIF('Run Log'!$A:$A,"RUN-TC-RS-CALC-002-thirty-lt")&lt;&gt;1,COUNTIFS('Run Log'!$A:$A,"RUN-TC-RS-CALC-002-thirty-lt",'Run Log'!$B:$B,A115,'Run Log'!$C:$C,"thirty-lt")&lt;&gt;1),"INCOMPLETE",IF(COUNTIFS('Run Log'!$B:$B,A115,'Run Log'!$D:$D,"PASS")=O115,"PASS",IF(COUNTIFS('Run Log'!$B:$B,A115,'Run Log'!$D:$D,"FAIL")&gt;0,"FAIL",IF(COUNTIFS('Run Log'!$B:$B,A115,'Run Log'!$D:$D,"BLOCKED")&gt;0,"BLOCKED",IF(COUNTIFS('Run Log'!$B:$B,A115,'Run Log'!$D:$D,"SKIPPED")&gt;0,"SKIPPED","NOT RUN")))))</f>
      </c>
    </row>
    <row r="116">
      <c r="A116" s="9" t="inlineStr">
        <is>
          <t>TC-RS-CALC-003</t>
        </is>
      </c>
      <c r="B116" s="9" t="inlineStr">
        <is>
          <t>Điểm thập phân sát ngưỡng</t>
        </is>
      </c>
      <c r="C116" s="9" t="inlineStr">
        <is>
          <t>D. Calculation</t>
        </is>
      </c>
      <c r="D116" s="9" t="inlineStr">
        <is>
          <t>- Điều kiện: mục số thập phân (M=100) (thập phân, M=100); cố định 30.
- Dữ liệu test: mục số thập phân (M=100); S = 29.5, 29.9, 30.0, 30.01</t>
        </is>
      </c>
      <c r="E116" s="9" t="inlineStr">
        <is>
          <t>Cao</t>
        </is>
      </c>
      <c r="F116" s="9" t="inlineStr">
        <is>
          <t>CONFIRMED</t>
        </is>
      </c>
      <c r="G116" s="9" t="inlineStr">
        <is>
          <t>UNASSESSED</t>
        </is>
      </c>
      <c r="H116" s="9" t="inlineStr">
        <is>
          <t>tiêu chí nghiệm thu “Giữ chính xác giá trị” (AC-G11 «Giữ chính xác giá trị»)</t>
        </is>
      </c>
      <c r="I116" s="9" t="inlineStr">
        <is>
          <t>D. Calculation</t>
        </is>
      </c>
      <c r="J116" s="9" t="inlineStr">
        <is>
          <t>test-cases.vi.md</t>
        </is>
      </c>
      <c r="K116" s="9" t="inlineStr">
        <is>
          <t>Đăng ký bốn học sinh với các điểm trên; xét với `&lt;` rồi `≤`.
| Lượt chạy | Phạm vi thực hiện và đối chiếu |
| --- | --- |
| Run: lt | Dấu nhỏ hơn, cả bốn điểm |
| Run: le | Dấu nhỏ hơn hoặc bằng, cả bốn điểm |</t>
        </is>
      </c>
      <c r="L116" s="9" t="inlineStr">
        <is>
          <t>`&lt;`: 29.5 Đỏ; 29.9 Đỏ; 30.0 Không đỏ; 30.01 Không đỏ.
`≤`: 29.5 Đỏ; 29.9 Đỏ; 30.0 Đỏ; 30.01 Không đỏ.</t>
        </is>
      </c>
      <c r="M116" s="9"/>
      <c r="N116" s="9"/>
      <c r="O116" s="9">
        <v>2</v>
      </c>
      <c r="P116" s="9">
        <f>IF(OR(COUNTIF('Run Log'!$B:$B,A116)&lt;&gt;O116,COUNTIF('Run Log'!$A:$A,"RUN-TC-RS-CALC-003-lt")&lt;&gt;1,COUNTIFS('Run Log'!$A:$A,"RUN-TC-RS-CALC-003-lt",'Run Log'!$B:$B,A116,'Run Log'!$C:$C,"lt")&lt;&gt;1,COUNTIF('Run Log'!$A:$A,"RUN-TC-RS-CALC-003-le")&lt;&gt;1,COUNTIFS('Run Log'!$A:$A,"RUN-TC-RS-CALC-003-le",'Run Log'!$B:$B,A116,'Run Log'!$C:$C,"le")&lt;&gt;1),"INCOMPLETE",IF(COUNTIFS('Run Log'!$B:$B,A116,'Run Log'!$D:$D,"PASS")=O116,"PASS",IF(COUNTIFS('Run Log'!$B:$B,A116,'Run Log'!$D:$D,"FAIL")&gt;0,"FAIL",IF(COUNTIFS('Run Log'!$B:$B,A116,'Run Log'!$D:$D,"BLOCKED")&gt;0,"BLOCKED",IF(COUNTIFS('Run Log'!$B:$B,A116,'Run Log'!$D:$D,"SKIPPED")&gt;0,"SKIPPED","NOT RUN")))))</f>
      </c>
    </row>
    <row r="117">
      <c r="A117" s="9" t="inlineStr">
        <is>
          <t>TC-RS-CALC-004</t>
        </is>
      </c>
      <c r="B117" s="9" t="inlineStr">
        <is>
          <t>Ngưỡng cố định giữ `T=N` khi M đổi về sau</t>
        </is>
      </c>
      <c r="C117" s="9" t="inlineStr">
        <is>
          <t>D. Calculation</t>
        </is>
      </c>
      <c r="D117" s="9" t="inlineStr">
        <is>
          <t>- Điều kiện: quy tắc “Cố định 30” (dưới 30) (N=30) lưu khi M=100. Sau đó đổi Giá trị tối đa（最大値） của mục số nguyên (M=100) thành 20.
- Dữ liệu test: mục số nguyên (M=100); quy tắc “Cố định 30” (dưới 30); S = 15, 20</t>
        </is>
      </c>
      <c r="E117" s="9" t="inlineStr">
        <is>
          <t>Cao</t>
        </is>
      </c>
      <c r="F117" s="9" t="inlineStr">
        <is>
          <t>CONFIRMED</t>
        </is>
      </c>
      <c r="G117" s="9" t="inlineStr">
        <is>
          <t>UNASSESSED</t>
        </is>
      </c>
      <c r="H117" s="9" t="inlineStr">
        <is>
          <t>tiêu chí nghiệm thu “Điểm cố định” (AC-G08 «Điểm cố định»)</t>
        </is>
      </c>
      <c r="I117" s="9" t="inlineStr">
        <is>
          <t>D. Calculation</t>
        </is>
      </c>
      <c r="J117" s="9" t="inlineStr">
        <is>
          <t>test-cases.vi.md</t>
        </is>
      </c>
      <c r="K117" s="9" t="inlineStr">
        <is>
          <t>1. Đăng ký hai học sinh S=15 và S=20.
2. Mở lại quy tắc.
| Lượt chạy | Phạm vi thực hiện và đối chiếu |
| --- | --- |
| Run: Base | Toàn bộ thủ tục theo đúng thứ tự; các đối chứng cùng fixture được kiểm trong cùng lượt, không bỏ bước |</t>
        </is>
      </c>
      <c r="L117" s="9" t="inlineStr">
        <is>
          <t>1. `T=30` → 15 Đỏ; 20 Đỏ. Không chuyển thành Chưa xét được; không tự đổi `T` thành 20 hoặc `M×30%`.
2. N vẫn hiển thị 30 (không bị tự sửa).</t>
        </is>
      </c>
      <c r="M117" s="9"/>
      <c r="N117" s="9"/>
      <c r="O117" s="9">
        <v>1</v>
      </c>
      <c r="P117" s="9">
        <f>IF(OR(COUNTIF('Run Log'!$B:$B,A117)&lt;&gt;O117,COUNTIF('Run Log'!$A:$A,"RUN-TC-RS-CALC-004-Base")&lt;&gt;1,COUNTIFS('Run Log'!$A:$A,"RUN-TC-RS-CALC-004-Base",'Run Log'!$B:$B,A117,'Run Log'!$C:$C,"Base")&lt;&gt;1),"INCOMPLETE",IF(COUNTIFS('Run Log'!$B:$B,A117,'Run Log'!$D:$D,"PASS")=O117,"PASS",IF(COUNTIFS('Run Log'!$B:$B,A117,'Run Log'!$D:$D,"FAIL")&gt;0,"FAIL",IF(COUNTIFS('Run Log'!$B:$B,A117,'Run Log'!$D:$D,"BLOCKED")&gt;0,"BLOCKED",IF(COUNTIFS('Run Log'!$B:$B,A117,'Run Log'!$D:$D,"SKIPPED")&gt;0,"SKIPPED","NOT RUN")))))</f>
      </c>
    </row>
    <row r="118">
      <c r="A118" s="9" t="inlineStr">
        <is>
          <t>TC-RS-CALC-005</t>
        </is>
      </c>
      <c r="B118" s="9" t="inlineStr">
        <is>
          <t>Tỷ lệ 30% với M=100</t>
        </is>
      </c>
      <c r="C118" s="9" t="inlineStr">
        <is>
          <t>D. Calculation</t>
        </is>
      </c>
      <c r="D118" s="9" t="inlineStr">
        <is>
          <t>- Điều kiện: mục số nguyên (M=100) (M=100).
- Dữ liệu test: mục số nguyên (M=100); quy tắc tỷ lệ 30%; học sinh S01 (điểm 29), học sinh S02 (điểm 30), học sinh S03 (điểm 31)</t>
        </is>
      </c>
      <c r="E118" s="9" t="inlineStr">
        <is>
          <t>Cao</t>
        </is>
      </c>
      <c r="F118" s="9" t="inlineStr">
        <is>
          <t>CONFIRMED</t>
        </is>
      </c>
      <c r="G118" s="9" t="inlineStr">
        <is>
          <t>UNASSESSED</t>
        </is>
      </c>
      <c r="H118" s="9" t="inlineStr">
        <is>
          <t>tiêu chí nghiệm thu “Tỷ lệ điểm tối đa” (AC-G10 «Tỷ lệ điểm tối đa»)</t>
        </is>
      </c>
      <c r="I118" s="9" t="inlineStr">
        <is>
          <t>D. Calculation</t>
        </is>
      </c>
      <c r="J118" s="9" t="inlineStr">
        <is>
          <t>test-cases.vi.md</t>
        </is>
      </c>
      <c r="K118" s="9" t="inlineStr">
        <is>
          <t>Đăng ký 29, 30, 31; xét với `&lt;` rồi `≤`.
| Lượt chạy | Phạm vi thực hiện và đối chiếu |
| --- | --- |
| Run: lt | Dấu nhỏ hơn |
| Run: le | Dấu nhỏ hơn hoặc bằng |</t>
        </is>
      </c>
      <c r="L118" s="9" t="inlineStr">
        <is>
          <t>`T=100×30/100=30`.
`&lt;`: 29 Đỏ; 30 Không đỏ; 31 Không đỏ.
`≤`: 29 Đỏ; 30 Đỏ; 31 Không đỏ.</t>
        </is>
      </c>
      <c r="M118" s="9"/>
      <c r="N118" s="9"/>
      <c r="O118" s="9">
        <v>2</v>
      </c>
      <c r="P118" s="9">
        <f>IF(OR(COUNTIF('Run Log'!$B:$B,A118)&lt;&gt;O118,COUNTIF('Run Log'!$A:$A,"RUN-TC-RS-CALC-005-lt")&lt;&gt;1,COUNTIFS('Run Log'!$A:$A,"RUN-TC-RS-CALC-005-lt",'Run Log'!$B:$B,A118,'Run Log'!$C:$C,"lt")&lt;&gt;1,COUNTIF('Run Log'!$A:$A,"RUN-TC-RS-CALC-005-le")&lt;&gt;1,COUNTIFS('Run Log'!$A:$A,"RUN-TC-RS-CALC-005-le",'Run Log'!$B:$B,A118,'Run Log'!$C:$C,"le")&lt;&gt;1),"INCOMPLETE",IF(COUNTIFS('Run Log'!$B:$B,A118,'Run Log'!$D:$D,"PASS")=O118,"PASS",IF(COUNTIFS('Run Log'!$B:$B,A118,'Run Log'!$D:$D,"FAIL")&gt;0,"FAIL",IF(COUNTIFS('Run Log'!$B:$B,A118,'Run Log'!$D:$D,"BLOCKED")&gt;0,"BLOCKED",IF(COUNTIFS('Run Log'!$B:$B,A118,'Run Log'!$D:$D,"SKIPPED")&gt;0,"SKIPPED","NOT RUN")))))</f>
      </c>
    </row>
    <row r="119">
      <c r="A119" s="9" t="inlineStr">
        <is>
          <t>TC-RS-CALC-006</t>
        </is>
      </c>
      <c r="B119" s="9" t="inlineStr">
        <is>
          <t>Tỷ lệ cho ngưỡng lẻ: M=45, N=30 → T=13.5</t>
        </is>
      </c>
      <c r="C119" s="9" t="inlineStr">
        <is>
          <t>D. Calculation</t>
        </is>
      </c>
      <c r="D119" s="9" t="inlineStr">
        <is>
          <t>- Điều kiện: mục số thập phân (M=100) với Giá trị tối đa（最大値）= 45.
- Dữ liệu test: mục số thập phân (M=100); quy tắc tỷ lệ 30% (không xử lý phần lẻ); S = 13, 13.5, 14</t>
        </is>
      </c>
      <c r="E119" s="9" t="inlineStr">
        <is>
          <t>Cao</t>
        </is>
      </c>
      <c r="F119" s="9" t="inlineStr">
        <is>
          <t>CONFIRMED</t>
        </is>
      </c>
      <c r="G119" s="9" t="inlineStr">
        <is>
          <t>UNASSESSED</t>
        </is>
      </c>
      <c r="H119" s="9" t="inlineStr">
        <is>
          <t>tiêu chí nghiệm thu “Tỷ lệ điểm tối đa” (AC-G10 «Tỷ lệ điểm tối đa»)</t>
        </is>
      </c>
      <c r="I119" s="9" t="inlineStr">
        <is>
          <t>D. Calculation</t>
        </is>
      </c>
      <c r="J119" s="9" t="inlineStr">
        <is>
          <t>test-cases.vi.md</t>
        </is>
      </c>
      <c r="K119" s="9" t="inlineStr">
        <is>
          <t>Đăng ký ba điểm; xét với `&lt;` rồi `≤`.
| Lượt chạy | Phạm vi thực hiện và đối chiếu |
| --- | --- |
| Run: lt | Dấu nhỏ hơn |
| Run: le | Dấu nhỏ hơn hoặc bằng |</t>
        </is>
      </c>
      <c r="L119" s="9" t="inlineStr">
        <is>
          <t>`T=45×30/100=13.5`.
`&lt;`: 13 Đỏ; 13.5 Không đỏ; 14 Không đỏ.
`≤`: 13 Đỏ; 13.5 Đỏ; 14 Không đỏ.</t>
        </is>
      </c>
      <c r="M119" s="9"/>
      <c r="N119" s="9"/>
      <c r="O119" s="9">
        <v>2</v>
      </c>
      <c r="P119" s="9">
        <f>IF(OR(COUNTIF('Run Log'!$B:$B,A119)&lt;&gt;O119,COUNTIF('Run Log'!$A:$A,"RUN-TC-RS-CALC-006-lt")&lt;&gt;1,COUNTIFS('Run Log'!$A:$A,"RUN-TC-RS-CALC-006-lt",'Run Log'!$B:$B,A119,'Run Log'!$C:$C,"lt")&lt;&gt;1,COUNTIF('Run Log'!$A:$A,"RUN-TC-RS-CALC-006-le")&lt;&gt;1,COUNTIFS('Run Log'!$A:$A,"RUN-TC-RS-CALC-006-le",'Run Log'!$B:$B,A119,'Run Log'!$C:$C,"le")&lt;&gt;1),"INCOMPLETE",IF(COUNTIFS('Run Log'!$B:$B,A119,'Run Log'!$D:$D,"PASS")=O119,"PASS",IF(COUNTIFS('Run Log'!$B:$B,A119,'Run Log'!$D:$D,"FAIL")&gt;0,"FAIL",IF(COUNTIFS('Run Log'!$B:$B,A119,'Run Log'!$D:$D,"BLOCKED")&gt;0,"BLOCKED",IF(COUNTIFS('Run Log'!$B:$B,A119,'Run Log'!$D:$D,"SKIPPED")&gt;0,"SKIPPED","NOT RUN")))))</f>
      </c>
    </row>
    <row r="120">
      <c r="A120" s="9" t="inlineStr">
        <is>
          <t>TC-RS-CALC-007</t>
        </is>
      </c>
      <c r="B120" s="9" t="inlineStr">
        <is>
          <t>Tỷ lệ có xử lý phần lẻ: xuống / gần nhất / lên tại p1</t>
        </is>
      </c>
      <c r="C120" s="9" t="inlineStr">
        <is>
          <t>D. Calculation</t>
        </is>
      </c>
      <c r="D120" s="9" t="inlineStr">
        <is>
          <t>- Điều kiện: mục số thập phân (M=100); tỷ lệ 30%, dấu `&lt;`.
- Dữ liệu test: mục số thập phân (M=100); (a) M=45 → `T_thô=13.5`, S=13; (b) M=47 → `T_thô=14.1`, S=14</t>
        </is>
      </c>
      <c r="E120" s="9" t="inlineStr">
        <is>
          <t>Cao</t>
        </is>
      </c>
      <c r="F120" s="9" t="inlineStr">
        <is>
          <t>CONFIRMED</t>
        </is>
      </c>
      <c r="G120" s="9" t="inlineStr">
        <is>
          <t>UNASSESSED</t>
        </is>
      </c>
      <c r="H120" s="9" t="inlineStr">
        <is>
          <t>tiêu chí nghiệm thu “Tỷ lệ điểm tối đa” (AC-G10 «Tỷ lệ điểm tối đa»)</t>
        </is>
      </c>
      <c r="I120" s="9" t="inlineStr">
        <is>
          <t>D. Calculation</t>
        </is>
      </c>
      <c r="J120" s="9" t="inlineStr">
        <is>
          <t>test-cases.vi.md</t>
        </is>
      </c>
      <c r="K120" s="9" t="inlineStr">
        <is>
          <t>Với (a) và (b): xét với Không xử lý（しない）, xuống p1, gần nhất p1, lên p1.
| Lượt chạy | Phạm vi thực hiện và đối chiếu |
| --- | --- |
| Run: m45-none | M45 không làm tròn |
| Run: m45-down | M45 cắt xuống |
| Run: m45-nearest | M45 làm tròn gần nhất |
| Run: m45-up | M45 làm tròn lên |
| Run: m47-none | M47 không làm tròn |
| Run: m47-down | M47 cắt xuống |
| Run: m47-nearest | M47 làm tròn gần nhất |
| Run: m47-up | M47 làm tròn lên |</t>
        </is>
      </c>
      <c r="L120" s="9" t="inlineStr">
        <is>
          <t>(a) Không xử lý `T=13.5` → Đỏ; xuống `T=13` → Không đỏ; gần nhất `T=14` → Đỏ; lên `T=14` → Đỏ.
(b) Không xử lý `T=14.1` → Đỏ; xuống `T=14` → Không đỏ; gần nhất `T=14` → Không đỏ; lên `T=15` → Đỏ.</t>
        </is>
      </c>
      <c r="M120" s="9"/>
      <c r="N120" s="9"/>
      <c r="O120" s="9">
        <v>8</v>
      </c>
      <c r="P120" s="9">
        <f>IF(OR(COUNTIF('Run Log'!$B:$B,A120)&lt;&gt;O120,COUNTIF('Run Log'!$A:$A,"RUN-TC-RS-CALC-007-m45-none")&lt;&gt;1,COUNTIFS('Run Log'!$A:$A,"RUN-TC-RS-CALC-007-m45-none",'Run Log'!$B:$B,A120,'Run Log'!$C:$C,"m45-none")&lt;&gt;1,COUNTIF('Run Log'!$A:$A,"RUN-TC-RS-CALC-007-m45-down")&lt;&gt;1,COUNTIFS('Run Log'!$A:$A,"RUN-TC-RS-CALC-007-m45-down",'Run Log'!$B:$B,A120,'Run Log'!$C:$C,"m45-down")&lt;&gt;1,COUNTIF('Run Log'!$A:$A,"RUN-TC-RS-CALC-007-m45-nearest")&lt;&gt;1,COUNTIFS('Run Log'!$A:$A,"RUN-TC-RS-CALC-007-m45-nearest",'Run Log'!$B:$B,A120,'Run Log'!$C:$C,"m45-nearest")&lt;&gt;1,COUNTIF('Run Log'!$A:$A,"RUN-TC-RS-CALC-007-m45-up")&lt;&gt;1,COUNTIFS('Run Log'!$A:$A,"RUN-TC-RS-CALC-007-m45-up",'Run Log'!$B:$B,A120,'Run Log'!$C:$C,"m45-up")&lt;&gt;1,COUNTIF('Run Log'!$A:$A,"RUN-TC-RS-CALC-007-m47-none")&lt;&gt;1,COUNTIFS('Run Log'!$A:$A,"RUN-TC-RS-CALC-007-m47-none",'Run Log'!$B:$B,A120,'Run Log'!$C:$C,"m47-none")&lt;&gt;1,COUNTIF('Run Log'!$A:$A,"RUN-TC-RS-CALC-007-m47-down")&lt;&gt;1,COUNTIFS('Run Log'!$A:$A,"RUN-TC-RS-CALC-007-m47-down",'Run Log'!$B:$B,A120,'Run Log'!$C:$C,"m47-down")&lt;&gt;1,COUNTIF('Run Log'!$A:$A,"RUN-TC-RS-CALC-007-m47-nearest")&lt;&gt;1,COUNTIFS('Run Log'!$A:$A,"RUN-TC-RS-CALC-007-m47-nearest",'Run Log'!$B:$B,A120,'Run Log'!$C:$C,"m47-nearest")&lt;&gt;1,COUNTIF('Run Log'!$A:$A,"RUN-TC-RS-CALC-007-m47-up")&lt;&gt;1,COUNTIFS('Run Log'!$A:$A,"RUN-TC-RS-CALC-007-m47-up",'Run Log'!$B:$B,A120,'Run Log'!$C:$C,"m47-up")&lt;&gt;1),"INCOMPLETE",IF(COUNTIFS('Run Log'!$B:$B,A120,'Run Log'!$D:$D,"PASS")=O120,"PASS",IF(COUNTIFS('Run Log'!$B:$B,A120,'Run Log'!$D:$D,"FAIL")&gt;0,"FAIL",IF(COUNTIFS('Run Log'!$B:$B,A120,'Run Log'!$D:$D,"BLOCKED")&gt;0,"BLOCKED",IF(COUNTIFS('Run Log'!$B:$B,A120,'Run Log'!$D:$D,"SKIPPED")&gt;0,"SKIPPED","NOT RUN")))))</f>
      </c>
    </row>
    <row r="121">
      <c r="A121" s="9" t="inlineStr">
        <is>
          <t>TC-RS-CALC-008</t>
        </is>
      </c>
      <c r="B121" s="9" t="inlineStr">
        <is>
          <t>Ví dụ đặc tả v2: M=75, N=30, S=22.2</t>
        </is>
      </c>
      <c r="C121" s="9" t="inlineStr">
        <is>
          <t>D. Calculation</t>
        </is>
      </c>
      <c r="D121" s="9" t="inlineStr">
        <is>
          <t>- Điều kiện: mục số thập phân (M=100) với M=75; tỷ lệ 30%, `&lt;`.
- Dữ liệu test: mục số thập phân (M=100); S = 22.2</t>
        </is>
      </c>
      <c r="E121" s="9" t="inlineStr">
        <is>
          <t>Cao</t>
        </is>
      </c>
      <c r="F121" s="9" t="inlineStr">
        <is>
          <t>CONFIRMED</t>
        </is>
      </c>
      <c r="G121" s="9" t="inlineStr">
        <is>
          <t>UNASSESSED</t>
        </is>
      </c>
      <c r="H121" s="9" t="inlineStr">
        <is>
          <t>tiêu chí nghiệm thu “Tỷ lệ điểm tối đa” (AC-G10 «Tỷ lệ điểm tối đa»)</t>
        </is>
      </c>
      <c r="I121" s="9" t="inlineStr">
        <is>
          <t>D. Calculation</t>
        </is>
      </c>
      <c r="J121" s="9" t="inlineStr">
        <is>
          <t>test-cases.vi.md</t>
        </is>
      </c>
      <c r="K121" s="9" t="inlineStr">
        <is>
          <t>Xét với Không xử lý, rồi xuống p1.
| Lượt chạy | Phạm vi thực hiện và đối chiếu |
| --- | --- |
| Run: none | Không xử lý phần lẻ |
| Run: down | Cắt xuống |</t>
        </is>
      </c>
      <c r="L121" s="9" t="inlineStr">
        <is>
          <t>Không xử lý: `T=22.5` → Đỏ.
Xuống p1: `T=22` → Không đỏ.</t>
        </is>
      </c>
      <c r="M121" s="9"/>
      <c r="N121" s="9"/>
      <c r="O121" s="9">
        <v>2</v>
      </c>
      <c r="P121" s="9">
        <f>IF(OR(COUNTIF('Run Log'!$B:$B,A121)&lt;&gt;O121,COUNTIF('Run Log'!$A:$A,"RUN-TC-RS-CALC-008-none")&lt;&gt;1,COUNTIFS('Run Log'!$A:$A,"RUN-TC-RS-CALC-008-none",'Run Log'!$B:$B,A121,'Run Log'!$C:$C,"none")&lt;&gt;1,COUNTIF('Run Log'!$A:$A,"RUN-TC-RS-CALC-008-down")&lt;&gt;1,COUNTIFS('Run Log'!$A:$A,"RUN-TC-RS-CALC-008-down",'Run Log'!$B:$B,A121,'Run Log'!$C:$C,"down")&lt;&gt;1),"INCOMPLETE",IF(COUNTIFS('Run Log'!$B:$B,A121,'Run Log'!$D:$D,"PASS")=O121,"PASS",IF(COUNTIFS('Run Log'!$B:$B,A121,'Run Log'!$D:$D,"FAIL")&gt;0,"FAIL",IF(COUNTIFS('Run Log'!$B:$B,A121,'Run Log'!$D:$D,"BLOCKED")&gt;0,"BLOCKED",IF(COUNTIFS('Run Log'!$B:$B,A121,'Run Log'!$D:$D,"SKIPPED")&gt;0,"SKIPPED","NOT RUN")))))</f>
      </c>
    </row>
    <row r="122">
      <c r="A122" s="9" t="inlineStr">
        <is>
          <t>TC-RS-CALC-009</t>
        </is>
      </c>
      <c r="B122" s="9" t="inlineStr">
        <is>
          <t>Tỷ lệ biên N=0 và N=100</t>
        </is>
      </c>
      <c r="C122" s="9" t="inlineStr">
        <is>
          <t>D. Calculation</t>
        </is>
      </c>
      <c r="D122" s="9" t="inlineStr">
        <is>
          <t>- Điều kiện: mục số nguyên (M=100) (M=100).
- Dữ liệu test: mục số nguyên (M=100); N = 0: S = 0; N = 100: S = 99, 100</t>
        </is>
      </c>
      <c r="E122" s="9" t="inlineStr">
        <is>
          <t>Cao</t>
        </is>
      </c>
      <c r="F122" s="9" t="inlineStr">
        <is>
          <t>CONFIRMED</t>
        </is>
      </c>
      <c r="G122" s="9" t="inlineStr">
        <is>
          <t>UNASSESSED</t>
        </is>
      </c>
      <c r="H122" s="9" t="inlineStr">
        <is>
          <t>tiêu chí nghiệm thu “Tỷ lệ điểm tối đa” (AC-G10 «Tỷ lệ điểm tối đa»)</t>
        </is>
      </c>
      <c r="I122" s="9" t="inlineStr">
        <is>
          <t>D. Calculation</t>
        </is>
      </c>
      <c r="J122" s="9" t="inlineStr">
        <is>
          <t>test-cases.vi.md</t>
        </is>
      </c>
      <c r="K122" s="9" t="inlineStr">
        <is>
          <t>Xét từng cấu hình với `&lt;` và `≤`.
| Lượt chạy | Phạm vi thực hiện và đối chiếu |
| --- | --- |
| Run: zero-lt | N0 nhỏ hơn |
| Run: zero-le | N0 nhỏ hơn hoặc bằng |
| Run: hundred-lt | N100 nhỏ hơn |
| Run: hundred-le | N100 nhỏ hơn hoặc bằng |</t>
        </is>
      </c>
      <c r="L122" s="9" t="inlineStr">
        <is>
          <t>N=0 (`T=0`): S=0 `&lt;` Không đỏ; `≤` Đỏ.
N=100 (`T=100`): S=99 `&lt;` Đỏ; S=100 `&lt;` Không đỏ; S=100 `≤` Đỏ.</t>
        </is>
      </c>
      <c r="M122" s="9"/>
      <c r="N122" s="9"/>
      <c r="O122" s="9">
        <v>4</v>
      </c>
      <c r="P122" s="9">
        <f>IF(OR(COUNTIF('Run Log'!$B:$B,A122)&lt;&gt;O122,COUNTIF('Run Log'!$A:$A,"RUN-TC-RS-CALC-009-zero-lt")&lt;&gt;1,COUNTIFS('Run Log'!$A:$A,"RUN-TC-RS-CALC-009-zero-lt",'Run Log'!$B:$B,A122,'Run Log'!$C:$C,"zero-lt")&lt;&gt;1,COUNTIF('Run Log'!$A:$A,"RUN-TC-RS-CALC-009-zero-le")&lt;&gt;1,COUNTIFS('Run Log'!$A:$A,"RUN-TC-RS-CALC-009-zero-le",'Run Log'!$B:$B,A122,'Run Log'!$C:$C,"zero-le")&lt;&gt;1,COUNTIF('Run Log'!$A:$A,"RUN-TC-RS-CALC-009-hundred-lt")&lt;&gt;1,COUNTIFS('Run Log'!$A:$A,"RUN-TC-RS-CALC-009-hundred-lt",'Run Log'!$B:$B,A122,'Run Log'!$C:$C,"hundred-lt")&lt;&gt;1,COUNTIF('Run Log'!$A:$A,"RUN-TC-RS-CALC-009-hundred-le")&lt;&gt;1,COUNTIFS('Run Log'!$A:$A,"RUN-TC-RS-CALC-009-hundred-le",'Run Log'!$B:$B,A122,'Run Log'!$C:$C,"hundred-le")&lt;&gt;1),"INCOMPLETE",IF(COUNTIFS('Run Log'!$B:$B,A122,'Run Log'!$D:$D,"PASS")=O122,"PASS",IF(COUNTIFS('Run Log'!$B:$B,A122,'Run Log'!$D:$D,"FAIL")&gt;0,"FAIL",IF(COUNTIFS('Run Log'!$B:$B,A122,'Run Log'!$D:$D,"BLOCKED")&gt;0,"BLOCKED",IF(COUNTIFS('Run Log'!$B:$B,A122,'Run Log'!$D:$D,"SKIPPED")&gt;0,"SKIPPED","NOT RUN")))))</f>
      </c>
    </row>
    <row r="123">
      <c r="A123" s="9" t="inlineStr">
        <is>
          <t>TC-RS-CALC-010</t>
        </is>
      </c>
      <c r="B123" s="9" t="inlineStr">
        <is>
          <t>Tỷ lệ với M = 0, M &lt; 0 hoặc không xác định → Chưa xét được; cố định vẫn xét</t>
        </is>
      </c>
      <c r="C123" s="9" t="inlineStr">
        <is>
          <t>D. Calculation</t>
        </is>
      </c>
      <c r="D123" s="9" t="inlineStr">
        <is>
          <t>- Điều kiện: mục có M không hợp lệ (M không hợp lệ). Ô trước đó Đỏ theo quy tắc khác.
- Dữ liệu test: mục có M không hợp lệ; quy tắc tỷ lệ 30%; quy tắc “Cố định 30” (dưới 30); S = 0</t>
        </is>
      </c>
      <c r="E123" s="9" t="inlineStr">
        <is>
          <t>Cao</t>
        </is>
      </c>
      <c r="F123" s="9" t="inlineStr">
        <is>
          <t>CONFIRMED</t>
        </is>
      </c>
      <c r="G123" s="9" t="inlineStr">
        <is>
          <t>UNASSESSED</t>
        </is>
      </c>
      <c r="H123" s="9" t="inlineStr">
        <is>
          <t>tiêu chí nghiệm thu “Tỷ lệ điểm tối đa” (AC-G10 «Tỷ lệ điểm tối đa»)</t>
        </is>
      </c>
      <c r="I123" s="9" t="inlineStr">
        <is>
          <t>D. Calculation</t>
        </is>
      </c>
      <c r="J123" s="9" t="inlineStr">
        <is>
          <t>test-cases.vi.md</t>
        </is>
      </c>
      <c r="K123" s="9" t="inlineStr">
        <is>
          <t>1. Chỉ có quy tắc tỷ lệ 30% (30%): chạy lại với M=0, M=−10, M không xác định.
2. Chỉ có quy tắc “Cố định 30” (dưới 30) (cố định 30) trên cùng mục, M=0: chạy lại.
| Lượt chạy | Phạm vi thực hiện và đối chiếu |
| --- | --- |
| Run: ratio-zero | Tỷ lệ M0 |
| Run: ratio-negative | Tỷ lệ M âm |
| Run: ratio-missing | Tỷ lệ M không xác định |
| Run: fixed-zero | Cố định với M0 |</t>
        </is>
      </c>
      <c r="L123" s="9" t="inlineStr">
        <is>
          <t>1. Cả ba: Chưa xét được; ngừng kết quả cũ; không dùng M=100.
2. `T=30`, `0&lt;30` → Đỏ (không bỏ xét cố định vì M không dương).</t>
        </is>
      </c>
      <c r="M123" s="9"/>
      <c r="N123" s="9"/>
      <c r="O123" s="9">
        <v>4</v>
      </c>
      <c r="P123" s="9">
        <f>IF(OR(COUNTIF('Run Log'!$B:$B,A123)&lt;&gt;O123,COUNTIF('Run Log'!$A:$A,"RUN-TC-RS-CALC-010-ratio-zero")&lt;&gt;1,COUNTIFS('Run Log'!$A:$A,"RUN-TC-RS-CALC-010-ratio-zero",'Run Log'!$B:$B,A123,'Run Log'!$C:$C,"ratio-zero")&lt;&gt;1,COUNTIF('Run Log'!$A:$A,"RUN-TC-RS-CALC-010-ratio-negative")&lt;&gt;1,COUNTIFS('Run Log'!$A:$A,"RUN-TC-RS-CALC-010-ratio-negative",'Run Log'!$B:$B,A123,'Run Log'!$C:$C,"ratio-negative")&lt;&gt;1,COUNTIF('Run Log'!$A:$A,"RUN-TC-RS-CALC-010-ratio-missing")&lt;&gt;1,COUNTIFS('Run Log'!$A:$A,"RUN-TC-RS-CALC-010-ratio-missing",'Run Log'!$B:$B,A123,'Run Log'!$C:$C,"ratio-missing")&lt;&gt;1,COUNTIF('Run Log'!$A:$A,"RUN-TC-RS-CALC-010-fixed-zero")&lt;&gt;1,COUNTIFS('Run Log'!$A:$A,"RUN-TC-RS-CALC-010-fixed-zero",'Run Log'!$B:$B,A123,'Run Log'!$C:$C,"fixed-zero")&lt;&gt;1),"INCOMPLETE",IF(COUNTIFS('Run Log'!$B:$B,A123,'Run Log'!$D:$D,"PASS")=O123,"PASS",IF(COUNTIFS('Run Log'!$B:$B,A123,'Run Log'!$D:$D,"FAIL")&gt;0,"FAIL",IF(COUNTIFS('Run Log'!$B:$B,A123,'Run Log'!$D:$D,"BLOCKED")&gt;0,"BLOCKED",IF(COUNTIFS('Run Log'!$B:$B,A123,'Run Log'!$D:$D,"SKIPPED")&gt;0,"SKIPPED","NOT RUN")))))</f>
      </c>
    </row>
    <row r="124">
      <c r="A124" s="9" t="inlineStr">
        <is>
          <t>TC-RS-CALC-011</t>
        </is>
      </c>
      <c r="B124" s="9" t="inlineStr">
        <is>
          <t>Phân giải M: mặc định → đơn vị → lựa chọn lớp</t>
        </is>
      </c>
      <c r="C124" s="9" t="inlineStr">
        <is>
          <t>D. Calculation</t>
        </is>
      </c>
      <c r="D124" s="9" t="inlineStr">
        <is>
          <t>- Điều kiện: mục điểm đơn vị (đơn vị U1 có M riêng 40): mặc định 100; U1 riêng 40; lựa chọn lớp ghi đè 50 áp dụng cho G-A. Tỷ lệ 30%, `&lt;`.
- Dữ liệu test: mục điểm đơn vị (đơn vị U1 có M riêng 40); S01 (G-A) U1=14; S06 (G-B) U1=14, U2=29</t>
        </is>
      </c>
      <c r="E124" s="9" t="inlineStr">
        <is>
          <t>Cao</t>
        </is>
      </c>
      <c r="F124" s="9" t="inlineStr">
        <is>
          <t>CONFIRMED</t>
        </is>
      </c>
      <c r="G124" s="9" t="inlineStr">
        <is>
          <t>UNASSESSED</t>
        </is>
      </c>
      <c r="H124" s="9" t="inlineStr">
        <is>
          <t>tiêu chí nghiệm thu “Điểm tối đa hiện hành” (AC-G09 «Điểm tối đa hiện hành»)</t>
        </is>
      </c>
      <c r="I124" s="9" t="inlineStr">
        <is>
          <t>D. Calculation</t>
        </is>
      </c>
      <c r="J124" s="9" t="inlineStr">
        <is>
          <t>test-cases.vi.md</t>
        </is>
      </c>
      <c r="K124" s="9" t="inlineStr">
        <is>
          <t>1. Đăng ký các điểm, xem kết quả.
2. Tạo thêm một định nghĩa lựa chọn M=20 ở Thiết lập điểm tối đa（満点設定） nhưng không gán cho G-B; đăng ký lại S06 U1.
3. Chuẩn bị G-B sao cho điểm cao nhất thực tế của U2 là 80 và nhóm tổng hợp chứa lớp có M khác (tổng điểm tối đa nhóm khác 100); đăng ký lại S06 U2 = 29.
| Lượt chạy | Phạm vi thực hiện và đối chiếu |
| --- | --- |
| Run: resolution | Lượt đầu theo các M hợp lệ |
| Run: unassigned | Không chọn định nghĩa |
| Run: actual80 | Bước 3, điểm học sinh cao nhất thực tế là 80 nhưng M vẫn 100; không đổi M thành 80 |</t>
        </is>
      </c>
      <c r="L124" s="9" t="inlineStr">
        <is>
          <t>1. S01 U1: `M=50`, `T=15` → Đỏ. S06 U1: `M=40`, `T=12` → Không đỏ. S06 U2: `M=100`, `T=30` → Đỏ.
2. S06 U1 vẫn dùng `M=40` → Không đỏ.
3. S06 U2 vẫn dùng `M=100`, `T=30` → Đỏ; không dùng điểm cao nhất thực tế (80 → `T=24`, Không đỏ — sai) hay tổng điểm tối đa nhóm.</t>
        </is>
      </c>
      <c r="M124" s="9"/>
      <c r="N124" s="9"/>
      <c r="O124" s="9">
        <v>3</v>
      </c>
      <c r="P124" s="9">
        <f>IF(OR(COUNTIF('Run Log'!$B:$B,A124)&lt;&gt;O124,COUNTIF('Run Log'!$A:$A,"RUN-TC-RS-CALC-011-resolution")&lt;&gt;1,COUNTIFS('Run Log'!$A:$A,"RUN-TC-RS-CALC-011-resolution",'Run Log'!$B:$B,A124,'Run Log'!$C:$C,"resolution")&lt;&gt;1,COUNTIF('Run Log'!$A:$A,"RUN-TC-RS-CALC-011-unassigned")&lt;&gt;1,COUNTIFS('Run Log'!$A:$A,"RUN-TC-RS-CALC-011-unassigned",'Run Log'!$B:$B,A124,'Run Log'!$C:$C,"unassigned")&lt;&gt;1,COUNTIF('Run Log'!$A:$A,"RUN-TC-RS-CALC-011-actual80")&lt;&gt;1,COUNTIFS('Run Log'!$A:$A,"RUN-TC-RS-CALC-011-actual80",'Run Log'!$B:$B,A124,'Run Log'!$C:$C,"actual80")&lt;&gt;1),"INCOMPLETE",IF(COUNTIFS('Run Log'!$B:$B,A124,'Run Log'!$D:$D,"PASS")=O124,"PASS",IF(COUNTIFS('Run Log'!$B:$B,A124,'Run Log'!$D:$D,"FAIL")&gt;0,"FAIL",IF(COUNTIFS('Run Log'!$B:$B,A124,'Run Log'!$D:$D,"BLOCKED")&gt;0,"BLOCKED",IF(COUNTIFS('Run Log'!$B:$B,A124,'Run Log'!$D:$D,"SKIPPED")&gt;0,"SKIPPED","NOT RUN")))))</f>
      </c>
    </row>
    <row r="125">
      <c r="A125" s="9" t="inlineStr">
        <is>
          <t>TC-RS-CALC-012</t>
        </is>
      </c>
      <c r="B125" s="9" t="inlineStr">
        <is>
          <t>Tỷ lệ dùng M hiện hành, không dùng M của bản tổng hợp đã chốt</t>
        </is>
      </c>
      <c r="C125" s="9" t="inlineStr">
        <is>
          <t>D. Calculation</t>
        </is>
      </c>
      <c r="D125" s="9" t="inlineStr">
        <is>
          <t>- Điều kiện: Có bản chốt (dummy) tạo khi M=100. Sau đó M hiện hành của mục số nguyên (M=100) đổi thành 50.
- Dữ liệu test: mục số nguyên (M=100); quy tắc tỷ lệ 30%; S = 20; bản tổng hợp đã chốt (trung bình 49.99)</t>
        </is>
      </c>
      <c r="E125" s="9" t="inlineStr">
        <is>
          <t>Cao</t>
        </is>
      </c>
      <c r="F125" s="9" t="inlineStr">
        <is>
          <t>CONFIRMED</t>
        </is>
      </c>
      <c r="G125" s="9" t="inlineStr">
        <is>
          <t>UNASSESSED</t>
        </is>
      </c>
      <c r="H125" s="9" t="inlineStr">
        <is>
          <t>tiêu chí nghiệm thu “Điểm tối đa hiện hành” (AC-G09 «Điểm tối đa hiện hành»)</t>
        </is>
      </c>
      <c r="I125" s="9" t="inlineStr">
        <is>
          <t>D. Calculation</t>
        </is>
      </c>
      <c r="J125" s="9" t="inlineStr">
        <is>
          <t>test-cases.vi.md</t>
        </is>
      </c>
      <c r="K125" s="9" t="inlineStr">
        <is>
          <t>Đăng ký S=20, xem kết quả.
| Lượt chạy | Phạm vi thực hiện và đối chiếu |
| --- | --- |
| Run: Base | Toàn bộ thủ tục theo đúng thứ tự; các đối chứng cùng fixture được kiểm trong cùng lượt, không bỏ bước |</t>
        </is>
      </c>
      <c r="L125" s="9" t="inlineStr">
        <is>
          <t>`T=50×30/100=15` → `20&lt;15` sai → Không đỏ. (Nếu dùng M=100 của bản chốt: `T=30` → Đỏ — sai.)</t>
        </is>
      </c>
      <c r="M125" s="9"/>
      <c r="N125" s="9"/>
      <c r="O125" s="9">
        <v>1</v>
      </c>
      <c r="P125" s="9">
        <f>IF(OR(COUNTIF('Run Log'!$B:$B,A125)&lt;&gt;O125,COUNTIF('Run Log'!$A:$A,"RUN-TC-RS-CALC-012-Base")&lt;&gt;1,COUNTIFS('Run Log'!$A:$A,"RUN-TC-RS-CALC-012-Base",'Run Log'!$B:$B,A125,'Run Log'!$C:$C,"Base")&lt;&gt;1),"INCOMPLETE",IF(COUNTIFS('Run Log'!$B:$B,A125,'Run Log'!$D:$D,"PASS")=O125,"PASS",IF(COUNTIFS('Run Log'!$B:$B,A125,'Run Log'!$D:$D,"FAIL")&gt;0,"FAIL",IF(COUNTIFS('Run Log'!$B:$B,A125,'Run Log'!$D:$D,"BLOCKED")&gt;0,"BLOCKED",IF(COUNTIFS('Run Log'!$B:$B,A125,'Run Log'!$D:$D,"SKIPPED")&gt;0,"SKIPPED","NOT RUN")))))</f>
      </c>
    </row>
    <row r="126">
      <c r="A126" s="9" t="inlineStr">
        <is>
          <t>TC-RS-CALC-013</t>
        </is>
      </c>
      <c r="B126" s="9" t="inlineStr">
        <is>
          <t>Công thức một dòng với A=50</t>
        </is>
      </c>
      <c r="C126" s="9" t="inlineStr">
        <is>
          <t>D. Calculation</t>
        </is>
      </c>
      <c r="D126" s="9" t="inlineStr">
        <is>
          <t>- Điều kiện: Nguồn có `A=50`; dấu `&lt;`.
- Dữ liệu test: Công thức: (a) `A×0.5`; (b) `A−20`; (c) `A+5`; S = 24, 25, 29, 30, 54, 55</t>
        </is>
      </c>
      <c r="E126" s="9" t="inlineStr">
        <is>
          <t>Cao</t>
        </is>
      </c>
      <c r="F126" s="9" t="inlineStr">
        <is>
          <t>CONFIRMED</t>
        </is>
      </c>
      <c r="G126" s="9" t="inlineStr">
        <is>
          <t>UNASSESSED</t>
        </is>
      </c>
      <c r="H126" s="9" t="inlineStr">
        <is>
          <t>tiêu chí nghiệm thu “Công thức theo dòng và phần lẻ” (AC-G16 «Công thức theo dòng và phần lẻ»)</t>
        </is>
      </c>
      <c r="I126" s="9" t="inlineStr">
        <is>
          <t>D. Calculation</t>
        </is>
      </c>
      <c r="J126" s="9" t="inlineStr">
        <is>
          <t>test-cases.vi.md</t>
        </is>
      </c>
      <c r="K126" s="9" t="inlineStr">
        <is>
          <t>Với từng công thức, chạy nút cam, xem kết quả.
| Lượt chạy | Phạm vi thực hiện và đối chiếu |
| --- | --- |
| Run: multiply | Nhân 0.5 |
| Run: subtract | Trừ 20 |
| Run: add | Cộng 5 |</t>
        </is>
      </c>
      <c r="L126" s="9" t="inlineStr">
        <is>
          <t>(a) `T=25`: 24 Đỏ; 25 Không đỏ.
(b) `T=30`: 29 Đỏ; 30 Không đỏ.
(c) `T=55`: 54 Đỏ; 55 Không đỏ.</t>
        </is>
      </c>
      <c r="M126" s="9"/>
      <c r="N126" s="9"/>
      <c r="O126" s="9">
        <v>3</v>
      </c>
      <c r="P126" s="9">
        <f>IF(OR(COUNTIF('Run Log'!$B:$B,A126)&lt;&gt;O126,COUNTIF('Run Log'!$A:$A,"RUN-TC-RS-CALC-013-multiply")&lt;&gt;1,COUNTIFS('Run Log'!$A:$A,"RUN-TC-RS-CALC-013-multiply",'Run Log'!$B:$B,A126,'Run Log'!$C:$C,"multiply")&lt;&gt;1,COUNTIF('Run Log'!$A:$A,"RUN-TC-RS-CALC-013-subtract")&lt;&gt;1,COUNTIFS('Run Log'!$A:$A,"RUN-TC-RS-CALC-013-subtract",'Run Log'!$B:$B,A126,'Run Log'!$C:$C,"subtract")&lt;&gt;1,COUNTIF('Run Log'!$A:$A,"RUN-TC-RS-CALC-013-add")&lt;&gt;1,COUNTIFS('Run Log'!$A:$A,"RUN-TC-RS-CALC-013-add",'Run Log'!$B:$B,A126,'Run Log'!$C:$C,"add")&lt;&gt;1),"INCOMPLETE",IF(COUNTIFS('Run Log'!$B:$B,A126,'Run Log'!$D:$D,"PASS")=O126,"PASS",IF(COUNTIFS('Run Log'!$B:$B,A126,'Run Log'!$D:$D,"FAIL")&gt;0,"FAIL",IF(COUNTIFS('Run Log'!$B:$B,A126,'Run Log'!$D:$D,"BLOCKED")&gt;0,"BLOCKED",IF(COUNTIFS('Run Log'!$B:$B,A126,'Run Log'!$D:$D,"SKIPPED")&gt;0,"SKIPPED","NOT RUN")))))</f>
      </c>
    </row>
    <row r="127">
      <c r="A127" s="9" t="inlineStr">
        <is>
          <t>TC-RS-CALC-014</t>
        </is>
      </c>
      <c r="B127" s="9" t="inlineStr">
        <is>
          <t>Làm tròn theo từng dòng: A=49.7</t>
        </is>
      </c>
      <c r="C127" s="9" t="inlineStr">
        <is>
          <t>D. Calculation</t>
        </is>
      </c>
      <c r="D127" s="9" t="inlineStr">
        <is>
          <t>- Điều kiện: Nguồn `A=49.7`; dòng 1 `A÷2`; dòng 2 `Kết quả dòng 1 × 0.8`; `&lt;`.
- Dữ liệu test: S = 19.1 và S = 19.2</t>
        </is>
      </c>
      <c r="E127" s="9" t="inlineStr">
        <is>
          <t>Cao</t>
        </is>
      </c>
      <c r="F127" s="9" t="inlineStr">
        <is>
          <t>CONFIRMED</t>
        </is>
      </c>
      <c r="G127" s="9" t="inlineStr">
        <is>
          <t>UNASSESSED</t>
        </is>
      </c>
      <c r="H127" s="9" t="inlineStr">
        <is>
          <t>tiêu chí nghiệm thu “Công thức theo dòng và phần lẻ” (AC-G16 «Công thức theo dòng và phần lẻ»)</t>
        </is>
      </c>
      <c r="I127" s="9" t="inlineStr">
        <is>
          <t>D. Calculation</t>
        </is>
      </c>
      <c r="J127" s="9" t="inlineStr">
        <is>
          <t>test-cases.vi.md</t>
        </is>
      </c>
      <c r="K127" s="9" t="inlineStr">
        <is>
          <t>1. Lưu đúng cấu hình: dòng 1 bật xử lý phần lẻ, vị trí 1, làm tròn xuống; dòng 2 không xử lý.
2. Chạy xét với `S=19.1` và `S=19.2`.
| Lượt chạy | Phạm vi thực hiện và đối chiếu |
| --- | --- |
| Run: Base | Toàn bộ thủ tục theo đúng thứ tự; các đối chứng cùng fixture được kiểm trong cùng lượt, không bỏ bước |</t>
        </is>
      </c>
      <c r="L127" s="9" t="inlineStr">
        <is>
          <t>1. `24.85→24`; `T=24×0.8=19.2`.
2. Với dấu `&lt;`: `S=19.1` Đỏ và `S=19.2` Không đỏ.
3. Không làm tròn dòng 2 thành `19`.</t>
        </is>
      </c>
      <c r="M127" s="9"/>
      <c r="N127" s="9"/>
      <c r="O127" s="9">
        <v>1</v>
      </c>
      <c r="P127" s="9">
        <f>IF(OR(COUNTIF('Run Log'!$B:$B,A127)&lt;&gt;O127,COUNTIF('Run Log'!$A:$A,"RUN-TC-RS-CALC-014-Base")&lt;&gt;1,COUNTIFS('Run Log'!$A:$A,"RUN-TC-RS-CALC-014-Base",'Run Log'!$B:$B,A127,'Run Log'!$C:$C,"Base")&lt;&gt;1),"INCOMPLETE",IF(COUNTIFS('Run Log'!$B:$B,A127,'Run Log'!$D:$D,"PASS")=O127,"PASS",IF(COUNTIFS('Run Log'!$B:$B,A127,'Run Log'!$D:$D,"FAIL")&gt;0,"FAIL",IF(COUNTIFS('Run Log'!$B:$B,A127,'Run Log'!$D:$D,"BLOCKED")&gt;0,"BLOCKED",IF(COUNTIFS('Run Log'!$B:$B,A127,'Run Log'!$D:$D,"SKIPPED")&gt;0,"SKIPPED","NOT RUN")))))</f>
      </c>
    </row>
    <row r="128">
      <c r="A128" s="9" t="inlineStr">
        <is>
          <t>TC-RS-CALC-015</t>
        </is>
      </c>
      <c r="B128" s="9" t="inlineStr">
        <is>
          <t>Công thức hai dòng theo Figma: (A÷2)×0.8, dòng 1 làm tròn xuống</t>
        </is>
      </c>
      <c r="C128" s="9" t="inlineStr">
        <is>
          <t>D. Calculation</t>
        </is>
      </c>
      <c r="D128" s="9" t="inlineStr">
        <is>
          <t>- Điều kiện: giáo viên có quyền sửa thiết lập; dùng mục số thập phân TD-ITEM-02 (`M=100`) trong lớp fixture duy nhất TD-GRP-05; ba học sinh C15-P1/P2/P3 cùng thuộc phạm vi rule và nguồn trung bình TD-SRC-25; chưa có kết quả đỏ cũ.
- Dữ liệu test: C15-P1 có `S=23.9`, C15-P2 có `S=24`, C15-P3 có `S=24.4`; nguồn reader phải trả `A=61`; quy tắc hai dòng `(A÷2)×0.8`.</t>
        </is>
      </c>
      <c r="E128" s="9" t="inlineStr">
        <is>
          <t>Cao</t>
        </is>
      </c>
      <c r="F128" s="9" t="inlineStr">
        <is>
          <t>CONFIRMED</t>
        </is>
      </c>
      <c r="G128" s="9" t="inlineStr">
        <is>
          <t>BLOCKED</t>
        </is>
      </c>
      <c r="H128" s="9" t="inlineStr">
        <is>
          <t>tiêu chí nghiệm thu “Công thức theo dòng và phần lẻ” (AC-G16 «Công thức theo dòng và phần lẻ»)</t>
        </is>
      </c>
      <c r="I128" s="9" t="inlineStr">
        <is>
          <t>D. Calculation</t>
        </is>
      </c>
      <c r="J128" s="9" t="inlineStr">
        <is>
          <t>test-cases.vi.md</t>
        </is>
      </c>
      <c r="K128" s="9" t="inlineStr">
        <is>
          <t>1. Tạo dòng 1 `A÷2`; chọn **chữ số thập phân thứ 1（小数第1位）** và **Làm tròn xuống（切り捨て）**, tức kết quả dòng 1 được đưa về số nguyên. Tạo dòng 2 `kết quả dòng trước×0.8` và chọn **không xử lý phần lẻ（しない）**.
2. Xác nhận TD-SRC-25/reader trả `A=61`; chạy trong đúng lớp TD-GRP-05 với C15-P1/P2/P3 cho hai biến thể dấu `&lt;` và `≤`, không đổi nguồn hoặc cách làm tròn.
3. Mở lại cấu hình và đối chiếu kết quả của C15-P1/P2/P3.
| Lượt chạy | Phạm vi thực hiện và đối chiếu |
| --- | --- |
| Run: less-than | Nhánh less-than trong thủ tục và Expected của case; thực hiện các bước chuẩn bị chung trước nhánh |
| Run: less-or-equal | Nhánh less-or-equal trong thủ tục và Expected của case; thực hiện các bước chuẩn bị chung trước nhánh |
| Run: reopen-summary | Nhánh reopen-summary trong thủ tục và Expected của case; thực hiện các bước chuẩn bị chung trước nhánh |</t>
        </is>
      </c>
      <c r="L128" s="9" t="inlineStr">
        <is>
          <t>Dòng 1 `61÷2=30.5` làm tròn xuống thành `30`; dòng 2 `30×0.8=24`, nên oracle cố định là `T=24`.
- Với dấu `&lt;`: C15-P1=`23.9` Đỏ; C15-P2=`24` **Không đỏ**; C15-P3=`24.4` **Không đỏ**.
- Với dấu `≤`: C15-P1=`23.9` Đỏ; C15-P2=`24` Đỏ; C15-P3=`24.4` **Không đỏ**.
Mở lại cấu hình và phần tóm tắt phải giữ đúng vị trí làm tròn xuống ở dòng 1, không được thay expected theo kết quả thực tế hoặc ghi đè oracle trong evidence. Phương thức không làm tròn dòng 1 là biến thể riêng, không thuộc case này.</t>
        </is>
      </c>
      <c r="M128" s="9"/>
      <c r="N128" s="9"/>
      <c r="O128" s="9">
        <v>3</v>
      </c>
      <c r="P128" s="9">
        <f>IF(OR(COUNTIF('Run Log'!$B:$B,A128)&lt;&gt;O128,COUNTIF('Run Log'!$A:$A,"RUN-TC-RS-CALC-015-less-than")&lt;&gt;1,COUNTIFS('Run Log'!$A:$A,"RUN-TC-RS-CALC-015-less-than",'Run Log'!$B:$B,A128,'Run Log'!$C:$C,"less-than")&lt;&gt;1,COUNTIF('Run Log'!$A:$A,"RUN-TC-RS-CALC-015-less-or-equal")&lt;&gt;1,COUNTIFS('Run Log'!$A:$A,"RUN-TC-RS-CALC-015-less-or-equal",'Run Log'!$B:$B,A128,'Run Log'!$C:$C,"less-or-equal")&lt;&gt;1,COUNTIF('Run Log'!$A:$A,"RUN-TC-RS-CALC-015-reopen-summary")&lt;&gt;1,COUNTIFS('Run Log'!$A:$A,"RUN-TC-RS-CALC-015-reopen-summary",'Run Log'!$B:$B,A128,'Run Log'!$C:$C,"reopen-summary")&lt;&gt;1),"INCOMPLETE",IF(COUNTIFS('Run Log'!$B:$B,A128,'Run Log'!$D:$D,"PASS")=O128,"PASS",IF(COUNTIFS('Run Log'!$B:$B,A128,'Run Log'!$D:$D,"FAIL")&gt;0,"FAIL",IF(COUNTIFS('Run Log'!$B:$B,A128,'Run Log'!$D:$D,"BLOCKED")&gt;0,"BLOCKED",IF(COUNTIFS('Run Log'!$B:$B,A128,'Run Log'!$D:$D,"SKIPPED")&gt;0,"SKIPPED","NOT RUN")))))</f>
      </c>
    </row>
    <row r="129">
      <c r="A129" s="9" t="inlineStr">
        <is>
          <t>TC-RS-CALC-016</t>
        </is>
      </c>
      <c r="B129" s="9" t="inlineStr">
        <is>
          <t>Ngưỡng âm: A=15, A−20 → T=−5</t>
        </is>
      </c>
      <c r="C129" s="9" t="inlineStr">
        <is>
          <t>D. Calculation</t>
        </is>
      </c>
      <c r="D129" s="9" t="inlineStr">
        <is>
          <t>- Điều kiện: quy tắc công thức trung bình − 20; nguồn `A=15`. Biến thể (b) cần mục cho phép điểm âm.
- Dữ liệu test: quy tắc công thức trung bình − 20; (a) Mục thường: S = 0; (b) mục cho phép điểm âm: S = −6, −5</t>
        </is>
      </c>
      <c r="E129" s="9" t="inlineStr">
        <is>
          <t>Cao</t>
        </is>
      </c>
      <c r="F129" s="9" t="inlineStr">
        <is>
          <t>CONFIRMED</t>
        </is>
      </c>
      <c r="G129" s="9" t="inlineStr">
        <is>
          <t>UNASSESSED</t>
        </is>
      </c>
      <c r="H129" s="9" t="inlineStr">
        <is>
          <t>tiêu chí nghiệm thu “Ngưỡng âm” (AC-G18 «Ngưỡng âm»)</t>
        </is>
      </c>
      <c r="I129" s="9" t="inlineStr">
        <is>
          <t>D. Calculation</t>
        </is>
      </c>
      <c r="J129" s="9" t="inlineStr">
        <is>
          <t>test-cases.vi.md</t>
        </is>
      </c>
      <c r="K129" s="9" t="inlineStr">
        <is>
          <t>(a) Xét S=0 với `&lt;` và `≤`.
(b) Xét −6, −5 với `&lt;` và `≤`.
| Lượt chạy | Phạm vi thực hiện và đối chiếu |
| --- | --- |
| Run: zero-lt | Ngưỡng 0 nhỏ hơn |
| Run: zero-le | Ngưỡng 0 nhỏ hơn hoặc bằng |
| Run: negative-lt | Ngưỡng âm nhỏ hơn |
| Run: negative-le | Ngưỡng âm nhỏ hơn hoặc bằng |</t>
        </is>
      </c>
      <c r="L129" s="9" t="inlineStr">
        <is>
          <t>(a) `T=−5`: `&lt;` Không đỏ; `≤` Không đỏ (nếu hệ thống ép `T` về 0 thì `≤` sẽ Đỏ — sai).
(b) `&lt;`: −6 Đỏ; −5 Không đỏ. `≤`: −6 Đỏ; −5 Đỏ.</t>
        </is>
      </c>
      <c r="M129" s="9"/>
      <c r="N129" s="9"/>
      <c r="O129" s="9">
        <v>4</v>
      </c>
      <c r="P129" s="9">
        <f>IF(OR(COUNTIF('Run Log'!$B:$B,A129)&lt;&gt;O129,COUNTIF('Run Log'!$A:$A,"RUN-TC-RS-CALC-016-zero-lt")&lt;&gt;1,COUNTIFS('Run Log'!$A:$A,"RUN-TC-RS-CALC-016-zero-lt",'Run Log'!$B:$B,A129,'Run Log'!$C:$C,"zero-lt")&lt;&gt;1,COUNTIF('Run Log'!$A:$A,"RUN-TC-RS-CALC-016-zero-le")&lt;&gt;1,COUNTIFS('Run Log'!$A:$A,"RUN-TC-RS-CALC-016-zero-le",'Run Log'!$B:$B,A129,'Run Log'!$C:$C,"zero-le")&lt;&gt;1,COUNTIF('Run Log'!$A:$A,"RUN-TC-RS-CALC-016-negative-lt")&lt;&gt;1,COUNTIFS('Run Log'!$A:$A,"RUN-TC-RS-CALC-016-negative-lt",'Run Log'!$B:$B,A129,'Run Log'!$C:$C,"negative-lt")&lt;&gt;1,COUNTIF('Run Log'!$A:$A,"RUN-TC-RS-CALC-016-negative-le")&lt;&gt;1,COUNTIFS('Run Log'!$A:$A,"RUN-TC-RS-CALC-016-negative-le",'Run Log'!$B:$B,A129,'Run Log'!$C:$C,"negative-le")&lt;&gt;1),"INCOMPLETE",IF(COUNTIFS('Run Log'!$B:$B,A129,'Run Log'!$D:$D,"PASS")=O129,"PASS",IF(COUNTIFS('Run Log'!$B:$B,A129,'Run Log'!$D:$D,"FAIL")&gt;0,"FAIL",IF(COUNTIFS('Run Log'!$B:$B,A129,'Run Log'!$D:$D,"BLOCKED")&gt;0,"BLOCKED",IF(COUNTIFS('Run Log'!$B:$B,A129,'Run Log'!$D:$D,"SKIPPED")&gt;0,"SKIPPED","NOT RUN")))))</f>
      </c>
    </row>
    <row r="130">
      <c r="A130" s="9" t="inlineStr">
        <is>
          <t>TC-RS-CALC-017</t>
        </is>
      </c>
      <c r="B130" s="9" t="inlineStr">
        <is>
          <t>Ngưỡng công thức vượt M vẫn hợp lệ</t>
        </is>
      </c>
      <c r="C130" s="9" t="inlineStr">
        <is>
          <t>D. Calculation</t>
        </is>
      </c>
      <c r="D130" s="9" t="inlineStr">
        <is>
          <t>- Điều kiện: Nguồn `A=80`; công thức `A×1.5`; mục số nguyên (M=100) (M=100).
- Dữ liệu test: mục số nguyên (M=100); S = 100</t>
        </is>
      </c>
      <c r="E130" s="9" t="inlineStr">
        <is>
          <t>Cao</t>
        </is>
      </c>
      <c r="F130" s="9" t="inlineStr">
        <is>
          <t>CONFIRMED</t>
        </is>
      </c>
      <c r="G130" s="9" t="inlineStr">
        <is>
          <t>UNASSESSED</t>
        </is>
      </c>
      <c r="H130" s="9" t="inlineStr">
        <is>
          <t>tiêu chí nghiệm thu “Công thức theo dòng và phần lẻ” (AC-G16 «Công thức theo dòng và phần lẻ»)</t>
        </is>
      </c>
      <c r="I130" s="9" t="inlineStr">
        <is>
          <t>D. Calculation</t>
        </is>
      </c>
      <c r="J130" s="9" t="inlineStr">
        <is>
          <t>test-cases.vi.md</t>
        </is>
      </c>
      <c r="K130" s="9" t="inlineStr">
        <is>
          <t>Chạy nút cam; xem kết quả.
| Lượt chạy | Phạm vi thực hiện và đối chiếu |
| --- | --- |
| Run: Base | Toàn bộ thủ tục theo đúng thứ tự; các đối chứng cùng fixture được kiểm trong cùng lượt, không bỏ bước |</t>
        </is>
      </c>
      <c r="L130" s="9" t="inlineStr">
        <is>
          <t>`T=120`; `100&lt;120` → Đỏ. Không bị Chưa xét được, không ép `T` về 100.</t>
        </is>
      </c>
      <c r="M130" s="9"/>
      <c r="N130" s="9"/>
      <c r="O130" s="9">
        <v>1</v>
      </c>
      <c r="P130" s="9">
        <f>IF(OR(COUNTIF('Run Log'!$B:$B,A130)&lt;&gt;O130,COUNTIF('Run Log'!$A:$A,"RUN-TC-RS-CALC-017-Base")&lt;&gt;1,COUNTIFS('Run Log'!$A:$A,"RUN-TC-RS-CALC-017-Base",'Run Log'!$B:$B,A130,'Run Log'!$C:$C,"Base")&lt;&gt;1),"INCOMPLETE",IF(COUNTIFS('Run Log'!$B:$B,A130,'Run Log'!$D:$D,"PASS")=O130,"PASS",IF(COUNTIFS('Run Log'!$B:$B,A130,'Run Log'!$D:$D,"FAIL")&gt;0,"FAIL",IF(COUNTIFS('Run Log'!$B:$B,A130,'Run Log'!$D:$D,"BLOCKED")&gt;0,"BLOCKED",IF(COUNTIFS('Run Log'!$B:$B,A130,'Run Log'!$D:$D,"SKIPPED")&gt;0,"SKIPPED","NOT RUN")))))</f>
      </c>
    </row>
    <row r="131">
      <c r="A131" s="9" t="inlineStr">
        <is>
          <t>TC-RS-CALC-018</t>
        </is>
      </c>
      <c r="B131" s="9" t="inlineStr">
        <is>
          <t>Công thức A−0 cho ngưỡng bằng A</t>
        </is>
      </c>
      <c r="C131" s="9" t="inlineStr">
        <is>
          <t>D. Calculation</t>
        </is>
      </c>
      <c r="D131" s="9" t="inlineStr">
        <is>
          <t>- Điều kiện: Nguồn `A=50`; công thức `A−0`, `&lt;`.
- Dữ liệu test: S = 49, 50</t>
        </is>
      </c>
      <c r="E131" s="9" t="inlineStr">
        <is>
          <t>Cao</t>
        </is>
      </c>
      <c r="F131" s="9" t="inlineStr">
        <is>
          <t>CONFIRMED</t>
        </is>
      </c>
      <c r="G131" s="9" t="inlineStr">
        <is>
          <t>UNASSESSED</t>
        </is>
      </c>
      <c r="H131" s="9" t="inlineStr">
        <is>
          <t>tiêu chí nghiệm thu “Biên so sánh và cảnh báo” (AC-G07 «Biên so sánh và cảnh báo»)</t>
        </is>
      </c>
      <c r="I131" s="9" t="inlineStr">
        <is>
          <t>D. Calculation</t>
        </is>
      </c>
      <c r="J131" s="9" t="inlineStr">
        <is>
          <t>test-cases.vi.md</t>
        </is>
      </c>
      <c r="K131" s="9" t="inlineStr">
        <is>
          <t>1. Lưu công thức (quan sát cảnh báo).
2. Chạy nút cam.
| Lượt chạy | Phạm vi thực hiện và đối chiếu |
| --- | --- |
| Run: Base | Toàn bộ thủ tục theo đúng thứ tự; các đối chứng cùng fixture được kiểm trong cùng lượt, không bỏ bước |</t>
        </is>
      </c>
      <c r="L131" s="9" t="inlineStr">
        <is>
          <t>1. Có cảnh báo giúp hiểu ngưỡng là A (câu chữ TBD), vẫn lưu được.
2. `T=50`: 49 Đỏ; 50 Không đỏ.</t>
        </is>
      </c>
      <c r="M131" s="9"/>
      <c r="N131" s="9"/>
      <c r="O131" s="9">
        <v>1</v>
      </c>
      <c r="P131" s="9">
        <f>IF(OR(COUNTIF('Run Log'!$B:$B,A131)&lt;&gt;O131,COUNTIF('Run Log'!$A:$A,"RUN-TC-RS-CALC-018-Base")&lt;&gt;1,COUNTIFS('Run Log'!$A:$A,"RUN-TC-RS-CALC-018-Base",'Run Log'!$B:$B,A131,'Run Log'!$C:$C,"Base")&lt;&gt;1),"INCOMPLETE",IF(COUNTIFS('Run Log'!$B:$B,A131,'Run Log'!$D:$D,"PASS")=O131,"PASS",IF(COUNTIFS('Run Log'!$B:$B,A131,'Run Log'!$D:$D,"FAIL")&gt;0,"FAIL",IF(COUNTIFS('Run Log'!$B:$B,A131,'Run Log'!$D:$D,"BLOCKED")&gt;0,"BLOCKED",IF(COUNTIFS('Run Log'!$B:$B,A131,'Run Log'!$D:$D,"SKIPPED")&gt;0,"SKIPPED","NOT RUN")))))</f>
      </c>
    </row>
    <row r="132">
      <c r="A132" s="9" t="inlineStr">
        <is>
          <t>TC-RS-CALC-019</t>
        </is>
      </c>
      <c r="B132" s="9" t="inlineStr">
        <is>
          <t>Định nghĩa phương thức làm tròn, số âm và p=9</t>
        </is>
      </c>
      <c r="C132" s="9" t="inlineStr">
        <is>
          <t>D. Calculation</t>
        </is>
      </c>
      <c r="D132" s="9" t="inlineStr">
        <is>
          <t>- Điều kiện: Dùng công thức một dòng `A+0` hoặc `A×1` để đưa giá trị vào bước làm tròn (nguồn dummy có `A` bằng giá trị cần thử).
- Dữ liệu test: Bảng ở Expected Result</t>
        </is>
      </c>
      <c r="E132" s="9" t="inlineStr">
        <is>
          <t>TBD</t>
        </is>
      </c>
      <c r="F132" s="9" t="inlineStr">
        <is>
          <t>TBD</t>
        </is>
      </c>
      <c r="G132" s="9" t="inlineStr">
        <is>
          <t>BLOCKED</t>
        </is>
      </c>
      <c r="H132" s="9" t="inlineStr">
        <is>
          <t>tiêu chí nghiệm thu “Công thức theo dòng và phần lẻ” (AC-G16 «Công thức theo dòng và phần lẻ»)</t>
        </is>
      </c>
      <c r="I132" s="9" t="inlineStr">
        <is>
          <t>D. Calculation</t>
        </is>
      </c>
      <c r="J132" s="9" t="inlineStr">
        <is>
          <t>test-cases.vi.md</t>
        </is>
      </c>
      <c r="K132" s="9" t="inlineStr">
        <is>
          <t>1. Với từng dòng của Expected Result: đặt `A` (nguồn dummy, dữ liệu giả cho bản tổng hợp đã chốt), chọn xử lý phần lẻ.
2. Chạy lại (nút cam).
3. Đọc `T` qua thông tin giải thích (case “Lưu thông tin giải thích kết quả”) hoặc qua kết quả xét với S sát ngưỡng.
| Lượt chạy | Phạm vi thực hiện và đối chiếu |
| --- | --- |
| Run: positive-none | 29.7 không xử lý |
| Run: positive-down | 29.7 xuống p1 |
| Run: positive-nearest | 29.75 gần nhất p2 |
| Run: negative-up | -5.2 lên p1 |
| Run: negative-down | -5.2 xuống p1 |
| Run: negative-nearest | -5.5 gần nhất p1 |
| Run: half-positive | 12.5 gần nhất p1 |
| Run: half-negative | -12.5 gần nhất p1 |
| Run: half-up | -12.5 lên p1 |
| Run: half-down | -12.5 xuống p1 |
| Run: decimal-nearest | 12.345 gần nhất p2 |
| Run: decimal-up | 12.345 lên p2 |
| Run: p3 | 2.675 gần nhất p3 |
| Run: p9-nearest | 1.123456789 gần nhất p9 |
| Run: p9-down | 1.123456789 xuống p9 |</t>
        </is>
      </c>
      <c r="L132" s="9" t="inlineStr">
        <is>
          <t>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−5.2 lên p1 → −5.
−5.2 xuống p1 → −6.
−5.5 gần nhất p1 → −6.
12.5 gần nhất p1 → 13; −12.5 gần nhất p1 → −13; −12.5 lên p1 → −12; −12.5 xuống p1 → −13.
12.345 gần nhất p2 → 12.3; lên p2 → 12.4.
2.675 gần nhất p3 → 2.68.
1.123456789 gần nhất p9 → 1.12345679; xuống p9 → 1.12345678.</t>
        </is>
      </c>
      <c r="M132" s="9"/>
      <c r="N132" s="9"/>
      <c r="O132" s="9">
        <v>15</v>
      </c>
      <c r="P132" s="9">
        <f>IF(OR(COUNTIF('Run Log'!$B:$B,A132)&lt;&gt;O132,COUNTIF('Run Log'!$A:$A,"RUN-TC-RS-CALC-019-positive-none")&lt;&gt;1,COUNTIFS('Run Log'!$A:$A,"RUN-TC-RS-CALC-019-positive-none",'Run Log'!$B:$B,A132,'Run Log'!$C:$C,"positive-none")&lt;&gt;1,COUNTIF('Run Log'!$A:$A,"RUN-TC-RS-CALC-019-positive-down")&lt;&gt;1,COUNTIFS('Run Log'!$A:$A,"RUN-TC-RS-CALC-019-positive-down",'Run Log'!$B:$B,A132,'Run Log'!$C:$C,"positive-down")&lt;&gt;1,COUNTIF('Run Log'!$A:$A,"RUN-TC-RS-CALC-019-positive-nearest")&lt;&gt;1,COUNTIFS('Run Log'!$A:$A,"RUN-TC-RS-CALC-019-positive-nearest",'Run Log'!$B:$B,A132,'Run Log'!$C:$C,"positive-nearest")&lt;&gt;1,COUNTIF('Run Log'!$A:$A,"RUN-TC-RS-CALC-019-negative-up")&lt;&gt;1,COUNTIFS('Run Log'!$A:$A,"RUN-TC-RS-CALC-019-negative-up",'Run Log'!$B:$B,A132,'Run Log'!$C:$C,"negative-up")&lt;&gt;1,COUNTIF('Run Log'!$A:$A,"RUN-TC-RS-CALC-019-negative-down")&lt;&gt;1,COUNTIFS('Run Log'!$A:$A,"RUN-TC-RS-CALC-019-negative-down",'Run Log'!$B:$B,A132,'Run Log'!$C:$C,"negative-down")&lt;&gt;1,COUNTIF('Run Log'!$A:$A,"RUN-TC-RS-CALC-019-negative-nearest")&lt;&gt;1,COUNTIFS('Run Log'!$A:$A,"RUN-TC-RS-CALC-019-negative-nearest",'Run Log'!$B:$B,A132,'Run Log'!$C:$C,"negative-nearest")&lt;&gt;1,COUNTIF('Run Log'!$A:$A,"RUN-TC-RS-CALC-019-half-positive")&lt;&gt;1,COUNTIFS('Run Log'!$A:$A,"RUN-TC-RS-CALC-019-half-positive",'Run Log'!$B:$B,A132,'Run Log'!$C:$C,"half-positive")&lt;&gt;1,COUNTIF('Run Log'!$A:$A,"RUN-TC-RS-CALC-019-half-negative")&lt;&gt;1,COUNTIFS('Run Log'!$A:$A,"RUN-TC-RS-CALC-019-half-negative",'Run Log'!$B:$B,A132,'Run Log'!$C:$C,"half-negative")&lt;&gt;1,COUNTIF('Run Log'!$A:$A,"RUN-TC-RS-CALC-019-half-up")&lt;&gt;1,COUNTIFS('Run Log'!$A:$A,"RUN-TC-RS-CALC-019-half-up",'Run Log'!$B:$B,A132,'Run Log'!$C:$C,"half-up")&lt;&gt;1,COUNTIF('Run Log'!$A:$A,"RUN-TC-RS-CALC-019-half-down")&lt;&gt;1,COUNTIFS('Run Log'!$A:$A,"RUN-TC-RS-CALC-019-half-down",'Run Log'!$B:$B,A132,'Run Log'!$C:$C,"half-down")&lt;&gt;1,COUNTIF('Run Log'!$A:$A,"RUN-TC-RS-CALC-019-decimal-nearest")&lt;&gt;1,COUNTIFS('Run Log'!$A:$A,"RUN-TC-RS-CALC-019-decimal-nearest",'Run Log'!$B:$B,A132,'Run Log'!$C:$C,"decimal-nearest")&lt;&gt;1,COUNTIF('Run Log'!$A:$A,"RUN-TC-RS-CALC-019-decimal-up")&lt;&gt;1,COUNTIFS('Run Log'!$A:$A,"RUN-TC-RS-CALC-019-decimal-up",'Run Log'!$B:$B,A132,'Run Log'!$C:$C,"decimal-up")&lt;&gt;1,COUNTIF('Run Log'!$A:$A,"RUN-TC-RS-CALC-019-p3")&lt;&gt;1,COUNTIFS('Run Log'!$A:$A,"RUN-TC-RS-CALC-019-p3",'Run Log'!$B:$B,A132,'Run Log'!$C:$C,"p3")&lt;&gt;1,COUNTIF('Run Log'!$A:$A,"RUN-TC-RS-CALC-019-p9-nearest")&lt;&gt;1,COUNTIFS('Run Log'!$A:$A,"RUN-TC-RS-CALC-019-p9-nearest",'Run Log'!$B:$B,A132,'Run Log'!$C:$C,"p9-nearest")&lt;&gt;1,COUNTIF('Run Log'!$A:$A,"RUN-TC-RS-CALC-019-p9-down")&lt;&gt;1,COUNTIFS('Run Log'!$A:$A,"RUN-TC-RS-CALC-019-p9-down",'Run Log'!$B:$B,A132,'Run Log'!$C:$C,"p9-down")&lt;&gt;1),"INCOMPLETE",IF(COUNTIFS('Run Log'!$B:$B,A132,'Run Log'!$D:$D,"PASS")=O132,"PASS",IF(COUNTIFS('Run Log'!$B:$B,A132,'Run Log'!$D:$D,"FAIL")&gt;0,"FAIL",IF(COUNTIFS('Run Log'!$B:$B,A132,'Run Log'!$D:$D,"BLOCKED")&gt;0,"BLOCKED",IF(COUNTIFS('Run Log'!$B:$B,A132,'Run Log'!$D:$D,"SKIPPED")&gt;0,"SKIPPED","NOT RUN")))))</f>
      </c>
    </row>
    <row r="133">
      <c r="A133" s="9" t="inlineStr">
        <is>
          <t>TC-RS-CALC-020</t>
        </is>
      </c>
      <c r="B133" s="9" t="inlineStr">
        <is>
          <t>Làm tròn ngưỡng, không làm tròn điểm học sinh</t>
        </is>
      </c>
      <c r="C133" s="9" t="inlineStr">
        <is>
          <t>D. Calculation</t>
        </is>
      </c>
      <c r="D133" s="9" t="inlineStr">
        <is>
          <t>- Điều kiện: mục số thập phân (M=100) với M=99; tỷ lệ 30% (`T_thô=29.7`), `&lt;`.
- Dữ liệu test: mục số thập phân (M=100); S = 29.5</t>
        </is>
      </c>
      <c r="E133" s="9" t="inlineStr">
        <is>
          <t>Cao</t>
        </is>
      </c>
      <c r="F133" s="9" t="inlineStr">
        <is>
          <t>CONFIRMED</t>
        </is>
      </c>
      <c r="G133" s="9" t="inlineStr">
        <is>
          <t>UNASSESSED</t>
        </is>
      </c>
      <c r="H133" s="9" t="inlineStr">
        <is>
          <t>tiêu chí nghiệm thu “Công thức theo dòng và phần lẻ” (AC-G16 «Công thức theo dòng và phần lẻ»)</t>
        </is>
      </c>
      <c r="I133" s="9" t="inlineStr">
        <is>
          <t>D. Calculation</t>
        </is>
      </c>
      <c r="J133" s="9" t="inlineStr">
        <is>
          <t>test-cases.vi.md</t>
        </is>
      </c>
      <c r="K133" s="9" t="inlineStr">
        <is>
          <t>(a) Xuống p1.
(b) Gần nhất p1.
| Lượt chạy | Phạm vi thực hiện và đối chiếu |
| --- | --- |
| Run: down | Cắt xuống |
| Run: nearest | Làm tròn gần nhất |</t>
        </is>
      </c>
      <c r="L133" s="9" t="inlineStr">
        <is>
          <t>(a) `T=29`; `29.5&lt;29` sai → Không đỏ. (Nếu làm tròn S thành 29 và giữ `T=29.7` → Đỏ — sai.)
(b) `T=30`; `29.5&lt;30` → Đỏ. (Nếu làm tròn S thành 30 → Không đỏ — sai.)
Điểm lưu vẫn 29.5.</t>
        </is>
      </c>
      <c r="M133" s="9"/>
      <c r="N133" s="9"/>
      <c r="O133" s="9">
        <v>2</v>
      </c>
      <c r="P133" s="9">
        <f>IF(OR(COUNTIF('Run Log'!$B:$B,A133)&lt;&gt;O133,COUNTIF('Run Log'!$A:$A,"RUN-TC-RS-CALC-020-down")&lt;&gt;1,COUNTIFS('Run Log'!$A:$A,"RUN-TC-RS-CALC-020-down",'Run Log'!$B:$B,A133,'Run Log'!$C:$C,"down")&lt;&gt;1,COUNTIF('Run Log'!$A:$A,"RUN-TC-RS-CALC-020-nearest")&lt;&gt;1,COUNTIFS('Run Log'!$A:$A,"RUN-TC-RS-CALC-020-nearest",'Run Log'!$B:$B,A133,'Run Log'!$C:$C,"nearest")&lt;&gt;1),"INCOMPLETE",IF(COUNTIFS('Run Log'!$B:$B,A133,'Run Log'!$D:$D,"PASS")=O133,"PASS",IF(COUNTIFS('Run Log'!$B:$B,A133,'Run Log'!$D:$D,"FAIL")&gt;0,"FAIL",IF(COUNTIFS('Run Log'!$B:$B,A133,'Run Log'!$D:$D,"BLOCKED")&gt;0,"BLOCKED",IF(COUNTIFS('Run Log'!$B:$B,A133,'Run Log'!$D:$D,"SKIPPED")&gt;0,"SKIPPED","NOT RUN")))))</f>
      </c>
    </row>
    <row r="134">
      <c r="A134" s="9" t="inlineStr">
        <is>
          <t>TC-RS-CALC-021</t>
        </is>
      </c>
      <c r="B134" s="9" t="inlineStr">
        <is>
          <t>Chia 0 phát sinh khi chạy → Chưa xét được</t>
        </is>
      </c>
      <c r="C134" s="9" t="inlineStr">
        <is>
          <t>D. Calculation</t>
        </is>
      </c>
      <c r="D134" s="9" t="inlineStr">
        <is>
          <t>- Điều kiện: quy tắc công thức 100 ÷ trung bình (`100÷A`), `&lt;`, mục số thập phân (M=100).
- Dữ liệu test: mục số thập phân (M=100), quy tắc công thức 100 ÷ trung bình; (a) nhóm có trung bình 0 `A=0`; (b) `A=4`, S = 24; (c) `A=3`, S = 33.33, 33.34</t>
        </is>
      </c>
      <c r="E134" s="9" t="inlineStr">
        <is>
          <t>Cao</t>
        </is>
      </c>
      <c r="F134" s="9" t="inlineStr">
        <is>
          <t>CONFIRMED</t>
        </is>
      </c>
      <c r="G134" s="9" t="inlineStr">
        <is>
          <t>UNASSESSED</t>
        </is>
      </c>
      <c r="H134" s="9" t="inlineStr">
        <is>
          <t>đặc tả v2 mục 6.4 “Công thức dùng trung bình”, mục 8.3 “Không tạo được ngưỡng hợp lệ”</t>
        </is>
      </c>
      <c r="I134" s="9" t="inlineStr">
        <is>
          <t>D. Calculation</t>
        </is>
      </c>
      <c r="J134" s="9" t="inlineStr">
        <is>
          <t>test-cases.vi.md</t>
        </is>
      </c>
      <c r="K134" s="9" t="inlineStr">
        <is>
          <t>Chạy nút cam cho từng nguồn.
| Lượt chạy | Phạm vi thực hiện và đối chiếu |
| --- | --- |
| Run: a0 | A0 |
| Run: a4 | A4 |
| Run: a3 | A3 |</t>
        </is>
      </c>
      <c r="L134" s="9" t="inlineStr">
        <is>
          <t>(a) Chưa xét được; không dùng ưu tiên thấp hơn.
(b) `T=25` → 24 Đỏ.
(c) `T=33.333…` → 33.33 Đỏ; 33.34 Không đỏ.</t>
        </is>
      </c>
      <c r="M134" s="9"/>
      <c r="N134" s="9"/>
      <c r="O134" s="9">
        <v>3</v>
      </c>
      <c r="P134" s="9">
        <f>IF(OR(COUNTIF('Run Log'!$B:$B,A134)&lt;&gt;O134,COUNTIF('Run Log'!$A:$A,"RUN-TC-RS-CALC-021-a0")&lt;&gt;1,COUNTIFS('Run Log'!$A:$A,"RUN-TC-RS-CALC-021-a0",'Run Log'!$B:$B,A134,'Run Log'!$C:$C,"a0")&lt;&gt;1,COUNTIF('Run Log'!$A:$A,"RUN-TC-RS-CALC-021-a4")&lt;&gt;1,COUNTIFS('Run Log'!$A:$A,"RUN-TC-RS-CALC-021-a4",'Run Log'!$B:$B,A134,'Run Log'!$C:$C,"a4")&lt;&gt;1,COUNTIF('Run Log'!$A:$A,"RUN-TC-RS-CALC-021-a3")&lt;&gt;1,COUNTIFS('Run Log'!$A:$A,"RUN-TC-RS-CALC-021-a3",'Run Log'!$B:$B,A134,'Run Log'!$C:$C,"a3")&lt;&gt;1),"INCOMPLETE",IF(COUNTIFS('Run Log'!$B:$B,A134,'Run Log'!$D:$D,"PASS")=O134,"PASS",IF(COUNTIFS('Run Log'!$B:$B,A134,'Run Log'!$D:$D,"FAIL")&gt;0,"FAIL",IF(COUNTIFS('Run Log'!$B:$B,A134,'Run Log'!$D:$D,"BLOCKED")&gt;0,"BLOCKED",IF(COUNTIFS('Run Log'!$B:$B,A134,'Run Log'!$D:$D,"SKIPPED")&gt;0,"SKIPPED","NOT RUN")))))</f>
      </c>
    </row>
    <row r="135">
      <c r="A135" s="9" t="inlineStr">
        <is>
          <t>TC-RS-CALC-022</t>
        </is>
      </c>
      <c r="B135" s="9" t="inlineStr">
        <is>
          <t>Phân nhánh theo trung bình: A = 40 / 50 / 49.99 (dùng A trước làm tròn)</t>
        </is>
      </c>
      <c r="C135" s="9" t="inlineStr">
        <is>
          <t>D. Calculation</t>
        </is>
      </c>
      <c r="D135" s="9" t="inlineStr">
        <is>
          <t>- Điều kiện: Ưu tiên 1: `A≥50` → cố định 30 `&lt;`. Ưu tiên 2: `A&lt;50` → `A×0.5` `&lt;`. mục số thập phân (M=100).
- Dữ liệu test: mục số thập phân (M=100); Nguồn `A=40`, `A=50`, `A=49.99` (bản tổng hợp đã chốt (trung bình 49.99), màn tổng hợp hiện 50.0); S = 19, 20, 24.99, 25, 29, 30</t>
        </is>
      </c>
      <c r="E135" s="9" t="inlineStr">
        <is>
          <t>Cao</t>
        </is>
      </c>
      <c r="F135" s="9" t="inlineStr">
        <is>
          <t>CONFIRMED</t>
        </is>
      </c>
      <c r="G135" s="9" t="inlineStr">
        <is>
          <t>UNASSESSED</t>
        </is>
      </c>
      <c r="H135" s="9" t="inlineStr">
        <is>
          <t>tiêu chí nghiệm thu “Giá trị thô từ cùng tập dữ liệu” (AC-G14 «Giá trị thô từ cùng tập dữ liệu»)</t>
        </is>
      </c>
      <c r="I135" s="9" t="inlineStr">
        <is>
          <t>D. Calculation</t>
        </is>
      </c>
      <c r="J135" s="9" t="inlineStr">
        <is>
          <t>test-cases.vi.md</t>
        </is>
      </c>
      <c r="K135" s="9" t="inlineStr">
        <is>
          <t>1. Với từng nguồn, chạy nút cam, xem kết quả.
2. Với `A=49.99`: bật gần nhất p1 cho dòng `A×0.5`, chạy lại.
| Lượt chạy | Phạm vi thực hiện và đối chiếu |
| --- | --- |
| Run: a40 | A40 |
| Run: a50 | A50 |
| Run: a4999-none | A49.99 không làm tròn |
| Run: a4999-round | A49.99 có làm tròn |</t>
        </is>
      </c>
      <c r="L135" s="9" t="inlineStr">
        <is>
          <t>`A=40` → ưu tiên 2, `T=20`: 19 Đỏ; 20 Không đỏ.
`A=50` → ưu tiên 1, `T=30`: 29 Đỏ; 30 Không đỏ.
`A=49.99` → ưu tiên 2, `T=24.995`: 24.99 Đỏ; 25 Không đỏ; 29 Không đỏ (nếu dùng 50 thì 29 Đỏ — sai).
Bước 2: `T=25`, vẫn ưu tiên 2: 24.99 Đỏ; 29 Không đỏ.</t>
        </is>
      </c>
      <c r="M135" s="9"/>
      <c r="N135" s="9"/>
      <c r="O135" s="9">
        <v>4</v>
      </c>
      <c r="P135" s="9">
        <f>IF(OR(COUNTIF('Run Log'!$B:$B,A135)&lt;&gt;O135,COUNTIF('Run Log'!$A:$A,"RUN-TC-RS-CALC-022-a40")&lt;&gt;1,COUNTIFS('Run Log'!$A:$A,"RUN-TC-RS-CALC-022-a40",'Run Log'!$B:$B,A135,'Run Log'!$C:$C,"a40")&lt;&gt;1,COUNTIF('Run Log'!$A:$A,"RUN-TC-RS-CALC-022-a50")&lt;&gt;1,COUNTIFS('Run Log'!$A:$A,"RUN-TC-RS-CALC-022-a50",'Run Log'!$B:$B,A135,'Run Log'!$C:$C,"a50")&lt;&gt;1,COUNTIF('Run Log'!$A:$A,"RUN-TC-RS-CALC-022-a4999-none")&lt;&gt;1,COUNTIFS('Run Log'!$A:$A,"RUN-TC-RS-CALC-022-a4999-none",'Run Log'!$B:$B,A135,'Run Log'!$C:$C,"a4999-none")&lt;&gt;1,COUNTIF('Run Log'!$A:$A,"RUN-TC-RS-CALC-022-a4999-round")&lt;&gt;1,COUNTIFS('Run Log'!$A:$A,"RUN-TC-RS-CALC-022-a4999-round",'Run Log'!$B:$B,A135,'Run Log'!$C:$C,"a4999-round")&lt;&gt;1),"INCOMPLETE",IF(COUNTIFS('Run Log'!$B:$B,A135,'Run Log'!$D:$D,"PASS")=O135,"PASS",IF(COUNTIFS('Run Log'!$B:$B,A135,'Run Log'!$D:$D,"FAIL")&gt;0,"FAIL",IF(COUNTIFS('Run Log'!$B:$B,A135,'Run Log'!$D:$D,"BLOCKED")&gt;0,"BLOCKED",IF(COUNTIFS('Run Log'!$B:$B,A135,'Run Log'!$D:$D,"SKIPPED")&gt;0,"SKIPPED","NOT RUN")))))</f>
      </c>
    </row>
    <row r="136">
      <c r="A136" s="9" t="inlineStr">
        <is>
          <t>TC-RS-CALC-023</t>
        </is>
      </c>
      <c r="B136" s="9" t="inlineStr">
        <is>
          <t>Biên nhánh A=60.00 và A=59.96</t>
        </is>
      </c>
      <c r="C136" s="9" t="inlineStr">
        <is>
          <t>D. Calculation</t>
        </is>
      </c>
      <c r="D136" s="9" t="inlineStr">
        <is>
          <t>- Điều kiện: Ưu tiên 1: `A≥60` → cố định 25 `&lt;`. Ưu tiên 2: `A&lt;60` → `A×0.5` `&lt;`. mục số thập phân (M=100).
- Dữ liệu test: mục số thập phân (M=100); hai nguồn có trung bình 60 và 59.96 (`A=60.00`; `A=59.96`); S = 27, 29.99</t>
        </is>
      </c>
      <c r="E136" s="9" t="inlineStr">
        <is>
          <t>Cao</t>
        </is>
      </c>
      <c r="F136" s="9" t="inlineStr">
        <is>
          <t>CONFIRMED</t>
        </is>
      </c>
      <c r="G136" s="9" t="inlineStr">
        <is>
          <t>UNASSESSED</t>
        </is>
      </c>
      <c r="H136" s="9" t="inlineStr">
        <is>
          <t>tiêu chí nghiệm thu “Giá trị thô từ cùng tập dữ liệu” (AC-G14 «Giá trị thô từ cùng tập dữ liệu»)</t>
        </is>
      </c>
      <c r="I136" s="9" t="inlineStr">
        <is>
          <t>D. Calculation</t>
        </is>
      </c>
      <c r="J136" s="9" t="inlineStr">
        <is>
          <t>test-cases.vi.md</t>
        </is>
      </c>
      <c r="K136" s="9" t="inlineStr">
        <is>
          <t>Chạy nút cam với từng nguồn.
| Lượt chạy | Phạm vi thực hiện và đối chiếu |
| --- | --- |
| Run: a60 | A60 |
| Run: a5996 | A59.96 |</t>
        </is>
      </c>
      <c r="L136" s="9" t="inlineStr">
        <is>
          <t>`A=60.00` → ưu tiên 1, `T=25`: 27 Không đỏ.
`A=59.96` → ưu tiên 2, `T=29.98`: 27 Đỏ; 29.99 Không đỏ.</t>
        </is>
      </c>
      <c r="M136" s="9"/>
      <c r="N136" s="9"/>
      <c r="O136" s="9">
        <v>2</v>
      </c>
      <c r="P136" s="9">
        <f>IF(OR(COUNTIF('Run Log'!$B:$B,A136)&lt;&gt;O136,COUNTIF('Run Log'!$A:$A,"RUN-TC-RS-CALC-023-a60")&lt;&gt;1,COUNTIFS('Run Log'!$A:$A,"RUN-TC-RS-CALC-023-a60",'Run Log'!$B:$B,A136,'Run Log'!$C:$C,"a60")&lt;&gt;1,COUNTIF('Run Log'!$A:$A,"RUN-TC-RS-CALC-023-a5996")&lt;&gt;1,COUNTIFS('Run Log'!$A:$A,"RUN-TC-RS-CALC-023-a5996",'Run Log'!$B:$B,A136,'Run Log'!$C:$C,"a5996")&lt;&gt;1),"INCOMPLETE",IF(COUNTIFS('Run Log'!$B:$B,A136,'Run Log'!$D:$D,"PASS")=O136,"PASS",IF(COUNTIFS('Run Log'!$B:$B,A136,'Run Log'!$D:$D,"FAIL")&gt;0,"FAIL",IF(COUNTIFS('Run Log'!$B:$B,A136,'Run Log'!$D:$D,"BLOCKED")&gt;0,"BLOCKED",IF(COUNTIFS('Run Log'!$B:$B,A136,'Run Log'!$D:$D,"SKIPPED")&gt;0,"SKIPPED","NOT RUN")))))</f>
      </c>
    </row>
    <row r="137">
      <c r="A137" s="9" t="inlineStr">
        <is>
          <t>TC-RS-CALC-024</t>
        </is>
      </c>
      <c r="B137" s="9" t="inlineStr">
        <is>
          <t>Tỷ lệ nhóm R = 70% khớp điều kiện ≥ 65%</t>
        </is>
      </c>
      <c r="C137" s="9" t="inlineStr">
        <is>
          <t>D. Calculation</t>
        </is>
      </c>
      <c r="D137" s="9" t="inlineStr">
        <is>
          <t>- Điều kiện: quy tắc theo tỷ lệ điểm của nhóm từ 65% là quy tắc duy nhất.
- Dữ liệu test: quy tắc theo tỷ lệ điểm của nhóm từ 65%; (a) nhóm có tỷ lệ điểm 70% (cùng M) (60/100, 80/100); (b) nguồn 50/100, 70/100; S = 60, 70, 80</t>
        </is>
      </c>
      <c r="E137" s="9" t="inlineStr">
        <is>
          <t>Cao</t>
        </is>
      </c>
      <c r="F137" s="9" t="inlineStr">
        <is>
          <t>CONFIRMED</t>
        </is>
      </c>
      <c r="G137" s="9" t="inlineStr">
        <is>
          <t>UNASSESSED</t>
        </is>
      </c>
      <c r="H137" s="9" t="inlineStr">
        <is>
          <t>tiêu chí nghiệm thu “Kế thừa tỷ lệ nhóm” (AC-G15 «Kế thừa tỷ lệ nhóm»)</t>
        </is>
      </c>
      <c r="I137" s="9" t="inlineStr">
        <is>
          <t>D. Calculation</t>
        </is>
      </c>
      <c r="J137" s="9" t="inlineStr">
        <is>
          <t>test-cases.vi.md</t>
        </is>
      </c>
      <c r="K137" s="9" t="inlineStr">
        <is>
          <t>Chạy nút xanh rồi nút cam cho từng nguồn.
| Lượt chạy | Phạm vi thực hiện và đối chiếu |
| --- | --- |
| Run: r70 | R70 |
| Run: r60 | R60 |</t>
        </is>
      </c>
      <c r="L137" s="9" t="inlineStr">
        <is>
          <t>(a) `R=140/200×100=70%` → khớp; `T=70`: 60 Đỏ; 70 Không đỏ; 80 Không đỏ.
(b) `R=120/200×100=60%` → không khớp → cả ba Không áp dụng.</t>
        </is>
      </c>
      <c r="M137" s="9"/>
      <c r="N137" s="9"/>
      <c r="O137" s="9">
        <v>2</v>
      </c>
      <c r="P137" s="9">
        <f>IF(OR(COUNTIF('Run Log'!$B:$B,A137)&lt;&gt;O137,COUNTIF('Run Log'!$A:$A,"RUN-TC-RS-CALC-024-r70")&lt;&gt;1,COUNTIFS('Run Log'!$A:$A,"RUN-TC-RS-CALC-024-r70",'Run Log'!$B:$B,A137,'Run Log'!$C:$C,"r70")&lt;&gt;1,COUNTIF('Run Log'!$A:$A,"RUN-TC-RS-CALC-024-r60")&lt;&gt;1,COUNTIFS('Run Log'!$A:$A,"RUN-TC-RS-CALC-024-r60",'Run Log'!$B:$B,A137,'Run Log'!$C:$C,"r60")&lt;&gt;1),"INCOMPLETE",IF(COUNTIFS('Run Log'!$B:$B,A137,'Run Log'!$D:$D,"PASS")=O137,"PASS",IF(COUNTIFS('Run Log'!$B:$B,A137,'Run Log'!$D:$D,"FAIL")&gt;0,"FAIL",IF(COUNTIFS('Run Log'!$B:$B,A137,'Run Log'!$D:$D,"BLOCKED")&gt;0,"BLOCKED",IF(COUNTIFS('Run Log'!$B:$B,A137,'Run Log'!$D:$D,"SKIPPED")&gt;0,"SKIPPED","NOT RUN")))))</f>
      </c>
    </row>
    <row r="138">
      <c r="A138" s="9" t="inlineStr">
        <is>
          <t>TC-RS-CALC-025</t>
        </is>
      </c>
      <c r="B138" s="9" t="inlineStr">
        <is>
          <t>Tỷ lệ nhóm 64.99% (hiển thị 65.0) không khớp ≥ 65%</t>
        </is>
      </c>
      <c r="C138" s="9" t="inlineStr">
        <is>
          <t>D. Calculation</t>
        </is>
      </c>
      <c r="D138" s="9" t="inlineStr">
        <is>
          <t>- Điều kiện: quy tắc theo tỷ lệ điểm của nhóm từ 65%; mục thập phân.
- Dữ liệu test: quy tắc theo tỷ lệ điểm của nhóm từ 65%; (a) Nguồn 64.98/100 và 65.00/100 → `R=64.99%`; (b) 65/100 và 65/100 → `R=65%`; S = 60</t>
        </is>
      </c>
      <c r="E138" s="9" t="inlineStr">
        <is>
          <t>Cao</t>
        </is>
      </c>
      <c r="F138" s="9" t="inlineStr">
        <is>
          <t>CONFIRMED</t>
        </is>
      </c>
      <c r="G138" s="9" t="inlineStr">
        <is>
          <t>BLOCKED</t>
        </is>
      </c>
      <c r="H138" s="9" t="inlineStr">
        <is>
          <t>tiêu chí nghiệm thu “Giá trị thô từ cùng tập dữ liệu” (AC-G14 «Giá trị thô từ cùng tập dữ liệu»)</t>
        </is>
      </c>
      <c r="I138" s="9" t="inlineStr">
        <is>
          <t>D. Calculation</t>
        </is>
      </c>
      <c r="J138" s="9" t="inlineStr">
        <is>
          <t>test-cases.vi.md</t>
        </is>
      </c>
      <c r="K138" s="9" t="inlineStr">
        <is>
          <t>Chạy nút xanh rồi nút cam cho từng nguồn.
| Lượt chạy | Phạm vi thực hiện và đối chiếu |
| --- | --- |
| Run: r6499 | R64.99 |
| Run: r65 | R65 |</t>
        </is>
      </c>
      <c r="L138" s="9" t="inlineStr">
        <is>
          <t>(a) `R` thô = `64.99%` không khớp `≥65%` → Không áp dụng. Nếu seam chỉ cung cấp `65.0%` đã làm tròn, case bị BLOCKED/NEEDS_EVIDENCE vì thiếu dữ liệu nguồn, không được đổi oracle thành khớp.
(b) Khớp → S=60 Đỏ.</t>
        </is>
      </c>
      <c r="M138" s="9"/>
      <c r="N138" s="9"/>
      <c r="O138" s="9">
        <v>2</v>
      </c>
      <c r="P138" s="9">
        <f>IF(OR(COUNTIF('Run Log'!$B:$B,A138)&lt;&gt;O138,COUNTIF('Run Log'!$A:$A,"RUN-TC-RS-CALC-025-r6499")&lt;&gt;1,COUNTIFS('Run Log'!$A:$A,"RUN-TC-RS-CALC-025-r6499",'Run Log'!$B:$B,A138,'Run Log'!$C:$C,"r6499")&lt;&gt;1,COUNTIF('Run Log'!$A:$A,"RUN-TC-RS-CALC-025-r65")&lt;&gt;1,COUNTIFS('Run Log'!$A:$A,"RUN-TC-RS-CALC-025-r65",'Run Log'!$B:$B,A138,'Run Log'!$C:$C,"r65")&lt;&gt;1),"INCOMPLETE",IF(COUNTIFS('Run Log'!$B:$B,A138,'Run Log'!$D:$D,"PASS")=O138,"PASS",IF(COUNTIFS('Run Log'!$B:$B,A138,'Run Log'!$D:$D,"FAIL")&gt;0,"FAIL",IF(COUNTIFS('Run Log'!$B:$B,A138,'Run Log'!$D:$D,"BLOCKED")&gt;0,"BLOCKED",IF(COUNTIFS('Run Log'!$B:$B,A138,'Run Log'!$D:$D,"SKIPPED")&gt;0,"SKIPPED","NOT RUN")))))</f>
      </c>
    </row>
    <row r="139">
      <c r="A139" s="9" t="inlineStr">
        <is>
          <t>TC-RS-CALC-026</t>
        </is>
      </c>
      <c r="B139" s="9" t="inlineStr">
        <is>
          <t>Mẫu số trung bình khi có học sinh bị loại khỏi xếp hạng</t>
        </is>
      </c>
      <c r="C139" s="9" t="inlineStr">
        <is>
          <t>D. Calculation</t>
        </is>
      </c>
      <c r="D139" s="9" t="inlineStr">
        <is>
          <t>- Điều kiện: nhóm có học sinh bị loại khỏi xếp hạng; công thức `A×0.5`, `&lt;`.
- Dữ liệu test: nhóm có học sinh bị loại khỏi xếp hạng; S = 22</t>
        </is>
      </c>
      <c r="E139" s="9" t="inlineStr">
        <is>
          <t>Cao</t>
        </is>
      </c>
      <c r="F139" s="9" t="inlineStr">
        <is>
          <t>CONFIRMED</t>
        </is>
      </c>
      <c r="G139" s="9" t="inlineStr">
        <is>
          <t>UNASSESSED</t>
        </is>
      </c>
      <c r="H139" s="9" t="inlineStr">
        <is>
          <t>tiêu chí nghiệm thu “Giá trị thô từ cùng tập dữ liệu” (AC-G14 «Giá trị thô từ cùng tập dữ liệu»)</t>
        </is>
      </c>
      <c r="I139" s="9" t="inlineStr">
        <is>
          <t>D. Calculation</t>
        </is>
      </c>
      <c r="J139" s="9" t="inlineStr">
        <is>
          <t>test-cases.vi.md</t>
        </is>
      </c>
      <c r="K139" s="9" t="inlineStr">
        <is>
          <t>Chạy nút xanh rồi nút cam; ghi `A` đọc được.
| Lượt chạy | Phạm vi thực hiện và đối chiếu |
| --- | --- |
| Run: Base | Toàn bộ thủ tục theo đúng thứ tự; các đối chứng cùng fixture được kiểm trong cùng lượt, không bỏ bước |</t>
        </is>
      </c>
      <c r="L139" s="9" t="inlineStr">
        <is>
          <t>`A = (60+40+20)/3 = 40` (mẫu số là số người có điểm của cùng bản) → `T=20` → S=22 Không đỏ. Nếu hệ thống dùng số người thuộc xếp hạng (`A=100/2=50`, `T=25` → Đỏ) là sai.</t>
        </is>
      </c>
      <c r="M139" s="9"/>
      <c r="N139" s="9"/>
      <c r="O139" s="9">
        <v>1</v>
      </c>
      <c r="P139" s="9">
        <f>IF(OR(COUNTIF('Run Log'!$B:$B,A139)&lt;&gt;O139,COUNTIF('Run Log'!$A:$A,"RUN-TC-RS-CALC-026-Base")&lt;&gt;1,COUNTIFS('Run Log'!$A:$A,"RUN-TC-RS-CALC-026-Base",'Run Log'!$B:$B,A139,'Run Log'!$C:$C,"Base")&lt;&gt;1),"INCOMPLETE",IF(COUNTIFS('Run Log'!$B:$B,A139,'Run Log'!$D:$D,"PASS")=O139,"PASS",IF(COUNTIFS('Run Log'!$B:$B,A139,'Run Log'!$D:$D,"FAIL")&gt;0,"FAIL",IF(COUNTIFS('Run Log'!$B:$B,A139,'Run Log'!$D:$D,"BLOCKED")&gt;0,"BLOCKED",IF(COUNTIFS('Run Log'!$B:$B,A139,'Run Log'!$D:$D,"SKIPPED")&gt;0,"SKIPPED","NOT RUN")))))</f>
      </c>
    </row>
    <row r="140">
      <c r="A140" s="9" t="inlineStr">
        <is>
          <t>TC-RS-CALC-027</t>
        </is>
      </c>
      <c r="B140" s="9" t="inlineStr">
        <is>
          <t>Trung bình riêng cho từng đơn vị</t>
        </is>
      </c>
      <c r="C140" s="9" t="inlineStr">
        <is>
          <t>D. Calculation</t>
        </is>
      </c>
      <c r="D140" s="9" t="inlineStr">
        <is>
          <t>- Điều kiện: mục điểm đơn vị (đơn vị U1 có M riêng 40) có công thức `A×0.5`, `&lt;`.
- Dữ liệu test: mục điểm đơn vị (đơn vị U1 có M riêng 40); trung bình riêng theo đơn vị (U1=40, U2=70) (U1 `A=40`, U2 `A=70`); S06 U1 = 25, U2 = 30</t>
        </is>
      </c>
      <c r="E140" s="9" t="inlineStr">
        <is>
          <t>Cao</t>
        </is>
      </c>
      <c r="F140" s="9" t="inlineStr">
        <is>
          <t>CONFIRMED</t>
        </is>
      </c>
      <c r="G140" s="9" t="inlineStr">
        <is>
          <t>BLOCKED</t>
        </is>
      </c>
      <c r="H140" s="9" t="inlineStr">
        <is>
          <t>đặc tả v2 mục 5.5 “Chọn bản nguồn”</t>
        </is>
      </c>
      <c r="I140" s="9" t="inlineStr">
        <is>
          <t>D. Calculation</t>
        </is>
      </c>
      <c r="J140" s="9" t="inlineStr">
        <is>
          <t>test-cases.vi.md</t>
        </is>
      </c>
      <c r="K140" s="9" t="inlineStr">
        <is>
          <t>Chạy nút xanh rồi nút cam.
| Lượt chạy | Phạm vi thực hiện và đối chiếu |
| --- | --- |
| Run: Base | Toàn bộ thủ tục theo đúng thứ tự; các đối chứng cùng fixture được kiểm trong cùng lượt, không bỏ bước |</t>
        </is>
      </c>
      <c r="L140" s="9" t="inlineStr">
        <is>
          <t>Kỳ vọng theo đặc tả v2: U1 `T=20` → 25 Không đỏ; U2 `T=35` → 30 Đỏ. Nguồn trung bình theo đơn vị chưa tích hợp (đặc tả v2 mục 13.1): nếu không tách được thì ghi nhận, không đánh PASS.</t>
        </is>
      </c>
      <c r="M140" s="9"/>
      <c r="N140" s="9"/>
      <c r="O140" s="9">
        <v>1</v>
      </c>
      <c r="P140" s="9">
        <f>IF(OR(COUNTIF('Run Log'!$B:$B,A140)&lt;&gt;O140,COUNTIF('Run Log'!$A:$A,"RUN-TC-RS-CALC-027-Base")&lt;&gt;1,COUNTIFS('Run Log'!$A:$A,"RUN-TC-RS-CALC-027-Base",'Run Log'!$B:$B,A140,'Run Log'!$C:$C,"Base")&lt;&gt;1),"INCOMPLETE",IF(COUNTIFS('Run Log'!$B:$B,A140,'Run Log'!$D:$D,"PASS")=O140,"PASS",IF(COUNTIFS('Run Log'!$B:$B,A140,'Run Log'!$D:$D,"FAIL")&gt;0,"FAIL",IF(COUNTIFS('Run Log'!$B:$B,A140,'Run Log'!$D:$D,"BLOCKED")&gt;0,"BLOCKED",IF(COUNTIFS('Run Log'!$B:$B,A140,'Run Log'!$D:$D,"SKIPPED")&gt;0,"SKIPPED","NOT RUN")))))</f>
      </c>
    </row>
    <row r="141">
      <c r="A141" s="9" t="inlineStr">
        <is>
          <t>TC-RS-CALC-028</t>
        </is>
      </c>
      <c r="B141" s="9" t="inlineStr">
        <is>
          <t>Không sai kết quả do sai số dấu phẩy động</t>
        </is>
      </c>
      <c r="C141" s="9" t="inlineStr">
        <is>
          <t>D. Calculation</t>
        </is>
      </c>
      <c r="D141" s="9" t="inlineStr">
        <is>
          <t>- Điều kiện: mục số thập phân (M=100); nguồn dummy.
- Dữ liệu test: mục số thập phân (M=100); (a) `A=1.1`, công thức `A×3`, S = 3.3; (b) `A=0.1`, công thức `A+0.2`, S = 0.3</t>
        </is>
      </c>
      <c r="E141" s="9" t="inlineStr">
        <is>
          <t>Cao</t>
        </is>
      </c>
      <c r="F141" s="9" t="inlineStr">
        <is>
          <t>CONFIRMED</t>
        </is>
      </c>
      <c r="G141" s="9" t="inlineStr">
        <is>
          <t>UNASSESSED</t>
        </is>
      </c>
      <c r="H141" s="9" t="inlineStr">
        <is>
          <t>tiêu chí nghiệm thu “Giữ chính xác giá trị” (AC-G11 «Giữ chính xác giá trị»)</t>
        </is>
      </c>
      <c r="I141" s="9" t="inlineStr">
        <is>
          <t>D. Calculation</t>
        </is>
      </c>
      <c r="J141" s="9" t="inlineStr">
        <is>
          <t>test-cases.vi.md</t>
        </is>
      </c>
      <c r="K141" s="9" t="inlineStr">
        <is>
          <t>Xét với `&lt;` và `≤`.
| Lượt chạy | Phạm vi thực hiện và đối chiếu |
| --- | --- |
| Run: multiply-lt | A1.1 nhân 3 nhỏ hơn |
| Run: multiply-le | A1.1 nhân 3 nhỏ hơn hoặc bằng |
| Run: add-lt | A0.1 cộng 0.2 nhỏ hơn |
| Run: add-le | A0.1 cộng 0.2 nhỏ hơn hoặc bằng |</t>
        </is>
      </c>
      <c r="L141" s="9" t="inlineStr">
        <is>
          <t>(a) `T=3.3`: `&lt;` Không đỏ; `≤` Đỏ.
(b) `T=0.3`: `&lt;` Không đỏ; `≤` Đỏ.</t>
        </is>
      </c>
      <c r="M141" s="9"/>
      <c r="N141" s="9"/>
      <c r="O141" s="9">
        <v>4</v>
      </c>
      <c r="P141" s="9">
        <f>IF(OR(COUNTIF('Run Log'!$B:$B,A141)&lt;&gt;O141,COUNTIF('Run Log'!$A:$A,"RUN-TC-RS-CALC-028-multiply-lt")&lt;&gt;1,COUNTIFS('Run Log'!$A:$A,"RUN-TC-RS-CALC-028-multiply-lt",'Run Log'!$B:$B,A141,'Run Log'!$C:$C,"multiply-lt")&lt;&gt;1,COUNTIF('Run Log'!$A:$A,"RUN-TC-RS-CALC-028-multiply-le")&lt;&gt;1,COUNTIFS('Run Log'!$A:$A,"RUN-TC-RS-CALC-028-multiply-le",'Run Log'!$B:$B,A141,'Run Log'!$C:$C,"multiply-le")&lt;&gt;1,COUNTIF('Run Log'!$A:$A,"RUN-TC-RS-CALC-028-add-lt")&lt;&gt;1,COUNTIFS('Run Log'!$A:$A,"RUN-TC-RS-CALC-028-add-lt",'Run Log'!$B:$B,A141,'Run Log'!$C:$C,"add-lt")&lt;&gt;1,COUNTIF('Run Log'!$A:$A,"RUN-TC-RS-CALC-028-add-le")&lt;&gt;1,COUNTIFS('Run Log'!$A:$A,"RUN-TC-RS-CALC-028-add-le",'Run Log'!$B:$B,A141,'Run Log'!$C:$C,"add-le")&lt;&gt;1),"INCOMPLETE",IF(COUNTIFS('Run Log'!$B:$B,A141,'Run Log'!$D:$D,"PASS")=O141,"PASS",IF(COUNTIFS('Run Log'!$B:$B,A141,'Run Log'!$D:$D,"FAIL")&gt;0,"FAIL",IF(COUNTIFS('Run Log'!$B:$B,A141,'Run Log'!$D:$D,"BLOCKED")&gt;0,"BLOCKED",IF(COUNTIFS('Run Log'!$B:$B,A141,'Run Log'!$D:$D,"SKIPPED")&gt;0,"SKIPPED","NOT RUN")))))</f>
      </c>
    </row>
    <row r="142">
      <c r="A142" s="9" t="inlineStr">
        <is>
          <t>TC-RS-CALC-029</t>
        </is>
      </c>
      <c r="B142" s="9" t="inlineStr">
        <is>
          <t>Tràn số không tạo kết luận đỏ/không đỏ</t>
        </is>
      </c>
      <c r="C142" s="9" t="inlineStr">
        <is>
          <t>D. Calculation</t>
        </is>
      </c>
      <c r="D142" s="9" t="inlineStr">
        <is>
          <t>- Điều kiện: Công thức.
- Dữ liệu test: (a) `A × 999999999999999999999` (21 chữ số); `A ÷ 0.000000001`.
(b) 20 dòng, mỗi dòng `× 999999999.99999999` (dòng 1: `A × 999999999.99999999`), không xử lý phần lẻ; `A=50`.</t>
        </is>
      </c>
      <c r="E142" s="9" t="inlineStr">
        <is>
          <t>Cao</t>
        </is>
      </c>
      <c r="F142" s="9" t="inlineStr">
        <is>
          <t>CONFIRMED</t>
        </is>
      </c>
      <c r="G142" s="9" t="inlineStr">
        <is>
          <t>UNASSESSED</t>
        </is>
      </c>
      <c r="H142" s="9" t="inlineStr">
        <is>
          <t>tiêu chí nghiệm thu “Giữ chính xác giá trị” (AC-G11 «Giữ chính xác giá trị»)</t>
        </is>
      </c>
      <c r="I142" s="9" t="inlineStr">
        <is>
          <t>D. Calculation</t>
        </is>
      </c>
      <c r="J142" s="9" t="inlineStr">
        <is>
          <t>test-cases.vi.md</t>
        </is>
      </c>
      <c r="K142" s="9" t="inlineStr">
        <is>
          <t>1. Nhập (a), Lưu.
2. Nhập (b), Lưu, chạy nút cam.
| Lượt chạy | Phạm vi thực hiện và đối chiếu |
| --- | --- |
| Run: constant | Hằng số cực lớn |
| Run: divisor | Số chia cực nhỏ |
| Run: overflow | Tràn trong lúc tính |</t>
        </is>
      </c>
      <c r="L142" s="9" t="inlineStr">
        <is>
          <t>1. (a) vượt giới hạn nhập đề xuất (9 chữ số nguyên, 8 chữ số lẻ) → bị từ chối khi lưu, không tự cắt số.
2. (b) nằm trong giới hạn nhập nên lưu được; khi chạy, ngưỡng vượt miền số được hỗ trợ → Chưa xét được (đề xuất `reason_code=numeric_overflow`) hoặc lỗi kỹ thuật được báo. Không có ô nào thành Đỏ/Không đỏ từ giá trị tràn.</t>
        </is>
      </c>
      <c r="M142" s="9"/>
      <c r="N142" s="9"/>
      <c r="O142" s="9">
        <v>3</v>
      </c>
      <c r="P142" s="9">
        <f>IF(OR(COUNTIF('Run Log'!$B:$B,A142)&lt;&gt;O142,COUNTIF('Run Log'!$A:$A,"RUN-TC-RS-CALC-029-constant")&lt;&gt;1,COUNTIFS('Run Log'!$A:$A,"RUN-TC-RS-CALC-029-constant",'Run Log'!$B:$B,A142,'Run Log'!$C:$C,"constant")&lt;&gt;1,COUNTIF('Run Log'!$A:$A,"RUN-TC-RS-CALC-029-divisor")&lt;&gt;1,COUNTIFS('Run Log'!$A:$A,"RUN-TC-RS-CALC-029-divisor",'Run Log'!$B:$B,A142,'Run Log'!$C:$C,"divisor")&lt;&gt;1,COUNTIF('Run Log'!$A:$A,"RUN-TC-RS-CALC-029-overflow")&lt;&gt;1,COUNTIFS('Run Log'!$A:$A,"RUN-TC-RS-CALC-029-overflow",'Run Log'!$B:$B,A142,'Run Log'!$C:$C,"overflow")&lt;&gt;1),"INCOMPLETE",IF(COUNTIFS('Run Log'!$B:$B,A142,'Run Log'!$D:$D,"PASS")=O142,"PASS",IF(COUNTIFS('Run Log'!$B:$B,A142,'Run Log'!$D:$D,"FAIL")&gt;0,"FAIL",IF(COUNTIFS('Run Log'!$B:$B,A142,'Run Log'!$D:$D,"BLOCKED")&gt;0,"BLOCKED",IF(COUNTIFS('Run Log'!$B:$B,A142,'Run Log'!$D:$D,"SKIPPED")&gt;0,"SKIPPED","NOT RUN")))))</f>
      </c>
    </row>
    <row r="143">
      <c r="A143" s="9" t="inlineStr">
        <is>
          <t>TC-RS-CALC-030</t>
        </is>
      </c>
      <c r="B143" s="9" t="inlineStr">
        <is>
          <t>Công thức cho T=0; ô trống vẫn là Không có điểm</t>
        </is>
      </c>
      <c r="C143" s="9" t="inlineStr">
        <is>
          <t>D. Calculation</t>
        </is>
      </c>
      <c r="D143" s="9" t="inlineStr">
        <is>
          <t>- Điều kiện: Nguồn `A=20`; công thức `A−20`.
- Dữ liệu test: học sinh S04 (điểm 0) (0), học sinh S05 (ô trống) (trống)</t>
        </is>
      </c>
      <c r="E143" s="9" t="inlineStr">
        <is>
          <t>Cao</t>
        </is>
      </c>
      <c r="F143" s="9" t="inlineStr">
        <is>
          <t>CONFIRMED</t>
        </is>
      </c>
      <c r="G143" s="9" t="inlineStr">
        <is>
          <t>UNASSESSED</t>
        </is>
      </c>
      <c r="H143" s="9" t="inlineStr">
        <is>
          <t>đặc tả v2 mục 2.3 “Điểm được đưa vào xét”, mục 6.6 “Ngưỡng âm và cảnh báo biên”</t>
        </is>
      </c>
      <c r="I143" s="9" t="inlineStr">
        <is>
          <t>D. Calculation</t>
        </is>
      </c>
      <c r="J143" s="9" t="inlineStr">
        <is>
          <t>test-cases.vi.md</t>
        </is>
      </c>
      <c r="K143" s="9" t="inlineStr">
        <is>
          <t>Xét với `&lt;` rồi `≤`.
| Lượt chạy | Phạm vi thực hiện và đối chiếu |
| --- | --- |
| Run: lt | Dấu nhỏ hơn |
| Run: le | Dấu nhỏ hơn hoặc bằng |</t>
        </is>
      </c>
      <c r="L143" s="9" t="inlineStr">
        <is>
          <t>`T=0`. `&lt;`: S04 Không đỏ. `≤`: S04 Đỏ. S05: Không có điểm ở cả hai (không bị coi là 0).</t>
        </is>
      </c>
      <c r="M143" s="9"/>
      <c r="N143" s="9"/>
      <c r="O143" s="9">
        <v>2</v>
      </c>
      <c r="P143" s="9">
        <f>IF(OR(COUNTIF('Run Log'!$B:$B,A143)&lt;&gt;O143,COUNTIF('Run Log'!$A:$A,"RUN-TC-RS-CALC-030-lt")&lt;&gt;1,COUNTIFS('Run Log'!$A:$A,"RUN-TC-RS-CALC-030-lt",'Run Log'!$B:$B,A143,'Run Log'!$C:$C,"lt")&lt;&gt;1,COUNTIF('Run Log'!$A:$A,"RUN-TC-RS-CALC-030-le")&lt;&gt;1,COUNTIFS('Run Log'!$A:$A,"RUN-TC-RS-CALC-030-le",'Run Log'!$B:$B,A143,'Run Log'!$C:$C,"le")&lt;&gt;1),"INCOMPLETE",IF(COUNTIFS('Run Log'!$B:$B,A143,'Run Log'!$D:$D,"PASS")=O143,"PASS",IF(COUNTIFS('Run Log'!$B:$B,A143,'Run Log'!$D:$D,"FAIL")&gt;0,"FAIL",IF(COUNTIFS('Run Log'!$B:$B,A143,'Run Log'!$D:$D,"BLOCKED")&gt;0,"BLOCKED",IF(COUNTIFS('Run Log'!$B:$B,A143,'Run Log'!$D:$D,"SKIPPED")&gt;0,"SKIPPED","NOT RUN")))))</f>
      </c>
    </row>
    <row r="144">
      <c r="A144" s="9" t="inlineStr">
        <is>
          <t>TC-RS-CALC-031</t>
        </is>
      </c>
      <c r="B144" s="9" t="inlineStr">
        <is>
          <t>Nguồn không có mẫu số hợp lệ (tổng điểm tối đa 0, số người có điểm 0) → Chưa xét được</t>
        </is>
      </c>
      <c r="C144" s="9" t="inlineStr">
        <is>
          <t>D. Calculation</t>
        </is>
      </c>
      <c r="D144" s="9" t="inlineStr">
        <is>
          <t>- Điều kiện: Quy tắc 1: quy tắc theo tỷ lệ điểm của nhóm từ 65% (điều kiện tỷ lệ nhóm). Quy tắc 2 (mục khác): công thức `A×0.5`. Cách tạo dữ liệu: hỏi team dev khi chuẩn bị.
- Dữ liệu test: quy tắc theo tỷ lệ điểm của nhóm từ 65%; (a) Bản tổng hợp của nhóm có tổng điểm tối đa = 0; (b) bản tổng hợp tồn tại nhưng không học sinh nào có điểm; S01 = 29</t>
        </is>
      </c>
      <c r="E144" s="9" t="inlineStr">
        <is>
          <t>Cao</t>
        </is>
      </c>
      <c r="F144" s="9" t="inlineStr">
        <is>
          <t>CONFIRMED</t>
        </is>
      </c>
      <c r="G144" s="9" t="inlineStr">
        <is>
          <t>UNASSESSED</t>
        </is>
      </c>
      <c r="H144" s="9" t="inlineStr">
        <is>
          <t>tiêu chí nghiệm thu “Giá trị thô từ cùng tập dữ liệu” (AC-G14 «Giá trị thô từ cùng tập dữ liệu»)</t>
        </is>
      </c>
      <c r="I144" s="9" t="inlineStr">
        <is>
          <t>D. Calculation</t>
        </is>
      </c>
      <c r="J144" s="9" t="inlineStr">
        <is>
          <t>test-cases.vi.md</t>
        </is>
      </c>
      <c r="K144" s="9" t="inlineStr">
        <is>
          <t>Với từng nguồn: chạy nút xanh (nếu cần) rồi nút cam; xem kết quả S01.
| Lượt chạy | Phạm vi thực hiện và đối chiếu |
| --- | --- |
| Run: zero-maximum | Tổng điểm tối đa bằng 0 |
| Run: zero-count | Số người bằng 0 |</t>
        </is>
      </c>
      <c r="L144" s="9" t="inlineStr">
        <is>
          <t>(a) Điều kiện tỷ lệ nhóm không xác định được → Chưa xét được; không coi `R=0` là không khớp để thành Không áp dụng hay chuyển xuống ưu tiên thấp hơn.
(b) `A` không xác định được → Chưa xét được; không coi `A=0` (nếu coi 0 thì `T=0`, S01 Không đỏ — sai).
Cả hai: ngừng dấu đỏ cũ; không lấy nguồn khác.</t>
        </is>
      </c>
      <c r="M144" s="9"/>
      <c r="N144" s="9"/>
      <c r="O144" s="9">
        <v>2</v>
      </c>
      <c r="P144" s="9">
        <f>IF(OR(COUNTIF('Run Log'!$B:$B,A144)&lt;&gt;O144,COUNTIF('Run Log'!$A:$A,"RUN-TC-RS-CALC-031-zero-maximum")&lt;&gt;1,COUNTIFS('Run Log'!$A:$A,"RUN-TC-RS-CALC-031-zero-maximum",'Run Log'!$B:$B,A144,'Run Log'!$C:$C,"zero-maximum")&lt;&gt;1,COUNTIF('Run Log'!$A:$A,"RUN-TC-RS-CALC-031-zero-count")&lt;&gt;1,COUNTIFS('Run Log'!$A:$A,"RUN-TC-RS-CALC-031-zero-count",'Run Log'!$B:$B,A144,'Run Log'!$C:$C,"zero-count")&lt;&gt;1),"INCOMPLETE",IF(COUNTIFS('Run Log'!$B:$B,A144,'Run Log'!$D:$D,"PASS")=O144,"PASS",IF(COUNTIFS('Run Log'!$B:$B,A144,'Run Log'!$D:$D,"FAIL")&gt;0,"FAIL",IF(COUNTIFS('Run Log'!$B:$B,A144,'Run Log'!$D:$D,"BLOCKED")&gt;0,"BLOCKED",IF(COUNTIFS('Run Log'!$B:$B,A144,'Run Log'!$D:$D,"SKIPPED")&gt;0,"SKIPPED","NOT RUN")))))</f>
      </c>
    </row>
    <row r="145">
      <c r="A145" s="9" t="inlineStr">
        <is>
          <t>TC-RS-CALC-032</t>
        </is>
      </c>
      <c r="B145" s="9" t="inlineStr">
        <is>
          <t>Tỷ lệ nhóm: tử số và mẫu số lấy cùng tập đóng góp</t>
        </is>
      </c>
      <c r="C145" s="9" t="inlineStr">
        <is>
          <t>D. Calculation</t>
        </is>
      </c>
      <c r="D145" s="9" t="inlineStr">
        <is>
          <t>- Điều kiện: quy tắc theo tỷ lệ điểm của nhóm từ 65% là quy tắc duy nhất. Nhóm tham chiếu có 3 học sinh: 60/100, 80/100 và một học sinh chưa có điểm (M=100).
- Dữ liệu test: quy tắc theo tỷ lệ điểm của nhóm từ 65%; S = 60</t>
        </is>
      </c>
      <c r="E145" s="9" t="inlineStr">
        <is>
          <t>Cao</t>
        </is>
      </c>
      <c r="F145" s="9" t="inlineStr">
        <is>
          <t>CONFIRMED</t>
        </is>
      </c>
      <c r="G145" s="9" t="inlineStr">
        <is>
          <t>UNASSESSED</t>
        </is>
      </c>
      <c r="H145" s="9" t="inlineStr">
        <is>
          <t>tiêu chí nghiệm thu “Giá trị thô từ cùng tập dữ liệu” (AC-G14 «Giá trị thô từ cùng tập dữ liệu»)</t>
        </is>
      </c>
      <c r="I145" s="9" t="inlineStr">
        <is>
          <t>D. Calculation</t>
        </is>
      </c>
      <c r="J145" s="9" t="inlineStr">
        <is>
          <t>test-cases.vi.md</t>
        </is>
      </c>
      <c r="K145" s="9" t="inlineStr">
        <is>
          <t>1. Chạy nút xanh; ghi tổng điểm và tổng điểm tối đa hiển thị ở kết quả tổng hợp.
2. Chạy nút cam; xem kết quả S=60.
| Lượt chạy | Phạm vi thực hiện và đối chiếu |
| --- | --- |
| Run: Base | Toàn bộ thủ tục theo đúng thứ tự; các đối chứng cùng fixture được kiểm trong cùng lượt, không bỏ bước |</t>
        </is>
      </c>
      <c r="L145" s="9" t="inlineStr">
        <is>
          <t>1. Tổng điểm và tổng điểm tối đa lấy cùng tập học sinh có điểm theo cấu hình tổng hợp.
2. Với cấu hình tổng hợp không tính học sinh chưa có điểm: `R=140/200×100=70%` → khớp `≥65%` → `T=70` → S=60 Đỏ. Ghép tổng điểm của 2 người với tổng tối đa của 3 người (`140/300=46.7%` → Không áp dụng) là sai.</t>
        </is>
      </c>
      <c r="M145" s="9"/>
      <c r="N145" s="9"/>
      <c r="O145" s="9">
        <v>1</v>
      </c>
      <c r="P145" s="9">
        <f>IF(OR(COUNTIF('Run Log'!$B:$B,A145)&lt;&gt;O145,COUNTIF('Run Log'!$A:$A,"RUN-TC-RS-CALC-032-Base")&lt;&gt;1,COUNTIFS('Run Log'!$A:$A,"RUN-TC-RS-CALC-032-Base",'Run Log'!$B:$B,A145,'Run Log'!$C:$C,"Base")&lt;&gt;1),"INCOMPLETE",IF(COUNTIFS('Run Log'!$B:$B,A145,'Run Log'!$D:$D,"PASS")=O145,"PASS",IF(COUNTIFS('Run Log'!$B:$B,A145,'Run Log'!$D:$D,"FAIL")&gt;0,"FAIL",IF(COUNTIFS('Run Log'!$B:$B,A145,'Run Log'!$D:$D,"BLOCKED")&gt;0,"BLOCKED",IF(COUNTIFS('Run Log'!$B:$B,A145,'Run Log'!$D:$D,"SKIPPED")&gt;0,"SKIPPED","NOT RUN")))))</f>
      </c>
    </row>
    <row r="146">
      <c r="A146" s="9" t="inlineStr">
        <is>
          <t>TC-RS-UI-001</t>
        </is>
      </c>
      <c r="B146" s="9" t="inlineStr">
        <is>
          <t>Nhãn trạng thái ở hàng Thiết lập điểm đỏ（赤点設定） trong Thiết lập ô nhập（入力欄設定）</t>
        </is>
      </c>
      <c r="C146" s="9" t="inlineStr">
        <is>
          <t>E. UI • Visual</t>
        </is>
      </c>
      <c r="D146" s="9" t="inlineStr">
        <is>
          <t>- Điều kiện: mục số nguyên (M=100) chưa có quy tắc; mục số thập phân (M=100) có quy tắc; mục kiểu lựa chọn A/B/C là mục lựa chọn. tài khoản giáo viên có quyền sửa mục.
- Dữ liệu test: mục số nguyên (M=100), mục số thập phân (M=100), mục kiểu lựa chọn A/B/C</t>
        </is>
      </c>
      <c r="E146" s="9" t="inlineStr">
        <is>
          <t>TBD</t>
        </is>
      </c>
      <c r="F146" s="9" t="inlineStr">
        <is>
          <t>PROPOSED</t>
        </is>
      </c>
      <c r="G146" s="9" t="inlineStr">
        <is>
          <t>UNASSESSED</t>
        </is>
      </c>
      <c r="H146" s="9" t="inlineStr">
        <is>
          <t>đặc tả v2 mục 4.1 “Điểm vào và trạng thái trống”</t>
        </is>
      </c>
      <c r="I146" s="9" t="inlineStr">
        <is>
          <t>E. UI • Visual</t>
        </is>
      </c>
      <c r="J146" s="9" t="inlineStr">
        <is>
          <t>test-cases.vi.md</t>
        </is>
      </c>
      <c r="K146" s="9" t="inlineStr">
        <is>
          <t>1. Mở Thiết lập ô nhập（入力欄設定）.
2. Ghi lại nhãn/ký hiệu ở hàng Thiết lập điểm đỏ（赤点設定） cho từng cột mục.
| Lượt chạy | Phạm vi thực hiện và đối chiếu |
| --- | --- |
| Run: Base | Toàn bộ thủ tục theo đúng thứ tự; các đối chứng cùng fixture được kiểm trong cùng lượt, không bỏ bước |</t>
        </is>
      </c>
      <c r="L146" s="9" t="inlineStr">
        <is>
          <t>Mục chưa có quy tắc và mục đã có quy tắc được phân biệt được; mục lựa chọn không có thao tác mở thiết lập (đặc tả v2 mục 4.1 “Điểm vào và trạng thái trống”).
Nhãn cụ thể theo Figma (PROPOSED): [設定する] (thiết lập) / 編集 (sửa) + 設定済み (đã thiết lập) / —.</t>
        </is>
      </c>
      <c r="M146" s="9"/>
      <c r="N146" s="9"/>
      <c r="O146" s="9">
        <v>1</v>
      </c>
      <c r="P146" s="9">
        <f>IF(OR(COUNTIF('Run Log'!$B:$B,A146)&lt;&gt;O146,COUNTIF('Run Log'!$A:$A,"RUN-TC-RS-UI-001-Base")&lt;&gt;1,COUNTIFS('Run Log'!$A:$A,"RUN-TC-RS-UI-001-Base",'Run Log'!$B:$B,A146,'Run Log'!$C:$C,"Base")&lt;&gt;1),"INCOMPLETE",IF(COUNTIFS('Run Log'!$B:$B,A146,'Run Log'!$D:$D,"PASS")=O146,"PASS",IF(COUNTIFS('Run Log'!$B:$B,A146,'Run Log'!$D:$D,"FAIL")&gt;0,"FAIL",IF(COUNTIFS('Run Log'!$B:$B,A146,'Run Log'!$D:$D,"BLOCKED")&gt;0,"BLOCKED",IF(COUNTIFS('Run Log'!$B:$B,A146,'Run Log'!$D:$D,"SKIPPED")&gt;0,"SKIPPED","NOT RUN")))))</f>
      </c>
    </row>
    <row r="147">
      <c r="A147" s="9" t="inlineStr">
        <is>
          <t>TC-RS-UI-002</t>
        </is>
      </c>
      <c r="B147" s="9" t="inlineStr">
        <is>
          <t>Cấu trúc màn danh sách Thiết lập điểm đỏ（赤点設定）</t>
        </is>
      </c>
      <c r="C147" s="9" t="inlineStr">
        <is>
          <t>E. UI • Visual</t>
        </is>
      </c>
      <c r="D147" s="9" t="inlineStr">
        <is>
          <t>- Điều kiện: mục số nguyên (M=100) có cặp quy tắc phân nhánh theo trung bình 60 (2 quy tắc).
- Dữ liệu test: mục số nguyên (M=100); cặp quy tắc phân nhánh theo trung bình 60</t>
        </is>
      </c>
      <c r="E147" s="9" t="inlineStr">
        <is>
          <t>TBD</t>
        </is>
      </c>
      <c r="F147" s="9" t="inlineStr">
        <is>
          <t>PROPOSED</t>
        </is>
      </c>
      <c r="G147" s="9" t="inlineStr">
        <is>
          <t>UNASSESSED</t>
        </is>
      </c>
      <c r="H147" s="9" t="inlineStr">
        <is>
          <t>đặc tả v2 mục 4.1 “Điểm vào và trạng thái trống”, mục 4.2 “Nội dung một dòng”</t>
        </is>
      </c>
      <c r="I147" s="9" t="inlineStr">
        <is>
          <t>E. UI • Visual</t>
        </is>
      </c>
      <c r="J147" s="9" t="inlineStr">
        <is>
          <t>test-cases.vi.md</t>
        </is>
      </c>
      <c r="K147" s="9" t="inlineStr">
        <is>
          <t>1. Mở Thiết lập nhập điểm（成績入力設定） (URL ở đường dẫn các màn liên quan) → Thiết lập ô nhập（入力欄設定） của kỳ Cuối kỳ học kỳ 1（1学期期末）.
2. Ở hàng Thiết lập điểm đỏ（赤点設定） của cột mục số nguyên (M=100), bấm nút mở thiết lập (Figma: 編集 (sửa)).
3. Trên màn danh sách, đối chiếu lần lượt các mục a–g ở Expected Result.
| Lượt chạy | Phạm vi thực hiện và đối chiếu |
| --- | --- |
| Run: Base | Toàn bộ thủ tục theo đúng thứ tự; các đối chứng cùng fixture được kiểm trong cùng lượt, không bỏ bước |</t>
        </is>
      </c>
      <c r="L147" s="9" t="inlineStr">
        <is>
          <t>a. Breadcrumb: Thiết lập bảng thành tích（成績帳票設定） - Thiết lập thành tích（成績設定） - Thiết lập nhập điểm（成績入力設定） - Thiết lập điểm đỏ（赤点設定）.
b. Link Quay lại Thiết lập nhập điểm（[成績入力設定へ戻る]）.
c. Khối Giải thích bổ sung（※補足説明※） thu gọn/mở được.
d. Nút Thêm thiết lập chi tiết（詳細設定の追加）.
e. Bảng có các cột Tên thiết lập（設定名称）; Điều kiện áp dụng（適用条件） kèm Sửa（[編集]）; Ngưỡng đỏ（赤点の基準） kèm Sửa（[編集]）; Xóa（削除）; Ưu tiên（優先順位） ▲▼; có 2 dòng theo cặp quy tắc phân nhánh theo trung bình 60.
f. Câu 「上から順に適用条件を確認し、最初に一致した設定を使用します。」 (kiểm điều kiện từ trên xuống, dùng thiết lập khớp đầu tiên).
g. Câu cuối trang 「設定を変更した場合は、成績登録または成績集計の自動算出を再実行してください。」 (đổi thiết lập thì chạy lại đăng ký điểm hoặc tính tự động).</t>
        </is>
      </c>
      <c r="M147" s="9"/>
      <c r="N147" s="9"/>
      <c r="O147" s="9">
        <v>1</v>
      </c>
      <c r="P147" s="9">
        <f>IF(OR(COUNTIF('Run Log'!$B:$B,A147)&lt;&gt;O147,COUNTIF('Run Log'!$A:$A,"RUN-TC-RS-UI-002-Base")&lt;&gt;1,COUNTIFS('Run Log'!$A:$A,"RUN-TC-RS-UI-002-Base",'Run Log'!$B:$B,A147,'Run Log'!$C:$C,"Base")&lt;&gt;1),"INCOMPLETE",IF(COUNTIFS('Run Log'!$B:$B,A147,'Run Log'!$D:$D,"PASS")=O147,"PASS",IF(COUNTIFS('Run Log'!$B:$B,A147,'Run Log'!$D:$D,"FAIL")&gt;0,"FAIL",IF(COUNTIFS('Run Log'!$B:$B,A147,'Run Log'!$D:$D,"BLOCKED")&gt;0,"BLOCKED",IF(COUNTIFS('Run Log'!$B:$B,A147,'Run Log'!$D:$D,"SKIPPED")&gt;0,"SKIPPED","NOT RUN")))))</f>
      </c>
    </row>
    <row r="148">
      <c r="A148" s="9" t="inlineStr">
        <is>
          <t>TC-RS-UI-003</t>
        </is>
      </c>
      <c r="B148" s="9" t="inlineStr">
        <is>
          <t>Định dạng tiêu đề màn danh sách</t>
        </is>
      </c>
      <c r="C148" s="9" t="inlineStr">
        <is>
          <t>E. UI • Visual</t>
        </is>
      </c>
      <c r="D148" s="9" t="inlineStr">
        <is>
          <t>- Điều kiện: mục số thập phân (M=100).
- Dữ liệu test: mục số thập phân (M=100)</t>
        </is>
      </c>
      <c r="E148" s="9" t="inlineStr">
        <is>
          <t>TBD</t>
        </is>
      </c>
      <c r="F148" s="9" t="inlineStr">
        <is>
          <t>CONFIRMED</t>
        </is>
      </c>
      <c r="G148" s="9" t="inlineStr">
        <is>
          <t>UNASSESSED</t>
        </is>
      </c>
      <c r="H148" s="9" t="inlineStr">
        <is>
          <t>tiêu chí nghiệm thu “Lưu và mở lại nhiều thiết lập” (AC-G04 «Lưu và mở lại nhiều thiết lập»)</t>
        </is>
      </c>
      <c r="I148" s="9" t="inlineStr">
        <is>
          <t>E. UI • Visual</t>
        </is>
      </c>
      <c r="J148" s="9" t="inlineStr">
        <is>
          <t>test-cases.vi.md</t>
        </is>
      </c>
      <c r="K148" s="9" t="inlineStr">
        <is>
          <t>Mở màn danh sách của mục số thập phân (M=100), đọc tiêu đề.
| Lượt chạy | Phạm vi thực hiện và đối chiếu |
| --- | --- |
| Run: Base | Toàn bộ thủ tục theo đúng thứ tự; các đối chứng cùng fixture được kiểm trong cùng lượt, không bỏ bước |</t>
        </is>
      </c>
      <c r="L148" s="9" t="inlineStr">
        <is>
          <t>Theo tiêu chí nghiệm thu “Lưu và mở lại nhiều thiết lập”: màn danh sách thể hiện kỳ Cuối kỳ học kỳ 1（1学期期末）, tên mục, kiểu nhập Nhập số – thập phân（数値入力・小数） và Thiết lập điểm đỏ（赤点設定）.
Định dạng tiêu đề theo Figma (PROPOSED): 「1学期期末 ／ 評点（数値入力・小数） の赤点設定」; lệch thì ghi Notes, không FAIL.</t>
        </is>
      </c>
      <c r="M148" s="9"/>
      <c r="N148" s="9"/>
      <c r="O148" s="9">
        <v>1</v>
      </c>
      <c r="P148" s="9">
        <f>IF(OR(COUNTIF('Run Log'!$B:$B,A148)&lt;&gt;O148,COUNTIF('Run Log'!$A:$A,"RUN-TC-RS-UI-003-Base")&lt;&gt;1,COUNTIFS('Run Log'!$A:$A,"RUN-TC-RS-UI-003-Base",'Run Log'!$B:$B,A148,'Run Log'!$C:$C,"Base")&lt;&gt;1),"INCOMPLETE",IF(COUNTIFS('Run Log'!$B:$B,A148,'Run Log'!$D:$D,"PASS")=O148,"PASS",IF(COUNTIFS('Run Log'!$B:$B,A148,'Run Log'!$D:$D,"FAIL")&gt;0,"FAIL",IF(COUNTIFS('Run Log'!$B:$B,A148,'Run Log'!$D:$D,"BLOCKED")&gt;0,"BLOCKED",IF(COUNTIFS('Run Log'!$B:$B,A148,'Run Log'!$D:$D,"SKIPPED")&gt;0,"SKIPPED","NOT RUN")))))</f>
      </c>
    </row>
    <row r="149">
      <c r="A149" s="9" t="inlineStr">
        <is>
          <t>TC-RS-UI-004</t>
        </is>
      </c>
      <c r="B149" s="9" t="inlineStr">
        <is>
          <t>Tóm tắt điều kiện và ngưỡng trên từng dòng danh sách</t>
        </is>
      </c>
      <c r="C149" s="9" t="inlineStr">
        <is>
          <t>E. UI • Visual</t>
        </is>
      </c>
      <c r="D149" s="9" t="inlineStr">
        <is>
          <t>- Điều kiện: mục số nguyên (M=100) có cặp quy tắc phân nhánh theo trung bình 60 và một quy tắc công thức hai dòng (trung bình ÷ 2 × 0.8).
- Dữ liệu test: mục số nguyên (M=100); quy tắc công thức hai dòng (trung bình ÷ 2 × 0.8), cặp quy tắc phân nhánh theo trung bình 60</t>
        </is>
      </c>
      <c r="E149" s="9" t="inlineStr">
        <is>
          <t>TBD</t>
        </is>
      </c>
      <c r="F149" s="9" t="inlineStr">
        <is>
          <t>PROPOSED</t>
        </is>
      </c>
      <c r="G149" s="9" t="inlineStr">
        <is>
          <t>UNASSESSED</t>
        </is>
      </c>
      <c r="H149" s="9" t="inlineStr">
        <is>
          <t>đặc tả v2 mục 4.2 “Nội dung một dòng”</t>
        </is>
      </c>
      <c r="I149" s="9" t="inlineStr">
        <is>
          <t>E. UI • Visual</t>
        </is>
      </c>
      <c r="J149" s="9" t="inlineStr">
        <is>
          <t>test-cases.vi.md</t>
        </is>
      </c>
      <c r="K149" s="9" t="inlineStr">
        <is>
          <t>Xem cột Điều kiện áp dụng（適用条件） và Ngưỡng đỏ（赤点の基準） của từng dòng.
| Lượt chạy | Phạm vi thực hiện và đối chiếu |
| --- | --- |
| Run: Base | Toàn bộ thủ tục theo đúng thứ tự; các đối chứng cùng fixture được kiểm trong cùng lượt, không bỏ bước |</t>
        </is>
      </c>
      <c r="L149" s="9" t="inlineStr">
        <is>
          <t>Mỗi dòng cho biết môn/nguồn/mốc của điều kiện, loại ngưỡng, giá trị, dấu so sánh; dòng công thức cho thấy các dòng tính và xử lý phần lẻ. Định dạng theo Figma (đề xuất).</t>
        </is>
      </c>
      <c r="M149" s="9"/>
      <c r="N149" s="9"/>
      <c r="O149" s="9">
        <v>1</v>
      </c>
      <c r="P149" s="9">
        <f>IF(OR(COUNTIF('Run Log'!$B:$B,A149)&lt;&gt;O149,COUNTIF('Run Log'!$A:$A,"RUN-TC-RS-UI-004-Base")&lt;&gt;1,COUNTIFS('Run Log'!$A:$A,"RUN-TC-RS-UI-004-Base",'Run Log'!$B:$B,A149,'Run Log'!$C:$C,"Base")&lt;&gt;1),"INCOMPLETE",IF(COUNTIFS('Run Log'!$B:$B,A149,'Run Log'!$D:$D,"PASS")=O149,"PASS",IF(COUNTIFS('Run Log'!$B:$B,A149,'Run Log'!$D:$D,"FAIL")&gt;0,"FAIL",IF(COUNTIFS('Run Log'!$B:$B,A149,'Run Log'!$D:$D,"BLOCKED")&gt;0,"BLOCKED",IF(COUNTIFS('Run Log'!$B:$B,A149,'Run Log'!$D:$D,"SKIPPED")&gt;0,"SKIPPED","NOT RUN")))))</f>
      </c>
    </row>
    <row r="150">
      <c r="A150" s="9" t="inlineStr">
        <is>
          <t>TC-RS-UI-005</t>
        </is>
      </c>
      <c r="B150" s="9" t="inlineStr">
        <is>
          <t>Trạng thái danh sách trống</t>
        </is>
      </c>
      <c r="C150" s="9" t="inlineStr">
        <is>
          <t>E. UI • Visual</t>
        </is>
      </c>
      <c r="D150" s="9" t="inlineStr">
        <is>
          <t>- Điều kiện: mục số nguyên (M=100) không có quy tắc.
- Dữ liệu test: mục số nguyên (M=100)</t>
        </is>
      </c>
      <c r="E150" s="9" t="inlineStr">
        <is>
          <t>TBD</t>
        </is>
      </c>
      <c r="F150" s="9" t="inlineStr">
        <is>
          <t>PROPOSED</t>
        </is>
      </c>
      <c r="G150" s="9" t="inlineStr">
        <is>
          <t>UNASSESSED</t>
        </is>
      </c>
      <c r="H150" s="9" t="inlineStr">
        <is>
          <t>đặc tả v2 mục 4.1 “Điểm vào và trạng thái trống”</t>
        </is>
      </c>
      <c r="I150" s="9" t="inlineStr">
        <is>
          <t>E. UI • Visual</t>
        </is>
      </c>
      <c r="J150" s="9" t="inlineStr">
        <is>
          <t>test-cases.vi.md</t>
        </is>
      </c>
      <c r="K150" s="9" t="inlineStr">
        <is>
          <t>Mở danh sách.
| Lượt chạy | Phạm vi thực hiện và đối chiếu |
| --- | --- |
| Run: Base | Toàn bộ thủ tục theo đúng thứ tự; các đối chứng cùng fixture được kiểm trong cùng lượt, không bỏ bước |</t>
        </is>
      </c>
      <c r="L150" s="9" t="inlineStr">
        <is>
          <t>Hiển thị câu báo không có thiết lập và nút thêm; không có dòng mẫu.</t>
        </is>
      </c>
      <c r="M150" s="9"/>
      <c r="N150" s="9"/>
      <c r="O150" s="9">
        <v>1</v>
      </c>
      <c r="P150" s="9">
        <f>IF(OR(COUNTIF('Run Log'!$B:$B,A150)&lt;&gt;O150,COUNTIF('Run Log'!$A:$A,"RUN-TC-RS-UI-005-Base")&lt;&gt;1,COUNTIFS('Run Log'!$A:$A,"RUN-TC-RS-UI-005-Base",'Run Log'!$B:$B,A150,'Run Log'!$C:$C,"Base")&lt;&gt;1),"INCOMPLETE",IF(COUNTIFS('Run Log'!$B:$B,A150,'Run Log'!$D:$D,"PASS")=O150,"PASS",IF(COUNTIFS('Run Log'!$B:$B,A150,'Run Log'!$D:$D,"FAIL")&gt;0,"FAIL",IF(COUNTIFS('Run Log'!$B:$B,A150,'Run Log'!$D:$D,"BLOCKED")&gt;0,"BLOCKED",IF(COUNTIFS('Run Log'!$B:$B,A150,'Run Log'!$D:$D,"SKIPPED")&gt;0,"SKIPPED","NOT RUN")))))</f>
      </c>
    </row>
    <row r="151">
      <c r="A151" s="9" t="inlineStr">
        <is>
          <t>TC-RS-UI-006</t>
        </is>
      </c>
      <c r="B151" s="9" t="inlineStr">
        <is>
          <t>Hộp xác nhận khi xóa quy tắc cuối</t>
        </is>
      </c>
      <c r="C151" s="9" t="inlineStr">
        <is>
          <t>E. UI • Visual</t>
        </is>
      </c>
      <c r="D151" s="9" t="inlineStr">
        <is>
          <t>- Điều kiện: mục số nguyên (M=100) chỉ có quy tắc “Cố định 30” (dưới 30).
- Dữ liệu test: mục số nguyên (M=100); quy tắc “Cố định 30” (dưới 30)</t>
        </is>
      </c>
      <c r="E151" s="9" t="inlineStr">
        <is>
          <t>TBD</t>
        </is>
      </c>
      <c r="F151" s="9" t="inlineStr">
        <is>
          <t>PROPOSED</t>
        </is>
      </c>
      <c r="G151" s="9" t="inlineStr">
        <is>
          <t>UNASSESSED</t>
        </is>
      </c>
      <c r="H151" s="9" t="inlineStr">
        <is>
          <t>đặc tả v2 mục 4.4 “Lưu, đổi thứ tự và xóa”</t>
        </is>
      </c>
      <c r="I151" s="9" t="inlineStr">
        <is>
          <t>E. UI • Visual</t>
        </is>
      </c>
      <c r="J151" s="9" t="inlineStr">
        <is>
          <t>test-cases.vi.md</t>
        </is>
      </c>
      <c r="K151" s="9" t="inlineStr">
        <is>
          <t>Bấm Xóa（削除） ở dòng duy nhất.
| Lượt chạy | Phạm vi thực hiện và đối chiếu |
| --- | --- |
| Run: Base | Toàn bộ thủ tục theo đúng thứ tự; các đối chứng cùng fixture được kiểm trong cùng lượt, không bỏ bước |</t>
        </is>
      </c>
      <c r="L151" s="9" t="inlineStr">
        <is>
          <t>Hộp xác nhận nêu đây là thiết lập cuối, kết quả trước còn dùng tới lần chạy lại, điểm được giữ; có Hủy và Xóa.</t>
        </is>
      </c>
      <c r="M151" s="9"/>
      <c r="N151" s="9"/>
      <c r="O151" s="9">
        <v>1</v>
      </c>
      <c r="P151" s="9">
        <f>IF(OR(COUNTIF('Run Log'!$B:$B,A151)&lt;&gt;O151,COUNTIF('Run Log'!$A:$A,"RUN-TC-RS-UI-006-Base")&lt;&gt;1,COUNTIFS('Run Log'!$A:$A,"RUN-TC-RS-UI-006-Base",'Run Log'!$B:$B,A151,'Run Log'!$C:$C,"Base")&lt;&gt;1),"INCOMPLETE",IF(COUNTIFS('Run Log'!$B:$B,A151,'Run Log'!$D:$D,"PASS")=O151,"PASS",IF(COUNTIFS('Run Log'!$B:$B,A151,'Run Log'!$D:$D,"FAIL")&gt;0,"FAIL",IF(COUNTIFS('Run Log'!$B:$B,A151,'Run Log'!$D:$D,"BLOCKED")&gt;0,"BLOCKED",IF(COUNTIFS('Run Log'!$B:$B,A151,'Run Log'!$D:$D,"SKIPPED")&gt;0,"SKIPPED","NOT RUN")))))</f>
      </c>
    </row>
    <row r="152">
      <c r="A152" s="9" t="inlineStr">
        <is>
          <t>TC-RS-UI-007</t>
        </is>
      </c>
      <c r="B152" s="9" t="inlineStr">
        <is>
          <t>Dòng quy tắc mới chỉ có điều kiện, chưa có ngưỡng</t>
        </is>
      </c>
      <c r="C152" s="9" t="inlineStr">
        <is>
          <t>E. UI • Visual</t>
        </is>
      </c>
      <c r="D152" s="9" t="inlineStr">
        <is>
          <t>- Điều kiện: trường A/năm 2026, mục số nguyên TD-ITEM-01 (M=100), S01=29; giáo viên có quyền sửa và chạy xét. Rule ưu tiên 1 chỉ lưu điều kiện Toàn bộ, chưa có ngưỡng; rule đối chứng ưu tiên 2 Toàn bộ, T=20, dấu `&lt;`. Ghi identity hai rule và dựng lại fixture trước mỗi biến thể; baseline sau xét là Không đỏ theo rule đối chứng. Cách biểu diễn enum/schema vẫn là PROPOSED.
- Dữ liệu test: form ngưỡng ở tab A sẽ nhập T=40 nhưng chưa lưu; tab B dùng để xóa rule nhập dở. Phạm vi trích xuất chỉ có ô S01=29 này. Đây là fixture của `FUNC-014/incomplete-deleted-stale`, không thay ngưỡng 30 dùng chung.</t>
        </is>
      </c>
      <c r="E152" s="9" t="inlineStr">
        <is>
          <t>Cao</t>
        </is>
      </c>
      <c r="F152" s="9" t="inlineStr">
        <is>
          <t>CONFIRMED</t>
        </is>
      </c>
      <c r="G152" s="9" t="inlineStr">
        <is>
          <t>BLOCKED</t>
        </is>
      </c>
      <c r="H152" s="9" t="inlineStr">
        <is>
          <t>đặc tả v2 mục 4.4 “Lưu, đổi thứ tự và xóa”; AC-G04 «Lưu và mở lại nhiều thiết lập»</t>
        </is>
      </c>
      <c r="I152" s="9" t="inlineStr">
        <is>
          <t>E. UI • Visual</t>
        </is>
      </c>
      <c r="J152" s="9" t="inlineStr">
        <is>
          <t>test-cases.vi.md</t>
        </is>
      </c>
      <c r="K152" s="9" t="inlineStr">
        <is>
          <t>1. Với `incomplete-row`, quay về danh sách, xem dòng nhập dở và thao tác mở thiết lập ngưỡng; chạy xét và đọc rule đối chứng T=20 đã dùng cho S01.
2. Với `incomplete-deleted-stale`, reset fixture và xác nhận baseline Không đỏ/T=20. Mở form ngưỡng của rule nhập dở ở tab A, nhập T=40 nhưng chưa lưu; xóa rule đó ở tab B rồi gửi lưu tab A. Reload danh sách và đọc trạng thái rule.
3. Chạy xét lại thành công; đọc identity rule/ngưỡng đã dùng và trích xuất S01 một lượt tắt lọc, một lượt bật lọc đỏ. Ghi kết quả riêng cho hai biến thể.
| Lượt chạy | Phạm vi thực hiện và đối chiếu |
| --- | --- |
| Run: incomplete-row | Nhánh incomplete-row trong thủ tục và Expected của case; thực hiện các bước chuẩn bị chung trước nhánh |
| Run: incomplete-deleted-stale | Nhánh incomplete-deleted-stale trong thủ tục và Expected của case; thực hiện các bước chuẩn bị chung trước nhánh |</t>
        </is>
      </c>
      <c r="L152" s="9" t="inlineStr">
        <is>
          <t>1. `incomplete-row`: dòng hiển thị chưa có ngưỡng, có link mở thiết lập ngưỡng và câu báo không dùng để xét. Bộ xét chọn rule đối chứng T=20, S01=29 Không đỏ; không tạo ngưỡng 0 ngầm.
2. `incomplete-deleted-stale`: dòng đã xóa không xuất hiện lại; gửi T=40 từ form cũ không phục hồi rule trong bộ xét. Sau lần xét lại, identity rule đối chứng và T=20 giữ đúng, S01=29 **Không đỏ**. Lượt tắt lọc hiện 29 không dấu đỏ; lượt bật lọc không có S01. Nếu rule 40 bị phục hồi thì 29&lt;40 sẽ Đỏ và biến thể phải FAIL.
3. Schema/enum là cách hiện thực đề xuất. Nếu chưa xác minh được form cũ, đường chạy xét hoặc reader rule/ngưỡng thì giữ biến thể BLOCKED, không suy PASS chỉ từ danh sách.</t>
        </is>
      </c>
      <c r="M152" s="9"/>
      <c r="N152" s="9"/>
      <c r="O152" s="9">
        <v>2</v>
      </c>
      <c r="P152" s="9">
        <f>IF(OR(COUNTIF('Run Log'!$B:$B,A152)&lt;&gt;O152,COUNTIF('Run Log'!$A:$A,"RUN-TC-RS-UI-007-incomplete-row")&lt;&gt;1,COUNTIFS('Run Log'!$A:$A,"RUN-TC-RS-UI-007-incomplete-row",'Run Log'!$B:$B,A152,'Run Log'!$C:$C,"incomplete-row")&lt;&gt;1,COUNTIF('Run Log'!$A:$A,"RUN-TC-RS-UI-007-incomplete-deleted-stale")&lt;&gt;1,COUNTIFS('Run Log'!$A:$A,"RUN-TC-RS-UI-007-incomplete-deleted-stale",'Run Log'!$B:$B,A152,'Run Log'!$C:$C,"incomplete-deleted-stale")&lt;&gt;1),"INCOMPLETE",IF(COUNTIFS('Run Log'!$B:$B,A152,'Run Log'!$D:$D,"PASS")=O152,"PASS",IF(COUNTIFS('Run Log'!$B:$B,A152,'Run Log'!$D:$D,"FAIL")&gt;0,"FAIL",IF(COUNTIFS('Run Log'!$B:$B,A152,'Run Log'!$D:$D,"BLOCKED")&gt;0,"BLOCKED",IF(COUNTIFS('Run Log'!$B:$B,A152,'Run Log'!$D:$D,"SKIPPED")&gt;0,"SKIPPED","NOT RUN")))))</f>
      </c>
    </row>
    <row r="153">
      <c r="A153" s="9" t="inlineStr">
        <is>
          <t>TC-RS-UI-008</t>
        </is>
      </c>
      <c r="B153" s="9" t="inlineStr">
        <is>
          <t>Màn Điều kiện áp dụng（適用条件設定）: bố cục và chuyển Toàn bộ/Bộ lọc</t>
        </is>
      </c>
      <c r="C153" s="9" t="inlineStr">
        <is>
          <t>E. UI • Visual</t>
        </is>
      </c>
      <c r="D153" s="9" t="inlineStr">
        <is>
          <t>- Điều kiện: Mở thêm quy tắc cho mục số thập phân (M=100).
- Dữ liệu test: mục số thập phân (M=100)</t>
        </is>
      </c>
      <c r="E153" s="9" t="inlineStr">
        <is>
          <t>TBD</t>
        </is>
      </c>
      <c r="F153" s="9" t="inlineStr">
        <is>
          <t>PROPOSED</t>
        </is>
      </c>
      <c r="G153" s="9" t="inlineStr">
        <is>
          <t>UNASSESSED</t>
        </is>
      </c>
      <c r="H153" s="9" t="inlineStr">
        <is>
          <t>đặc tả v2 mục 5.1 “Đối tượng áp dụng”</t>
        </is>
      </c>
      <c r="I153" s="9" t="inlineStr">
        <is>
          <t>E. UI • Visual</t>
        </is>
      </c>
      <c r="J153" s="9" t="inlineStr">
        <is>
          <t>test-cases.vi.md</t>
        </is>
      </c>
      <c r="K153" s="9" t="inlineStr">
        <is>
          <t>1. Đối chiếu bố cục và đọc nguyên văn hướng dẫn điều kiện.
2. Chọn Toàn bộ đối tượng（全員が対象）.
3. Chọn Giới hạn bằng bộ lọc（特定条件で絞り込む）, thêm hai điều kiện cùng loại và hai điều kiện khác loại.
| Lượt chạy | Phạm vi thực hiện và đối chiếu |
| --- | --- |
| Run: Base | Toàn bộ thủ tục theo đúng thứ tự; các đối chứng cùng fixture được kiểm trong cùng lượt, không bỏ bước |</t>
        </is>
      </c>
      <c r="L153" s="9" t="inlineStr">
        <is>
          <t>1. Có các phần tử như Source.
2. Không hiện vùng Điều kiện lọc（絞り込み条件）.
3. Hiện vùng lọc, thêm được điều kiện và câu 「※同じ種類の条件はいずれか1つ、種類が違う条件はすべて満たす生徒が対象となります。」 (cùng loại chỉ cần thỏa một điều kiện, khác loại phải thỏa tất cả). Hướng dẫn phải phân biệt OR trong cùng loại bộ lọc với AND giữa các loại điều kiện; không dùng câu này để thay thế phép AND giữa các điều kiện nguồn A/R trong cùng rule.</t>
        </is>
      </c>
      <c r="M153" s="9"/>
      <c r="N153" s="9"/>
      <c r="O153" s="9">
        <v>1</v>
      </c>
      <c r="P153" s="9">
        <f>IF(OR(COUNTIF('Run Log'!$B:$B,A153)&lt;&gt;O153,COUNTIF('Run Log'!$A:$A,"RUN-TC-RS-UI-008-Base")&lt;&gt;1,COUNTIFS('Run Log'!$A:$A,"RUN-TC-RS-UI-008-Base",'Run Log'!$B:$B,A153,'Run Log'!$C:$C,"Base")&lt;&gt;1),"INCOMPLETE",IF(COUNTIFS('Run Log'!$B:$B,A153,'Run Log'!$D:$D,"PASS")=O153,"PASS",IF(COUNTIFS('Run Log'!$B:$B,A153,'Run Log'!$D:$D,"FAIL")&gt;0,"FAIL",IF(COUNTIFS('Run Log'!$B:$B,A153,'Run Log'!$D:$D,"BLOCKED")&gt;0,"BLOCKED",IF(COUNTIFS('Run Log'!$B:$B,A153,'Run Log'!$D:$D,"SKIPPED")&gt;0,"SKIPPED","NOT RUN")))))</f>
      </c>
    </row>
    <row r="154">
      <c r="A154" s="9" t="inlineStr">
        <is>
          <t>TC-RS-UI-009</t>
        </is>
      </c>
      <c r="B154" s="9" t="inlineStr">
        <is>
          <t>Khối điều kiện Trung bình（平均点） và nguồn tham chiếu, không có ô chọn "kết quả tổng hợp dùng để tham chiếu"</t>
        </is>
      </c>
      <c r="C154" s="9" t="inlineStr">
        <is>
          <t>E. UI • Visual</t>
        </is>
      </c>
      <c r="D154" s="9" t="inlineStr">
        <is>
          <t>- Điều kiện: Màn Điều kiện áp dụng, Giới hạn bằng bộ lọc.
- Dữ liệu test: —</t>
        </is>
      </c>
      <c r="E154" s="9" t="inlineStr">
        <is>
          <t>TBD</t>
        </is>
      </c>
      <c r="F154" s="9" t="inlineStr">
        <is>
          <t>CONFIRMED</t>
        </is>
      </c>
      <c r="G154" s="9" t="inlineStr">
        <is>
          <t>UNASSESSED</t>
        </is>
      </c>
      <c r="H154" s="9" t="inlineStr">
        <is>
          <t>đặc tả v2 mục 3 “Bản đồ màn hình và luồng thao tác”, mục 5.4 “Bộ thông tin nguồn”, mục 5.5 “Chọn bản nguồn”</t>
        </is>
      </c>
      <c r="I154" s="9" t="inlineStr">
        <is>
          <t>E. UI • Visual</t>
        </is>
      </c>
      <c r="J154" s="9" t="inlineStr">
        <is>
          <t>test-cases.vi.md</t>
        </is>
      </c>
      <c r="K154" s="9" t="inlineStr">
        <is>
          <t>Thêm điều kiện Trung bình（平均点）, xem các ô.
| Lượt chạy | Phạm vi thực hiện và đối chiếu |
| --- | --- |
| Run: Base | Toàn bộ thủ tục theo đúng thứ tự; các đối chứng cùng fixture được kiểm trong cùng lượt, không bỏ bước |</t>
        </is>
      </c>
      <c r="L154" s="9" t="inlineStr">
        <is>
          <t>CONFIRMED: có ba ô nguồn (thời kỳ, thiết lập tổng hợp thứ hạng, nhóm tham chiếu); **không** có ô chọn kết quả tổng hợp cụ thể/bản chốt.
PROPOSED: câu mục tham chiếu, bố cục ô mốc + đơn vị 点 (điểm) + dấu.</t>
        </is>
      </c>
      <c r="M154" s="9"/>
      <c r="N154" s="9"/>
      <c r="O154" s="9">
        <v>1</v>
      </c>
      <c r="P154" s="9">
        <f>IF(OR(COUNTIF('Run Log'!$B:$B,A154)&lt;&gt;O154,COUNTIF('Run Log'!$A:$A,"RUN-TC-RS-UI-009-Base")&lt;&gt;1,COUNTIFS('Run Log'!$A:$A,"RUN-TC-RS-UI-009-Base",'Run Log'!$B:$B,A154,'Run Log'!$C:$C,"Base")&lt;&gt;1),"INCOMPLETE",IF(COUNTIFS('Run Log'!$B:$B,A154,'Run Log'!$D:$D,"PASS")=O154,"PASS",IF(COUNTIFS('Run Log'!$B:$B,A154,'Run Log'!$D:$D,"FAIL")&gt;0,"FAIL",IF(COUNTIFS('Run Log'!$B:$B,A154,'Run Log'!$D:$D,"BLOCKED")&gt;0,"BLOCKED",IF(COUNTIFS('Run Log'!$B:$B,A154,'Run Log'!$D:$D,"SKIPPED")&gt;0,"SKIPPED","NOT RUN")))))</f>
      </c>
    </row>
    <row r="155">
      <c r="A155" s="9" t="inlineStr">
        <is>
          <t>TC-RS-UI-010</t>
        </is>
      </c>
      <c r="B155" s="9" t="inlineStr">
        <is>
          <t>Khối điều kiện Tỷ lệ điểm của nhóm（集団の得点率）</t>
        </is>
      </c>
      <c r="C155" s="9" t="inlineStr">
        <is>
          <t>E. UI • Visual</t>
        </is>
      </c>
      <c r="D155" s="9" t="inlineStr">
        <is>
          <t>- Điều kiện: Màn Điều kiện áp dụng.
- Dữ liệu test: —</t>
        </is>
      </c>
      <c r="E155" s="9" t="inlineStr">
        <is>
          <t>TBD</t>
        </is>
      </c>
      <c r="F155" s="9" t="inlineStr">
        <is>
          <t>PROPOSED</t>
        </is>
      </c>
      <c r="G155" s="9" t="inlineStr">
        <is>
          <t>UNASSESSED</t>
        </is>
      </c>
      <c r="H155" s="9" t="inlineStr">
        <is>
          <t>đặc tả v2 mục 5.3 “Tỷ lệ nhóm — kế thừa kết quả tổng hợp thứ hạng hiện có”</t>
        </is>
      </c>
      <c r="I155" s="9" t="inlineStr">
        <is>
          <t>E. UI • Visual</t>
        </is>
      </c>
      <c r="J155" s="9" t="inlineStr">
        <is>
          <t>test-cases.vi.md</t>
        </is>
      </c>
      <c r="K155" s="9" t="inlineStr">
        <is>
          <t>Thêm điều kiện Tỷ lệ điểm của nhóm（集団の得点率）.
| Lượt chạy | Phạm vi thực hiện và đối chiếu |
| --- | --- |
| Run: Base | Toàn bộ thủ tục theo đúng thứ tự; các đối chứng cùng fixture được kiểm trong cùng lượt, không bỏ bước |</t>
        </is>
      </c>
      <c r="L155" s="9" t="inlineStr">
        <is>
          <t>Có ba ô nguồn như UI-009, ô mốc với đơn vị %, dấu so sánh. Không có tùy chọn cách tính A/B (Q&amp;A nghiệp vụ đã xác nhận câu “Tỷ lệ nhóm có cần xử lý riêng khi các lớp khác điểm tối đa không?” — CONFIRMED).</t>
        </is>
      </c>
      <c r="M155" s="9"/>
      <c r="N155" s="9"/>
      <c r="O155" s="9">
        <v>1</v>
      </c>
      <c r="P155" s="9">
        <f>IF(OR(COUNTIF('Run Log'!$B:$B,A155)&lt;&gt;O155,COUNTIF('Run Log'!$A:$A,"RUN-TC-RS-UI-010-Base")&lt;&gt;1,COUNTIFS('Run Log'!$A:$A,"RUN-TC-RS-UI-010-Base",'Run Log'!$B:$B,A155,'Run Log'!$C:$C,"Base")&lt;&gt;1),"INCOMPLETE",IF(COUNTIFS('Run Log'!$B:$B,A155,'Run Log'!$D:$D,"PASS")=O155,"PASS",IF(COUNTIFS('Run Log'!$B:$B,A155,'Run Log'!$D:$D,"FAIL")&gt;0,"FAIL",IF(COUNTIFS('Run Log'!$B:$B,A155,'Run Log'!$D:$D,"BLOCKED")&gt;0,"BLOCKED",IF(COUNTIFS('Run Log'!$B:$B,A155,'Run Log'!$D:$D,"SKIPPED")&gt;0,"SKIPPED","NOT RUN")))))</f>
      </c>
    </row>
    <row r="156">
      <c r="A156" s="9" t="inlineStr">
        <is>
          <t>TC-RS-UI-011</t>
        </is>
      </c>
      <c r="B156" s="9" t="inlineStr">
        <is>
          <t>Màn Ngưỡng（基準設定）: ba loại, dấu so sánh và câu giải thích đổi theo dấu</t>
        </is>
      </c>
      <c r="C156" s="9" t="inlineStr">
        <is>
          <t>E. UI • Visual</t>
        </is>
      </c>
      <c r="D156" s="9" t="inlineStr">
        <is>
          <t>- Điều kiện: Mở ngưỡng của một quy tắc.
- Dữ liệu test: —</t>
        </is>
      </c>
      <c r="E156" s="9" t="inlineStr">
        <is>
          <t>TBD</t>
        </is>
      </c>
      <c r="F156" s="9" t="inlineStr">
        <is>
          <t>PROPOSED</t>
        </is>
      </c>
      <c r="G156" s="9" t="inlineStr">
        <is>
          <t>UNASSESSED</t>
        </is>
      </c>
      <c r="H156" s="9" t="inlineStr">
        <is>
          <t>đặc tả v2 mục 6.1 “Thành phần chung của màn ngưỡng”</t>
        </is>
      </c>
      <c r="I156" s="9" t="inlineStr">
        <is>
          <t>E. UI • Visual</t>
        </is>
      </c>
      <c r="J156" s="9" t="inlineStr">
        <is>
          <t>test-cases.vi.md</t>
        </is>
      </c>
      <c r="K156" s="9" t="inlineStr">
        <is>
          <t>1. Xem ba lựa chọn loại.
2. Đổi Dấu so sánh（比較条件） giữa Nhỏ hơn（未満） và Nhỏ hơn hoặc bằng（以下）.
| Lượt chạy | Phạm vi thực hiện và đối chiếu |
| --- | --- |
| Run: lt | Dấu nhỏ hơn |
| Run: le | Dấu nhỏ hơn hoặc bằng |</t>
        </is>
      </c>
      <c r="L156" s="9" t="inlineStr">
        <is>
          <t>1. Có Điểm cố định（固定点数）, Tỷ lệ điểm tối đa（得点率）, Công thức（計算式） (theo phạm vi phát hành — xem UI-025).
2. Câu giải thích dưới dấu đổi theo lựa chọn.</t>
        </is>
      </c>
      <c r="M156" s="9"/>
      <c r="N156" s="9"/>
      <c r="O156" s="9">
        <v>2</v>
      </c>
      <c r="P156" s="9">
        <f>IF(OR(COUNTIF('Run Log'!$B:$B,A156)&lt;&gt;O156,COUNTIF('Run Log'!$A:$A,"RUN-TC-RS-UI-011-lt")&lt;&gt;1,COUNTIFS('Run Log'!$A:$A,"RUN-TC-RS-UI-011-lt",'Run Log'!$B:$B,A156,'Run Log'!$C:$C,"lt")&lt;&gt;1,COUNTIF('Run Log'!$A:$A,"RUN-TC-RS-UI-011-le")&lt;&gt;1,COUNTIFS('Run Log'!$A:$A,"RUN-TC-RS-UI-011-le",'Run Log'!$B:$B,A156,'Run Log'!$C:$C,"le")&lt;&gt;1),"INCOMPLETE",IF(COUNTIFS('Run Log'!$B:$B,A156,'Run Log'!$D:$D,"PASS")=O156,"PASS",IF(COUNTIFS('Run Log'!$B:$B,A156,'Run Log'!$D:$D,"FAIL")&gt;0,"FAIL",IF(COUNTIFS('Run Log'!$B:$B,A156,'Run Log'!$D:$D,"BLOCKED")&gt;0,"BLOCKED",IF(COUNTIFS('Run Log'!$B:$B,A156,'Run Log'!$D:$D,"SKIPPED")&gt;0,"SKIPPED","NOT RUN")))))</f>
      </c>
    </row>
    <row r="157">
      <c r="A157" s="9" t="inlineStr">
        <is>
          <t>TC-RS-UI-012</t>
        </is>
      </c>
      <c r="B157" s="9" t="inlineStr">
        <is>
          <t>Mặc định khi tạo quy tắc mới</t>
        </is>
      </c>
      <c r="C157" s="9" t="inlineStr">
        <is>
          <t>E. UI • Visual</t>
        </is>
      </c>
      <c r="D157" s="9" t="inlineStr">
        <is>
          <t>- Điều kiện: Thêm quy tắc mới, lưu điều kiện, mở ngưỡng.
- Dữ liệu test: —</t>
        </is>
      </c>
      <c r="E157" s="9" t="inlineStr">
        <is>
          <t>TBD</t>
        </is>
      </c>
      <c r="F157" s="9" t="inlineStr">
        <is>
          <t>PROPOSED</t>
        </is>
      </c>
      <c r="G157" s="9" t="inlineStr">
        <is>
          <t>UNASSESSED</t>
        </is>
      </c>
      <c r="H157" s="9" t="inlineStr">
        <is>
          <t>đặc tả v2 mục 6.1 “Thành phần chung của màn ngưỡng”</t>
        </is>
      </c>
      <c r="I157" s="9" t="inlineStr">
        <is>
          <t>E. UI • Visual</t>
        </is>
      </c>
      <c r="J157" s="9" t="inlineStr">
        <is>
          <t>test-cases.vi.md</t>
        </is>
      </c>
      <c r="K157" s="9" t="inlineStr">
        <is>
          <t>Quan sát giá trị ban đầu.
| Lượt chạy | Phạm vi thực hiện và đối chiếu |
| --- | --- |
| Run: Base | Toàn bộ thủ tục theo đúng thứ tự; các đối chứng cùng fixture được kiểm trong cùng lượt, không bỏ bước |</t>
        </is>
      </c>
      <c r="L157" s="9" t="inlineStr">
        <is>
          <t>Loại = Điểm cố định（固定点数）; dấu = Nhỏ hơn（未満）; ô Điểm chuẩn（基準点） trống; tỷ lệ/công thức (nếu mở) mặc định Không xử lý phần lẻ（しない）.
Quy tắc mới được thêm ở cuối danh sách (PROPOSED).</t>
        </is>
      </c>
      <c r="M157" s="9"/>
      <c r="N157" s="9"/>
      <c r="O157" s="9">
        <v>1</v>
      </c>
      <c r="P157" s="9">
        <f>IF(OR(COUNTIF('Run Log'!$B:$B,A157)&lt;&gt;O157,COUNTIF('Run Log'!$A:$A,"RUN-TC-RS-UI-012-Base")&lt;&gt;1,COUNTIFS('Run Log'!$A:$A,"RUN-TC-RS-UI-012-Base",'Run Log'!$B:$B,A157,'Run Log'!$C:$C,"Base")&lt;&gt;1),"INCOMPLETE",IF(COUNTIFS('Run Log'!$B:$B,A157,'Run Log'!$D:$D,"PASS")=O157,"PASS",IF(COUNTIFS('Run Log'!$B:$B,A157,'Run Log'!$D:$D,"FAIL")&gt;0,"FAIL",IF(COUNTIFS('Run Log'!$B:$B,A157,'Run Log'!$D:$D,"BLOCKED")&gt;0,"BLOCKED",IF(COUNTIFS('Run Log'!$B:$B,A157,'Run Log'!$D:$D,"SKIPPED")&gt;0,"SKIPPED","NOT RUN")))))</f>
      </c>
    </row>
    <row r="158">
      <c r="A158" s="9" t="inlineStr">
        <is>
          <t>TC-RS-UI-013</t>
        </is>
      </c>
      <c r="B158" s="9" t="inlineStr">
        <is>
          <t>Ngưỡng cố định không hiển thị nguồn trung bình</t>
        </is>
      </c>
      <c r="C158" s="9" t="inlineStr">
        <is>
          <t>E. UI • Visual</t>
        </is>
      </c>
      <c r="D158" s="9" t="inlineStr">
        <is>
          <t>- Điều kiện: Mở ngưỡng, chọn Điểm cố định（固定点数）.
- Dữ liệu test: —</t>
        </is>
      </c>
      <c r="E158" s="9" t="inlineStr">
        <is>
          <t>TBD</t>
        </is>
      </c>
      <c r="F158" s="9" t="inlineStr">
        <is>
          <t>CONFIRMED</t>
        </is>
      </c>
      <c r="G158" s="9" t="inlineStr">
        <is>
          <t>UNASSESSED</t>
        </is>
      </c>
      <c r="H158" s="9" t="inlineStr">
        <is>
          <t>đặc tả v2 mục 5.6 “Khi nào không cần nguồn?”</t>
        </is>
      </c>
      <c r="I158" s="9" t="inlineStr">
        <is>
          <t>E. UI • Visual</t>
        </is>
      </c>
      <c r="J158" s="9" t="inlineStr">
        <is>
          <t>test-cases.vi.md</t>
        </is>
      </c>
      <c r="K158" s="9" t="inlineStr">
        <is>
          <t>Xem màn.
| Lượt chạy | Phạm vi thực hiện và đối chiếu |
| --- | --- |
| Run: Base | Toàn bộ thủ tục theo đúng thứ tự; các đối chứng cùng fixture được kiểm trong cùng lượt, không bỏ bước |</t>
        </is>
      </c>
      <c r="L158" s="9" t="inlineStr">
        <is>
          <t>CONFIRMED: không có khối Trung bình tham chiếu（参照する平均点）; lưu không yêu cầu chọn nguồn.
PROPOSED: ô Điểm chuẩn（基準点） + đơn vị 点 (điểm), câu 「30点未満を赤点とします。30点は赤点になりません。」 (dưới 30 là đỏ; 30 không đỏ) đổi theo giá trị/dấu, câu 「判定には登録済みの最終点数を使用します。」 (xét dùng điểm cuối đã đăng ký).</t>
        </is>
      </c>
      <c r="M158" s="9"/>
      <c r="N158" s="9"/>
      <c r="O158" s="9">
        <v>1</v>
      </c>
      <c r="P158" s="9">
        <f>IF(OR(COUNTIF('Run Log'!$B:$B,A158)&lt;&gt;O158,COUNTIF('Run Log'!$A:$A,"RUN-TC-RS-UI-013-Base")&lt;&gt;1,COUNTIFS('Run Log'!$A:$A,"RUN-TC-RS-UI-013-Base",'Run Log'!$B:$B,A158,'Run Log'!$C:$C,"Base")&lt;&gt;1),"INCOMPLETE",IF(COUNTIFS('Run Log'!$B:$B,A158,'Run Log'!$D:$D,"PASS")=O158,"PASS",IF(COUNTIFS('Run Log'!$B:$B,A158,'Run Log'!$D:$D,"FAIL")&gt;0,"FAIL",IF(COUNTIFS('Run Log'!$B:$B,A158,'Run Log'!$D:$D,"BLOCKED")&gt;0,"BLOCKED",IF(COUNTIFS('Run Log'!$B:$B,A158,'Run Log'!$D:$D,"SKIPPED")&gt;0,"SKIPPED","NOT RUN")))))</f>
      </c>
    </row>
    <row r="159">
      <c r="A159" s="9" t="inlineStr">
        <is>
          <t>TC-RS-UI-014</t>
        </is>
      </c>
      <c r="B159" s="9" t="inlineStr">
        <is>
          <t>Màn Tỷ lệ điểm tối đa（得点率）: mô tả M và xử lý phần lẻ</t>
        </is>
      </c>
      <c r="C159" s="9" t="inlineStr">
        <is>
          <t>E. UI • Visual</t>
        </is>
      </c>
      <c r="D159" s="9" t="inlineStr">
        <is>
          <t>- Điều kiện: Mở ngưỡng, chọn Tỷ lệ điểm tối đa（得点率）.
- Dữ liệu test: mục số nguyên (M=100)</t>
        </is>
      </c>
      <c r="E159" s="9" t="inlineStr">
        <is>
          <t>TBD</t>
        </is>
      </c>
      <c r="F159" s="9" t="inlineStr">
        <is>
          <t>PROPOSED</t>
        </is>
      </c>
      <c r="G159" s="9" t="inlineStr">
        <is>
          <t>UNASSESSED</t>
        </is>
      </c>
      <c r="H159" s="9" t="inlineStr">
        <is>
          <t>đặc tả v2 mục 5.6 “Khi nào không cần nguồn?”, mục 6.3 “Tỷ lệ điểm tối đa”, mục 6.5 “Xử lý phần lẻ”</t>
        </is>
      </c>
      <c r="I159" s="9" t="inlineStr">
        <is>
          <t>E. UI • Visual</t>
        </is>
      </c>
      <c r="J159" s="9" t="inlineStr">
        <is>
          <t>test-cases.vi.md</t>
        </is>
      </c>
      <c r="K159" s="9" t="inlineStr">
        <is>
          <t>1. Xem màn.
2. Chọn Có（する） ở Xử lý phần lẻ.
| Lượt chạy | Phạm vi thực hiện và đối chiếu |
| --- | --- |
| Run: Base | Toàn bộ thủ tục theo đúng thứ tự; các đối chứng cùng fixture được kiểm trong cùng lượt, không bỏ bước |</t>
        </is>
      </c>
      <c r="L159" s="9" t="inlineStr">
        <is>
          <t>Không có khối nguồn trung bình (đặc tả v2 mục 5.6 “Khi nào không cần nguồn?”); Xử lý phần lẻ có Không（しない）/Có（する）, mặc định Không; khi Có thì hiện ô vị trí chữ số và phương thức.
Mô tả M theo Figma (PROPOSED): câu chung 「対象の授業・時期・単元に適用される満点を使用」 (dùng điểm tối đa áp dụng cho lớp/kỳ/đơn vị).</t>
        </is>
      </c>
      <c r="M159" s="9"/>
      <c r="N159" s="9"/>
      <c r="O159" s="9">
        <v>1</v>
      </c>
      <c r="P159" s="9">
        <f>IF(OR(COUNTIF('Run Log'!$B:$B,A159)&lt;&gt;O159,COUNTIF('Run Log'!$A:$A,"RUN-TC-RS-UI-014-Base")&lt;&gt;1,COUNTIFS('Run Log'!$A:$A,"RUN-TC-RS-UI-014-Base",'Run Log'!$B:$B,A159,'Run Log'!$C:$C,"Base")&lt;&gt;1),"INCOMPLETE",IF(COUNTIFS('Run Log'!$B:$B,A159,'Run Log'!$D:$D,"PASS")=O159,"PASS",IF(COUNTIFS('Run Log'!$B:$B,A159,'Run Log'!$D:$D,"FAIL")&gt;0,"FAIL",IF(COUNTIFS('Run Log'!$B:$B,A159,'Run Log'!$D:$D,"BLOCKED")&gt;0,"BLOCKED",IF(COUNTIFS('Run Log'!$B:$B,A159,'Run Log'!$D:$D,"SKIPPED")&gt;0,"SKIPPED","NOT RUN")))))</f>
      </c>
    </row>
    <row r="160">
      <c r="A160" s="9" t="inlineStr">
        <is>
          <t>TC-RS-UI-015</t>
        </is>
      </c>
      <c r="B160" s="9" t="inlineStr">
        <is>
          <t>Màn Công thức: thứ tự khối nguồn trung bình và dòng công thức</t>
        </is>
      </c>
      <c r="C160" s="9" t="inlineStr">
        <is>
          <t>E. UI • Visual</t>
        </is>
      </c>
      <c r="D160" s="9" t="inlineStr">
        <is>
          <t>- Điều kiện: Mở ngưỡng, chọn Công thức（計算式）.
- Dữ liệu test: —</t>
        </is>
      </c>
      <c r="E160" s="9" t="inlineStr">
        <is>
          <t>TBD</t>
        </is>
      </c>
      <c r="F160" s="9" t="inlineStr">
        <is>
          <t>PROPOSED</t>
        </is>
      </c>
      <c r="G160" s="9" t="inlineStr">
        <is>
          <t>UNASSESSED</t>
        </is>
      </c>
      <c r="H160" s="9" t="inlineStr">
        <is>
          <t>đặc tả v2 mục 5.6 “Khi nào không cần nguồn?”, mục 6.4 “Công thức dùng trung bình”</t>
        </is>
      </c>
      <c r="I160" s="9" t="inlineStr">
        <is>
          <t>E. UI • Visual</t>
        </is>
      </c>
      <c r="J160" s="9" t="inlineStr">
        <is>
          <t>test-cases.vi.md</t>
        </is>
      </c>
      <c r="K160" s="9" t="inlineStr">
        <is>
          <t>Ghi lại thứ tự các khối từ trên xuống.
| Lượt chạy | Phạm vi thực hiện và đối chiếu |
| --- | --- |
| Run: Base | Toàn bộ thủ tục theo đúng thứ tự; các đối chứng cùng fixture được kiểm trong cùng lượt, không bỏ bước |</t>
        </is>
      </c>
      <c r="L160" s="9" t="inlineStr">
        <is>
          <t>Khối nguồn chỉ hiện với Công thức, không hiện với cố định/tỷ lệ (đặc tả v2 mục 5.6 “Khi nào không cần nguồn?”).
Thứ tự khối theo Figma (PROPOSED): khối Trung bình tham chiếu（参照する平均点） nằm trước bảng dòng công thức và trước Xét điểm đỏ（赤点の判定）. Đặc tả v2 không quy định thứ tự; lệch thì ghi Notes, không FAIL.</t>
        </is>
      </c>
      <c r="M160" s="9"/>
      <c r="N160" s="9"/>
      <c r="O160" s="9">
        <v>1</v>
      </c>
      <c r="P160" s="9">
        <f>IF(OR(COUNTIF('Run Log'!$B:$B,A160)&lt;&gt;O160,COUNTIF('Run Log'!$A:$A,"RUN-TC-RS-UI-015-Base")&lt;&gt;1,COUNTIFS('Run Log'!$A:$A,"RUN-TC-RS-UI-015-Base",'Run Log'!$B:$B,A160,'Run Log'!$C:$C,"Base")&lt;&gt;1),"INCOMPLETE",IF(COUNTIFS('Run Log'!$B:$B,A160,'Run Log'!$D:$D,"PASS")=O160,"PASS",IF(COUNTIFS('Run Log'!$B:$B,A160,'Run Log'!$D:$D,"FAIL")&gt;0,"FAIL",IF(COUNTIFS('Run Log'!$B:$B,A160,'Run Log'!$D:$D,"BLOCKED")&gt;0,"BLOCKED",IF(COUNTIFS('Run Log'!$B:$B,A160,'Run Log'!$D:$D,"SKIPPED")&gt;0,"SKIPPED","NOT RUN")))))</f>
      </c>
    </row>
    <row r="161">
      <c r="A161" s="9" t="inlineStr">
        <is>
          <t>TC-RS-UI-016</t>
        </is>
      </c>
      <c r="B161" s="9" t="inlineStr">
        <is>
          <t>Bảng dòng công thức</t>
        </is>
      </c>
      <c r="C161" s="9" t="inlineStr">
        <is>
          <t>E. UI • Visual</t>
        </is>
      </c>
      <c r="D161" s="9" t="inlineStr">
        <is>
          <t>- Điều kiện: Công thức.
- Dữ liệu test: quy tắc công thức hai dòng (trung bình ÷ 2 × 0.8)</t>
        </is>
      </c>
      <c r="E161" s="9" t="inlineStr">
        <is>
          <t>TBD</t>
        </is>
      </c>
      <c r="F161" s="9" t="inlineStr">
        <is>
          <t>PROPOSED</t>
        </is>
      </c>
      <c r="G161" s="9" t="inlineStr">
        <is>
          <t>UNASSESSED</t>
        </is>
      </c>
      <c r="H161" s="9" t="inlineStr">
        <is>
          <t>đặc tả v2 mục 6.4 “Công thức dùng trung bình”</t>
        </is>
      </c>
      <c r="I161" s="9" t="inlineStr">
        <is>
          <t>E. UI • Visual</t>
        </is>
      </c>
      <c r="J161" s="9" t="inlineStr">
        <is>
          <t>test-cases.vi.md</t>
        </is>
      </c>
      <c r="K161" s="9" t="inlineStr">
        <is>
          <t>1. Nhập quy tắc công thức hai dòng (trung bình ÷ 2 × 0.8).
2. Thêm/xóa dòng.
| Lượt chạy | Phạm vi thực hiện và đối chiếu |
| --- | --- |
| Run: Base | Toàn bộ thủ tục theo đúng thứ tự; các đối chứng cùng fixture được kiểm trong cùng lượt, không bỏ bước |</t>
        </is>
      </c>
      <c r="L161" s="9" t="inlineStr">
        <is>
          <t>Có đủ cột; chọn Kết quả phép tính（式の結果） thì hiện ô chọn dòng; mỗi dòng có Xử lý phần lẻ riêng; thêm/xóa dòng được; có câu dòng cuối là ngưỡng.</t>
        </is>
      </c>
      <c r="M161" s="9"/>
      <c r="N161" s="9"/>
      <c r="O161" s="9">
        <v>1</v>
      </c>
      <c r="P161" s="9">
        <f>IF(OR(COUNTIF('Run Log'!$B:$B,A161)&lt;&gt;O161,COUNTIF('Run Log'!$A:$A,"RUN-TC-RS-UI-016-Base")&lt;&gt;1,COUNTIFS('Run Log'!$A:$A,"RUN-TC-RS-UI-016-Base",'Run Log'!$B:$B,A161,'Run Log'!$C:$C,"Base")&lt;&gt;1),"INCOMPLETE",IF(COUNTIFS('Run Log'!$B:$B,A161,'Run Log'!$D:$D,"PASS")=O161,"PASS",IF(COUNTIFS('Run Log'!$B:$B,A161,'Run Log'!$D:$D,"FAIL")&gt;0,"FAIL",IF(COUNTIFS('Run Log'!$B:$B,A161,'Run Log'!$D:$D,"BLOCKED")&gt;0,"BLOCKED",IF(COUNTIFS('Run Log'!$B:$B,A161,'Run Log'!$D:$D,"SKIPPED")&gt;0,"SKIPPED","NOT RUN")))))</f>
      </c>
    </row>
    <row r="162">
      <c r="A162" s="9" t="inlineStr">
        <is>
          <t>TC-RS-UI-017</t>
        </is>
      </c>
      <c r="B162" s="9" t="inlineStr">
        <is>
          <t>Thông báo lỗi vượt điểm tối đa và chia 0</t>
        </is>
      </c>
      <c r="C162" s="9" t="inlineStr">
        <is>
          <t>E. UI • Visual</t>
        </is>
      </c>
      <c r="D162" s="9" t="inlineStr">
        <is>
          <t>- Điều kiện: mục số nguyên (M=100).
- Dữ liệu test: mục số nguyên (M=100); Cố định N=120; công thức `A ÷ 0`</t>
        </is>
      </c>
      <c r="E162" s="9" t="inlineStr">
        <is>
          <t>TBD</t>
        </is>
      </c>
      <c r="F162" s="9" t="inlineStr">
        <is>
          <t>PROPOSED</t>
        </is>
      </c>
      <c r="G162" s="9" t="inlineStr">
        <is>
          <t>UNASSESSED</t>
        </is>
      </c>
      <c r="H162" s="9" t="inlineStr">
        <is>
          <t>đặc tả v2 mục 8.4 “Lỗi kỹ thuật và thông báo”</t>
        </is>
      </c>
      <c r="I162" s="9" t="inlineStr">
        <is>
          <t>E. UI • Visual</t>
        </is>
      </c>
      <c r="J162" s="9" t="inlineStr">
        <is>
          <t>test-cases.vi.md</t>
        </is>
      </c>
      <c r="K162" s="9" t="inlineStr">
        <is>
          <t>1. Lưu N=120.
2. Lưu công thức chia 0.
| Lượt chạy | Phạm vi thực hiện và đối chiếu |
| --- | --- |
| Run: maximum | N120 |
| Run: divide-zero | Công thức chia 0 |</t>
        </is>
      </c>
      <c r="L162" s="9" t="inlineStr">
        <is>
          <t>1. Không lưu được. Đầu vùng nhập có 「基準点が対象の満点を超えています。対象の満点以下の値を入力してください。」 (điểm chuẩn vượt điểm tối đa của đối tượng; hãy nhập giá trị không vượt điểm tối đa); tại ô Điểm chuẩn（基準点） có 「対象の満点（100点）以下の値を入力してください。」 và dòng 「対象の満点：100点」 (điểm tối đa của đối tượng: 100); giá trị 120 còn giữ.
2. Không lưu được. Đầu vùng nhập có 「式1：0で割ることはできません。右辺の値を変更してください。」 (dòng 1: không thể chia cho 0; đổi giá trị vế phải); tại dòng 1 có 「0で割ることはできません。右辺の値を変更してください。」; các giá trị đã nhập còn giữ.</t>
        </is>
      </c>
      <c r="M162" s="9"/>
      <c r="N162" s="9"/>
      <c r="O162" s="9">
        <v>2</v>
      </c>
      <c r="P162" s="9">
        <f>IF(OR(COUNTIF('Run Log'!$B:$B,A162)&lt;&gt;O162,COUNTIF('Run Log'!$A:$A,"RUN-TC-RS-UI-017-maximum")&lt;&gt;1,COUNTIFS('Run Log'!$A:$A,"RUN-TC-RS-UI-017-maximum",'Run Log'!$B:$B,A162,'Run Log'!$C:$C,"maximum")&lt;&gt;1,COUNTIF('Run Log'!$A:$A,"RUN-TC-RS-UI-017-divide-zero")&lt;&gt;1,COUNTIFS('Run Log'!$A:$A,"RUN-TC-RS-UI-017-divide-zero",'Run Log'!$B:$B,A162,'Run Log'!$C:$C,"divide-zero")&lt;&gt;1),"INCOMPLETE",IF(COUNTIFS('Run Log'!$B:$B,A162,'Run Log'!$D:$D,"PASS")=O162,"PASS",IF(COUNTIFS('Run Log'!$B:$B,A162,'Run Log'!$D:$D,"FAIL")&gt;0,"FAIL",IF(COUNTIFS('Run Log'!$B:$B,A162,'Run Log'!$D:$D,"BLOCKED")&gt;0,"BLOCKED",IF(COUNTIFS('Run Log'!$B:$B,A162,'Run Log'!$D:$D,"SKIPPED")&gt;0,"SKIPPED","NOT RUN")))))</f>
      </c>
    </row>
    <row r="163">
      <c r="A163" s="9" t="inlineStr">
        <is>
          <t>TC-RS-UI-018</t>
        </is>
      </c>
      <c r="B163" s="9" t="inlineStr">
        <is>
          <t>Màn Tổng hợp thành tích（成績集計）: nút xanh/cam và lần chạy trước</t>
        </is>
      </c>
      <c r="C163" s="9" t="inlineStr">
        <is>
          <t>E. UI • Visual</t>
        </is>
      </c>
      <c r="D163" s="9" t="inlineStr">
        <is>
          <t>- Điều kiện: tài khoản có quyền chạy hàng loạt; trường có tính tự động.
- Dữ liệu test: tài khoản có quyền chạy hàng loạt</t>
        </is>
      </c>
      <c r="E163" s="9" t="inlineStr">
        <is>
          <t>TBD</t>
        </is>
      </c>
      <c r="F163" s="9" t="inlineStr">
        <is>
          <t>IMPLEMENTED</t>
        </is>
      </c>
      <c r="G163" s="9" t="inlineStr">
        <is>
          <t>UNASSESSED</t>
        </is>
      </c>
      <c r="H163" s="9" t="inlineStr">
        <is>
          <t>đặc tả v2 mục 7.2 “Bảng sự kiện”</t>
        </is>
      </c>
      <c r="I163" s="9" t="inlineStr">
        <is>
          <t>E. UI • Visual</t>
        </is>
      </c>
      <c r="J163" s="9" t="inlineStr">
        <is>
          <t>test-cases.vi.md</t>
        </is>
      </c>
      <c r="K163" s="9" t="inlineStr">
        <is>
          <t>Mở Tổng hợp thành tích（成績集計）.
| Lượt chạy | Phạm vi thực hiện và đối chiếu |
| --- | --- |
| Run: Base | Toàn bộ thủ tục theo đúng thứ tự; các đối chứng cùng fixture được kiểm trong cùng lượt, không bỏ bước |</t>
        </is>
      </c>
      <c r="L163" s="9" t="inlineStr">
        <is>
          <t>Mỗi khối có Thực hiện tổng hợp（集計実行） và Thực hiện tính toán tự động（自動算出実行） kèm thời điểm chạy trước, như màn hiện có.</t>
        </is>
      </c>
      <c r="M163" s="9"/>
      <c r="N163" s="9"/>
      <c r="O163" s="9">
        <v>1</v>
      </c>
      <c r="P163" s="9">
        <f>IF(OR(COUNTIF('Run Log'!$B:$B,A163)&lt;&gt;O163,COUNTIF('Run Log'!$A:$A,"RUN-TC-RS-UI-018-Base")&lt;&gt;1,COUNTIFS('Run Log'!$A:$A,"RUN-TC-RS-UI-018-Base",'Run Log'!$B:$B,A163,'Run Log'!$C:$C,"Base")&lt;&gt;1),"INCOMPLETE",IF(COUNTIFS('Run Log'!$B:$B,A163,'Run Log'!$D:$D,"PASS")=O163,"PASS",IF(COUNTIFS('Run Log'!$B:$B,A163,'Run Log'!$D:$D,"FAIL")&gt;0,"FAIL",IF(COUNTIFS('Run Log'!$B:$B,A163,'Run Log'!$D:$D,"BLOCKED")&gt;0,"BLOCKED",IF(COUNTIFS('Run Log'!$B:$B,A163,'Run Log'!$D:$D,"SKIPPED")&gt;0,"SKIPPED","NOT RUN")))))</f>
      </c>
    </row>
    <row r="164">
      <c r="A164" s="9" t="inlineStr">
        <is>
          <t>TC-RS-UI-019</t>
        </is>
      </c>
      <c r="B164" s="9" t="inlineStr">
        <is>
          <t>Thông báo kết quả sau khi chạy: hoàn tất, chưa xét được, thất bại một phần</t>
        </is>
      </c>
      <c r="C164" s="9" t="inlineStr">
        <is>
          <t>E. UI • Visual</t>
        </is>
      </c>
      <c r="D164" s="9" t="inlineStr">
        <is>
          <t>- Điều kiện: Như case “Chưa có kết quả tổng hợp → Chưa xét được, không thay bằng 0 hay nhóm khác” (thiếu nguồn) và case “Batch hoàn tất một phần: báo đúng phạm vi đã/không cập nhật” (lỗi một phần).
- Dữ liệu test: nguồn chưa có kết quả tổng hợp</t>
        </is>
      </c>
      <c r="E164" s="9" t="inlineStr">
        <is>
          <t>TBD</t>
        </is>
      </c>
      <c r="F164" s="9" t="inlineStr">
        <is>
          <t>PROPOSED</t>
        </is>
      </c>
      <c r="G164" s="9" t="inlineStr">
        <is>
          <t>UNASSESSED</t>
        </is>
      </c>
      <c r="H164" s="9" t="inlineStr">
        <is>
          <t>tiêu chí nghiệm thu “Lưu thành công và thông báo an toàn” (AC-G26 «Lưu thành công và thông báo an toàn»)</t>
        </is>
      </c>
      <c r="I164" s="9" t="inlineStr">
        <is>
          <t>E. UI • Visual</t>
        </is>
      </c>
      <c r="J164" s="9" t="inlineStr">
        <is>
          <t>test-cases.vi.md</t>
        </is>
      </c>
      <c r="K164" s="9" t="inlineStr">
        <is>
          <t>1. Chạy nút cam khi thiếu nguồn.
2. Chạy khi có lỗi một phần (theo cách giả lập được team dev cho phép).
| Lượt chạy | Phạm vi thực hiện và đối chiếu |
| --- | --- |
| Run: missing | Thiếu nguồn |
| Run: partial | Lỗi một phần |</t>
        </is>
      </c>
      <c r="L164" s="9" t="inlineStr">
        <is>
          <t>1. Thông báo hoàn tất nêu có mục chưa xét được, phạm vi và lý do, và kết quả trước không còn dùng.
2. Thông báo nêu phạm vi đã cập nhật / chưa cập nhật và hướng dẫn chạy lại; không báo hoàn tất toàn bộ.</t>
        </is>
      </c>
      <c r="M164" s="9"/>
      <c r="N164" s="9"/>
      <c r="O164" s="9">
        <v>2</v>
      </c>
      <c r="P164" s="9">
        <f>IF(OR(COUNTIF('Run Log'!$B:$B,A164)&lt;&gt;O164,COUNTIF('Run Log'!$A:$A,"RUN-TC-RS-UI-019-missing")&lt;&gt;1,COUNTIFS('Run Log'!$A:$A,"RUN-TC-RS-UI-019-missing",'Run Log'!$B:$B,A164,'Run Log'!$C:$C,"missing")&lt;&gt;1,COUNTIF('Run Log'!$A:$A,"RUN-TC-RS-UI-019-partial")&lt;&gt;1,COUNTIFS('Run Log'!$A:$A,"RUN-TC-RS-UI-019-partial",'Run Log'!$B:$B,A164,'Run Log'!$C:$C,"partial")&lt;&gt;1),"INCOMPLETE",IF(COUNTIFS('Run Log'!$B:$B,A164,'Run Log'!$D:$D,"PASS")=O164,"PASS",IF(COUNTIFS('Run Log'!$B:$B,A164,'Run Log'!$D:$D,"FAIL")&gt;0,"FAIL",IF(COUNTIFS('Run Log'!$B:$B,A164,'Run Log'!$D:$D,"BLOCKED")&gt;0,"BLOCKED",IF(COUNTIFS('Run Log'!$B:$B,A164,'Run Log'!$D:$D,"SKIPPED")&gt;0,"SKIPPED","NOT RUN")))))</f>
      </c>
    </row>
    <row r="165">
      <c r="A165" s="9" t="inlineStr">
        <is>
          <t>TC-RS-UI-020</t>
        </is>
      </c>
      <c r="B165" s="9" t="inlineStr">
        <is>
          <t>Trích xuất: vị trí và nhãn tùy chọn đỏ</t>
        </is>
      </c>
      <c r="C165" s="9" t="inlineStr">
        <is>
          <t>E. UI • Visual</t>
        </is>
      </c>
      <c r="D165" s="9" t="inlineStr">
        <is>
          <t>- Điều kiện: tài khoản phụ trách đầu ra (trích xuất, công khai, phiếu điểm); mục số nguyên (M=100) có quy tắc.
- Dữ liệu test: mục số nguyên (M=100); cấu hình trích xuất: lọc, ký hiệu “*” phía trước, tô màu</t>
        </is>
      </c>
      <c r="E165" s="9" t="inlineStr">
        <is>
          <t>Cao</t>
        </is>
      </c>
      <c r="F165" s="9" t="inlineStr">
        <is>
          <t>CONFIRMED</t>
        </is>
      </c>
      <c r="G165" s="9" t="inlineStr">
        <is>
          <t>UNASSESSED</t>
        </is>
      </c>
      <c r="H165" s="9" t="inlineStr">
        <is>
          <t>đặc tả v2 mục 9.1 “Thiết lập”</t>
        </is>
      </c>
      <c r="I165" s="9" t="inlineStr">
        <is>
          <t>E. UI • Visual</t>
        </is>
      </c>
      <c r="J165" s="9" t="inlineStr">
        <is>
          <t>test-cases.vi.md</t>
        </is>
      </c>
      <c r="K165" s="9" t="inlineStr">
        <is>
          <t>1. Mở Trích xuất thành tích（成績抽出）→ Thiết lập mục hiển thị（表示項目設定）→ chi tiết mục Điểm đánh giá（評点） kỳ Cuối kỳ học kỳ 1（1学期期末）.
2. Ghi lại vị trí và nhãn các tùy chọn đỏ.
| Lượt chạy | Phạm vi thực hiện và đối chiếu |
| --- | --- |
| Run: Base | Toàn bộ thủ tục theo đúng thứ tự; các đối chứng cùng fixture được kiểm trong cùng lượt, không bỏ bước |</t>
        </is>
      </c>
      <c r="L165" s="9" t="inlineStr">
        <is>
          <t>Theo specification v2 mục 9.1, có bốn tùy chọn độc lập: lọc học sinh có điểm đỏ, ký hiệu phía trước, ký hiệu phía sau và tô màu ô; màu chỉ chọn từ bảng màu hiện có. Vị trí và nhãn cụ thể trên UI theo Figma chỉ là tham khảo, không thay đổi oracle nghiệp vụ.
Không đánh giá nhãn/vị trí cụ thể của Figma như một oracle riêng; chỉ kiểm tra đủ bốn tùy chọn nghiệp vụ và việc lưu/mở lại đúng giá trị.</t>
        </is>
      </c>
      <c r="M165" s="9"/>
      <c r="N165" s="9"/>
      <c r="O165" s="9">
        <v>1</v>
      </c>
      <c r="P165" s="9">
        <f>IF(OR(COUNTIF('Run Log'!$B:$B,A165)&lt;&gt;O165,COUNTIF('Run Log'!$A:$A,"RUN-TC-RS-UI-020-Base")&lt;&gt;1,COUNTIFS('Run Log'!$A:$A,"RUN-TC-RS-UI-020-Base",'Run Log'!$B:$B,A165,'Run Log'!$C:$C,"Base")&lt;&gt;1),"INCOMPLETE",IF(COUNTIFS('Run Log'!$B:$B,A165,'Run Log'!$D:$D,"PASS")=O165,"PASS",IF(COUNTIFS('Run Log'!$B:$B,A165,'Run Log'!$D:$D,"FAIL")&gt;0,"FAIL",IF(COUNTIFS('Run Log'!$B:$B,A165,'Run Log'!$D:$D,"BLOCKED")&gt;0,"BLOCKED",IF(COUNTIFS('Run Log'!$B:$B,A165,'Run Log'!$D:$D,"SKIPPED")&gt;0,"SKIPPED","NOT RUN")))))</f>
      </c>
    </row>
    <row r="166">
      <c r="A166" s="9" t="inlineStr">
        <is>
          <t>TC-RS-UI-021</t>
        </is>
      </c>
      <c r="B166" s="9" t="inlineStr">
        <is>
          <t>Trích xuất: kết quả 0 học sinh và hiển thị ô đỏ số thập phân</t>
        </is>
      </c>
      <c r="C166" s="9" t="inlineStr">
        <is>
          <t>E. UI • Visual</t>
        </is>
      </c>
      <c r="D166" s="9" t="inlineStr">
        <is>
          <t>- Điều kiện: cấu hình trích xuất: lọc, ký hiệu “*” phía trước, tô màu.
- Dữ liệu test: cấu hình trích xuất: lọc, ký hiệu “*” phía trước, tô màu; (a) Không ô đỏ nào; (b) học sinh điểm 23.9 Đỏ (mục thập phân)</t>
        </is>
      </c>
      <c r="E166" s="9" t="inlineStr">
        <is>
          <t>TBD</t>
        </is>
      </c>
      <c r="F166" s="9" t="inlineStr">
        <is>
          <t>PROPOSED</t>
        </is>
      </c>
      <c r="G166" s="9" t="inlineStr">
        <is>
          <t>UNASSESSED</t>
        </is>
      </c>
      <c r="H166" s="9" t="inlineStr">
        <is>
          <t>tiêu chí nghiệm thu “Lọc khi trích xuất” (AC-G29 «Lọc khi trích xuất»)</t>
        </is>
      </c>
      <c r="I166" s="9" t="inlineStr">
        <is>
          <t>E. UI • Visual</t>
        </is>
      </c>
      <c r="J166" s="9" t="inlineStr">
        <is>
          <t>test-cases.vi.md</t>
        </is>
      </c>
      <c r="K166" s="9" t="inlineStr">
        <is>
          <t>Chạy trích xuất cho (a), (b).
| Lượt chạy | Phạm vi thực hiện và đối chiếu |
| --- | --- |
| Run: empty | Fixture a không ô đỏ |
| Run: decimal | Fixture b điểm thập phân 23.9 |</t>
        </is>
      </c>
      <c r="L166" s="9" t="inlineStr">
        <is>
          <t>(a) Không lỗi; hiện thông báo không có học sinh khớp.
(b) Ô hiện `*23.9` (giữ nguyên giá trị điểm).</t>
        </is>
      </c>
      <c r="M166" s="9"/>
      <c r="N166" s="9"/>
      <c r="O166" s="9">
        <v>2</v>
      </c>
      <c r="P166" s="9">
        <f>IF(OR(COUNTIF('Run Log'!$B:$B,A166)&lt;&gt;O166,COUNTIF('Run Log'!$A:$A,"RUN-TC-RS-UI-021-empty")&lt;&gt;1,COUNTIFS('Run Log'!$A:$A,"RUN-TC-RS-UI-021-empty",'Run Log'!$B:$B,A166,'Run Log'!$C:$C,"empty")&lt;&gt;1,COUNTIF('Run Log'!$A:$A,"RUN-TC-RS-UI-021-decimal")&lt;&gt;1,COUNTIFS('Run Log'!$A:$A,"RUN-TC-RS-UI-021-decimal",'Run Log'!$B:$B,A166,'Run Log'!$C:$C,"decimal")&lt;&gt;1),"INCOMPLETE",IF(COUNTIFS('Run Log'!$B:$B,A166,'Run Log'!$D:$D,"PASS")=O166,"PASS",IF(COUNTIFS('Run Log'!$B:$B,A166,'Run Log'!$D:$D,"FAIL")&gt;0,"FAIL",IF(COUNTIFS('Run Log'!$B:$B,A166,'Run Log'!$D:$D,"BLOCKED")&gt;0,"BLOCKED",IF(COUNTIFS('Run Log'!$B:$B,A166,'Run Log'!$D:$D,"SKIPPED")&gt;0,"SKIPPED","NOT RUN")))))</f>
      </c>
    </row>
    <row r="167">
      <c r="A167" s="9" t="inlineStr">
        <is>
          <t>TC-RS-UI-022</t>
        </is>
      </c>
      <c r="B167" s="9" t="inlineStr">
        <is>
          <t>Công khai: dòng cách hiển thị đỏ theo mục có thiết lập, kể cả khi 0 học sinh đỏ hoặc vừa xóa thiết lập cuối</t>
        </is>
      </c>
      <c r="C167" s="9" t="inlineStr">
        <is>
          <t>E. UI • Visual</t>
        </is>
      </c>
      <c r="D167" s="9" t="inlineStr">
        <is>
          <t>- Điều kiện: mục số nguyên (M=100) có quy tắc nhưng không ô nào đỏ; mục Tri thức – kỹ năng（知識・技能） chưa từng có quy tắc và chưa từng đặt cách hiển thị đỏ. tài khoản phụ trách đầu ra (trích xuất, công khai, phiếu điểm).
- Dữ liệu test: mục số nguyên (M=100); quy tắc “Cố định 30” (dưới 30)</t>
        </is>
      </c>
      <c r="E167" s="9" t="inlineStr">
        <is>
          <t>Cao</t>
        </is>
      </c>
      <c r="F167" s="9" t="inlineStr">
        <is>
          <t>CONFIRMED</t>
        </is>
      </c>
      <c r="G167" s="9" t="inlineStr">
        <is>
          <t>UNASSESSED</t>
        </is>
      </c>
      <c r="H167" s="9" t="inlineStr">
        <is>
          <t>tiêu chí nghiệm thu “Cấu hình công khai và ẩn điểm” (AC-G32 «Cấu hình công khai và ẩn điểm»)</t>
        </is>
      </c>
      <c r="I167" s="9" t="inlineStr">
        <is>
          <t>E. UI • Visual</t>
        </is>
      </c>
      <c r="J167" s="9" t="inlineStr">
        <is>
          <t>test-cases.vi.md</t>
        </is>
      </c>
      <c r="K167" s="9" t="inlineStr">
        <is>
          <t>1. Mở Thiết lập công khai thành tích（成績公開設定）→ khung Thành tích（成績）.
2. Ở dòng của Điểm đánh giá（評点）, chọn `*` phía trước, bấm Đăng ký（登録する）.
3. Xóa quy tắc cuối của mục số nguyên (M=100) (chỉ còn quy tắc “Cố định 30” (dưới 30) thì xóa quy tắc “Cố định 30” (dưới 30)), **không** chạy lại; mở lại khung Thành tích（成績）.
| Lượt chạy | Phạm vi thực hiện và đối chiếu |
| --- | --- |
| Run: Base | Toàn bộ thủ tục theo đúng thứ tự; các đối chứng cùng fixture được kiểm trong cùng lượt, không bỏ bước |</t>
        </is>
      </c>
      <c r="L167" s="9" t="inlineStr">
        <is>
          <t>1. Mục Điểm đánh giá（評点） có dòng cách hiển thị đỏ dù 0 học sinh đỏ; mục Tri thức – kỹ năng（知識・技能） không có dòng.
2. Lưu được; mở lại vẫn là `*` phía trước.
3. Dòng của Điểm đánh giá（評点） vẫn hiện với lựa chọn `*` phía trước đã lưu; cấu hình trình bày không bị xóa theo thao tác xóa quy tắc.</t>
        </is>
      </c>
      <c r="M167" s="9"/>
      <c r="N167" s="9"/>
      <c r="O167" s="9">
        <v>1</v>
      </c>
      <c r="P167" s="9">
        <f>IF(OR(COUNTIF('Run Log'!$B:$B,A167)&lt;&gt;O167,COUNTIF('Run Log'!$A:$A,"RUN-TC-RS-UI-022-Base")&lt;&gt;1,COUNTIFS('Run Log'!$A:$A,"RUN-TC-RS-UI-022-Base",'Run Log'!$B:$B,A167,'Run Log'!$C:$C,"Base")&lt;&gt;1),"INCOMPLETE",IF(COUNTIFS('Run Log'!$B:$B,A167,'Run Log'!$D:$D,"PASS")=O167,"PASS",IF(COUNTIFS('Run Log'!$B:$B,A167,'Run Log'!$D:$D,"FAIL")&gt;0,"FAIL",IF(COUNTIFS('Run Log'!$B:$B,A167,'Run Log'!$D:$D,"BLOCKED")&gt;0,"BLOCKED",IF(COUNTIFS('Run Log'!$B:$B,A167,'Run Log'!$D:$D,"SKIPPED")&gt;0,"SKIPPED","NOT RUN")))))</f>
      </c>
    </row>
    <row r="168">
      <c r="A168" s="9" t="inlineStr">
        <is>
          <t>TC-RS-UI-023</t>
        </is>
      </c>
      <c r="B168" s="9" t="inlineStr">
        <is>
          <t>Công khai: danh sách tùy chọn hiển thị đỏ</t>
        </is>
      </c>
      <c r="C168" s="9" t="inlineStr">
        <is>
          <t>E. UI • Visual</t>
        </is>
      </c>
      <c r="D168" s="9" t="inlineStr">
        <is>
          <t>- Điều kiện: Như UI-022.
- Dữ liệu test: —</t>
        </is>
      </c>
      <c r="E168" s="9" t="inlineStr">
        <is>
          <t>Cao</t>
        </is>
      </c>
      <c r="F168" s="9" t="inlineStr">
        <is>
          <t>CONFIRMED</t>
        </is>
      </c>
      <c r="G168" s="9" t="inlineStr">
        <is>
          <t>UNASSESSED</t>
        </is>
      </c>
      <c r="H168" s="9" t="inlineStr">
        <is>
          <t>đặc tả v2 mục 10.1 “Phạm vi và tùy chọn”</t>
        </is>
      </c>
      <c r="I168" s="9" t="inlineStr">
        <is>
          <t>E. UI • Visual</t>
        </is>
      </c>
      <c r="J168" s="9" t="inlineStr">
        <is>
          <t>test-cases.vi.md</t>
        </is>
      </c>
      <c r="K168" s="9" t="inlineStr">
        <is>
          <t>Mở danh sách chọn của dòng đỏ.
| Lượt chạy | Phạm vi thực hiện và đối chiếu |
| --- | --- |
| Run: Base | Toàn bộ thủ tục theo đúng thứ tự; các đối chứng cùng fixture được kiểm trong cùng lượt, không bỏ bước |</t>
        </is>
      </c>
      <c r="L168" s="9" t="inlineStr">
        <is>
          <t>Theo specification v2 mục 10.1 và Q&amp;A Q16, danh sách chỉ có Kèm ngoặc, `*` phía trước và `*` phía sau; không có ô chữ tự do và không có màu nền riêng. Không đưa tùy chọn Nguyên trạng（そのまま表示） vào oracle vì không thuộc danh sách đã chốt trong specification/Q&amp;A.</t>
        </is>
      </c>
      <c r="M168" s="9"/>
      <c r="N168" s="9"/>
      <c r="O168" s="9">
        <v>1</v>
      </c>
      <c r="P168" s="9">
        <f>IF(OR(COUNTIF('Run Log'!$B:$B,A168)&lt;&gt;O168,COUNTIF('Run Log'!$A:$A,"RUN-TC-RS-UI-023-Base")&lt;&gt;1,COUNTIFS('Run Log'!$A:$A,"RUN-TC-RS-UI-023-Base",'Run Log'!$B:$B,A168,'Run Log'!$C:$C,"Base")&lt;&gt;1),"INCOMPLETE",IF(COUNTIFS('Run Log'!$B:$B,A168,'Run Log'!$D:$D,"PASS")=O168,"PASS",IF(COUNTIFS('Run Log'!$B:$B,A168,'Run Log'!$D:$D,"FAIL")&gt;0,"FAIL",IF(COUNTIFS('Run Log'!$B:$B,A168,'Run Log'!$D:$D,"BLOCKED")&gt;0,"BLOCKED",IF(COUNTIFS('Run Log'!$B:$B,A168,'Run Log'!$D:$D,"SKIPPED")&gt;0,"SKIPPED","NOT RUN")))))</f>
      </c>
    </row>
    <row r="169">
      <c r="A169" s="9" t="inlineStr">
        <is>
          <t>TC-RS-UI-024</t>
        </is>
      </c>
      <c r="B169" s="9" t="inlineStr">
        <is>
          <t>Phiếu điểm: hộp Thiết lập hiển thị tùy chọn mục đăng ký điểm（成績登録項目オプション表示設定）</t>
        </is>
      </c>
      <c r="C169" s="9" t="inlineStr">
        <is>
          <t>E. UI • Visual</t>
        </is>
      </c>
      <c r="D169" s="9" t="inlineStr">
        <is>
          <t>- Điều kiện: tài khoản phụ trách đầu ra (trích xuất, công khai, phiếu điểm); mẫu phiếu có ô Điểm đánh giá（評点）.
- Dữ liệu test: cấu hình phiếu điểm: ký tự “※” phía trước</t>
        </is>
      </c>
      <c r="E169" s="9" t="inlineStr">
        <is>
          <t>Cao</t>
        </is>
      </c>
      <c r="F169" s="9" t="inlineStr">
        <is>
          <t>CONFIRMED</t>
        </is>
      </c>
      <c r="G169" s="9" t="inlineStr">
        <is>
          <t>UNASSESSED</t>
        </is>
      </c>
      <c r="H169" s="9" t="inlineStr">
        <is>
          <t>tiêu chí nghiệm thu “Tùy chọn trên phiếu” (AC-G35 «Tùy chọn trên phiếu»)</t>
        </is>
      </c>
      <c r="I169" s="9" t="inlineStr">
        <is>
          <t>E. UI • Visual</t>
        </is>
      </c>
      <c r="J169" s="9" t="inlineStr">
        <is>
          <t>test-cases.vi.md</t>
        </is>
      </c>
      <c r="K169" s="9" t="inlineStr">
        <is>
          <t>1. Mở hộp tùy chọn của ô, chọn Thiết lập（設定する）.
2. Ghi lại thứ tự dòng và các lựa chọn của dòng Thiết lập điểm đỏ（赤点設定）.
| Lượt chạy | Phạm vi thực hiện và đối chiếu |
| --- | --- |
| Run: Base | Toàn bộ thủ tục theo đúng thứ tự; các đối chứng cùng fixture được kiểm trong cùng lượt, không bỏ bước |</t>
        </is>
      </c>
      <c r="L169" s="9" t="inlineStr">
        <is>
          <t>CONFIRMED: dòng đỏ nằm sau các dòng checkbox và trước Trường hợp ô trống（空欄の場合）; lựa chọn của dòng đỏ là Nguyên trạng（そのまま表示）, Kèm ngoặc（カッコ付き）, Ký tự phía trước（前に任意の文字）, Ký tự phía sau（後ろに任意の文字）; không có Ẩn（表示しない）/Gạch chéo（斜線）.
PROPOSED: nhãn dòng 「赤点設定」 (thiết lập điểm đỏ) và câu ghi chú.</t>
        </is>
      </c>
      <c r="M169" s="9"/>
      <c r="N169" s="9"/>
      <c r="O169" s="9">
        <v>1</v>
      </c>
      <c r="P169" s="9">
        <f>IF(OR(COUNTIF('Run Log'!$B:$B,A169)&lt;&gt;O169,COUNTIF('Run Log'!$A:$A,"RUN-TC-RS-UI-024-Base")&lt;&gt;1,COUNTIFS('Run Log'!$A:$A,"RUN-TC-RS-UI-024-Base",'Run Log'!$B:$B,A169,'Run Log'!$C:$C,"Base")&lt;&gt;1),"INCOMPLETE",IF(COUNTIFS('Run Log'!$B:$B,A169,'Run Log'!$D:$D,"PASS")=O169,"PASS",IF(COUNTIFS('Run Log'!$B:$B,A169,'Run Log'!$D:$D,"FAIL")&gt;0,"FAIL",IF(COUNTIFS('Run Log'!$B:$B,A169,'Run Log'!$D:$D,"BLOCKED")&gt;0,"BLOCKED",IF(COUNTIFS('Run Log'!$B:$B,A169,'Run Log'!$D:$D,"SKIPPED")&gt;0,"SKIPPED","NOT RUN")))))</f>
      </c>
    </row>
    <row r="170">
      <c r="A170" s="9" t="inlineStr">
        <is>
          <t>TC-RS-UI-026</t>
        </is>
      </c>
      <c r="B170" s="9" t="inlineStr">
        <is>
          <t>Bộ chọn hiệu ứng đỏ của điểm thường và điểm đơn vị hiển thị độc lập</t>
        </is>
      </c>
      <c r="C170" s="9" t="inlineStr">
        <is>
          <t>E. UI • Visual</t>
        </is>
      </c>
      <c r="D170" s="9" t="inlineStr">
        <is>
          <t>- Điều kiện: Có một cấu hình công khai chứa cả mục điểm thường và mục điểm đơn vị; tài khoản có quyền sửa cấu hình công khai.
- Dữ liệu test: mục thường và mục đơn vị cùng có kết quả đỏ; lựa chọn hiển thị khác nhau cho hai loại.</t>
        </is>
      </c>
      <c r="E170" s="9" t="inlineStr">
        <is>
          <t>Cao</t>
        </is>
      </c>
      <c r="F170" s="9" t="inlineStr">
        <is>
          <t>CONFIRMED</t>
        </is>
      </c>
      <c r="G170" s="9" t="inlineStr">
        <is>
          <t>UNASSESSED</t>
        </is>
      </c>
      <c r="H170" s="9" t="inlineStr">
        <is>
          <t>tiêu chí nghiệm thu “Cấu hình công khai và ẩn điểm” (AC-G32 «Cấu hình công khai và ẩn điểm»)</t>
        </is>
      </c>
      <c r="I170" s="9" t="inlineStr">
        <is>
          <t>E. UI • Visual</t>
        </is>
      </c>
      <c r="J170" s="9" t="inlineStr">
        <is>
          <t>test-cases.vi.md</t>
        </is>
      </c>
      <c r="K170" s="9" t="inlineStr">
        <is>
          <t>1. Mở màn hình cấu hình công khai và đến khu vực hiển thị điểm đỏ.
2. Kiểm tra panel điểm thường và panel điểm đơn vị.
3. Chọn hiệu ứng khác nhau cho hai panel, lưu, đóng và mở lại.
| Lượt chạy | Phạm vi thực hiện và đối chiếu |
| --- | --- |
| Run: Base | Toàn bộ thủ tục theo đúng thứ tự; các đối chứng cùng fixture được kiểm trong cùng lượt, không bỏ bước |</t>
        </is>
      </c>
      <c r="L170" s="9" t="inlineStr">
        <is>
          <t>1. Cả hai panel đều hiển thị bộ chọn tương ứng; panel điểm đơn vị không bị nền hoặc lớp khác che.
2. Có thể thao tác hai bộ chọn độc lập.
3. Sau khi mở lại, mỗi panel giữ đúng lựa chọn của mình; lựa chọn điểm thường không ghi đè lựa chọn điểm đơn vị và ngược lại.</t>
        </is>
      </c>
      <c r="M170" s="9"/>
      <c r="N170" s="9"/>
      <c r="O170" s="9">
        <v>1</v>
      </c>
      <c r="P170" s="9">
        <f>IF(OR(COUNTIF('Run Log'!$B:$B,A170)&lt;&gt;O170,COUNTIF('Run Log'!$A:$A,"RUN-TC-RS-UI-026-Base")&lt;&gt;1,COUNTIFS('Run Log'!$A:$A,"RUN-TC-RS-UI-026-Base",'Run Log'!$B:$B,A170,'Run Log'!$C:$C,"Base")&lt;&gt;1),"INCOMPLETE",IF(COUNTIFS('Run Log'!$B:$B,A170,'Run Log'!$D:$D,"PASS")=O170,"PASS",IF(COUNTIFS('Run Log'!$B:$B,A170,'Run Log'!$D:$D,"FAIL")&gt;0,"FAIL",IF(COUNTIFS('Run Log'!$B:$B,A170,'Run Log'!$D:$D,"BLOCKED")&gt;0,"BLOCKED",IF(COUNTIFS('Run Log'!$B:$B,A170,'Run Log'!$D:$D,"SKIPPED")&gt;0,"SKIPPED","NOT RUN")))))</f>
      </c>
    </row>
    <row r="171">
      <c r="A171" s="9" t="inlineStr">
        <is>
          <t>TC-RS-UI-025</t>
        </is>
      </c>
      <c r="B171" s="9" t="inlineStr">
        <is>
          <t>Loại ngưỡng/điều kiện chưa thuộc phạm vi phát hành không hiện như đang hoạt động</t>
        </is>
      </c>
      <c r="C171" s="9" t="inlineStr">
        <is>
          <t>E. UI • Visual</t>
        </is>
      </c>
      <c r="D171" s="9" t="inlineStr">
        <is>
          <t>- Điều kiện: Có danh sách phạm vi phát hành (đặc tả v2 mục 1.4, mục 13.1).
- Dữ liệu test: —</t>
        </is>
      </c>
      <c r="E171" s="9" t="inlineStr">
        <is>
          <t>TBD</t>
        </is>
      </c>
      <c r="F171" s="9" t="inlineStr">
        <is>
          <t>CONFIRMED</t>
        </is>
      </c>
      <c r="G171" s="9" t="inlineStr">
        <is>
          <t>UNASSESSED</t>
        </is>
      </c>
      <c r="H171" s="9" t="inlineStr">
        <is>
          <t>tiêu chí nghiệm thu “Phạm vi từng đợt” (AC-G40 «Phạm vi từng đợt»)</t>
        </is>
      </c>
      <c r="I171" s="9" t="inlineStr">
        <is>
          <t>E. UI • Visual</t>
        </is>
      </c>
      <c r="J171" s="9" t="inlineStr">
        <is>
          <t>test-cases.vi.md</t>
        </is>
      </c>
      <c r="K171" s="9" t="inlineStr">
        <is>
          <t>1. Mở màn Điều kiện áp dụng（適用条件設定）, xem các loại điều kiện.
2. Mở màn Ngưỡng đỏ（赤点の基準）, xem các loại ngưỡng.
3. Với loại không có trong danh sách phát hành (ví dụ Công thức（計算式）, điều kiện Trung bình（平均点））: nếu chọn được thì thử Lưu.
| Lượt chạy | Phạm vi thực hiện và đối chiếu |
| --- | --- |
| Run: Base | Toàn bộ thủ tục theo đúng thứ tự; các đối chứng cùng fixture được kiểm trong cùng lượt, không bỏ bước |</t>
        </is>
      </c>
      <c r="L171" s="9" t="inlineStr">
        <is>
          <t>Loại ngoài phạm vi không hiện như lựa chọn dùng được; không lưu được cấu hình dùng loại đó.</t>
        </is>
      </c>
      <c r="M171" s="9"/>
      <c r="N171" s="9"/>
      <c r="O171" s="9">
        <v>1</v>
      </c>
      <c r="P171" s="9">
        <f>IF(OR(COUNTIF('Run Log'!$B:$B,A171)&lt;&gt;O171,COUNTIF('Run Log'!$A:$A,"RUN-TC-RS-UI-025-Base")&lt;&gt;1,COUNTIFS('Run Log'!$A:$A,"RUN-TC-RS-UI-025-Base",'Run Log'!$B:$B,A171,'Run Log'!$C:$C,"Base")&lt;&gt;1),"INCOMPLETE",IF(COUNTIFS('Run Log'!$B:$B,A171,'Run Log'!$D:$D,"PASS")=O171,"PASS",IF(COUNTIFS('Run Log'!$B:$B,A171,'Run Log'!$D:$D,"FAIL")&gt;0,"FAIL",IF(COUNTIFS('Run Log'!$B:$B,A171,'Run Log'!$D:$D,"BLOCKED")&gt;0,"BLOCKED",IF(COUNTIFS('Run Log'!$B:$B,A171,'Run Log'!$D:$D,"SKIPPED")&gt;0,"SKIPPED","NOT RUN")))))</f>
      </c>
    </row>
    <row r="172">
      <c r="A172" s="9" t="inlineStr">
        <is>
          <t>TC-RS-ERR-001</t>
        </is>
      </c>
      <c r="B172" s="9" t="inlineStr">
        <is>
          <t>Hiển thị theo từng trạng thái kết quả ở ba đầu ra</t>
        </is>
      </c>
      <c r="C172" s="9" t="inlineStr">
        <is>
          <t>F. State • Error</t>
        </is>
      </c>
      <c r="D172" s="9" t="inlineStr">
        <is>
          <t>- Điều kiện: Chuẩn bị bảy ô cùng mục mục số nguyên (M=100): (1) Đỏ; (2) Không đỏ; (3) Chưa từng xét (ô mới, chưa có lượt xét); (4) Chưa xét được (như case “Chưa có kết quả tổng hợp → Chưa xét được, không thay bằng 0 hay nhóm khác”); (5) Không áp dụng (như case “Không quy tắc nào khớp khi đủ dữ liệu → Không áp dụng”); (6) Không có điểm (S05); (7) Đang chờ chạy lại: Đỏ trước đó, sau đó đổi ngưỡng và chưa chạy lại.
- Dữ liệu test: mục số nguyên (M=100); cấu hình trích xuất: lọc, ký hiệu “*” phía trước, tô màu, cấu hình công khai: “*” phía trước, cấu hình phiếu điểm: ký tự “※” phía trước</t>
        </is>
      </c>
      <c r="E172" s="9" t="inlineStr">
        <is>
          <t>Cao</t>
        </is>
      </c>
      <c r="F172" s="9" t="inlineStr">
        <is>
          <t>CONFIRMED</t>
        </is>
      </c>
      <c r="G172" s="9" t="inlineStr">
        <is>
          <t>UNASSESSED</t>
        </is>
      </c>
      <c r="H172" s="9" t="inlineStr">
        <is>
          <t>tiêu chí nghiệm thu “Trạng thái sau lần chạy” (AC-G20 «Trạng thái sau lần chạy»)</t>
        </is>
      </c>
      <c r="I172" s="9" t="inlineStr">
        <is>
          <t>F. State • Error</t>
        </is>
      </c>
      <c r="J172" s="9" t="inlineStr">
        <is>
          <t>test-cases.vi.md</t>
        </is>
      </c>
      <c r="K172" s="9" t="inlineStr">
        <is>
          <t>1. Chạy trích xuất có lọc đỏ và xuất Excel.
2. Xem màn học sinh công khai.
3. Xuất PDF phiếu.
| Lượt chạy | Phạm vi thực hiện và đối chiếu |
| --- | --- |
| Run: extract | Trích xuất cả bảy trạng thái không lọc |
| Run: publish | Công khai cả bảy trạng thái |
| Run: report | Phiếu điểm cả bảy trạng thái |</t>
        </is>
      </c>
      <c r="L172" s="9" t="inlineStr">
        <is>
          <t>Chỉ ô (1) và (7) có dấu đỏ và làm học sinh thỏa lọc đỏ. Ô (2)–(6) không có dấu đỏ, không thỏa lọc; (3), (4), (5) không được hiển thị như "đạt". Ba đầu ra cho cùng kết luận.</t>
        </is>
      </c>
      <c r="M172" s="9"/>
      <c r="N172" s="9"/>
      <c r="O172" s="9">
        <v>3</v>
      </c>
      <c r="P172" s="9">
        <f>IF(OR(COUNTIF('Run Log'!$B:$B,A172)&lt;&gt;O172,COUNTIF('Run Log'!$A:$A,"RUN-TC-RS-ERR-001-extract")&lt;&gt;1,COUNTIFS('Run Log'!$A:$A,"RUN-TC-RS-ERR-001-extract",'Run Log'!$B:$B,A172,'Run Log'!$C:$C,"extract")&lt;&gt;1,COUNTIF('Run Log'!$A:$A,"RUN-TC-RS-ERR-001-publish")&lt;&gt;1,COUNTIFS('Run Log'!$A:$A,"RUN-TC-RS-ERR-001-publish",'Run Log'!$B:$B,A172,'Run Log'!$C:$C,"publish")&lt;&gt;1,COUNTIF('Run Log'!$A:$A,"RUN-TC-RS-ERR-001-report")&lt;&gt;1,COUNTIFS('Run Log'!$A:$A,"RUN-TC-RS-ERR-001-report",'Run Log'!$B:$B,A172,'Run Log'!$C:$C,"report")&lt;&gt;1),"INCOMPLETE",IF(COUNTIFS('Run Log'!$B:$B,A172,'Run Log'!$D:$D,"PASS")=O172,"PASS",IF(COUNTIFS('Run Log'!$B:$B,A172,'Run Log'!$D:$D,"FAIL")&gt;0,"FAIL",IF(COUNTIFS('Run Log'!$B:$B,A172,'Run Log'!$D:$D,"BLOCKED")&gt;0,"BLOCKED",IF(COUNTIFS('Run Log'!$B:$B,A172,'Run Log'!$D:$D,"SKIPPED")&gt;0,"SKIPPED","NOT RUN")))))</f>
      </c>
    </row>
    <row r="173">
      <c r="A173" s="9" t="inlineStr">
        <is>
          <t>TC-RS-ERR-002</t>
        </is>
      </c>
      <c r="B173" s="9" t="inlineStr">
        <is>
          <t>Lỗi kỹ thuật khi lưu kết quả khác với Chưa xét được; không báo thành công giả</t>
        </is>
      </c>
      <c r="C173" s="9" t="inlineStr">
        <is>
          <t>F. State • Error</t>
        </is>
      </c>
      <c r="D173" s="9" t="inlineStr">
        <is>
          <t>- Điều kiện: chuẩn bị bản reset **độc lập cho từng biến thể và từng đường** nhập trực tiếp, Đăng ký thành tích bằng CSV（成績CSV登録） và liên kết điểm thi. Mỗi bản có điểm Toán 24 đang Đỏ, Ngữ văn 20 đang Đỏ và bằng chứng điểm/kết quả trước thao tác; file CSV và bài thi đã chấm phải ánh xạ tới đúng ô Toán của S01 (M=100). Chuẩn bị hai seam lỗi riêng trên từng đường, cho cả xóa và sửa nếu build hỗ trợ: lỗi lưu điểm và lỗi ghi kết quả đỏ; ghi thời điểm lỗi và ranh giới giao dịch thực tế. Chưa có seam/đường đọc đáng tin thì giữ biến thể tương ứng BLOCKED.
- Dữ liệu test: S01, Toán 24 → sửa thành 35 (không đỏ nếu xét thành công), Ngữ văn 20 giữ nguyên; rule “Cố định 30” với dấu `&lt;`. Biến thể xóa dùng cùng điểm ban đầu nhưng bản reset khác biến thể sửa.</t>
        </is>
      </c>
      <c r="E173" s="9" t="inlineStr">
        <is>
          <t>Cao</t>
        </is>
      </c>
      <c r="F173" s="9" t="inlineStr">
        <is>
          <t>CONFIRMED</t>
        </is>
      </c>
      <c r="G173" s="9" t="inlineStr">
        <is>
          <t>BLOCKED</t>
        </is>
      </c>
      <c r="H173" s="9" t="inlineStr">
        <is>
          <t>tiêu chí nghiệm thu “Lưu thành công và thông báo an toàn” (AC-G26 «Lưu thành công và thông báo an toàn»)</t>
        </is>
      </c>
      <c r="I173" s="9" t="inlineStr">
        <is>
          <t>F. State • Error</t>
        </is>
      </c>
      <c r="J173" s="9" t="inlineStr">
        <is>
          <t>test-cases.vi.md</t>
        </is>
      </c>
      <c r="K173" s="9" t="inlineStr">
        <is>
          <t>1. Với `*-success-delete`, dùng ba bản reset riêng và xóa ô Toán lần lượt bằng nhập trực tiếp, Đăng ký thành tích bằng CSV（成績CSV登録） và liên kết điểm thi; không giả lập lỗi.
2. Với `*-delete-save-failure`, reset trước từng lượt, xóa ô Toán qua đúng đường tương ứng và gây lỗi **lưu điểm**. Với `*-delete-result-write-failure`, dùng ba bản reset khác, xóa ô Toán nhưng gây lỗi **ghi kết quả đỏ** sau đường xử lý điểm. Mỗi biến thể có Run ID, baseline, response và đọc lại riêng; không dùng kết quả của lỗi lưu điểm làm baseline cho lỗi ghi kết quả.
3. Với `*-edit-save-failure`, reset trước từng lượt, sửa Toán 24→35 qua từng đường và gây lỗi **lưu điểm**. Với `*-edit-result-write-failure`, dùng các bản reset khác, sửa cùng giá trị nhưng gây lỗi **ghi kết quả đỏ** sau đường xử lý điểm. Không dùng trạng thái từ biến thể xóa làm baseline sửa.
4. Sau mỗi biến thể, đọc lại điểm và kết quả đỏ của đúng ô Toán, ô Ngữ văn không đích và ba đầu ra; lưu thông báo, trạng thái giao dịch/response và identity để đối chiếu. Không dùng thông báo thành công hay một dấu UI làm bằng chứng duy nhất cho ghi điểm/kết quả.
| Lượt chạy | Phạm vi thực hiện và đối chiếu |
| --- | --- |
| Run: direct-success-delete | Nhánh direct-success-delete trong thủ tục và Expected của case; thực hiện các bước chuẩn bị chung trước nhánh |
| Run: csv-success-delete | Nhánh csv-success-delete trong thủ tục và Expected của case; thực hiện các bước chuẩn bị chung trước nhánh |
| Run: linked-success-delete | Nhánh linked-success-delete trong thủ tục và Expected của case; thực hiện các bước chuẩn bị chung trước nhánh |
| Run: direct-delete-save-failure | Nhánh direct-delete-save-failure trong thủ tục và Expected của case; thực hiện các bước chuẩn bị chung trước nhánh |
| Run: csv-delete-save-failure | Nhánh csv-delete-save-failure trong thủ tục và Expected của case; thực hiện các bước chuẩn bị chung trước nhánh |
| Run: linked-delete-save-failure | Nhánh linked-delete-save-failure trong thủ tục và Expected của case; thực hiện các bước chuẩn bị chung trước nhánh |
| Run: direct-delete-result-write-failure | Nhánh direct-delete-result-write-failure trong thủ tục và Expected của case; thực hiện các bước chuẩn bị chung trước nhánh |
| Run: csv-delete-result-write-failure | Nhánh csv-delete-result-write-failure trong thủ tục và Expected của case; thực hiện các bước chuẩn bị chung trước nhánh |
| Run: linked-delete-result-write-failure | Nhánh linked-delete-result-write-failure trong thủ tục và Expected của case; thực hiện các bước chuẩn bị chung trước nhánh |
| Run: direct-edit-save-failure | Nhánh direct-edit-save-failure trong thủ tục và Expected của case; thực hiện các bước chuẩn bị chung trước nhánh |
| Run: csv-edit-save-failure | Nhánh csv-edit-save-failure trong thủ tục và Expected của case; thực hiện các bước chuẩn bị chung trước nhánh |
| Run: linked-edit-save-failure | Nhánh linked-edit-save-failure trong thủ tục và Expected của case; thực hiện các bước chuẩn bị chung trước nhánh |
| Run: direct-edit-result-write-failure | Nhánh direct-edit-result-write-failure trong thủ tục và Expected của case; thực hiện các bước chuẩn bị chung trước nhánh |
| Run: csv-edit-result-write-failure | Nhánh csv-edit-result-write-failure trong thủ tục và Expected của case; thực hiện các bước chuẩn bị chung trước nhánh |
| Run: linked-edit-result-write-failure | Nhánh linked-edit-result-write-failure trong thủ tục và Expected của case; thực hiện các bước chuẩn bị chung trước nhánh |</t>
        </is>
      </c>
      <c r="L173" s="9" t="inlineStr">
        <is>
          <t>1. Mỗi đường xóa thành công chỉ xóa điểm/kết quả Toán của identity đích; Ngữ văn vẫn Đỏ và S01 vẫn qua bộ lọc nhờ Ngữ văn. CSV phải ánh xạ đúng ô.
2. Với `*-delete-save-failure`, không báo đã xóa/xét thành công; đối chiếu điểm và kết quả Toán với baseline 24/Đỏ. Với `*-delete-result-write-failure`, cũng không báo thành công giả và phải phân biệt điểm đã bị xóa hay chưa theo ranh giới giao dịch thực tế; không tự coi ô là trống/Chưa xét được hoặc mặc định rollback. Đọc lại điểm, kết quả và trạng thái giao dịch của **từng** biến thể; nếu ranh giới commit hoặc trạng thái nhất quán chưa quan sát được thì giữ đúng biến thể BLOCKED, ghi giá trị thực tế của hai ô và không sửa oracle theo kết quả chạy.
3. Với lỗi **sửa điểm 24→35**, không báo đã sửa và xét thành công giả. Lỗi lưu điểm phải được đối chiếu với điểm/kết quả trước đó; lỗi ghi kết quả phải phân biệt điểm đã lưu hay chưa theo ranh giới giao dịch hiện có. Không trình bày kết quả cũ Đỏ như kết luận mới đã hoàn tất cho điểm 35, cũng không tự đánh dấu Chưa xét được do lỗi kỹ thuật. Nếu ranh giới ghi/đọc hoặc trạng thái nhất quán chưa quan sát được, giữ đúng biến thể BLOCKED và ghi giá trị thực tế của cả hai ô thay vì tự đổi oracle thành PASS.
4. Ngữ văn 20 và kết quả Đỏ của ô không đích giữ nguyên ở mọi lượt. Thông báo thất bại không chứa lỗi SQL, stack trace hay dữ liệu ngoài quyền.</t>
        </is>
      </c>
      <c r="M173" s="9"/>
      <c r="N173" s="9"/>
      <c r="O173" s="9">
        <v>15</v>
      </c>
      <c r="P173" s="9">
        <f>IF(OR(COUNTIF('Run Log'!$B:$B,A173)&lt;&gt;O173,COUNTIF('Run Log'!$A:$A,"RUN-TC-RS-ERR-002-direct-success-delete")&lt;&gt;1,COUNTIFS('Run Log'!$A:$A,"RUN-TC-RS-ERR-002-direct-success-delete",'Run Log'!$B:$B,A173,'Run Log'!$C:$C,"direct-success-delete")&lt;&gt;1,COUNTIF('Run Log'!$A:$A,"RUN-TC-RS-ERR-002-csv-success-delete")&lt;&gt;1,COUNTIFS('Run Log'!$A:$A,"RUN-TC-RS-ERR-002-csv-success-delete",'Run Log'!$B:$B,A173,'Run Log'!$C:$C,"csv-success-delete")&lt;&gt;1,COUNTIF('Run Log'!$A:$A,"RUN-TC-RS-ERR-002-linked-success-delete")&lt;&gt;1,COUNTIFS('Run Log'!$A:$A,"RUN-TC-RS-ERR-002-linked-success-delete",'Run Log'!$B:$B,A173,'Run Log'!$C:$C,"linked-success-delete")&lt;&gt;1,COUNTIF('Run Log'!$A:$A,"RUN-TC-RS-ERR-002-direct-delete-save-failure")&lt;&gt;1,COUNTIFS('Run Log'!$A:$A,"RUN-TC-RS-ERR-002-direct-delete-save-failure",'Run Log'!$B:$B,A173,'Run Log'!$C:$C,"direct-delete-save-failure")&lt;&gt;1,COUNTIF('Run Log'!$A:$A,"RUN-TC-RS-ERR-002-csv-delete-save-failure")&lt;&gt;1,COUNTIFS('Run Log'!$A:$A,"RUN-TC-RS-ERR-002-csv-delete-save-failure",'Run Log'!$B:$B,A173,'Run Log'!$C:$C,"csv-delete-save-failure")&lt;&gt;1,COUNTIF('Run Log'!$A:$A,"RUN-TC-RS-ERR-002-linked-delete-save-failure")&lt;&gt;1,COUNTIFS('Run Log'!$A:$A,"RUN-TC-RS-ERR-002-linked-delete-save-failure",'Run Log'!$B:$B,A173,'Run Log'!$C:$C,"linked-delete-save-failure")&lt;&gt;1,COUNTIF('Run Log'!$A:$A,"RUN-TC-RS-ERR-002-direct-delete-result-write-failure")&lt;&gt;1,COUNTIFS('Run Log'!$A:$A,"RUN-TC-RS-ERR-002-direct-delete-result-write-failure",'Run Log'!$B:$B,A173,'Run Log'!$C:$C,"direct-delete-result-write-failure")&lt;&gt;1,COUNTIF('Run Log'!$A:$A,"RUN-TC-RS-ERR-002-csv-delete-result-write-failure")&lt;&gt;1,COUNTIFS('Run Log'!$A:$A,"RUN-TC-RS-ERR-002-csv-delete-result-write-failure",'Run Log'!$B:$B,A173,'Run Log'!$C:$C,"csv-delete-result-write-failure")&lt;&gt;1,COUNTIF('Run Log'!$A:$A,"RUN-TC-RS-ERR-002-linked-delete-result-write-failure")&lt;&gt;1,COUNTIFS('Run Log'!$A:$A,"RUN-TC-RS-ERR-002-linked-delete-result-write-failure",'Run Log'!$B:$B,A173,'Run Log'!$C:$C,"linked-delete-result-write-failure")&lt;&gt;1,COUNTIF('Run Log'!$A:$A,"RUN-TC-RS-ERR-002-direct-edit-save-failure")&lt;&gt;1,COUNTIFS('Run Log'!$A:$A,"RUN-TC-RS-ERR-002-direct-edit-save-failure",'Run Log'!$B:$B,A173,'Run Log'!$C:$C,"direct-edit-save-failure")&lt;&gt;1,COUNTIF('Run Log'!$A:$A,"RUN-TC-RS-ERR-002-csv-edit-save-failure")&lt;&gt;1,COUNTIFS('Run Log'!$A:$A,"RUN-TC-RS-ERR-002-csv-edit-save-failure",'Run Log'!$B:$B,A173,'Run Log'!$C:$C,"csv-edit-save-failure")&lt;&gt;1,COUNTIF('Run Log'!$A:$A,"RUN-TC-RS-ERR-002-linked-edit-save-failure")&lt;&gt;1,COUNTIFS('Run Log'!$A:$A,"RUN-TC-RS-ERR-002-linked-edit-save-failure",'Run Log'!$B:$B,A173,'Run Log'!$C:$C,"linked-edit-save-failure")&lt;&gt;1,COUNTIF('Run Log'!$A:$A,"RUN-TC-RS-ERR-002-direct-edit-result-write-failure")&lt;&gt;1,COUNTIFS('Run Log'!$A:$A,"RUN-TC-RS-ERR-002-direct-edit-result-write-failure",'Run Log'!$B:$B,A173,'Run Log'!$C:$C,"direct-edit-result-write-failure")&lt;&gt;1,COUNTIF('Run Log'!$A:$A,"RUN-TC-RS-ERR-002-csv-edit-result-write-failure")&lt;&gt;1,COUNTIFS('Run Log'!$A:$A,"RUN-TC-RS-ERR-002-csv-edit-result-write-failure",'Run Log'!$B:$B,A173,'Run Log'!$C:$C,"csv-edit-result-write-failure")&lt;&gt;1,COUNTIF('Run Log'!$A:$A,"RUN-TC-RS-ERR-002-linked-edit-result-write-failure")&lt;&gt;1,COUNTIFS('Run Log'!$A:$A,"RUN-TC-RS-ERR-002-linked-edit-result-write-failure",'Run Log'!$B:$B,A173,'Run Log'!$C:$C,"linked-edit-result-write-failure")&lt;&gt;1),"INCOMPLETE",IF(COUNTIFS('Run Log'!$B:$B,A173,'Run Log'!$D:$D,"PASS")=O173,"PASS",IF(COUNTIFS('Run Log'!$B:$B,A173,'Run Log'!$D:$D,"FAIL")&gt;0,"FAIL",IF(COUNTIFS('Run Log'!$B:$B,A173,'Run Log'!$D:$D,"BLOCKED")&gt;0,"BLOCKED",IF(COUNTIFS('Run Log'!$B:$B,A173,'Run Log'!$D:$D,"SKIPPED")&gt;0,"SKIPPED","NOT RUN")))))</f>
      </c>
    </row>
    <row r="174">
      <c r="A174" s="9" t="inlineStr">
        <is>
          <t>TC-RS-ERR-003</t>
        </is>
      </c>
      <c r="B174" s="9" t="inlineStr">
        <is>
          <t>Batch hoàn tất một phần: báo đúng phạm vi đã/không cập nhật</t>
        </is>
      </c>
      <c r="C174" s="9" t="inlineStr">
        <is>
          <t>F. State • Error</t>
        </is>
      </c>
      <c r="D174" s="9" t="inlineStr">
        <is>
          <t>- Điều kiện: Batch dùng `TD-GRP-03`: BATCH-GA1 và BATCH-GA2 cùng khối 1; giả lập lỗi riêng ở BATCH-GA2.
- Dữ liệu test: BATCH-S01 thuộc BATCH-GA1, BATCH-S02 thuộc BATCH-GA2, BATCH-S03 thuộc BATCH-GC ngoài batch; mỗi học sinh có identity ô điểm fixture riêng. Không dùng S01/G-A hoặc lớp master làm bằng chứng nếu chưa chứng minh mapping.</t>
        </is>
      </c>
      <c r="E174" s="9" t="inlineStr">
        <is>
          <t>Cao</t>
        </is>
      </c>
      <c r="F174" s="9" t="inlineStr">
        <is>
          <t>CONFIRMED</t>
        </is>
      </c>
      <c r="G174" s="9" t="inlineStr">
        <is>
          <t>BLOCKED</t>
        </is>
      </c>
      <c r="H174" s="9" t="inlineStr">
        <is>
          <t>tiêu chí nghiệm thu “Batch hoàn tất một phần” (AC-G27 «Batch hoàn tất một phần»)</t>
        </is>
      </c>
      <c r="I174" s="9" t="inlineStr">
        <is>
          <t>F. State • Error</t>
        </is>
      </c>
      <c r="J174" s="9" t="inlineStr">
        <is>
          <t>test-cases.vi.md</t>
        </is>
      </c>
      <c r="K174" s="9" t="inlineStr">
        <is>
          <t>1. Chạy nút cam cho khối.
2. Xem thông báo và kết quả từng lớp.
3. Gỡ giả lập lỗi, chạy lại nút cam chỉ cho phạm vi BATCH-GA2.
4. Xem kết quả hai lớp.
5. Chạy nút cam cho BATCH-GA1; khi chưa xong, giáo viên sửa và lưu điểm BATCH-S01. Chờ batch xong, xem thông báo/tiến độ và kết quả BATCH-S01.
| Lượt chạy | Phạm vi thực hiện và đối chiếu |
| --- | --- |
| Run: partial-G-A2-failure | Nhánh partial-G-A2-failure trong thủ tục và Expected của case; thực hiện các bước chuẩn bị chung trước nhánh |
| Run: retry-G-A2-only | Nhánh retry-G-A2-only trong thủ tục và Expected của case; thực hiện các bước chuẩn bị chung trước nhánh |
| Run: concurrent-score-write | Nhánh concurrent-score-write trong thủ tục và Expected của case; thực hiện các bước chuẩn bị chung trước nhánh |</t>
        </is>
      </c>
      <c r="L174" s="9" t="inlineStr">
        <is>
          <t>1–2. G-A1 cập nhật; G-A2 giữ trạng thái trước lượt. Thông báo cho biết phạm vi đã cập nhật, chưa cập nhật và cần chạy lại; không báo hoàn tất toàn bộ; không suy số lớp đã xử lý thành số ô đã xét. Không hứa rollback toàn lượt. Không tự retry vô hạn. G-C ngoài batch không bị tính vào kết quả.
3–4. BATCH-GA2 được cập nhật; BATCH-GA1 giữ kết quả của bước 1, mỗi ô chỉ có một kết quả hiệu lực, không trùng.
5. Phần của BATCH-S01 trong lượt batch (đã bị lần lưu mới thay thế) không được tính là cập nhật thành công, cũng không được tính là Chưa xét được; BATCH-S01 giữ kết quả của lần lưu mới. (PROPOSED theo thiết kế DB v2 mục 6.3 “Xóa/tạo lại, nguồn tham chiếu và lỗi”) Tiến độ ghi phần này là `superseded`; deadlock/timeout rollback toàn transaction đó và chỉ retry hữu hạn theo job hiện có.</t>
        </is>
      </c>
      <c r="M174" s="9"/>
      <c r="N174" s="9"/>
      <c r="O174" s="9">
        <v>3</v>
      </c>
      <c r="P174" s="9">
        <f>IF(OR(COUNTIF('Run Log'!$B:$B,A174)&lt;&gt;O174,COUNTIF('Run Log'!$A:$A,"RUN-TC-RS-ERR-003-partial-G-A2-failure")&lt;&gt;1,COUNTIFS('Run Log'!$A:$A,"RUN-TC-RS-ERR-003-partial-G-A2-failure",'Run Log'!$B:$B,A174,'Run Log'!$C:$C,"partial-G-A2-failure")&lt;&gt;1,COUNTIF('Run Log'!$A:$A,"RUN-TC-RS-ERR-003-retry-G-A2-only")&lt;&gt;1,COUNTIFS('Run Log'!$A:$A,"RUN-TC-RS-ERR-003-retry-G-A2-only",'Run Log'!$B:$B,A174,'Run Log'!$C:$C,"retry-G-A2-only")&lt;&gt;1,COUNTIF('Run Log'!$A:$A,"RUN-TC-RS-ERR-003-concurrent-score-write")&lt;&gt;1,COUNTIFS('Run Log'!$A:$A,"RUN-TC-RS-ERR-003-concurrent-score-write",'Run Log'!$B:$B,A174,'Run Log'!$C:$C,"concurrent-score-write")&lt;&gt;1),"INCOMPLETE",IF(COUNTIFS('Run Log'!$B:$B,A174,'Run Log'!$D:$D,"PASS")=O174,"PASS",IF(COUNTIFS('Run Log'!$B:$B,A174,'Run Log'!$D:$D,"FAIL")&gt;0,"FAIL",IF(COUNTIFS('Run Log'!$B:$B,A174,'Run Log'!$D:$D,"BLOCKED")&gt;0,"BLOCKED",IF(COUNTIFS('Run Log'!$B:$B,A174,'Run Log'!$D:$D,"SKIPPED")&gt;0,"SKIPPED","NOT RUN")))))</f>
      </c>
    </row>
    <row r="175">
      <c r="A175" s="9" t="inlineStr">
        <is>
          <t>TC-RS-ERR-004</t>
        </is>
      </c>
      <c r="B175" s="9" t="inlineStr">
        <is>
          <t>Đã xếp hàng không phải đã hoàn tất; bấm chạy trùng</t>
        </is>
      </c>
      <c r="C175" s="9" t="inlineStr">
        <is>
          <t>F. State • Error</t>
        </is>
      </c>
      <c r="D175" s="9" t="inlineStr">
        <is>
          <t>- Điều kiện: tài khoản có quyền chạy hàng loạt. Đã đổi ngưỡng, chưa chạy lại.
- Dữ liệu test: quy tắc “Cố định 30” (dưới 30)</t>
        </is>
      </c>
      <c r="E175" s="9" t="inlineStr">
        <is>
          <t>Cao</t>
        </is>
      </c>
      <c r="F175" s="9" t="inlineStr">
        <is>
          <t>CONFIRMED</t>
        </is>
      </c>
      <c r="G175" s="9" t="inlineStr">
        <is>
          <t>UNASSESSED</t>
        </is>
      </c>
      <c r="H175" s="9" t="inlineStr">
        <is>
          <t>tiêu chí nghiệm thu “Batch hoàn tất một phần” (AC-G27 «Batch hoàn tất một phần»)</t>
        </is>
      </c>
      <c r="I175" s="9" t="inlineStr">
        <is>
          <t>F. State • Error</t>
        </is>
      </c>
      <c r="J175" s="9" t="inlineStr">
        <is>
          <t>test-cases.vi.md</t>
        </is>
      </c>
      <c r="K175" s="9" t="inlineStr">
        <is>
          <t>1. Bấm Thực hiện tính toán tự động（自動算出実行）, đọc thông báo ngay khi request trả về.
2. Bấm lại lần nữa khi lượt đầu chưa xong.
3. Sau khi xong, xem kết quả.
| Lượt chạy | Phạm vi thực hiện và đối chiếu |
| --- | --- |
| Run: Base | Toàn bộ thủ tục theo đúng thứ tự; các đối chứng cùng fixture được kiểm trong cùng lượt, không bỏ bước |</t>
        </is>
      </c>
      <c r="L175" s="9" t="inlineStr">
        <is>
          <t>1. Nếu xử lý chạy nền: thông báo là đã nhận/xếp hàng, không phải đã hoàn tất; kết quả chưa đổi cho tới khi xử lý xong.
2. Chống trùng theo cơ chế hiện có (không tạo hai lượt ghi chồng gây kết quả sai).
3. Một kết quả hiện hành cho mỗi ô, đúng theo ngưỡng mới.</t>
        </is>
      </c>
      <c r="M175" s="9"/>
      <c r="N175" s="9"/>
      <c r="O175" s="9">
        <v>1</v>
      </c>
      <c r="P175" s="9">
        <f>IF(OR(COUNTIF('Run Log'!$B:$B,A175)&lt;&gt;O175,COUNTIF('Run Log'!$A:$A,"RUN-TC-RS-ERR-004-Base")&lt;&gt;1,COUNTIFS('Run Log'!$A:$A,"RUN-TC-RS-ERR-004-Base",'Run Log'!$B:$B,A175,'Run Log'!$C:$C,"Base")&lt;&gt;1),"INCOMPLETE",IF(COUNTIFS('Run Log'!$B:$B,A175,'Run Log'!$D:$D,"PASS")=O175,"PASS",IF(COUNTIFS('Run Log'!$B:$B,A175,'Run Log'!$D:$D,"FAIL")&gt;0,"FAIL",IF(COUNTIFS('Run Log'!$B:$B,A175,'Run Log'!$D:$D,"BLOCKED")&gt;0,"BLOCKED",IF(COUNTIFS('Run Log'!$B:$B,A175,'Run Log'!$D:$D,"SKIPPED")&gt;0,"SKIPPED","NOT RUN")))))</f>
      </c>
    </row>
    <row r="176">
      <c r="A176" s="9" t="inlineStr">
        <is>
          <t>TC-RS-ERR-005</t>
        </is>
      </c>
      <c r="B176" s="9" t="inlineStr">
        <is>
          <t>Thông báo lỗi không lộ SQL, stack trace hoặc dữ liệu ngoài quyền</t>
        </is>
      </c>
      <c r="C176" s="9" t="inlineStr">
        <is>
          <t>F. State • Error</t>
        </is>
      </c>
      <c r="D176" s="9" t="inlineStr">
        <is>
          <t>- Điều kiện: Các tình huống lỗi của ERR-002, ERR-003, ERR-006, ERR-009.
- Dữ liệu test: —</t>
        </is>
      </c>
      <c r="E176" s="9" t="inlineStr">
        <is>
          <t>Cao</t>
        </is>
      </c>
      <c r="F176" s="9" t="inlineStr">
        <is>
          <t>CONFIRMED</t>
        </is>
      </c>
      <c r="G176" s="9" t="inlineStr">
        <is>
          <t>UNASSESSED</t>
        </is>
      </c>
      <c r="H176" s="9" t="inlineStr">
        <is>
          <t>tiêu chí nghiệm thu “Lưu thành công và thông báo an toàn” (AC-G26 «Lưu thành công và thông báo an toàn»)</t>
        </is>
      </c>
      <c r="I176" s="9" t="inlineStr">
        <is>
          <t>F. State • Error</t>
        </is>
      </c>
      <c r="J176" s="9" t="inlineStr">
        <is>
          <t>test-cases.vi.md</t>
        </is>
      </c>
      <c r="K176" s="9" t="inlineStr">
        <is>
          <t>Thu thập mọi thông báo lỗi hiển thị cho người dùng trong các case trên.
| Lượt chạy | Phạm vi thực hiện và đối chiếu |
| --- | --- |
| Run: save-error | Lỗi lưu theo ERR-002 |
| Run: batch-error | Lỗi batch theo ERR-003 |
| Run: permission-error | Lỗi quyền theo ERR-006 |
| Run: input-error | Lỗi dữ liệu theo ERR-009 |</t>
        </is>
      </c>
      <c r="L176" s="9" t="inlineStr">
        <is>
          <t>Không có câu SQL, stack trace, đường dẫn file server hoặc tên/điểm học sinh ngoài quyền người thao tác.</t>
        </is>
      </c>
      <c r="M176" s="9"/>
      <c r="N176" s="9"/>
      <c r="O176" s="9">
        <v>4</v>
      </c>
      <c r="P176" s="9">
        <f>IF(OR(COUNTIF('Run Log'!$B:$B,A176)&lt;&gt;O176,COUNTIF('Run Log'!$A:$A,"RUN-TC-RS-ERR-005-save-error")&lt;&gt;1,COUNTIFS('Run Log'!$A:$A,"RUN-TC-RS-ERR-005-save-error",'Run Log'!$B:$B,A176,'Run Log'!$C:$C,"save-error")&lt;&gt;1,COUNTIF('Run Log'!$A:$A,"RUN-TC-RS-ERR-005-batch-error")&lt;&gt;1,COUNTIFS('Run Log'!$A:$A,"RUN-TC-RS-ERR-005-batch-error",'Run Log'!$B:$B,A176,'Run Log'!$C:$C,"batch-error")&lt;&gt;1,COUNTIF('Run Log'!$A:$A,"RUN-TC-RS-ERR-005-permission-error")&lt;&gt;1,COUNTIFS('Run Log'!$A:$A,"RUN-TC-RS-ERR-005-permission-error",'Run Log'!$B:$B,A176,'Run Log'!$C:$C,"permission-error")&lt;&gt;1,COUNTIF('Run Log'!$A:$A,"RUN-TC-RS-ERR-005-input-error")&lt;&gt;1,COUNTIFS('Run Log'!$A:$A,"RUN-TC-RS-ERR-005-input-error",'Run Log'!$B:$B,A176,'Run Log'!$C:$C,"input-error")&lt;&gt;1),"INCOMPLETE",IF(COUNTIFS('Run Log'!$B:$B,A176,'Run Log'!$D:$D,"PASS")=O176,"PASS",IF(COUNTIFS('Run Log'!$B:$B,A176,'Run Log'!$D:$D,"FAIL")&gt;0,"FAIL",IF(COUNTIFS('Run Log'!$B:$B,A176,'Run Log'!$D:$D,"BLOCKED")&gt;0,"BLOCKED",IF(COUNTIFS('Run Log'!$B:$B,A176,'Run Log'!$D:$D,"SKIPPED")&gt;0,"SKIPPED","NOT RUN")))))</f>
      </c>
    </row>
    <row r="177">
      <c r="A177" s="9" t="inlineStr">
        <is>
          <t>TC-RS-ERR-006</t>
        </is>
      </c>
      <c r="B177" s="9" t="inlineStr">
        <is>
          <t>Gửi request lưu quy tắc trực tiếp khi không có quyền sửa mục</t>
        </is>
      </c>
      <c r="C177" s="9" t="inlineStr">
        <is>
          <t>F. State • Error</t>
        </is>
      </c>
      <c r="D177" s="9" t="inlineStr">
        <is>
          <t>- Điều kiện: tài khoản giáo viên không có quyền sửa mục; mục chỉ dành nội bộ có một quy tắc. Có bản ghi request lưu/xóa/đổi thứ tự hợp lệ lấy từ tài khoản giáo viên có quyền sửa mục.
- Dữ liệu test: tài khoản giáo viên không có quyền sửa mục, mục chỉ dành nội bộ</t>
        </is>
      </c>
      <c r="E177" s="9" t="inlineStr">
        <is>
          <t>Cao</t>
        </is>
      </c>
      <c r="F177" s="9" t="inlineStr">
        <is>
          <t>CONFIRMED</t>
        </is>
      </c>
      <c r="G177" s="9" t="inlineStr">
        <is>
          <t>UNASSESSED</t>
        </is>
      </c>
      <c r="H177" s="9" t="inlineStr">
        <is>
          <t>tiêu chí nghiệm thu “Quyền thao tác và phạm vi dữ liệu” (AC-G01 «Quyền thao tác và phạm vi dữ liệu»)</t>
        </is>
      </c>
      <c r="I177" s="9" t="inlineStr">
        <is>
          <t>F. State • Error</t>
        </is>
      </c>
      <c r="J177" s="9" t="inlineStr">
        <is>
          <t>test-cases.vi.md</t>
        </is>
      </c>
      <c r="K177" s="9" t="inlineStr">
        <is>
          <t>Dùng phiên tài khoản giáo viên không có quyền sửa mục gửi lại các request POST lưu, xóa, đổi thứ tự quy tắc của mục chỉ dành nội bộ.
| Lượt chạy | Phạm vi thực hiện và đối chiếu |
| --- | --- |
| Run: save | Gửi lưu |
| Run: delete | Gửi xóa |
| Run: reorder | Gửi đổi thứ tự |</t>
        </is>
      </c>
      <c r="L177" s="9" t="inlineStr">
        <is>
          <t>Mọi request bị từ chối; cấu hình không đổi; không có lượt xét phát sinh.</t>
        </is>
      </c>
      <c r="M177" s="9"/>
      <c r="N177" s="9"/>
      <c r="O177" s="9">
        <v>3</v>
      </c>
      <c r="P177" s="9">
        <f>IF(OR(COUNTIF('Run Log'!$B:$B,A177)&lt;&gt;O177,COUNTIF('Run Log'!$A:$A,"RUN-TC-RS-ERR-006-save")&lt;&gt;1,COUNTIFS('Run Log'!$A:$A,"RUN-TC-RS-ERR-006-save",'Run Log'!$B:$B,A177,'Run Log'!$C:$C,"save")&lt;&gt;1,COUNTIF('Run Log'!$A:$A,"RUN-TC-RS-ERR-006-delete")&lt;&gt;1,COUNTIFS('Run Log'!$A:$A,"RUN-TC-RS-ERR-006-delete",'Run Log'!$B:$B,A177,'Run Log'!$C:$C,"delete")&lt;&gt;1,COUNTIF('Run Log'!$A:$A,"RUN-TC-RS-ERR-006-reorder")&lt;&gt;1,COUNTIFS('Run Log'!$A:$A,"RUN-TC-RS-ERR-006-reorder",'Run Log'!$B:$B,A177,'Run Log'!$C:$C,"reorder")&lt;&gt;1),"INCOMPLETE",IF(COUNTIFS('Run Log'!$B:$B,A177,'Run Log'!$D:$D,"PASS")=O177,"PASS",IF(COUNTIFS('Run Log'!$B:$B,A177,'Run Log'!$D:$D,"FAIL")&gt;0,"FAIL",IF(COUNTIFS('Run Log'!$B:$B,A177,'Run Log'!$D:$D,"BLOCKED")&gt;0,"BLOCKED",IF(COUNTIFS('Run Log'!$B:$B,A177,'Run Log'!$D:$D,"SKIPPED")&gt;0,"SKIPPED","NOT RUN")))))</f>
      </c>
    </row>
    <row r="178">
      <c r="A178" s="9" t="inlineStr">
        <is>
          <t>TC-RS-ERR-007</t>
        </is>
      </c>
      <c r="B178" s="9" t="inlineStr">
        <is>
          <t>Giả mạo ID khác trường/năm hoặc nguồn không được phép</t>
        </is>
      </c>
      <c r="C178" s="9" t="inlineStr">
        <is>
          <t>F. State • Error</t>
        </is>
      </c>
      <c r="D178" s="9" t="inlineStr">
        <is>
          <t>- Điều kiện: tài khoản của trường B (trường B) và tài khoản giáo viên có quyền sửa mục (trường A). Ghi lại cấu hình, điểm và kết quả đỏ của trường A trước khi chạy.
- Dữ liệu test: trường B (trường khác), tài khoản của trường B</t>
        </is>
      </c>
      <c r="E178" s="9" t="inlineStr">
        <is>
          <t>Cao</t>
        </is>
      </c>
      <c r="F178" s="9" t="inlineStr">
        <is>
          <t>CONFIRMED</t>
        </is>
      </c>
      <c r="G178" s="9" t="inlineStr">
        <is>
          <t>UNASSESSED</t>
        </is>
      </c>
      <c r="H178" s="9" t="inlineStr">
        <is>
          <t>tiêu chí nghiệm thu “Quyền thao tác và phạm vi dữ liệu” (AC-G01 «Quyền thao tác và phạm vi dữ liệu»)</t>
        </is>
      </c>
      <c r="I178" s="9" t="inlineStr">
        <is>
          <t>F. State • Error</t>
        </is>
      </c>
      <c r="J178" s="9" t="inlineStr">
        <is>
          <t>test-cases.vi.md</t>
        </is>
      </c>
      <c r="K178" s="9" t="inlineStr">
        <is>
          <t>1. tài khoản của trường B mở URL/gửi request xem, lưu, xóa quy tắc với ID mục/quy tắc của trường A.
2. tài khoản giáo viên có quyền sửa mục lưu quy tắc của trường A nhưng sửa request để nguồn tổng hợp trỏ tới thiết lập tổng hợp của trường B hoặc năm 2025.
3. tài khoản giáo viên có quyền sửa mục lưu quy tắc của trường A nhưng sửa request: ID lớp/nhóm trong bộ lọc và ID đơn vị thuộc trường B hoặc năm 2025.
| Lượt chạy | Phạm vi thực hiện và đối chiếu |
| --- | --- |
| Run: read-school | Đọc mục trường khác |
| Run: save-school | Lưu mục trường khác |
| Run: delete-school | Xóa mục trường khác |
| Run: source-school | Nguồn trường khác |
| Run: source-year | Nguồn năm khác |
| Run: class-school | Lớp trường khác |
| Run: class-year | Lớp năm khác |
| Run: group-school | Nhóm trường khác |
| Run: group-year | Nhóm năm khác |
| Run: unit-school | Đơn vị trường khác |
| Run: unit-year | Đơn vị năm khác |</t>
        </is>
      </c>
      <c r="L178" s="9" t="inlineStr">
        <is>
          <t>1. Bị từ chối, không đọc được dữ liệu trường A.
2. Bị từ chối khi lưu; không có quy tắc tham chiếu nguồn ngoài phạm vi.
3. Bị từ chối khi lưu; không có quy tắc mang ID lớp/nhóm/đơn vị ngoài phạm vi.
Sau cả ba bước: cấu hình, điểm và kết quả đỏ của trường A giống lúc trước khi chạy.</t>
        </is>
      </c>
      <c r="M178" s="9"/>
      <c r="N178" s="9"/>
      <c r="O178" s="9">
        <v>11</v>
      </c>
      <c r="P178" s="9">
        <f>IF(OR(COUNTIF('Run Log'!$B:$B,A178)&lt;&gt;O178,COUNTIF('Run Log'!$A:$A,"RUN-TC-RS-ERR-007-read-school")&lt;&gt;1,COUNTIFS('Run Log'!$A:$A,"RUN-TC-RS-ERR-007-read-school",'Run Log'!$B:$B,A178,'Run Log'!$C:$C,"read-school")&lt;&gt;1,COUNTIF('Run Log'!$A:$A,"RUN-TC-RS-ERR-007-save-school")&lt;&gt;1,COUNTIFS('Run Log'!$A:$A,"RUN-TC-RS-ERR-007-save-school",'Run Log'!$B:$B,A178,'Run Log'!$C:$C,"save-school")&lt;&gt;1,COUNTIF('Run Log'!$A:$A,"RUN-TC-RS-ERR-007-delete-school")&lt;&gt;1,COUNTIFS('Run Log'!$A:$A,"RUN-TC-RS-ERR-007-delete-school",'Run Log'!$B:$B,A178,'Run Log'!$C:$C,"delete-school")&lt;&gt;1,COUNTIF('Run Log'!$A:$A,"RUN-TC-RS-ERR-007-source-school")&lt;&gt;1,COUNTIFS('Run Log'!$A:$A,"RUN-TC-RS-ERR-007-source-school",'Run Log'!$B:$B,A178,'Run Log'!$C:$C,"source-school")&lt;&gt;1,COUNTIF('Run Log'!$A:$A,"RUN-TC-RS-ERR-007-source-year")&lt;&gt;1,COUNTIFS('Run Log'!$A:$A,"RUN-TC-RS-ERR-007-source-year",'Run Log'!$B:$B,A178,'Run Log'!$C:$C,"source-year")&lt;&gt;1,COUNTIF('Run Log'!$A:$A,"RUN-TC-RS-ERR-007-class-school")&lt;&gt;1,COUNTIFS('Run Log'!$A:$A,"RUN-TC-RS-ERR-007-class-school",'Run Log'!$B:$B,A178,'Run Log'!$C:$C,"class-school")&lt;&gt;1,COUNTIF('Run Log'!$A:$A,"RUN-TC-RS-ERR-007-class-year")&lt;&gt;1,COUNTIFS('Run Log'!$A:$A,"RUN-TC-RS-ERR-007-class-year",'Run Log'!$B:$B,A178,'Run Log'!$C:$C,"class-year")&lt;&gt;1,COUNTIF('Run Log'!$A:$A,"RUN-TC-RS-ERR-007-group-school")&lt;&gt;1,COUNTIFS('Run Log'!$A:$A,"RUN-TC-RS-ERR-007-group-school",'Run Log'!$B:$B,A178,'Run Log'!$C:$C,"group-school")&lt;&gt;1,COUNTIF('Run Log'!$A:$A,"RUN-TC-RS-ERR-007-group-year")&lt;&gt;1,COUNTIFS('Run Log'!$A:$A,"RUN-TC-RS-ERR-007-group-year",'Run Log'!$B:$B,A178,'Run Log'!$C:$C,"group-year")&lt;&gt;1,COUNTIF('Run Log'!$A:$A,"RUN-TC-RS-ERR-007-unit-school")&lt;&gt;1,COUNTIFS('Run Log'!$A:$A,"RUN-TC-RS-ERR-007-unit-school",'Run Log'!$B:$B,A178,'Run Log'!$C:$C,"unit-school")&lt;&gt;1,COUNTIF('Run Log'!$A:$A,"RUN-TC-RS-ERR-007-unit-year")&lt;&gt;1,COUNTIFS('Run Log'!$A:$A,"RUN-TC-RS-ERR-007-unit-year",'Run Log'!$B:$B,A178,'Run Log'!$C:$C,"unit-year")&lt;&gt;1),"INCOMPLETE",IF(COUNTIFS('Run Log'!$B:$B,A178,'Run Log'!$D:$D,"PASS")=O178,"PASS",IF(COUNTIFS('Run Log'!$B:$B,A178,'Run Log'!$D:$D,"FAIL")&gt;0,"FAIL",IF(COUNTIFS('Run Log'!$B:$B,A178,'Run Log'!$D:$D,"BLOCKED")&gt;0,"BLOCKED",IF(COUNTIFS('Run Log'!$B:$B,A178,'Run Log'!$D:$D,"SKIPPED")&gt;0,"SKIPPED","NOT RUN")))))</f>
      </c>
    </row>
    <row r="179">
      <c r="A179" s="9" t="inlineStr">
        <is>
          <t>TC-RS-ERR-008</t>
        </is>
      </c>
      <c r="B179" s="9" t="inlineStr">
        <is>
          <t>Gọi trực tiếp request chạy tính toán hàng loạt khi không có quyền chạy</t>
        </is>
      </c>
      <c r="C179" s="9" t="inlineStr">
        <is>
          <t>F. State • Error</t>
        </is>
      </c>
      <c r="D179" s="9" t="inlineStr">
        <is>
          <t>- Điều kiện: tài khoản sửa được mục nhưng không có quyền chạy hàng loạt; bản ghi request chạy nút cam hợp lệ từ tài khoản có quyền chạy hàng loạt.
- Dữ liệu test: tài khoản sửa được mục nhưng không có quyền chạy hàng loạt; endpoint/request URL lấy từ route hiện hành của build, không ghi URL giả định vào oracle.</t>
        </is>
      </c>
      <c r="E179" s="9" t="inlineStr">
        <is>
          <t>Cao</t>
        </is>
      </c>
      <c r="F179" s="9" t="inlineStr">
        <is>
          <t>CONFIRMED</t>
        </is>
      </c>
      <c r="G179" s="9" t="inlineStr">
        <is>
          <t>UNASSESSED</t>
        </is>
      </c>
      <c r="H179" s="9" t="inlineStr">
        <is>
          <t>tiêu chí nghiệm thu “Quyền thao tác và phạm vi dữ liệu” (AC-G01 «Quyền thao tác và phạm vi dữ liệu»)</t>
        </is>
      </c>
      <c r="I179" s="9" t="inlineStr">
        <is>
          <t>F. State • Error</t>
        </is>
      </c>
      <c r="J179" s="9" t="inlineStr">
        <is>
          <t>test-cases.vi.md</t>
        </is>
      </c>
      <c r="K179" s="9" t="inlineStr">
        <is>
          <t>Dùng phiên tài khoản sửa được mục nhưng không có quyền chạy hàng loạt gửi request chạy tính toán hàng loạt cho khối 1.
| Lượt chạy | Phạm vi thực hiện và đối chiếu |
| --- | --- |
| Run: Base | Toàn bộ thủ tục theo đúng thứ tự; các đối chứng cùng fixture được kiểm trong cùng lượt, không bỏ bước |</t>
        </is>
      </c>
      <c r="L179" s="9" t="inlineStr">
        <is>
          <t>Kỳ vọng theo đặc tả v2: bị từ chối, không xếp hàng/không xét. Nếu chưa xác định được route hoặc seam request ở build đang kiểm, ghi BLOCKED/NEEDS_EVIDENCE thay vì READY; không biến việc thiếu URL thành kết quả đạt.</t>
        </is>
      </c>
      <c r="M179" s="9"/>
      <c r="N179" s="9"/>
      <c r="O179" s="9">
        <v>1</v>
      </c>
      <c r="P179" s="9">
        <f>IF(OR(COUNTIF('Run Log'!$B:$B,A179)&lt;&gt;O179,COUNTIF('Run Log'!$A:$A,"RUN-TC-RS-ERR-008-Base")&lt;&gt;1,COUNTIFS('Run Log'!$A:$A,"RUN-TC-RS-ERR-008-Base",'Run Log'!$B:$B,A179,'Run Log'!$C:$C,"Base")&lt;&gt;1),"INCOMPLETE",IF(COUNTIFS('Run Log'!$B:$B,A179,'Run Log'!$D:$D,"PASS")=O179,"PASS",IF(COUNTIFS('Run Log'!$B:$B,A179,'Run Log'!$D:$D,"FAIL")&gt;0,"FAIL",IF(COUNTIFS('Run Log'!$B:$B,A179,'Run Log'!$D:$D,"BLOCKED")&gt;0,"BLOCKED",IF(COUNTIFS('Run Log'!$B:$B,A179,'Run Log'!$D:$D,"SKIPPED")&gt;0,"SKIPPED","NOT RUN")))))</f>
      </c>
    </row>
    <row r="180">
      <c r="A180" s="9" t="inlineStr">
        <is>
          <t>TC-RS-ERR-009</t>
        </is>
      </c>
      <c r="B180" s="9" t="inlineStr">
        <is>
          <t>Server kiểm miền giá trị khi bỏ qua kiểm tra phía trình duyệt</t>
        </is>
      </c>
      <c r="C180" s="9" t="inlineStr">
        <is>
          <t>F. State • Error</t>
        </is>
      </c>
      <c r="D180" s="9" t="inlineStr">
        <is>
          <t>- Điều kiện: tài khoản giáo viên có quyền sửa mục; bản ghi request lưu ngưỡng hợp lệ.
- Dữ liệu test: N cố định = 101, −1; tỷ lệ = 101; mẫu số cố định = 0; N = `NaN`, `Infinity`, `1e400`, chuỗi rỗng; công thức có phép toán/hàm không được phép (ví dụ `^`, `max`) hoặc chuỗi biểu thức tự do thay cho các dòng; điều kiện áp dụng (khi có schema, PROPOSED theo thiết kế DB v2 mục 3.2 “`apply_condition`”): JSON `null`, chuỗi rỗng, object rỗng, khóa lạ, cả hai array rỗng</t>
        </is>
      </c>
      <c r="E180" s="9" t="inlineStr">
        <is>
          <t>TBD</t>
        </is>
      </c>
      <c r="F180" s="9" t="inlineStr">
        <is>
          <t>CONFIRMED</t>
        </is>
      </c>
      <c r="G180" s="9" t="inlineStr">
        <is>
          <t>UNASSESSED</t>
        </is>
      </c>
      <c r="H180" s="9" t="inlineStr">
        <is>
          <t>tiêu chí nghiệm thu “Giữ chính xác giá trị” (AC-G11 «Giữ chính xác giá trị»); tiêu chí nghiệm thu “Công thức theo dòng và phần lẻ” (AC-G16 «Công thức theo dòng và phần lẻ»)</t>
        </is>
      </c>
      <c r="I180" s="9" t="inlineStr">
        <is>
          <t>F. State • Error</t>
        </is>
      </c>
      <c r="J180" s="9" t="inlineStr">
        <is>
          <t>test-cases.vi.md</t>
        </is>
      </c>
      <c r="K180" s="9" t="inlineStr">
        <is>
          <t>Sửa request (bỏ kiểm tra JS) và gửi từng giá trị.
| Lượt chạy | Phạm vi thực hiện và đối chiếu |
| --- | --- |
| Run: above | N101 |
| Run: negative | N âm |
| Run: ratio-above | Tỷ lệ 101 |
| Run: divide-zero | Chia 0 |
| Run: nan | NaN |
| Run: infinity | Infinity |
| Run: exponent | 1e400 |
| Run: empty | N trống |
| Run: power | Phép toán mũ |
| Run: max | Hàm max |
| Run: expression | Biểu thức tự do |
| Run: null | JSON null |
| Run: empty-string | Chuỗi rỗng |
| Run: object | Object rỗng |
| Run: unknown-key | Khóa không biết |
| Run: arrays | Mảng rỗng |</t>
        </is>
      </c>
      <c r="L180" s="9" t="inlineStr">
        <is>
          <t>Mọi giá trị trên bị server từ chối; cấu hình đã lưu không đổi. Công thức chỉ nhận các dòng với phép toán và toán hạng được hỗ trợ; không lưu biểu thức tự do.</t>
        </is>
      </c>
      <c r="M180" s="9"/>
      <c r="N180" s="9"/>
      <c r="O180" s="9">
        <v>16</v>
      </c>
      <c r="P180" s="9">
        <f>IF(OR(COUNTIF('Run Log'!$B:$B,A180)&lt;&gt;O180,COUNTIF('Run Log'!$A:$A,"RUN-TC-RS-ERR-009-above")&lt;&gt;1,COUNTIFS('Run Log'!$A:$A,"RUN-TC-RS-ERR-009-above",'Run Log'!$B:$B,A180,'Run Log'!$C:$C,"above")&lt;&gt;1,COUNTIF('Run Log'!$A:$A,"RUN-TC-RS-ERR-009-negative")&lt;&gt;1,COUNTIFS('Run Log'!$A:$A,"RUN-TC-RS-ERR-009-negative",'Run Log'!$B:$B,A180,'Run Log'!$C:$C,"negative")&lt;&gt;1,COUNTIF('Run Log'!$A:$A,"RUN-TC-RS-ERR-009-ratio-above")&lt;&gt;1,COUNTIFS('Run Log'!$A:$A,"RUN-TC-RS-ERR-009-ratio-above",'Run Log'!$B:$B,A180,'Run Log'!$C:$C,"ratio-above")&lt;&gt;1,COUNTIF('Run Log'!$A:$A,"RUN-TC-RS-ERR-009-divide-zero")&lt;&gt;1,COUNTIFS('Run Log'!$A:$A,"RUN-TC-RS-ERR-009-divide-zero",'Run Log'!$B:$B,A180,'Run Log'!$C:$C,"divide-zero")&lt;&gt;1,COUNTIF('Run Log'!$A:$A,"RUN-TC-RS-ERR-009-nan")&lt;&gt;1,COUNTIFS('Run Log'!$A:$A,"RUN-TC-RS-ERR-009-nan",'Run Log'!$B:$B,A180,'Run Log'!$C:$C,"nan")&lt;&gt;1,COUNTIF('Run Log'!$A:$A,"RUN-TC-RS-ERR-009-infinity")&lt;&gt;1,COUNTIFS('Run Log'!$A:$A,"RUN-TC-RS-ERR-009-infinity",'Run Log'!$B:$B,A180,'Run Log'!$C:$C,"infinity")&lt;&gt;1,COUNTIF('Run Log'!$A:$A,"RUN-TC-RS-ERR-009-exponent")&lt;&gt;1,COUNTIFS('Run Log'!$A:$A,"RUN-TC-RS-ERR-009-exponent",'Run Log'!$B:$B,A180,'Run Log'!$C:$C,"exponent")&lt;&gt;1,COUNTIF('Run Log'!$A:$A,"RUN-TC-RS-ERR-009-empty")&lt;&gt;1,COUNTIFS('Run Log'!$A:$A,"RUN-TC-RS-ERR-009-empty",'Run Log'!$B:$B,A180,'Run Log'!$C:$C,"empty")&lt;&gt;1,COUNTIF('Run Log'!$A:$A,"RUN-TC-RS-ERR-009-power")&lt;&gt;1,COUNTIFS('Run Log'!$A:$A,"RUN-TC-RS-ERR-009-power",'Run Log'!$B:$B,A180,'Run Log'!$C:$C,"power")&lt;&gt;1,COUNTIF('Run Log'!$A:$A,"RUN-TC-RS-ERR-009-max")&lt;&gt;1,COUNTIFS('Run Log'!$A:$A,"RUN-TC-RS-ERR-009-max",'Run Log'!$B:$B,A180,'Run Log'!$C:$C,"max")&lt;&gt;1,COUNTIF('Run Log'!$A:$A,"RUN-TC-RS-ERR-009-expression")&lt;&gt;1,COUNTIFS('Run Log'!$A:$A,"RUN-TC-RS-ERR-009-expression",'Run Log'!$B:$B,A180,'Run Log'!$C:$C,"expression")&lt;&gt;1,COUNTIF('Run Log'!$A:$A,"RUN-TC-RS-ERR-009-null")&lt;&gt;1,COUNTIFS('Run Log'!$A:$A,"RUN-TC-RS-ERR-009-null",'Run Log'!$B:$B,A180,'Run Log'!$C:$C,"null")&lt;&gt;1,COUNTIF('Run Log'!$A:$A,"RUN-TC-RS-ERR-009-empty-string")&lt;&gt;1,COUNTIFS('Run Log'!$A:$A,"RUN-TC-RS-ERR-009-empty-string",'Run Log'!$B:$B,A180,'Run Log'!$C:$C,"empty-string")&lt;&gt;1,COUNTIF('Run Log'!$A:$A,"RUN-TC-RS-ERR-009-object")&lt;&gt;1,COUNTIFS('Run Log'!$A:$A,"RUN-TC-RS-ERR-009-object",'Run Log'!$B:$B,A180,'Run Log'!$C:$C,"object")&lt;&gt;1,COUNTIF('Run Log'!$A:$A,"RUN-TC-RS-ERR-009-unknown-key")&lt;&gt;1,COUNTIFS('Run Log'!$A:$A,"RUN-TC-RS-ERR-009-unknown-key",'Run Log'!$B:$B,A180,'Run Log'!$C:$C,"unknown-key")&lt;&gt;1,COUNTIF('Run Log'!$A:$A,"RUN-TC-RS-ERR-009-arrays")&lt;&gt;1,COUNTIFS('Run Log'!$A:$A,"RUN-TC-RS-ERR-009-arrays",'Run Log'!$B:$B,A180,'Run Log'!$C:$C,"arrays")&lt;&gt;1),"INCOMPLETE",IF(COUNTIFS('Run Log'!$B:$B,A180,'Run Log'!$D:$D,"PASS")=O180,"PASS",IF(COUNTIFS('Run Log'!$B:$B,A180,'Run Log'!$D:$D,"FAIL")&gt;0,"FAIL",IF(COUNTIFS('Run Log'!$B:$B,A180,'Run Log'!$D:$D,"BLOCKED")&gt;0,"BLOCKED",IF(COUNTIFS('Run Log'!$B:$B,A180,'Run Log'!$D:$D,"SKIPPED")&gt;0,"SKIPPED","NOT RUN")))))</f>
      </c>
    </row>
    <row r="181">
      <c r="A181" s="9" t="inlineStr">
        <is>
          <t>TC-RS-ERR-010</t>
        </is>
      </c>
      <c r="B181" s="9" t="inlineStr">
        <is>
          <t>Server không tin cờ đỏ hoặc ngưỡng do trình duyệt gửi lên</t>
        </is>
      </c>
      <c r="C181" s="9" t="inlineStr">
        <is>
          <t>F. State • Error</t>
        </is>
      </c>
      <c r="D181" s="9" t="inlineStr">
        <is>
          <t>- Điều kiện: S03 của trường A/năm 2026 có điểm server `31`, quy tắc `&lt;30`, kết luận Không đỏ; S01=29 Đỏ là control trong bộ lọc. Cấu hình trích xuất gồm lọc học sinh có điểm đỏ, ký hiệu “*” phía trước và tô màu. Ghi identity trường/năm/mục của S03, S01 và một trường B/năm khác ngoài quyền tài khoản; endpoint/field thực tế chỉ dùng sau khi được xác minh, chưa giả định `output_excel` nhận mọi field.
- Dữ liệu test: lượt không lọc chứa S03=31 không dấu/màu đỏ; lượt có lọc chỉ chứa S01, loại S03. Các request sửa độc lập từ baseline tương ứng, không sửa dữ liệu server.</t>
        </is>
      </c>
      <c r="E181" s="9" t="inlineStr">
        <is>
          <t>Cao</t>
        </is>
      </c>
      <c r="F181" s="9" t="inlineStr">
        <is>
          <t>CONFIRMED</t>
        </is>
      </c>
      <c r="G181" s="9" t="inlineStr">
        <is>
          <t>BLOCKED</t>
        </is>
      </c>
      <c r="H181" s="9" t="inlineStr">
        <is>
          <t>tiêu chí nghiệm thu “Excel khớp và dùng kết luận server” (AC-G31 «Excel khớp và dùng kết luận server»)</t>
        </is>
      </c>
      <c r="I181" s="9" t="inlineStr">
        <is>
          <t>F. State • Error</t>
        </is>
      </c>
      <c r="J181" s="9" t="inlineStr">
        <is>
          <t>test-cases.vi.md</t>
        </is>
      </c>
      <c r="K181" s="9" t="inlineStr">
        <is>
          <t>1. Đăng nhập tài khoản phụ trách đầu ra; chụp request/response hợp lệ và file Trích xuất thành tích（成績抽出） không lọc: S03=31 Không đỏ. Chụp riêng lượt bật lọc: S01 có mặt, S03 vắng mặt. Ghi endpoint, field được chấp nhận, identity trường/năm/mục và quyền thật trước khi sửa request.
2. Từ **request không lọc**, gửi từng payload độc lập nếu endpoint nhận field đó: (a) gán S03 cờ đỏ/dấu `*`/màu đỏ; (b) gán điểm S03=10 thay vì điểm server 31; (c) gán ngưỡng 50 thay vì ngưỡng server 30. Không thay đồng thời các field giữa các biến thể.
3. Từ **request có lọc**, chèn identity S03 (Không đỏ) vào danh sách được yêu cầu, giữ bộ lọc bật. Từ request hợp lệ riêng, sửa identity sang trường B hoặc năm ngoài quyền. Gửi từng request, lưu payload/response và file Excel nếu có.
| Lượt chạy | Phạm vi thực hiện và đối chiếu |
| --- | --- |
| Run: forged-red-flag | Bước 2a chỉ sửa cờ đỏ của S03 |
| Run: forged-prefix | Bước 2a chỉ sửa dấu trước thành * cho S03 |
| Run: forged-color | Bước 2a chỉ sửa màu đỏ cho S03 |
| Run: forged-score | Bước 2b chỉ sửa điểm thành 10 |
| Run: forged-threshold | Bước 2c chỉ sửa ngưỡng thành 50 |
| Run: out-of-scope-student | Bước 3 chèn S03 vào lượt có lọc |
| Run: out-of-scope-school | Bước 3 identity trường B ngoài quyền, giữ năm hợp lệ |
| Run: out-of-scope-year | Bước 3 identity năm ngoài quyền, giữ trường A |</t>
        </is>
      </c>
      <c r="L181" s="9" t="inlineStr">
        <is>
          <t>Ở các biến thể không lọc, server từ chối payload giả hoặc Excel vẫn cho S03=31, Không đỏ, không có `*`/màu đỏ; điểm 10, ngưỡng 50 và cờ giả không đổi kết luận server. Ở request **có lọc**, S03 không được đưa vào Excel dù identity được chèn vào payload; S01 vẫn có mặt. Request trường/năm ngoài quyền bị từ chối hoặc không trả dữ liệu ngoài quyền. Nếu endpoint không nhận field giả, ghi rõ biến thể chưa kiểm được/BLOCKED và seam cần kiểm; không dùng NOT_APPLICABLE để suy rằng nghĩa vụ server đã PASS. Chỉ đánh PASS từng biến thể khi có payload thật được endpoint xử lý cùng response/file và dữ liệu tin cậy đối chiếu.</t>
        </is>
      </c>
      <c r="M181" s="9"/>
      <c r="N181" s="9"/>
      <c r="O181" s="9">
        <v>8</v>
      </c>
      <c r="P181" s="9">
        <f>IF(OR(COUNTIF('Run Log'!$B:$B,A181)&lt;&gt;O181,COUNTIF('Run Log'!$A:$A,"RUN-TC-RS-ERR-010-forged-red-flag")&lt;&gt;1,COUNTIFS('Run Log'!$A:$A,"RUN-TC-RS-ERR-010-forged-red-flag",'Run Log'!$B:$B,A181,'Run Log'!$C:$C,"forged-red-flag")&lt;&gt;1,COUNTIF('Run Log'!$A:$A,"RUN-TC-RS-ERR-010-forged-prefix")&lt;&gt;1,COUNTIFS('Run Log'!$A:$A,"RUN-TC-RS-ERR-010-forged-prefix",'Run Log'!$B:$B,A181,'Run Log'!$C:$C,"forged-prefix")&lt;&gt;1,COUNTIF('Run Log'!$A:$A,"RUN-TC-RS-ERR-010-forged-color")&lt;&gt;1,COUNTIFS('Run Log'!$A:$A,"RUN-TC-RS-ERR-010-forged-color",'Run Log'!$B:$B,A181,'Run Log'!$C:$C,"forged-color")&lt;&gt;1,COUNTIF('Run Log'!$A:$A,"RUN-TC-RS-ERR-010-forged-score")&lt;&gt;1,COUNTIFS('Run Log'!$A:$A,"RUN-TC-RS-ERR-010-forged-score",'Run Log'!$B:$B,A181,'Run Log'!$C:$C,"forged-score")&lt;&gt;1,COUNTIF('Run Log'!$A:$A,"RUN-TC-RS-ERR-010-forged-threshold")&lt;&gt;1,COUNTIFS('Run Log'!$A:$A,"RUN-TC-RS-ERR-010-forged-threshold",'Run Log'!$B:$B,A181,'Run Log'!$C:$C,"forged-threshold")&lt;&gt;1,COUNTIF('Run Log'!$A:$A,"RUN-TC-RS-ERR-010-out-of-scope-student")&lt;&gt;1,COUNTIFS('Run Log'!$A:$A,"RUN-TC-RS-ERR-010-out-of-scope-student",'Run Log'!$B:$B,A181,'Run Log'!$C:$C,"out-of-scope-student")&lt;&gt;1,COUNTIF('Run Log'!$A:$A,"RUN-TC-RS-ERR-010-out-of-scope-school")&lt;&gt;1,COUNTIFS('Run Log'!$A:$A,"RUN-TC-RS-ERR-010-out-of-scope-school",'Run Log'!$B:$B,A181,'Run Log'!$C:$C,"out-of-scope-school")&lt;&gt;1,COUNTIF('Run Log'!$A:$A,"RUN-TC-RS-ERR-010-out-of-scope-year")&lt;&gt;1,COUNTIFS('Run Log'!$A:$A,"RUN-TC-RS-ERR-010-out-of-scope-year",'Run Log'!$B:$B,A181,'Run Log'!$C:$C,"out-of-scope-year")&lt;&gt;1),"INCOMPLETE",IF(COUNTIFS('Run Log'!$B:$B,A181,'Run Log'!$D:$D,"PASS")=O181,"PASS",IF(COUNTIFS('Run Log'!$B:$B,A181,'Run Log'!$D:$D,"FAIL")&gt;0,"FAIL",IF(COUNTIFS('Run Log'!$B:$B,A181,'Run Log'!$D:$D,"BLOCKED")&gt;0,"BLOCKED",IF(COUNTIFS('Run Log'!$B:$B,A181,'Run Log'!$D:$D,"SKIPPED")&gt;0,"SKIPPED","NOT RUN")))))</f>
      </c>
    </row>
    <row r="182">
      <c r="A182" s="9" t="inlineStr">
        <is>
          <t>TC-RS-ERR-011</t>
        </is>
      </c>
      <c r="B182" s="9" t="inlineStr">
        <is>
          <t>Lượt cũ hoàn tất muộn không ghi đè kết quả của điểm/cấu hình mới hơn</t>
        </is>
      </c>
      <c r="C182" s="9" t="inlineStr">
        <is>
          <t>F. State • Error</t>
        </is>
      </c>
      <c r="D182" s="9" t="inlineStr">
        <is>
          <t>- Điều kiện: Batch lớn đang chạy cho khối 1; quy tắc “Cố định 30” (dưới 30) trên mục của S01; nguồn trung bình của cặp quy tắc phân nhánh theo trung bình 60 đã có một bản tổng hợp.
- Dữ liệu test: học sinh S01 (điểm 29); quy tắc “Cố định 30” (dưới 30); cặp quy tắc phân nhánh theo trung bình 60</t>
        </is>
      </c>
      <c r="E182" s="9" t="inlineStr">
        <is>
          <t>Cao</t>
        </is>
      </c>
      <c r="F182" s="9" t="inlineStr">
        <is>
          <t>CONFIRMED</t>
        </is>
      </c>
      <c r="G182" s="9" t="inlineStr">
        <is>
          <t>UNASSESSED</t>
        </is>
      </c>
      <c r="H182" s="9" t="inlineStr">
        <is>
          <t>tiêu chí nghiệm thu “Nhận diện ô điểm” (AC-G03 «Nhận diện ô điểm»); tiêu chí nghiệm thu “Đúng phạm vi tham chiếu” (AC-G12 «Đúng phạm vi tham chiếu»); tiêu chí nghiệm thu “Giữ kết quả trước khi chạy lại” (AC-G21 «Giữ kết quả trước khi chạy lại và xóa rule cuối»); tiêu chí nghiệm thu “Kết quả chung và thứ tự cập nhật” (AC-G22 «Kết quả chung và thứ tự cập nhật»)</t>
        </is>
      </c>
      <c r="I182" s="9" t="inlineStr">
        <is>
          <t>F. State • Error</t>
        </is>
      </c>
      <c r="J182" s="9" t="inlineStr">
        <is>
          <t>test-cases.vi.md</t>
        </is>
      </c>
      <c r="K182" s="9" t="inlineStr">
        <is>
          <t>1. Khi batch chưa xong, sửa S01 từ 29 thành 40 và lưu.
2. Chờ batch xong, xem S01.
3. Chạy lại batch; khi chưa xong, đổi ngưỡng quy tắc “Cố định 30” (dưới 30) thành 45, lưu, rồi đăng ký lại điểm S01 (40). Chờ batch cũ xong, xem S01.
4. Với mục dùng cặp quy tắc phân nhánh theo trung bình 60: bắt đầu batch; khi chưa xong, bấm Thực hiện tổng hợp（集計実行） cho cùng phạm vi, chờ cả hai xong. SELECT kết quả và bản nguồn được ghi nhận cho các ô của lượt batch.
5. Khôi phục ngưỡng 30, S01 = 29 (Đỏ). Bắt đầu batch; khi batch đã đọc điểm 29 nhưng chưa xong, sửa S01 thành 40 và lưu, rồi sửa lại 29 và lưu. Chờ batch cũ xong, SELECT kết quả S01.
6. Lặp bước 5 nhưng thay bằng: xóa trống ô S01 và lưu, rồi nhập lại 29 và lưu.
7. S01 = 40 (Không đỏ). Bắt đầu batch; khi chưa xong, chỉ đổi ngưỡng quy tắc “Cố định 30” (dưới 30) thành 45 và lưu, không đăng ký lại điểm. Chờ batch cũ xong, xem S01; sau đó chạy lại batch và xem S01.
| Lượt chạy | Phạm vi thực hiện và đối chiếu |
| --- | --- |
| Run: score-update | Nhánh score-update trong thủ tục và Expected của case; thực hiện các bước chuẩn bị chung trước nhánh |
| Run: rule-update | Nhánh rule-update trong thủ tục và Expected của case; thực hiện các bước chuẩn bị chung trước nhánh |
| Run: aggregation-snapshot-update | Nhánh aggregation-snapshot-update trong thủ tục và Expected của case; thực hiện các bước chuẩn bị chung trước nhánh |
| Run: edit-away-and-back | Nhánh edit-away-and-back trong thủ tục và Expected của case; thực hiện các bước chuẩn bị chung trước nhánh |
| Run: delete-and-recreate | Nhánh delete-and-recreate trong thủ tục và Expected của case; thực hiện các bước chuẩn bị chung trước nhánh |
| Run: rule-update-without-score-write | Nhánh rule-update-without-score-write trong thủ tục và Expected của case; thực hiện các bước chuẩn bị chung trước nhánh |</t>
        </is>
      </c>
      <c r="L182" s="9" t="inlineStr">
        <is>
          <t>1–2. S01 = 40 và Không đỏ; batch cũ không ghi lại kết quả Đỏ của điểm 29.
3. S01 Đỏ theo cấu hình mới (`40&lt;45`); batch cũ không ghi đè bằng kết quả theo ngưỡng 30.
4. Mọi ô của một lượt batch dùng cùng một bản nguồn (hoặc toàn bản cũ, hoặc toàn bản mới); không có lượt báo thành công mà ghép điểm/kết quả của hai thời điểm.
5–6. Kết quả hiện hành của S01 là kết quả của lần lưu cuối (29 → Đỏ, xét bởi lần đăng ký sau cùng); lượt batch cũ không ghi đè dù giá trị điểm cuối trùng với giá trị batch đã đọc. Ô chỉ có một dòng kết quả hiện hành.
7. Sau khi chỉ lưu ngưỡng: kết quả trước được giữ tới lần xét lại (tiêu chí nghiệm thu “Giữ kết quả trước khi chạy lại”). Chạy lại batch → S01 Đỏ theo ngưỡng 45. (PROPOSED theo thiết kế DB v2 mục 6.2 “Đăng ký thường và batch”) Lượt batch cũ bị từ chối ghi vì phiên bản danh sách quy tắc (`red_score_revision`) đã đổi, nên không ghi kết quả theo ngưỡng 30 sau khi ngưỡng mới đã được lưu.
8. (PROPOSED) SELECT `write_version`, `judged_version`, `rule_revision` của S01: `judged_version` bằng phiên bản của lần ghi hoàn tất sau cùng; lượt cũ không làm giảm hay ghi đè các giá trị này.</t>
        </is>
      </c>
      <c r="M182" s="9"/>
      <c r="N182" s="9"/>
      <c r="O182" s="9">
        <v>6</v>
      </c>
      <c r="P182" s="9">
        <f>IF(OR(COUNTIF('Run Log'!$B:$B,A182)&lt;&gt;O182,COUNTIF('Run Log'!$A:$A,"RUN-TC-RS-ERR-011-score-update")&lt;&gt;1,COUNTIFS('Run Log'!$A:$A,"RUN-TC-RS-ERR-011-score-update",'Run Log'!$B:$B,A182,'Run Log'!$C:$C,"score-update")&lt;&gt;1,COUNTIF('Run Log'!$A:$A,"RUN-TC-RS-ERR-011-rule-update")&lt;&gt;1,COUNTIFS('Run Log'!$A:$A,"RUN-TC-RS-ERR-011-rule-update",'Run Log'!$B:$B,A182,'Run Log'!$C:$C,"rule-update")&lt;&gt;1,COUNTIF('Run Log'!$A:$A,"RUN-TC-RS-ERR-011-aggregation-snapshot-update")&lt;&gt;1,COUNTIFS('Run Log'!$A:$A,"RUN-TC-RS-ERR-011-aggregation-snapshot-update",'Run Log'!$B:$B,A182,'Run Log'!$C:$C,"aggregation-snapshot-update")&lt;&gt;1,COUNTIF('Run Log'!$A:$A,"RUN-TC-RS-ERR-011-edit-away-and-back")&lt;&gt;1,COUNTIFS('Run Log'!$A:$A,"RUN-TC-RS-ERR-011-edit-away-and-back",'Run Log'!$B:$B,A182,'Run Log'!$C:$C,"edit-away-and-back")&lt;&gt;1,COUNTIF('Run Log'!$A:$A,"RUN-TC-RS-ERR-011-delete-and-recreate")&lt;&gt;1,COUNTIFS('Run Log'!$A:$A,"RUN-TC-RS-ERR-011-delete-and-recreate",'Run Log'!$B:$B,A182,'Run Log'!$C:$C,"delete-and-recreate")&lt;&gt;1,COUNTIF('Run Log'!$A:$A,"RUN-TC-RS-ERR-011-rule-update-without-score-write")&lt;&gt;1,COUNTIFS('Run Log'!$A:$A,"RUN-TC-RS-ERR-011-rule-update-without-score-write",'Run Log'!$B:$B,A182,'Run Log'!$C:$C,"rule-update-without-score-write")&lt;&gt;1),"INCOMPLETE",IF(COUNTIFS('Run Log'!$B:$B,A182,'Run Log'!$D:$D,"PASS")=O182,"PASS",IF(COUNTIFS('Run Log'!$B:$B,A182,'Run Log'!$D:$D,"FAIL")&gt;0,"FAIL",IF(COUNTIFS('Run Log'!$B:$B,A182,'Run Log'!$D:$D,"BLOCKED")&gt;0,"BLOCKED",IF(COUNTIFS('Run Log'!$B:$B,A182,'Run Log'!$D:$D,"SKIPPED")&gt;0,"SKIPPED","NOT RUN")))))</f>
      </c>
    </row>
    <row r="183">
      <c r="A183" s="9" t="inlineStr">
        <is>
          <t>TC-RS-ERR-012</t>
        </is>
      </c>
      <c r="B183" s="9" t="inlineStr">
        <is>
          <t>Nhập CSV lựa chọn điểm tối đa của lớp</t>
        </is>
      </c>
      <c r="C183" s="9" t="inlineStr">
        <is>
          <t>F. State • Error</t>
        </is>
      </c>
      <c r="D183" s="9" t="inlineStr">
        <is>
          <t>- Điều kiện: mục điểm đơn vị (đơn vị U1 có M riêng 40), quy tắc tỷ lệ 30% (30%); S06 U1=14 Không đỏ với M=40.
- Dữ liệu test: mục điểm đơn vị (đơn vị U1 có M riêng 40), quy tắc tỷ lệ 30%; CSV gán lựa chọn M=50 cho lớp G-B</t>
        </is>
      </c>
      <c r="E183" s="9" t="inlineStr">
        <is>
          <t>TBD</t>
        </is>
      </c>
      <c r="F183" s="9" t="inlineStr">
        <is>
          <t>TBD</t>
        </is>
      </c>
      <c r="G183" s="9" t="inlineStr">
        <is>
          <t>UNASSESSED</t>
        </is>
      </c>
      <c r="H183" s="9" t="inlineStr">
        <is>
          <t>tiêu chí nghiệm thu “Trigger khi đổi điểm tối đa/đơn vị” (AC-G24 «Trigger khi đổi điểm tối đa/đơn vị»)</t>
        </is>
      </c>
      <c r="I183" s="9" t="inlineStr">
        <is>
          <t>F. State • Error</t>
        </is>
      </c>
      <c r="J183" s="9" t="inlineStr">
        <is>
          <t>test-cases.vi.md</t>
        </is>
      </c>
      <c r="K183" s="9" t="inlineStr">
        <is>
          <t>1. Nhập CSV lựa chọn điểm tối đa.
2. Xem kết quả S06 U1.
| Lượt chạy | Phạm vi thực hiện và đối chiếu |
| --- | --- |
| Run: Base | Toàn bộ thủ tục theo đúng thứ tự; các đối chứng cùng fixture được kiểm trong cùng lượt, không bỏ bước |</t>
        </is>
      </c>
      <c r="L183" s="9" t="inlineStr">
        <is>
          <t>TBD (chưa chốt): có cần xét lại ngay (`T=15` → Đỏ) hay giữ kết quả trước tới lần chạy lại. Ghi hành vi thực tế.</t>
        </is>
      </c>
      <c r="M183" s="9"/>
      <c r="N183" s="9"/>
      <c r="O183" s="9">
        <v>1</v>
      </c>
      <c r="P183" s="9">
        <f>IF(OR(COUNTIF('Run Log'!$B:$B,A183)&lt;&gt;O183,COUNTIF('Run Log'!$A:$A,"RUN-TC-RS-ERR-012-Base")&lt;&gt;1,COUNTIFS('Run Log'!$A:$A,"RUN-TC-RS-ERR-012-Base",'Run Log'!$B:$B,A183,'Run Log'!$C:$C,"Base")&lt;&gt;1),"INCOMPLETE",IF(COUNTIFS('Run Log'!$B:$B,A183,'Run Log'!$D:$D,"PASS")=O183,"PASS",IF(COUNTIFS('Run Log'!$B:$B,A183,'Run Log'!$D:$D,"FAIL")&gt;0,"FAIL",IF(COUNTIFS('Run Log'!$B:$B,A183,'Run Log'!$D:$D,"BLOCKED")&gt;0,"BLOCKED",IF(COUNTIFS('Run Log'!$B:$B,A183,'Run Log'!$D:$D,"SKIPPED")&gt;0,"SKIPPED","NOT RUN")))))</f>
      </c>
    </row>
    <row r="184">
      <c r="A184" s="9" t="inlineStr">
        <is>
          <t>TC-RS-ERR-013</t>
        </is>
      </c>
      <c r="B184" s="9" t="inlineStr">
        <is>
          <t>Trích xuất: ô vừa thỏa điều kiện màu khác vừa là ô đỏ</t>
        </is>
      </c>
      <c r="C184" s="9" t="inlineStr">
        <is>
          <t>F. State • Error</t>
        </is>
      </c>
      <c r="D184" s="9" t="inlineStr">
        <is>
          <t>- Điều kiện: Mục có điều kiện Khoảng điểm（点数範囲） 0–30 tô Vàng（黄） và điều kiện đỏ tô Đỏ（赤）, ký hiệu `*`.
- Dữ liệu test: học sinh S01 (điểm 29) (29)</t>
        </is>
      </c>
      <c r="E184" s="9" t="inlineStr">
        <is>
          <t>TBD</t>
        </is>
      </c>
      <c r="F184" s="9" t="inlineStr">
        <is>
          <t>TBD</t>
        </is>
      </c>
      <c r="G184" s="9" t="inlineStr">
        <is>
          <t>UNASSESSED</t>
        </is>
      </c>
      <c r="H184" s="9" t="inlineStr">
        <is>
          <t>tiêu chí nghiệm thu “Hiển thị ô trích xuất” (AC-G30 «Hiển thị ô trích xuất»)</t>
        </is>
      </c>
      <c r="I184" s="9" t="inlineStr">
        <is>
          <t>F. State • Error</t>
        </is>
      </c>
      <c r="J184" s="9" t="inlineStr">
        <is>
          <t>test-cases.vi.md</t>
        </is>
      </c>
      <c r="K184" s="9" t="inlineStr">
        <is>
          <t>Chạy trích xuất, xuất Excel.
| Lượt chạy | Phạm vi thực hiện và đối chiếu |
| --- | --- |
| Run: Base | Toàn bộ thủ tục theo đúng thứ tự; các đối chứng cùng fixture được kiểm trong cùng lượt, không bỏ bước |</t>
        </is>
      </c>
      <c r="L184" s="9" t="inlineStr">
        <is>
          <t>TBD (chưa chốt) cho màu cuối. CONFIRMED phần không tranh chấp: điều kiện Khoảng điểm vẫn giữ nghĩa cũ; màn hình và Excel cho cùng kết quả.</t>
        </is>
      </c>
      <c r="M184" s="9"/>
      <c r="N184" s="9"/>
      <c r="O184" s="9">
        <v>1</v>
      </c>
      <c r="P184" s="9">
        <f>IF(OR(COUNTIF('Run Log'!$B:$B,A184)&lt;&gt;O184,COUNTIF('Run Log'!$A:$A,"RUN-TC-RS-ERR-013-Base")&lt;&gt;1,COUNTIFS('Run Log'!$A:$A,"RUN-TC-RS-ERR-013-Base",'Run Log'!$B:$B,A184,'Run Log'!$C:$C,"Base")&lt;&gt;1),"INCOMPLETE",IF(COUNTIFS('Run Log'!$B:$B,A184,'Run Log'!$D:$D,"PASS")=O184,"PASS",IF(COUNTIFS('Run Log'!$B:$B,A184,'Run Log'!$D:$D,"FAIL")&gt;0,"FAIL",IF(COUNTIFS('Run Log'!$B:$B,A184,'Run Log'!$D:$D,"BLOCKED")&gt;0,"BLOCKED",IF(COUNTIFS('Run Log'!$B:$B,A184,'Run Log'!$D:$D,"SKIPPED")&gt;0,"SKIPPED","NOT RUN")))))</f>
      </c>
    </row>
    <row r="185">
      <c r="A185" s="9" t="inlineStr">
        <is>
          <t>TC-RS-ERR-014</t>
        </is>
      </c>
      <c r="B185" s="9" t="inlineStr">
        <is>
          <t>Mục bị ẩn theo thiết lập ẩn mục nhập</t>
        </is>
      </c>
      <c r="C185" s="9" t="inlineStr">
        <is>
          <t>F. State • Error</t>
        </is>
      </c>
      <c r="D185" s="9" t="inlineStr">
        <is>
          <t>- Điều kiện: mục số nguyên (M=100) có quy tắc, bị ẩn cho G-B qua Thiết lập ẩn mục nhập（入力項目の非表示設定）.
- Dữ liệu test: mục số nguyên (M=100); học sinh S06 (điểm dự kiến 24)</t>
        </is>
      </c>
      <c r="E185" s="9" t="inlineStr">
        <is>
          <t>TBD</t>
        </is>
      </c>
      <c r="F185" s="9" t="inlineStr">
        <is>
          <t>TBD</t>
        </is>
      </c>
      <c r="G185" s="9" t="inlineStr">
        <is>
          <t>UNASSESSED</t>
        </is>
      </c>
      <c r="H185" s="9" t="inlineStr">
        <is>
          <t>tiêu chí nghiệm thu “Cấu hình công khai và ẩn điểm” (AC-G32 «Cấu hình công khai và ẩn điểm»)</t>
        </is>
      </c>
      <c r="I185" s="9" t="inlineStr">
        <is>
          <t>F. State • Error</t>
        </is>
      </c>
      <c r="J185" s="9" t="inlineStr">
        <is>
          <t>test-cases.vi.md</t>
        </is>
      </c>
      <c r="K185" s="9" t="inlineStr">
        <is>
          <t>Chạy xét; xem ba đầu ra cho S06.
| Lượt chạy | Phạm vi thực hiện và đối chiếu |
| --- | --- |
| Run: extract | Trích xuất |
| Run: publish | Công khai |
| Run: report | Phiếu điểm |</t>
        </is>
      </c>
      <c r="L185" s="9" t="inlineStr">
        <is>
          <t>Có xét hay không: TBD (chưa chốt). CONFIRMED phần không tranh chấp: không đầu ra nào làm hiện lại điểm đang bị ẩn.</t>
        </is>
      </c>
      <c r="M185" s="9"/>
      <c r="N185" s="9"/>
      <c r="O185" s="9">
        <v>3</v>
      </c>
      <c r="P185" s="9">
        <f>IF(OR(COUNTIF('Run Log'!$B:$B,A185)&lt;&gt;O185,COUNTIF('Run Log'!$A:$A,"RUN-TC-RS-ERR-014-extract")&lt;&gt;1,COUNTIFS('Run Log'!$A:$A,"RUN-TC-RS-ERR-014-extract",'Run Log'!$B:$B,A185,'Run Log'!$C:$C,"extract")&lt;&gt;1,COUNTIF('Run Log'!$A:$A,"RUN-TC-RS-ERR-014-publish")&lt;&gt;1,COUNTIFS('Run Log'!$A:$A,"RUN-TC-RS-ERR-014-publish",'Run Log'!$B:$B,A185,'Run Log'!$C:$C,"publish")&lt;&gt;1,COUNTIF('Run Log'!$A:$A,"RUN-TC-RS-ERR-014-report")&lt;&gt;1,COUNTIFS('Run Log'!$A:$A,"RUN-TC-RS-ERR-014-report",'Run Log'!$B:$B,A185,'Run Log'!$C:$C,"report")&lt;&gt;1),"INCOMPLETE",IF(COUNTIFS('Run Log'!$B:$B,A185,'Run Log'!$D:$D,"PASS")=O185,"PASS",IF(COUNTIFS('Run Log'!$B:$B,A185,'Run Log'!$D:$D,"FAIL")&gt;0,"FAIL",IF(COUNTIFS('Run Log'!$B:$B,A185,'Run Log'!$D:$D,"BLOCKED")&gt;0,"BLOCKED",IF(COUNTIFS('Run Log'!$B:$B,A185,'Run Log'!$D:$D,"SKIPPED")&gt;0,"SKIPPED","NOT RUN")))))</f>
      </c>
    </row>
    <row r="186">
      <c r="A186" s="9" t="inlineStr">
        <is>
          <t>TC-RS-ERR-015</t>
        </is>
      </c>
      <c r="B186" s="9" t="inlineStr">
        <is>
          <t>Bản ghi điểm bị xóa rồi tạo lại không kế thừa kết quả cũ</t>
        </is>
      </c>
      <c r="C186" s="9" t="inlineStr">
        <is>
          <t>F. State • Error</t>
        </is>
      </c>
      <c r="D186" s="9" t="inlineStr">
        <is>
          <t>- Điều kiện: S01 Đỏ ở mục điểm đơn vị (đơn vị U1 có M riêng 40) U1.
- Dữ liệu test: mục điểm đơn vị (đơn vị U1 có M riêng 40)</t>
        </is>
      </c>
      <c r="E186" s="9" t="inlineStr">
        <is>
          <t>Cao</t>
        </is>
      </c>
      <c r="F186" s="9" t="inlineStr">
        <is>
          <t>CONFIRMED</t>
        </is>
      </c>
      <c r="G186" s="9" t="inlineStr">
        <is>
          <t>UNASSESSED</t>
        </is>
      </c>
      <c r="H186" s="9" t="inlineStr">
        <is>
          <t>tiêu chí nghiệm thu “Nhận diện ô điểm” (AC-G03 «Nhận diện ô điểm»); tiêu chí nghiệm thu “Không dùng lại kết quả cho đối tượng mới” (AC-G39 «Không dùng lại kết quả cho đối tượng mới»)</t>
        </is>
      </c>
      <c r="I186" s="9" t="inlineStr">
        <is>
          <t>F. State • Error</t>
        </is>
      </c>
      <c r="J186" s="9" t="inlineStr">
        <is>
          <t>test-cases.vi.md</t>
        </is>
      </c>
      <c r="K186" s="9" t="inlineStr">
        <is>
          <t>1. Bỏ sử dụng đơn vị U1 cho lớp (hoặc thay khung điểm theo thao tác hiện có) để ô bị xóa/ngừng hoạt động.
2. Tạo lại ô, nhập 35, lưu.
3. Xem đầu ra.
4. Đưa ô về Đỏ (nhập 29, lưu). Xóa ô (hoặc xóa mềm theo thao tác hiện có), rồi kích hoạt lại/tạo lại ô với **cùng giá trị 29** nhưng không qua đường xét (nếu có thao tác như vậy, ví dụ khôi phục); xem đầu ra. Sau đó đăng ký lại điểm và xem.
5. Bắt đầu batch cho lớp khi ô đang Đỏ; khi batch chưa xong, xóa ô rồi tạo lại và nhập 35. Chờ batch cũ xong, xem đầu ra và SELECT.
| Lượt chạy | Phạm vi thực hiện và đối chiếu |
| --- | --- |
| Run: recreate35 | Bước 1–3 xóa rồi tạo lại 35 |
| Run: same29 | Bước 4 xóa rồi khôi phục cùng 29 |
| Run: old-batch | Bước 5 batch cũ sau tạo lại |</t>
        </is>
      </c>
      <c r="L186" s="9" t="inlineStr">
        <is>
          <t>Sau bước 1: không còn dấu đỏ của ô cũ. Sau bước 2: ô mới được xét theo 35 → Không đỏ; không mang kết quả Đỏ cũ.
4. Kích hoạt lại/nhập lại cùng giá trị không làm kết quả Đỏ trước khi xóa sống lại; ô chỉ có kết quả của lần xét sau khi tạo lại.
5. Lượt batch cũ không ghi kết quả vào ô đã tạo lại; ô giữ kết quả của lần đăng ký 35 (Không đỏ). (PROPOSED theo thiết kế DB v2 mục 4.4 “Cập nhật và hiệu lực kết quả”, mục 6.3 “Xóa/tạo lại, nguồn tham chiếu và lỗi”) Khi xóa: `cell_generation` mới, `judgment_status`=4 và thông tin quy tắc/ngưỡng/nguồn cũ bị xóa trong cùng transaction; dòng điều khiển được giữ; tạo lại dùng thế hệ mới.</t>
        </is>
      </c>
      <c r="M186" s="9"/>
      <c r="N186" s="9"/>
      <c r="O186" s="9">
        <v>3</v>
      </c>
      <c r="P186" s="9">
        <f>IF(OR(COUNTIF('Run Log'!$B:$B,A186)&lt;&gt;O186,COUNTIF('Run Log'!$A:$A,"RUN-TC-RS-ERR-015-recreate35")&lt;&gt;1,COUNTIFS('Run Log'!$A:$A,"RUN-TC-RS-ERR-015-recreate35",'Run Log'!$B:$B,A186,'Run Log'!$C:$C,"recreate35")&lt;&gt;1,COUNTIF('Run Log'!$A:$A,"RUN-TC-RS-ERR-015-same29")&lt;&gt;1,COUNTIFS('Run Log'!$A:$A,"RUN-TC-RS-ERR-015-same29",'Run Log'!$B:$B,A186,'Run Log'!$C:$C,"same29")&lt;&gt;1,COUNTIF('Run Log'!$A:$A,"RUN-TC-RS-ERR-015-old-batch")&lt;&gt;1,COUNTIFS('Run Log'!$A:$A,"RUN-TC-RS-ERR-015-old-batch",'Run Log'!$B:$B,A186,'Run Log'!$C:$C,"old-batch")&lt;&gt;1),"INCOMPLETE",IF(COUNTIFS('Run Log'!$B:$B,A186,'Run Log'!$D:$D,"PASS")=O186,"PASS",IF(COUNTIFS('Run Log'!$B:$B,A186,'Run Log'!$D:$D,"FAIL")&gt;0,"FAIL",IF(COUNTIFS('Run Log'!$B:$B,A186,'Run Log'!$D:$D,"BLOCKED")&gt;0,"BLOCKED",IF(COUNTIFS('Run Log'!$B:$B,A186,'Run Log'!$D:$D,"SKIPPED")&gt;0,"SKIPPED","NOT RUN")))))</f>
      </c>
    </row>
    <row r="187">
      <c r="A187" s="9" t="inlineStr">
        <is>
          <t>TC-RS-ERR-016</t>
        </is>
      </c>
      <c r="B187" s="9" t="inlineStr">
        <is>
          <t>Chưa xét được: sửa nguồn nhưng chỉ lưu cấu hình vẫn chưa có kết luận; xét lại mới có</t>
        </is>
      </c>
      <c r="C187" s="9" t="inlineStr">
        <is>
          <t>F. State • Error</t>
        </is>
      </c>
      <c r="D187" s="9" t="inlineStr">
        <is>
          <t>- Điều kiện: Ô S01 Chưa xét được (như case “Chưa có kết quả tổng hợp → Chưa xét được, không thay bằng 0 hay nhóm khác”: công thức `A×0.5`, nguồn chưa tổng hợp). Nguồn không có bản chốt.
- Dữ liệu test: học sinh S01 (điểm 29); nguồn sau tổng hợp có `A=62` (giá trị như bản tổng hợp mới nhất chưa chốt (trung bình 62))</t>
        </is>
      </c>
      <c r="E187" s="9" t="inlineStr">
        <is>
          <t>Cao</t>
        </is>
      </c>
      <c r="F187" s="9" t="inlineStr">
        <is>
          <t>CONFIRMED</t>
        </is>
      </c>
      <c r="G187" s="9" t="inlineStr">
        <is>
          <t>UNASSESSED</t>
        </is>
      </c>
      <c r="H187" s="9" t="inlineStr">
        <is>
          <t>tiêu chí nghiệm thu “Trạng thái sau lần chạy” (AC-G20 «Trạng thái sau lần chạy»)</t>
        </is>
      </c>
      <c r="I187" s="9" t="inlineStr">
        <is>
          <t>F. State • Error</t>
        </is>
      </c>
      <c r="J187" s="9" t="inlineStr">
        <is>
          <t>test-cases.vi.md</t>
        </is>
      </c>
      <c r="K187" s="9" t="inlineStr">
        <is>
          <t>1. Chạy Thực hiện tổng hợp（集計実行） cho nguồn để có `A=62`; mở lại và lưu thiết lập quy tắc (không đổi nội dung). Xem đầu ra.
2. Chạy nút cam. Xem đầu ra.
| Lượt chạy | Phạm vi thực hiện và đối chiếu |
| --- | --- |
| Run: Base | Toàn bộ thủ tục theo đúng thứ tự; các đối chứng cùng fixture được kiểm trong cùng lượt, không bỏ bước |</t>
        </is>
      </c>
      <c r="L187" s="9" t="inlineStr">
        <is>
          <t>1. Vẫn Chưa xét được; không có dấu đỏ.
2. `T=62×0.5=31` → S01=29 Đỏ.</t>
        </is>
      </c>
      <c r="M187" s="9"/>
      <c r="N187" s="9"/>
      <c r="O187" s="9">
        <v>1</v>
      </c>
      <c r="P187" s="9">
        <f>IF(OR(COUNTIF('Run Log'!$B:$B,A187)&lt;&gt;O187,COUNTIF('Run Log'!$A:$A,"RUN-TC-RS-ERR-016-Base")&lt;&gt;1,COUNTIFS('Run Log'!$A:$A,"RUN-TC-RS-ERR-016-Base",'Run Log'!$B:$B,A187,'Run Log'!$C:$C,"Base")&lt;&gt;1),"INCOMPLETE",IF(COUNTIFS('Run Log'!$B:$B,A187,'Run Log'!$D:$D,"PASS")=O187,"PASS",IF(COUNTIFS('Run Log'!$B:$B,A187,'Run Log'!$D:$D,"FAIL")&gt;0,"FAIL",IF(COUNTIFS('Run Log'!$B:$B,A187,'Run Log'!$D:$D,"BLOCKED")&gt;0,"BLOCKED",IF(COUNTIFS('Run Log'!$B:$B,A187,'Run Log'!$D:$D,"SKIPPED")&gt;0,"SKIPPED","NOT RUN")))))</f>
      </c>
    </row>
    <row r="188">
      <c r="A188" s="9" t="inlineStr">
        <is>
          <t>TC-RS-ERR-017</t>
        </is>
      </c>
      <c r="B188" s="9" t="inlineStr">
        <is>
          <t>Tên quy tắc và ký hiệu hiển thị như chữ, không bị thực thi</t>
        </is>
      </c>
      <c r="C188" s="9" t="inlineStr">
        <is>
          <t>F. State • Error</t>
        </is>
      </c>
      <c r="D188" s="9" t="inlineStr">
        <is>
          <t>- Điều kiện: Đăng nhập tài khoản giáo viên có quyền sửa mục và tài khoản phụ trách đầu ra (trích xuất, công khai, phiếu điểm).
- Dữ liệu test: Tên quy tắc `&lt;b&gt;X&lt;/b&gt;&lt;script&gt;alert(1)&lt;/script&gt;`; ký hiệu đầu ở trích xuất `&lt;`; ký tự phía trước ở phiếu điểm `&amp;`; học sinh S01 (điểm 29)</t>
        </is>
      </c>
      <c r="E188" s="9" t="inlineStr">
        <is>
          <t>Cao</t>
        </is>
      </c>
      <c r="F188" s="9" t="inlineStr">
        <is>
          <t>CONFIRMED</t>
        </is>
      </c>
      <c r="G188" s="9" t="inlineStr">
        <is>
          <t>UNASSESSED</t>
        </is>
      </c>
      <c r="H188" s="9" t="inlineStr">
        <is>
          <t>tiêu chí nghiệm thu “Lưu thành công và thông báo an toàn” (AC-G26 «Lưu thành công và thông báo an toàn»)</t>
        </is>
      </c>
      <c r="I188" s="9" t="inlineStr">
        <is>
          <t>F. State • Error</t>
        </is>
      </c>
      <c r="J188" s="9" t="inlineStr">
        <is>
          <t>test-cases.vi.md</t>
        </is>
      </c>
      <c r="K188" s="9" t="inlineStr">
        <is>
          <t>1. Lưu quy tắc với tên trên; xem danh sách, form sửa, hộp xác nhận xóa, thông báo sau chạy.
2. Lưu ký hiệu/ký tự trên ở trích xuất và phiếu điểm; xem màn, Excel, PDF.
| Lượt chạy | Phạm vi thực hiện và đối chiếu |
| --- | --- |
| Run: rule-name | Bước 1 các nơi hiển thị tên |
| Run: extract | Bước 2 màn trích xuất và Excel |
| Run: report | Bước 2 PDF phiếu |</t>
        </is>
      </c>
      <c r="L188" s="9" t="inlineStr">
        <is>
          <t>Chuỗi hiển thị đúng như đã nhập dưới dạng chữ; không có hộp alert, không đổi định dạng HTML. Trích xuất và Excel: ô S01 là `&lt;29`; PDF phiếu: `&amp;29`.</t>
        </is>
      </c>
      <c r="M188" s="9"/>
      <c r="N188" s="9"/>
      <c r="O188" s="9">
        <v>3</v>
      </c>
      <c r="P188" s="9">
        <f>IF(OR(COUNTIF('Run Log'!$B:$B,A188)&lt;&gt;O188,COUNTIF('Run Log'!$A:$A,"RUN-TC-RS-ERR-017-rule-name")&lt;&gt;1,COUNTIFS('Run Log'!$A:$A,"RUN-TC-RS-ERR-017-rule-name",'Run Log'!$B:$B,A188,'Run Log'!$C:$C,"rule-name")&lt;&gt;1,COUNTIF('Run Log'!$A:$A,"RUN-TC-RS-ERR-017-extract")&lt;&gt;1,COUNTIFS('Run Log'!$A:$A,"RUN-TC-RS-ERR-017-extract",'Run Log'!$B:$B,A188,'Run Log'!$C:$C,"extract")&lt;&gt;1,COUNTIF('Run Log'!$A:$A,"RUN-TC-RS-ERR-017-report")&lt;&gt;1,COUNTIFS('Run Log'!$A:$A,"RUN-TC-RS-ERR-017-report",'Run Log'!$B:$B,A188,'Run Log'!$C:$C,"report")&lt;&gt;1),"INCOMPLETE",IF(COUNTIFS('Run Log'!$B:$B,A188,'Run Log'!$D:$D,"PASS")=O188,"PASS",IF(COUNTIFS('Run Log'!$B:$B,A188,'Run Log'!$D:$D,"FAIL")&gt;0,"FAIL",IF(COUNTIFS('Run Log'!$B:$B,A188,'Run Log'!$D:$D,"BLOCKED")&gt;0,"BLOCKED",IF(COUNTIFS('Run Log'!$B:$B,A188,'Run Log'!$D:$D,"SKIPPED")&gt;0,"SKIPPED","NOT RUN")))))</f>
      </c>
    </row>
    <row r="189">
      <c r="A189" s="9" t="inlineStr">
        <is>
          <t>TC-RS-ERR-018</t>
        </is>
      </c>
      <c r="B189" s="9" t="inlineStr">
        <is>
          <t>Hai lượt xét lần đầu đồng thời hoặc gửi lại thao tác hoàn tất chỉ tạo một kết quả</t>
        </is>
      </c>
      <c r="C189" s="9" t="inlineStr">
        <is>
          <t>F. State • Error</t>
        </is>
      </c>
      <c r="D189" s="9" t="inlineStr">
        <is>
          <t>- Điều kiện: Ô S01 của mục số nguyên (M=100) chưa từng được xét (chưa có dòng kết quả); quy tắc “Cố định 30” (dưới 30) là quy tắc duy nhất; có cách cho hai lượt chạy gần như cùng lúc.
- Dữ liệu test: mục số nguyên (M=100); quy tắc “Cố định 30” (dưới 30); học sinh S01 (điểm 29) (29); tài khoản có quyền chạy hàng loạt, tài khoản giáo viên nhập điểm lớp G-A, G-B, G-C</t>
        </is>
      </c>
      <c r="E189" s="9" t="inlineStr">
        <is>
          <t>Cao</t>
        </is>
      </c>
      <c r="F189" s="9" t="inlineStr">
        <is>
          <t>CONFIRMED</t>
        </is>
      </c>
      <c r="G189" s="9" t="inlineStr">
        <is>
          <t>UNASSESSED</t>
        </is>
      </c>
      <c r="H189" s="9" t="inlineStr">
        <is>
          <t>tiêu chí nghiệm thu “Kết quả chung và thứ tự cập nhật” (AC-G22 «Kết quả chung và thứ tự cập nhật»)</t>
        </is>
      </c>
      <c r="I189" s="9" t="inlineStr">
        <is>
          <t>F. State • Error</t>
        </is>
      </c>
      <c r="J189" s="9" t="inlineStr">
        <is>
          <t>test-cases.vi.md</t>
        </is>
      </c>
      <c r="K189" s="9" t="inlineStr">
        <is>
          <t>1. Cùng lúc: giáo viên lưu điểm S01 = 29 trên Đăng ký thành tích（成績登録） và người có quyền bấm nút cam cho G-A.
2. Xem kết quả S01 ở ba đầu ra; SELECT dòng kết quả của ô.
3. Lặp lại thao tác hoàn tất lần nữa với cùng dữ liệu (gửi lại form đăng ký, hoặc chạy lại job của cùng lượt nếu môi trường cho phép); xem lại và SELECT.
| Lượt chạy | Phạm vi thực hiện và đối chiếu |
| --- | --- |
| Run: concurrent | Bước 1–2 hai lượt lần đầu |
| Run: replay-form | Bước 3 gửi lại form sau baseline bước 1–2 |
| Run: replay-job | Bước 3 chạy lại job cùng lượt nếu có seam, không có seam thì BLOCKED |</t>
        </is>
      </c>
      <c r="L189" s="9" t="inlineStr">
        <is>
          <t>1–2. S01 Đỏ; ô có đúng một kết quả hiện hành; ký hiệu đỏ không bị nhân đôi ở đầu ra (không có `**29`, `((29))`).
3. Không phát sinh dòng hoặc thao tác ghi thứ hai; kết quả không đổi.</t>
        </is>
      </c>
      <c r="M189" s="9"/>
      <c r="N189" s="9"/>
      <c r="O189" s="9">
        <v>3</v>
      </c>
      <c r="P189" s="9">
        <f>IF(OR(COUNTIF('Run Log'!$B:$B,A189)&lt;&gt;O189,COUNTIF('Run Log'!$A:$A,"RUN-TC-RS-ERR-018-concurrent")&lt;&gt;1,COUNTIFS('Run Log'!$A:$A,"RUN-TC-RS-ERR-018-concurrent",'Run Log'!$B:$B,A189,'Run Log'!$C:$C,"concurrent")&lt;&gt;1,COUNTIF('Run Log'!$A:$A,"RUN-TC-RS-ERR-018-replay-form")&lt;&gt;1,COUNTIFS('Run Log'!$A:$A,"RUN-TC-RS-ERR-018-replay-form",'Run Log'!$B:$B,A189,'Run Log'!$C:$C,"replay-form")&lt;&gt;1,COUNTIF('Run Log'!$A:$A,"RUN-TC-RS-ERR-018-replay-job")&lt;&gt;1,COUNTIFS('Run Log'!$A:$A,"RUN-TC-RS-ERR-018-replay-job",'Run Log'!$B:$B,A189,'Run Log'!$C:$C,"replay-job")&lt;&gt;1),"INCOMPLETE",IF(COUNTIFS('Run Log'!$B:$B,A189,'Run Log'!$D:$D,"PASS")=O189,"PASS",IF(COUNTIFS('Run Log'!$B:$B,A189,'Run Log'!$D:$D,"FAIL")&gt;0,"FAIL",IF(COUNTIFS('Run Log'!$B:$B,A189,'Run Log'!$D:$D,"BLOCKED")&gt;0,"BLOCKED",IF(COUNTIFS('Run Log'!$B:$B,A189,'Run Log'!$D:$D,"SKIPPED")&gt;0,"SKIPPED","NOT RUN")))))</f>
      </c>
    </row>
    <row r="190">
      <c r="A190" s="9" t="inlineStr">
        <is>
          <t>TC-RS-ERR-019</t>
        </is>
      </c>
      <c r="B190" s="9" t="inlineStr">
        <is>
          <t>Đăng ký lần đầu đồng thời hai mục khác nhau của cùng học sinh giữ đủ cả hai</t>
        </is>
      </c>
      <c r="C190" s="9" t="inlineStr">
        <is>
          <t>F. State • Error</t>
        </is>
      </c>
      <c r="D190" s="9" t="inlineStr">
        <is>
          <t>- Điều kiện: Cùng học sinh S01, lớp G-A, cùng kỳ Cuối kỳ học kỳ 1（1学期期末）, điểm thường; hai mục số khác nhau (mục số nguyên (M=100) và một mục số thứ hai của cùng khung) đều có quy tắc cố định 30 `&lt;`; chưa có dòng điểm vật lý nào của S01 cho kỳ này.
- Dữ liệu test: mục số nguyên (M=100); quy tắc “Cố định 30” (dưới 30); học sinh S01 (điểm 29); tài khoản giáo viên nhập điểm lớp G-A, G-B, G-C (hai phiên đăng nhập)</t>
        </is>
      </c>
      <c r="E190" s="9" t="inlineStr">
        <is>
          <t>Cao</t>
        </is>
      </c>
      <c r="F190" s="9" t="inlineStr">
        <is>
          <t>CONFIRMED</t>
        </is>
      </c>
      <c r="G190" s="9" t="inlineStr">
        <is>
          <t>UNASSESSED</t>
        </is>
      </c>
      <c r="H190" s="9" t="inlineStr">
        <is>
          <t>tiêu chí nghiệm thu “Kết quả chung và thứ tự cập nhật” (AC-G22 «Kết quả chung và thứ tự cập nhật»)</t>
        </is>
      </c>
      <c r="I190" s="9" t="inlineStr">
        <is>
          <t>F. State • Error</t>
        </is>
      </c>
      <c r="J190" s="9" t="inlineStr">
        <is>
          <t>test-cases.vi.md</t>
        </is>
      </c>
      <c r="K190" s="9" t="inlineStr">
        <is>
          <t>1. Hai phiên cùng lúc: phiên 1 lưu S01 = 29 cho mục số nguyên (M=100); phiên 2 lưu S01 = 45 cho mục thứ hai.
2. Mở lại Đăng ký thành tích（成績登録）; xem trích xuất; SELECT dòng điểm của S01 (trường/năm/học sinh/lớp/kỳ/đơn vị) và dòng kết quả của hai ô.
| Lượt chạy | Phạm vi thực hiện và đối chiếu |
| --- | --- |
| Run: Base | Toàn bộ thủ tục theo đúng thứ tự; các đối chứng cùng fixture được kiểm trong cùng lượt, không bỏ bước |</t>
        </is>
      </c>
      <c r="L190" s="9" t="inlineStr">
        <is>
          <t>- Cả hai điểm được giữ: mục số nguyên (M=100) = 29 (Đỏ), mục thứ hai = 45 (Không đỏ).
- Chỉ một dòng điểm vật lý cho S01/G-A/kỳ/điểm thường; không có dòng trùng; không mất điểm hoặc kết quả của mục nào.</t>
        </is>
      </c>
      <c r="M190" s="9"/>
      <c r="N190" s="9"/>
      <c r="O190" s="9">
        <v>1</v>
      </c>
      <c r="P190" s="9">
        <f>IF(OR(COUNTIF('Run Log'!$B:$B,A190)&lt;&gt;O190,COUNTIF('Run Log'!$A:$A,"RUN-TC-RS-ERR-019-Base")&lt;&gt;1,COUNTIFS('Run Log'!$A:$A,"RUN-TC-RS-ERR-019-Base",'Run Log'!$B:$B,A190,'Run Log'!$C:$C,"Base")&lt;&gt;1),"INCOMPLETE",IF(COUNTIFS('Run Log'!$B:$B,A190,'Run Log'!$D:$D,"PASS")=O190,"PASS",IF(COUNTIFS('Run Log'!$B:$B,A190,'Run Log'!$D:$D,"FAIL")&gt;0,"FAIL",IF(COUNTIFS('Run Log'!$B:$B,A190,'Run Log'!$D:$D,"BLOCKED")&gt;0,"BLOCKED",IF(COUNTIFS('Run Log'!$B:$B,A190,'Run Log'!$D:$D,"SKIPPED")&gt;0,"SKIPPED","NOT RUN")))))</f>
      </c>
    </row>
    <row r="191">
      <c r="A191" s="9" t="inlineStr">
        <is>
          <t>TC-RS-REG-001</t>
        </is>
      </c>
      <c r="B191" s="9" t="inlineStr">
        <is>
          <t>Điểm do tính tự động（自動計算） tạo ra không đổi khi có quy tắc đỏ</t>
        </is>
      </c>
      <c r="C191" s="9" t="inlineStr">
        <is>
          <t>H. Regression</t>
        </is>
      </c>
      <c r="D191" s="9" t="inlineStr">
        <is>
          <t>- Điều kiện: mục số nguyên có thêm tính tự động có quy tắc tính tự động; baseline điểm tự động của khối 1. Thêm quy tắc “Cố định 30” (dưới 30).
- Dữ liệu test: mục số nguyên có thêm tính tự động, quy tắc “Cố định 30” (dưới 30)</t>
        </is>
      </c>
      <c r="E191" s="9" t="inlineStr">
        <is>
          <t>Cao</t>
        </is>
      </c>
      <c r="F191" s="9" t="inlineStr">
        <is>
          <t>CONFIRMED</t>
        </is>
      </c>
      <c r="G191" s="9" t="inlineStr">
        <is>
          <t>UNASSESSED</t>
        </is>
      </c>
      <c r="H191" s="9" t="inlineStr">
        <is>
          <t>đặc tả v2 mục 7.1 “Trình tự cho một ô”, mục 12.2 “Điểm tích hợp chính”</t>
        </is>
      </c>
      <c r="I191" s="9" t="inlineStr">
        <is>
          <t>H. Regression</t>
        </is>
      </c>
      <c r="J191" s="9" t="inlineStr">
        <is>
          <t>test-cases.vi.md</t>
        </is>
      </c>
      <c r="K191" s="9" t="inlineStr">
        <is>
          <t>1. Chạy nút cam cho khối 1.
2. So điểm của mục số nguyên có thêm tính tự động với baseline.
| Lượt chạy | Phạm vi thực hiện và đối chiếu |
| --- | --- |
| Run: Base | Toàn bộ thủ tục theo đúng thứ tự; các đối chứng cùng fixture được kiểm trong cùng lượt, không bỏ bước |</t>
        </is>
      </c>
      <c r="L191" s="9" t="inlineStr">
        <is>
          <t>Mọi điểm tự động bằng baseline; chỉ có thêm kết quả đỏ.</t>
        </is>
      </c>
      <c r="M191" s="9"/>
      <c r="N191" s="9"/>
      <c r="O191" s="9">
        <v>1</v>
      </c>
      <c r="P191" s="9">
        <f>IF(OR(COUNTIF('Run Log'!$B:$B,A191)&lt;&gt;O191,COUNTIF('Run Log'!$A:$A,"RUN-TC-RS-REG-001-Base")&lt;&gt;1,COUNTIFS('Run Log'!$A:$A,"RUN-TC-RS-REG-001-Base",'Run Log'!$B:$B,A191,'Run Log'!$C:$C,"Base")&lt;&gt;1),"INCOMPLETE",IF(COUNTIFS('Run Log'!$B:$B,A191,'Run Log'!$D:$D,"PASS")=O191,"PASS",IF(COUNTIFS('Run Log'!$B:$B,A191,'Run Log'!$D:$D,"FAIL")&gt;0,"FAIL",IF(COUNTIFS('Run Log'!$B:$B,A191,'Run Log'!$D:$D,"BLOCKED")&gt;0,"BLOCKED",IF(COUNTIFS('Run Log'!$B:$B,A191,'Run Log'!$D:$D,"SKIPPED")&gt;0,"SKIPPED","NOT RUN")))))</f>
      </c>
    </row>
    <row r="192">
      <c r="A192" s="9" t="inlineStr">
        <is>
          <t>TC-RS-REG-002</t>
        </is>
      </c>
      <c r="B192" s="9" t="inlineStr">
        <is>
          <t>Quy tắc đỏ không kế thừa hành vi "không khớp thì ghi NULL" của AutoRating</t>
        </is>
      </c>
      <c r="C192" s="9" t="inlineStr">
        <is>
          <t>H. Regression</t>
        </is>
      </c>
      <c r="D192" s="9" t="inlineStr">
        <is>
          <t>- Điều kiện: mục số nguyên (M=100) chỉ có quy tắc có bộ lọc kết hợp (khối 1 hoặc 2, nhóm Nâng cao); S07=20 không khớp (như case “Không quy tắc nào khớp khi đủ dữ liệu → Không áp dụng”). Mục không có quy tắc tính tự động.
- Dữ liệu test: mục số nguyên (M=100); quy tắc có bộ lọc kết hợp (khối 1 hoặc 2, nhóm Nâng cao), học sinh S07 (điểm 35, cờ Chưa dự thi（未受験）)</t>
        </is>
      </c>
      <c r="E192" s="9" t="inlineStr">
        <is>
          <t>Cao</t>
        </is>
      </c>
      <c r="F192" s="9" t="inlineStr">
        <is>
          <t>CONFIRMED</t>
        </is>
      </c>
      <c r="G192" s="9" t="inlineStr">
        <is>
          <t>UNASSESSED</t>
        </is>
      </c>
      <c r="H192" s="9" t="inlineStr">
        <is>
          <t>đặc tả v2 mục 12.2 “Điểm tích hợp chính”</t>
        </is>
      </c>
      <c r="I192" s="9" t="inlineStr">
        <is>
          <t>H. Regression</t>
        </is>
      </c>
      <c r="J192" s="9" t="inlineStr">
        <is>
          <t>test-cases.vi.md</t>
        </is>
      </c>
      <c r="K192" s="9" t="inlineStr">
        <is>
          <t>1. Đăng ký S07=20; chạy nút cam.
2. Xem điểm S07 trên màn nhập điểm và DB.
| Lượt chạy | Phạm vi thực hiện và đối chiếu |
| --- | --- |
| Run: Base | Toàn bộ thủ tục theo đúng thứ tự; các đối chứng cùng fixture được kiểm trong cùng lượt, không bỏ bước |</t>
        </is>
      </c>
      <c r="L192" s="9" t="inlineStr">
        <is>
          <t>Điểm S07 vẫn 20 (không bị xóa/NULL); kết quả là Không áp dụng.</t>
        </is>
      </c>
      <c r="M192" s="9"/>
      <c r="N192" s="9"/>
      <c r="O192" s="9">
        <v>1</v>
      </c>
      <c r="P192" s="9">
        <f>IF(OR(COUNTIF('Run Log'!$B:$B,A192)&lt;&gt;O192,COUNTIF('Run Log'!$A:$A,"RUN-TC-RS-REG-002-Base")&lt;&gt;1,COUNTIFS('Run Log'!$A:$A,"RUN-TC-RS-REG-002-Base",'Run Log'!$B:$B,A192,'Run Log'!$C:$C,"Base")&lt;&gt;1),"INCOMPLETE",IF(COUNTIFS('Run Log'!$B:$B,A192,'Run Log'!$D:$D,"PASS")=O192,"PASS",IF(COUNTIFS('Run Log'!$B:$B,A192,'Run Log'!$D:$D,"FAIL")&gt;0,"FAIL",IF(COUNTIFS('Run Log'!$B:$B,A192,'Run Log'!$D:$D,"BLOCKED")&gt;0,"BLOCKED",IF(COUNTIFS('Run Log'!$B:$B,A192,'Run Log'!$D:$D,"SKIPPED")&gt;0,"SKIPPED","NOT RUN")))))</f>
      </c>
    </row>
    <row r="193">
      <c r="A193" s="9" t="inlineStr">
        <is>
          <t>TC-RS-REG-003</t>
        </is>
      </c>
      <c r="B193" s="9" t="inlineStr">
        <is>
          <t>Ô nhập tay được AutoRating bỏ qua vẫn giữ giá trị tay và vẫn được xét đỏ</t>
        </is>
      </c>
      <c r="C193" s="9" t="inlineStr">
        <is>
          <t>H. Regression</t>
        </is>
      </c>
      <c r="D193" s="9" t="inlineStr">
        <is>
          <t>- Điều kiện: mục số nguyên có thêm tính tự động + quy tắc “Cố định 30” (dưới 30); S08 nhập tay 28.
- Dữ liệu test: mục số nguyên có thêm tính tự động, quy tắc “Cố định 30” (dưới 30); học sinh S08 (sửa tay 28 thành 35)</t>
        </is>
      </c>
      <c r="E193" s="9" t="inlineStr">
        <is>
          <t>Cao</t>
        </is>
      </c>
      <c r="F193" s="9" t="inlineStr">
        <is>
          <t>CONFIRMED</t>
        </is>
      </c>
      <c r="G193" s="9" t="inlineStr">
        <is>
          <t>UNASSESSED</t>
        </is>
      </c>
      <c r="H193" s="9" t="inlineStr">
        <is>
          <t>tiêu chí nghiệm thu “Dùng điểm cuối cùng” (AC-G19 «Dùng điểm cuối cùng»)</t>
        </is>
      </c>
      <c r="I193" s="9" t="inlineStr">
        <is>
          <t>H. Regression</t>
        </is>
      </c>
      <c r="J193" s="9" t="inlineStr">
        <is>
          <t>test-cases.vi.md</t>
        </is>
      </c>
      <c r="K193" s="9" t="inlineStr">
        <is>
          <t>1. Lưu S08=28 bằng nhập tay; chạy nút cam.
2. Xem điểm và kết quả đỏ.
| Lượt chạy | Phạm vi thực hiện và đối chiếu |
| --- | --- |
| Run: Base | Toàn bộ thủ tục theo đúng thứ tự; các đối chứng cùng fixture được kiểm trong cùng lượt, không bỏ bước |</t>
        </is>
      </c>
      <c r="L193" s="9" t="inlineStr">
        <is>
          <t>Điểm S08 vẫn 28 (không bị AutoRating ghi đè); S08 Đỏ.</t>
        </is>
      </c>
      <c r="M193" s="9"/>
      <c r="N193" s="9"/>
      <c r="O193" s="9">
        <v>1</v>
      </c>
      <c r="P193" s="9">
        <f>IF(OR(COUNTIF('Run Log'!$B:$B,A193)&lt;&gt;O193,COUNTIF('Run Log'!$A:$A,"RUN-TC-RS-REG-003-Base")&lt;&gt;1,COUNTIFS('Run Log'!$A:$A,"RUN-TC-RS-REG-003-Base",'Run Log'!$B:$B,A193,'Run Log'!$C:$C,"Base")&lt;&gt;1),"INCOMPLETE",IF(COUNTIFS('Run Log'!$B:$B,A193,'Run Log'!$D:$D,"PASS")=O193,"PASS",IF(COUNTIFS('Run Log'!$B:$B,A193,'Run Log'!$D:$D,"FAIL")&gt;0,"FAIL",IF(COUNTIFS('Run Log'!$B:$B,A193,'Run Log'!$D:$D,"BLOCKED")&gt;0,"BLOCKED",IF(COUNTIFS('Run Log'!$B:$B,A193,'Run Log'!$D:$D,"SKIPPED")&gt;0,"SKIPPED","NOT RUN")))))</f>
      </c>
    </row>
    <row r="194">
      <c r="A194" s="9" t="inlineStr">
        <is>
          <t>TC-RS-REG-004</t>
        </is>
      </c>
      <c r="B194" s="9" t="inlineStr">
        <is>
          <t>Nút cam/nút xanh của trường đang dùng AutoRating hoạt động như trước</t>
        </is>
      </c>
      <c r="C194" s="9" t="inlineStr">
        <is>
          <t>H. Regression</t>
        </is>
      </c>
      <c r="D194" s="9" t="inlineStr">
        <is>
          <t>- Điều kiện: Trường có AutoRating active; tài khoản có quyền chạy hàng loạt. Baseline: phạm vi chọn được và danh sách lớp được xếp hàng.
- Dữ liệu test: mục số nguyên có thêm tính tự động</t>
        </is>
      </c>
      <c r="E194" s="9" t="inlineStr">
        <is>
          <t>TBD</t>
        </is>
      </c>
      <c r="F194" s="9" t="inlineStr">
        <is>
          <t>CONFIRMED</t>
        </is>
      </c>
      <c r="G194" s="9" t="inlineStr">
        <is>
          <t>UNASSESSED</t>
        </is>
      </c>
      <c r="H194" s="9" t="inlineStr">
        <is>
          <t>đặc tả v2 mục 1.3 “Quyền sử dụng”, mục 7.4 “Quy trình vận hành khi dùng trung bình/tỷ lệ nhóm”</t>
        </is>
      </c>
      <c r="I194" s="9" t="inlineStr">
        <is>
          <t>H. Regression</t>
        </is>
      </c>
      <c r="J194" s="9" t="inlineStr">
        <is>
          <t>test-cases.vi.md</t>
        </is>
      </c>
      <c r="K194" s="9" t="inlineStr">
        <is>
          <t>1. Mở màn, chọn cùng phạm vi như baseline.
2. Chạy nút cam rồi nút xanh.
| Lượt chạy | Phạm vi thực hiện và đối chiếu |
| --- | --- |
| Run: orange | Nút cam |
| Run: green | Nút xanh |</t>
        </is>
      </c>
      <c r="L194" s="9" t="inlineStr">
        <is>
          <t>Nút hiện, phạm vi chọn và danh sách lớp xếp hàng như baseline; AutoRating tính như baseline (REG-001).</t>
        </is>
      </c>
      <c r="M194" s="9"/>
      <c r="N194" s="9"/>
      <c r="O194" s="9">
        <v>2</v>
      </c>
      <c r="P194" s="9">
        <f>IF(OR(COUNTIF('Run Log'!$B:$B,A194)&lt;&gt;O194,COUNTIF('Run Log'!$A:$A,"RUN-TC-RS-REG-004-orange")&lt;&gt;1,COUNTIFS('Run Log'!$A:$A,"RUN-TC-RS-REG-004-orange",'Run Log'!$B:$B,A194,'Run Log'!$C:$C,"orange")&lt;&gt;1,COUNTIF('Run Log'!$A:$A,"RUN-TC-RS-REG-004-green")&lt;&gt;1,COUNTIFS('Run Log'!$A:$A,"RUN-TC-RS-REG-004-green",'Run Log'!$B:$B,A194,'Run Log'!$C:$C,"green")&lt;&gt;1),"INCOMPLETE",IF(COUNTIFS('Run Log'!$B:$B,A194,'Run Log'!$D:$D,"PASS")=O194,"PASS",IF(COUNTIFS('Run Log'!$B:$B,A194,'Run Log'!$D:$D,"FAIL")&gt;0,"FAIL",IF(COUNTIFS('Run Log'!$B:$B,A194,'Run Log'!$D:$D,"BLOCKED")&gt;0,"BLOCKED",IF(COUNTIFS('Run Log'!$B:$B,A194,'Run Log'!$D:$D,"SKIPPED")&gt;0,"SKIPPED","NOT RUN")))))</f>
      </c>
    </row>
    <row r="195">
      <c r="A195" s="9" t="inlineStr">
        <is>
          <t>TC-RS-REG-005</t>
        </is>
      </c>
      <c r="B195" s="9" t="inlineStr">
        <is>
          <t>Kết quả tổng hợp thứ hạng（順位集計） không đổi khi có quy tắc đỏ đọc nguồn</t>
        </is>
      </c>
      <c r="C195" s="9" t="inlineStr">
        <is>
          <t>H. Regression</t>
        </is>
      </c>
      <c r="D195" s="9" t="inlineStr">
        <is>
          <t>- Điều kiện: cặp quy tắc phân nhánh theo trung bình 60 và quy tắc theo tỷ lệ điểm của nhóm từ 65% đang dùng nguồn của khối 1. Baseline: kết quả tổng hợp (trung bình, thứ hạng, số người) chạy trên build cũ với cùng dữ liệu.
- Dữ liệu test: cặp quy tắc phân nhánh theo trung bình 60, quy tắc theo tỷ lệ điểm của nhóm từ 65%</t>
        </is>
      </c>
      <c r="E195" s="9" t="inlineStr">
        <is>
          <t>TBD</t>
        </is>
      </c>
      <c r="F195" s="9" t="inlineStr">
        <is>
          <t>CONFIRMED</t>
        </is>
      </c>
      <c r="G195" s="9" t="inlineStr">
        <is>
          <t>UNASSESSED</t>
        </is>
      </c>
      <c r="H195" s="9" t="inlineStr">
        <is>
          <t>đặc tả v2 mục 5.5 “Chọn bản nguồn”, mục 7.4 “Quy trình vận hành khi dùng trung bình/tỷ lệ nhóm”, mục 12.2 “Điểm tích hợp chính”</t>
        </is>
      </c>
      <c r="I195" s="9" t="inlineStr">
        <is>
          <t>H. Regression</t>
        </is>
      </c>
      <c r="J195" s="9" t="inlineStr">
        <is>
          <t>test-cases.vi.md</t>
        </is>
      </c>
      <c r="K195" s="9" t="inlineStr">
        <is>
          <t>1. Chạy nút xanh rồi nút cam cho khối 1.
2. So trung bình, thứ hạng, số người với baseline.
| Lượt chạy | Phạm vi thực hiện và đối chiếu |
| --- | --- |
| Run: Base | Toàn bộ thủ tục theo đúng thứ tự; các đối chứng cùng fixture được kiểm trong cùng lượt, không bỏ bước |</t>
        </is>
      </c>
      <c r="L195" s="9" t="inlineStr">
        <is>
          <t>Trung bình, thứ hạng, số người bằng baseline; nút cam không ghi lại kết quả tổng hợp.</t>
        </is>
      </c>
      <c r="M195" s="9"/>
      <c r="N195" s="9"/>
      <c r="O195" s="9">
        <v>1</v>
      </c>
      <c r="P195" s="9">
        <f>IF(OR(COUNTIF('Run Log'!$B:$B,A195)&lt;&gt;O195,COUNTIF('Run Log'!$A:$A,"RUN-TC-RS-REG-005-Base")&lt;&gt;1,COUNTIFS('Run Log'!$A:$A,"RUN-TC-RS-REG-005-Base",'Run Log'!$B:$B,A195,'Run Log'!$C:$C,"Base")&lt;&gt;1),"INCOMPLETE",IF(COUNTIFS('Run Log'!$B:$B,A195,'Run Log'!$D:$D,"PASS")=O195,"PASS",IF(COUNTIFS('Run Log'!$B:$B,A195,'Run Log'!$D:$D,"FAIL")&gt;0,"FAIL",IF(COUNTIFS('Run Log'!$B:$B,A195,'Run Log'!$D:$D,"BLOCKED")&gt;0,"BLOCKED",IF(COUNTIFS('Run Log'!$B:$B,A195,'Run Log'!$D:$D,"SKIPPED")&gt;0,"SKIPPED","NOT RUN")))))</f>
      </c>
    </row>
    <row r="196">
      <c r="A196" s="9" t="inlineStr">
        <is>
          <t>TC-RS-REG-006</t>
        </is>
      </c>
      <c r="B196" s="9" t="inlineStr">
        <is>
          <t>Trích xuất: mẫu hiện có không cấu hình đỏ cho kết quả như trước</t>
        </is>
      </c>
      <c r="C196" s="9" t="inlineStr">
        <is>
          <t>H. Regression</t>
        </is>
      </c>
      <c r="D196" s="9" t="inlineStr">
        <is>
          <t>- Điều kiện: Ba mẫu trích xuất hiện có (có Khoảng điểm（点数範囲） tô màu, có lọc, có ký hiệu). Baseline màn và Excel. Mục có quy tắc “Cố định 30” (dưới 30).
- Dữ liệu test: quy tắc “Cố định 30” (dưới 30); học sinh S01–S10</t>
        </is>
      </c>
      <c r="E196" s="9" t="inlineStr">
        <is>
          <t>Cao</t>
        </is>
      </c>
      <c r="F196" s="9" t="inlineStr">
        <is>
          <t>CONFIRMED</t>
        </is>
      </c>
      <c r="G196" s="9" t="inlineStr">
        <is>
          <t>UNASSESSED</t>
        </is>
      </c>
      <c r="H196" s="9" t="inlineStr">
        <is>
          <t>đặc tả v2 mục 9.1 “Thiết lập”, mục 9.2 “Kết quả và ví dụ”, mục 9.3 “Xuất file”</t>
        </is>
      </c>
      <c r="I196" s="9" t="inlineStr">
        <is>
          <t>H. Regression</t>
        </is>
      </c>
      <c r="J196" s="9" t="inlineStr">
        <is>
          <t>test-cases.vi.md</t>
        </is>
      </c>
      <c r="K196" s="9" t="inlineStr">
        <is>
          <t>1. Chạy lại ba mẫu, xuất Excel, so với baseline.
2. Mở màn tạo mẫu trích xuất mới, Thiết lập công khai thành tích（成績公開設定） chưa từng lưu hiệu ứng đỏ, và dòng Thiết lập điểm đỏ（赤点設定） của một bảng phiếu điểm mới.
| Lượt chạy | Phạm vi thực hiện và đối chiếu |
| --- | --- |
| Run: color | Mẫu tô màu |
| Run: filter | Mẫu lọc |
| Run: symbol | Mẫu ký hiệu |
| Run: defaults | Bước 2 các cấu hình mới, phần đề xuất |</t>
        </is>
      </c>
      <c r="L196" s="9" t="inlineStr">
        <is>
          <t>1. Danh sách học sinh, giá trị, ký hiệu, màu và định dạng Excel bằng baseline (mẫu chưa bật tùy chọn đỏ).
2. (PROPOSED) Trích xuất: lọc đỏ và các hiệu ứng đỏ mặc định TẮT; công khai: chưa chọn hiệu ứng đỏ nào, và khi chưa cấu hình thì màn học sinh vẫn hiển thị như hiện có dù mục có ô Đỏ; phiếu điểm: Nguyên trạng（そのまま表示）.</t>
        </is>
      </c>
      <c r="M196" s="9"/>
      <c r="N196" s="9"/>
      <c r="O196" s="9">
        <v>4</v>
      </c>
      <c r="P196" s="9">
        <f>IF(OR(COUNTIF('Run Log'!$B:$B,A196)&lt;&gt;O196,COUNTIF('Run Log'!$A:$A,"RUN-TC-RS-REG-006-color")&lt;&gt;1,COUNTIFS('Run Log'!$A:$A,"RUN-TC-RS-REG-006-color",'Run Log'!$B:$B,A196,'Run Log'!$C:$C,"color")&lt;&gt;1,COUNTIF('Run Log'!$A:$A,"RUN-TC-RS-REG-006-filter")&lt;&gt;1,COUNTIFS('Run Log'!$A:$A,"RUN-TC-RS-REG-006-filter",'Run Log'!$B:$B,A196,'Run Log'!$C:$C,"filter")&lt;&gt;1,COUNTIF('Run Log'!$A:$A,"RUN-TC-RS-REG-006-symbol")&lt;&gt;1,COUNTIFS('Run Log'!$A:$A,"RUN-TC-RS-REG-006-symbol",'Run Log'!$B:$B,A196,'Run Log'!$C:$C,"symbol")&lt;&gt;1,COUNTIF('Run Log'!$A:$A,"RUN-TC-RS-REG-006-defaults")&lt;&gt;1,COUNTIFS('Run Log'!$A:$A,"RUN-TC-RS-REG-006-defaults",'Run Log'!$B:$B,A196,'Run Log'!$C:$C,"defaults")&lt;&gt;1),"INCOMPLETE",IF(COUNTIFS('Run Log'!$B:$B,A196,'Run Log'!$D:$D,"PASS")=O196,"PASS",IF(COUNTIFS('Run Log'!$B:$B,A196,'Run Log'!$D:$D,"FAIL")&gt;0,"FAIL",IF(COUNTIFS('Run Log'!$B:$B,A196,'Run Log'!$D:$D,"BLOCKED")&gt;0,"BLOCKED",IF(COUNTIFS('Run Log'!$B:$B,A196,'Run Log'!$D:$D,"SKIPPED")&gt;0,"SKIPPED","NOT RUN")))))</f>
      </c>
    </row>
    <row r="197">
      <c r="A197" s="9" t="inlineStr">
        <is>
          <t>TC-RS-REG-007</t>
        </is>
      </c>
      <c r="B197" s="9" t="inlineStr">
        <is>
          <t>Công khai: hiệu ứng Điểm dự kiến（見込点） và thiết lập khác được giữ</t>
        </is>
      </c>
      <c r="C197" s="9" t="inlineStr">
        <is>
          <t>H. Regression</t>
        </is>
      </c>
      <c r="D197" s="9" t="inlineStr">
        <is>
          <t>- Điều kiện: cấu hình công khai: “*” phía trước. S06 (dự kiến, Đỏ). Một học sinh khác có điểm dự kiến, Không đỏ. Baseline màn học sinh.
- Dữ liệu test: cấu hình công khai: “*” phía trước; học sinh S06 (điểm dự kiến 24)</t>
        </is>
      </c>
      <c r="E197" s="9" t="inlineStr">
        <is>
          <t>Cao</t>
        </is>
      </c>
      <c r="F197" s="9" t="inlineStr">
        <is>
          <t>CONFIRMED</t>
        </is>
      </c>
      <c r="G197" s="9" t="inlineStr">
        <is>
          <t>UNASSESSED</t>
        </is>
      </c>
      <c r="H197" s="9" t="inlineStr">
        <is>
          <t>tiêu chí nghiệm thu “Kết hợp hiệu ứng công khai” (AC-G33 «Kết hợp hiệu ứng công khai»)</t>
        </is>
      </c>
      <c r="I197" s="9" t="inlineStr">
        <is>
          <t>H. Regression</t>
        </is>
      </c>
      <c r="J197" s="9" t="inlineStr">
        <is>
          <t>test-cases.vi.md</t>
        </is>
      </c>
      <c r="K197" s="9" t="inlineStr">
        <is>
          <t>1. Xem màn học sinh.
2. Làm S06 chuyển Chưa xét được (như case “Chưa có kết quả tổng hợp → Chưa xét được, không thay bằng 0 hay nhóm khác”), xem lại.
3. Xóa quy tắc cuối, mở Thiết lập công khai thành tích（成績公開設定）.
| Lượt chạy | Phạm vi thực hiện và đối chiếu |
| --- | --- |
| Run: Base | Toàn bộ thủ tục theo đúng thứ tự; các đối chứng cùng fixture được kiểm trong cùng lượt, không bỏ bước |</t>
        </is>
      </c>
      <c r="L197" s="9" t="inlineStr">
        <is>
          <t>1. Học sinh Không đỏ hiển thị như baseline (ngoặc dự kiến).
2. S06 bỏ `*` đỏ nhưng giữ ngoặc dự kiến: `(24)`.
3. Cấu hình hiển thị đã lưu không bị xóa. Nền và định dạng khác như baseline.</t>
        </is>
      </c>
      <c r="M197" s="9"/>
      <c r="N197" s="9"/>
      <c r="O197" s="9">
        <v>1</v>
      </c>
      <c r="P197" s="9">
        <f>IF(OR(COUNTIF('Run Log'!$B:$B,A197)&lt;&gt;O197,COUNTIF('Run Log'!$A:$A,"RUN-TC-RS-REG-007-Base")&lt;&gt;1,COUNTIFS('Run Log'!$A:$A,"RUN-TC-RS-REG-007-Base",'Run Log'!$B:$B,A197,'Run Log'!$C:$C,"Base")&lt;&gt;1),"INCOMPLETE",IF(COUNTIFS('Run Log'!$B:$B,A197,'Run Log'!$D:$D,"PASS")=O197,"PASS",IF(COUNTIFS('Run Log'!$B:$B,A197,'Run Log'!$D:$D,"FAIL")&gt;0,"FAIL",IF(COUNTIFS('Run Log'!$B:$B,A197,'Run Log'!$D:$D,"BLOCKED")&gt;0,"BLOCKED",IF(COUNTIFS('Run Log'!$B:$B,A197,'Run Log'!$D:$D,"SKIPPED")&gt;0,"SKIPPED","NOT RUN")))))</f>
      </c>
    </row>
    <row r="198">
      <c r="A198" s="9" t="inlineStr">
        <is>
          <t>TC-RS-REG-008</t>
        </is>
      </c>
      <c r="B198" s="9" t="inlineStr">
        <is>
          <t>Công khai: điểm ẩn, lịch và đối tượng công khai được giữ</t>
        </is>
      </c>
      <c r="C198" s="9" t="inlineStr">
        <is>
          <t>H. Regression</t>
        </is>
      </c>
      <c r="D198" s="9" t="inlineStr">
        <is>
          <t>- Điều kiện: S06 Đỏ, mục đặt Không hiển thị（表示しない） cho điểm dự kiến; lịch công khai đang mở cho HR2; một lịch đã đóng.
- Dữ liệu test: học sinh S06 (điểm dự kiến 24), tài khoản học sinh S06 theo TD-ROLE-06; TD-ROLE-05 thuộc S01 và không dùng cho case này.</t>
        </is>
      </c>
      <c r="E198" s="9" t="inlineStr">
        <is>
          <t>Cao</t>
        </is>
      </c>
      <c r="F198" s="9" t="inlineStr">
        <is>
          <t>CONFIRMED</t>
        </is>
      </c>
      <c r="G198" s="9" t="inlineStr">
        <is>
          <t>READY</t>
        </is>
      </c>
      <c r="H198" s="9" t="inlineStr">
        <is>
          <t>tiêu chí nghiệm thu “Cấu hình công khai và ẩn điểm” (AC-G32 «Cấu hình công khai và ẩn điểm»)</t>
        </is>
      </c>
      <c r="I198" s="9" t="inlineStr">
        <is>
          <t>H. Regression</t>
        </is>
      </c>
      <c r="J198" s="9" t="inlineStr">
        <is>
          <t>test-cases.vi.md</t>
        </is>
      </c>
      <c r="K198" s="9" t="inlineStr">
        <is>
          <t>1. Xem màn học sinh, API, PDF của S06.
2. Xem khi lịch đóng.
| Lượt chạy | Phạm vi thực hiện và đối chiếu |
| --- | --- |
| Run: web-open | Màn web lịch mở |
| Run: api-open | API lịch mở |
| Run: pdf-open | PDF lịch mở |
| Run: web-closed | Màn web lịch đóng |
| Run: api-closed | API lịch đóng |
| Run: pdf-closed | PDF lịch đóng |</t>
        </is>
      </c>
      <c r="L198" s="9" t="inlineStr">
        <is>
          <t>1. Điểm vẫn ẩn; không có dấu đỏ riêng lẻ.
2. Không xem được như baseline.</t>
        </is>
      </c>
      <c r="M198" s="9"/>
      <c r="N198" s="9"/>
      <c r="O198" s="9">
        <v>6</v>
      </c>
      <c r="P198" s="9">
        <f>IF(OR(COUNTIF('Run Log'!$B:$B,A198)&lt;&gt;O198,COUNTIF('Run Log'!$A:$A,"RUN-TC-RS-REG-008-web-open")&lt;&gt;1,COUNTIFS('Run Log'!$A:$A,"RUN-TC-RS-REG-008-web-open",'Run Log'!$B:$B,A198,'Run Log'!$C:$C,"web-open")&lt;&gt;1,COUNTIF('Run Log'!$A:$A,"RUN-TC-RS-REG-008-api-open")&lt;&gt;1,COUNTIFS('Run Log'!$A:$A,"RUN-TC-RS-REG-008-api-open",'Run Log'!$B:$B,A198,'Run Log'!$C:$C,"api-open")&lt;&gt;1,COUNTIF('Run Log'!$A:$A,"RUN-TC-RS-REG-008-pdf-open")&lt;&gt;1,COUNTIFS('Run Log'!$A:$A,"RUN-TC-RS-REG-008-pdf-open",'Run Log'!$B:$B,A198,'Run Log'!$C:$C,"pdf-open")&lt;&gt;1,COUNTIF('Run Log'!$A:$A,"RUN-TC-RS-REG-008-web-closed")&lt;&gt;1,COUNTIFS('Run Log'!$A:$A,"RUN-TC-RS-REG-008-web-closed",'Run Log'!$B:$B,A198,'Run Log'!$C:$C,"web-closed")&lt;&gt;1,COUNTIF('Run Log'!$A:$A,"RUN-TC-RS-REG-008-api-closed")&lt;&gt;1,COUNTIFS('Run Log'!$A:$A,"RUN-TC-RS-REG-008-api-closed",'Run Log'!$B:$B,A198,'Run Log'!$C:$C,"api-closed")&lt;&gt;1,COUNTIF('Run Log'!$A:$A,"RUN-TC-RS-REG-008-pdf-closed")&lt;&gt;1,COUNTIFS('Run Log'!$A:$A,"RUN-TC-RS-REG-008-pdf-closed",'Run Log'!$B:$B,A198,'Run Log'!$C:$C,"pdf-closed")&lt;&gt;1),"INCOMPLETE",IF(COUNTIFS('Run Log'!$B:$B,A198,'Run Log'!$D:$D,"PASS")=O198,"PASS",IF(COUNTIFS('Run Log'!$B:$B,A198,'Run Log'!$D:$D,"FAIL")&gt;0,"FAIL",IF(COUNTIFS('Run Log'!$B:$B,A198,'Run Log'!$D:$D,"BLOCKED")&gt;0,"BLOCKED",IF(COUNTIFS('Run Log'!$B:$B,A198,'Run Log'!$D:$D,"SKIPPED")&gt;0,"SKIPPED","NOT RUN")))))</f>
      </c>
    </row>
    <row r="199">
      <c r="A199" s="9" t="inlineStr">
        <is>
          <t>TC-RS-REG-009</t>
        </is>
      </c>
      <c r="B199" s="9" t="inlineStr">
        <is>
          <t>Phiếu điểm: các điều kiện hiển thị hiện có giữ hành vi</t>
        </is>
      </c>
      <c r="C199" s="9" t="inlineStr">
        <is>
          <t>H. Regression</t>
        </is>
      </c>
      <c r="D199" s="9" t="inlineStr">
        <is>
          <t>- Điều kiện: Hai bảng điểm hiện có: (a) dùng điều kiện môn cụ thể và ô trống; (b) dùng checkbox Chưa dự thi（未受験） với ẩn. Baseline PDF. Mục có quy tắc “Cố định 30” (dưới 30); hai bảng chưa bật dòng đỏ.
- Dữ liệu test: quy tắc “Cố định 30” (dưới 30); học sinh S05 (ô trống), học sinh S07 (điểm 35, cờ Chưa dự thi（未受験）)</t>
        </is>
      </c>
      <c r="E199" s="9" t="inlineStr">
        <is>
          <t>Cao</t>
        </is>
      </c>
      <c r="F199" s="9" t="inlineStr">
        <is>
          <t>CONFIRMED</t>
        </is>
      </c>
      <c r="G199" s="9" t="inlineStr">
        <is>
          <t>UNASSESSED</t>
        </is>
      </c>
      <c r="H199" s="9" t="inlineStr">
        <is>
          <t>tiêu chí nghiệm thu “Phiếu dừng ở điều kiện khớp đầu tiên” (AC-G36 «Phiếu dừng ở điều kiện khớp đầu tiên»)</t>
        </is>
      </c>
      <c r="I199" s="9" t="inlineStr">
        <is>
          <t>H. Regression</t>
        </is>
      </c>
      <c r="J199" s="9" t="inlineStr">
        <is>
          <t>test-cases.vi.md</t>
        </is>
      </c>
      <c r="K199" s="9" t="inlineStr">
        <is>
          <t>Xuất PDF hai bảng, so với baseline.
| Lượt chạy | Phạm vi thực hiện và đối chiếu |
| --- | --- |
| Run: subject-empty | Bảng a môn cụ thể và ô trống |
| Run: notexam-hidden | Bảng b chưa dự thi và ẩn |</t>
        </is>
      </c>
      <c r="L199" s="9" t="inlineStr">
        <is>
          <t>PDF bằng baseline (cùng ký hiệu, ô ẩn, ô trống).</t>
        </is>
      </c>
      <c r="M199" s="9"/>
      <c r="N199" s="9"/>
      <c r="O199" s="9">
        <v>2</v>
      </c>
      <c r="P199" s="9">
        <f>IF(OR(COUNTIF('Run Log'!$B:$B,A199)&lt;&gt;O199,COUNTIF('Run Log'!$A:$A,"RUN-TC-RS-REG-009-subject-empty")&lt;&gt;1,COUNTIFS('Run Log'!$A:$A,"RUN-TC-RS-REG-009-subject-empty",'Run Log'!$B:$B,A199,'Run Log'!$C:$C,"subject-empty")&lt;&gt;1,COUNTIF('Run Log'!$A:$A,"RUN-TC-RS-REG-009-notexam-hidden")&lt;&gt;1,COUNTIFS('Run Log'!$A:$A,"RUN-TC-RS-REG-009-notexam-hidden",'Run Log'!$B:$B,A199,'Run Log'!$C:$C,"notexam-hidden")&lt;&gt;1),"INCOMPLETE",IF(COUNTIFS('Run Log'!$B:$B,A199,'Run Log'!$D:$D,"PASS")=O199,"PASS",IF(COUNTIFS('Run Log'!$B:$B,A199,'Run Log'!$D:$D,"FAIL")&gt;0,"FAIL",IF(COUNTIFS('Run Log'!$B:$B,A199,'Run Log'!$D:$D,"BLOCKED")&gt;0,"BLOCKED",IF(COUNTIFS('Run Log'!$B:$B,A199,'Run Log'!$D:$D,"SKIPPED")&gt;0,"SKIPPED","NOT RUN")))))</f>
      </c>
    </row>
    <row r="200">
      <c r="A200" s="9" t="inlineStr">
        <is>
          <t>TC-RS-REG-010</t>
        </is>
      </c>
      <c r="B200" s="9" t="inlineStr">
        <is>
          <t>PDF phiếu: bố cục template không đổi khi có dấu đỏ</t>
        </is>
      </c>
      <c r="C200" s="9" t="inlineStr">
        <is>
          <t>H. Regression</t>
        </is>
      </c>
      <c r="D200" s="9" t="inlineStr">
        <is>
          <t>- Điều kiện: cấu hình phiếu điểm: ký tự “※” phía trước với ký tự `※`; ô hẹp nhất của template chứa điểm 3 chữ số (ví dụ 100 nếu có quy tắc `≤100`, hoặc 29.5 cho mục thập phân).
- Dữ liệu test: cấu hình phiếu điểm: ký tự “※” phía trước; học sinh S01 (điểm 29), học sinh S09 (mục số thập phân 29.5)</t>
        </is>
      </c>
      <c r="E200" s="9" t="inlineStr">
        <is>
          <t>Cao</t>
        </is>
      </c>
      <c r="F200" s="9" t="inlineStr">
        <is>
          <t>CONFIRMED</t>
        </is>
      </c>
      <c r="G200" s="9" t="inlineStr">
        <is>
          <t>UNASSESSED</t>
        </is>
      </c>
      <c r="H200" s="9" t="inlineStr">
        <is>
          <t>tiêu chí nghiệm thu “Lưu, sao chép và PDF phiếu” (AC-G37 «Lưu, sao chép và PDF phiếu»)</t>
        </is>
      </c>
      <c r="I200" s="9" t="inlineStr">
        <is>
          <t>H. Regression</t>
        </is>
      </c>
      <c r="J200" s="9" t="inlineStr">
        <is>
          <t>test-cases.vi.md</t>
        </is>
      </c>
      <c r="K200" s="9" t="inlineStr">
        <is>
          <t>Xuất PDF; so với baseline.
| Lượt chạy | Phạm vi thực hiện và đối chiếu |
| --- | --- |
| Run: Base | Toàn bộ thủ tục theo đúng thứ tự; các đối chứng cùng fixture được kiểm trong cùng lượt, không bỏ bước |</t>
        </is>
      </c>
      <c r="L200" s="9" t="inlineStr">
        <is>
          <t>Dấu hiển thị đủ trong ô; không mất ký tự, không nền đỏ; các phần khác bằng baseline.</t>
        </is>
      </c>
      <c r="M200" s="9"/>
      <c r="N200" s="9"/>
      <c r="O200" s="9">
        <v>1</v>
      </c>
      <c r="P200" s="9">
        <f>IF(OR(COUNTIF('Run Log'!$B:$B,A200)&lt;&gt;O200,COUNTIF('Run Log'!$A:$A,"RUN-TC-RS-REG-010-Base")&lt;&gt;1,COUNTIFS('Run Log'!$A:$A,"RUN-TC-RS-REG-010-Base",'Run Log'!$B:$B,A200,'Run Log'!$C:$C,"Base")&lt;&gt;1),"INCOMPLETE",IF(COUNTIFS('Run Log'!$B:$B,A200,'Run Log'!$D:$D,"PASS")=O200,"PASS",IF(COUNTIFS('Run Log'!$B:$B,A200,'Run Log'!$D:$D,"FAIL")&gt;0,"FAIL",IF(COUNTIFS('Run Log'!$B:$B,A200,'Run Log'!$D:$D,"BLOCKED")&gt;0,"BLOCKED",IF(COUNTIFS('Run Log'!$B:$B,A200,'Run Log'!$D:$D,"SKIPPED")&gt;0,"SKIPPED","NOT RUN")))))</f>
      </c>
    </row>
    <row r="201">
      <c r="A201" s="9" t="inlineStr">
        <is>
          <t>TC-RS-REG-013</t>
        </is>
      </c>
      <c r="B201" s="9" t="inlineStr">
        <is>
          <t>Các màn điểm tối đa lưu và xếp hàng như trước</t>
        </is>
      </c>
      <c r="C201" s="9" t="inlineStr">
        <is>
          <t>H. Regression</t>
        </is>
      </c>
      <c r="D201" s="9" t="inlineStr">
        <is>
          <t>- Điều kiện: Baseline trên build cũ: giá trị lưu, thông báo và danh sách job khi thực hiện ba bước dưới với cùng dữ liệu. mục điểm đơn vị (đơn vị U1 có M riêng 40) có quy tắc tỷ lệ 30%.
- Dữ liệu test: quy tắc tỷ lệ 30%; mục điểm đơn vị (đơn vị U1 có M riêng 40)</t>
        </is>
      </c>
      <c r="E201" s="9" t="inlineStr">
        <is>
          <t>TBD</t>
        </is>
      </c>
      <c r="F201" s="9" t="inlineStr">
        <is>
          <t>CONFIRMED</t>
        </is>
      </c>
      <c r="G201" s="9" t="inlineStr">
        <is>
          <t>UNASSESSED</t>
        </is>
      </c>
      <c r="H201" s="9" t="inlineStr">
        <is>
          <t>tiêu chí nghiệm thu “Trigger khi đổi điểm tối đa/đơn vị” (AC-G24 «Trigger khi đổi điểm tối đa/đơn vị»)</t>
        </is>
      </c>
      <c r="I201" s="9" t="inlineStr">
        <is>
          <t>H. Regression</t>
        </is>
      </c>
      <c r="J201" s="9" t="inlineStr">
        <is>
          <t>test-cases.vi.md</t>
        </is>
      </c>
      <c r="K201" s="9" t="inlineStr">
        <is>
          <t>1. Đổi định nghĩa M ở Thiết lập điểm tối đa（満点設定）, lưu, mở lại.
2. Đổi Giá trị tối đa（最大値）, lưu, mở lại.
3. Lưu ở Thiết lập điểm tối đa hàng loạt（満点一括設定） lựa chọn M=50 cho G-B; xem danh sách job.
| Lượt chạy | Phạm vi thực hiện và đối chiếu |
| --- | --- |
| Run: definition | Đổi định nghĩa M |
| Run: maximum | Đổi Giá trị tối đa |
| Run: batch | Lưu điểm tối đa hàng loạt |</t>
        </is>
      </c>
      <c r="L201" s="9" t="inlineStr">
        <is>
          <t>Giá trị lưu, thông báo và danh sách job (lớp/kỳ được xếp hàng) bằng baseline.</t>
        </is>
      </c>
      <c r="M201" s="9"/>
      <c r="N201" s="9"/>
      <c r="O201" s="9">
        <v>3</v>
      </c>
      <c r="P201" s="9">
        <f>IF(OR(COUNTIF('Run Log'!$B:$B,A201)&lt;&gt;O201,COUNTIF('Run Log'!$A:$A,"RUN-TC-RS-REG-013-definition")&lt;&gt;1,COUNTIFS('Run Log'!$A:$A,"RUN-TC-RS-REG-013-definition",'Run Log'!$B:$B,A201,'Run Log'!$C:$C,"definition")&lt;&gt;1,COUNTIF('Run Log'!$A:$A,"RUN-TC-RS-REG-013-maximum")&lt;&gt;1,COUNTIFS('Run Log'!$A:$A,"RUN-TC-RS-REG-013-maximum",'Run Log'!$B:$B,A201,'Run Log'!$C:$C,"maximum")&lt;&gt;1,COUNTIF('Run Log'!$A:$A,"RUN-TC-RS-REG-013-batch")&lt;&gt;1,COUNTIFS('Run Log'!$A:$A,"RUN-TC-RS-REG-013-batch",'Run Log'!$B:$B,A201,'Run Log'!$C:$C,"batch")&lt;&gt;1),"INCOMPLETE",IF(COUNTIFS('Run Log'!$B:$B,A201,'Run Log'!$D:$D,"PASS")=O201,"PASS",IF(COUNTIFS('Run Log'!$B:$B,A201,'Run Log'!$D:$D,"FAIL")&gt;0,"FAIL",IF(COUNTIFS('Run Log'!$B:$B,A201,'Run Log'!$D:$D,"BLOCKED")&gt;0,"BLOCKED",IF(COUNTIFS('Run Log'!$B:$B,A201,'Run Log'!$D:$D,"SKIPPED")&gt;0,"SKIPPED","NOT RUN")))))</f>
      </c>
    </row>
    <row r="202">
      <c r="A202" s="9" t="inlineStr">
        <is>
          <t>TC-RS-REG-014</t>
        </is>
      </c>
      <c r="B202" s="9" t="inlineStr">
        <is>
          <t>Batch không phát sinh truy vấn theo từng ô（N+1）</t>
        </is>
      </c>
      <c r="C202" s="9" t="inlineStr">
        <is>
          <t>H. Regression</t>
        </is>
      </c>
      <c r="D202" s="9" t="inlineStr">
        <is>
          <t>- Điều kiện: Khối có ít nhất 2 cỡ dữ liệu khác nhau (ví dụ 10 và 100 học sinh) trên môi trường local; bật log truy vấn.
- Dữ liệu test: môi trường test (trường A, năm học 2026)</t>
        </is>
      </c>
      <c r="E202" s="9" t="inlineStr">
        <is>
          <t>TBD</t>
        </is>
      </c>
      <c r="F202" s="9" t="inlineStr">
        <is>
          <t>CONFIRMED</t>
        </is>
      </c>
      <c r="G202" s="9" t="inlineStr">
        <is>
          <t>UNASSESSED</t>
        </is>
      </c>
      <c r="H202" s="9" t="inlineStr">
        <is>
          <t>đặc tả v2 mục 12.2 “Điểm tích hợp chính”</t>
        </is>
      </c>
      <c r="I202" s="9" t="inlineStr">
        <is>
          <t>H. Regression</t>
        </is>
      </c>
      <c r="J202" s="9" t="inlineStr">
        <is>
          <t>test-cases.vi.md</t>
        </is>
      </c>
      <c r="K202" s="9" t="inlineStr">
        <is>
          <t>Chạy batch với từng cỡ dữ liệu; đếm truy vấn liên quan đến quy tắc/nguồn/kết quả đỏ.
| Lượt chạy | Phạm vi thực hiện và đối chiếu |
| --- | --- |
| Run: size10 | Cỡ 10 học sinh |
| Run: size100 | Cỡ 100 học sinh, đối chiếu log cả hai cỡ |</t>
        </is>
      </c>
      <c r="L202" s="9" t="inlineStr">
        <is>
          <t>Số truy vấn đọc quy tắc/nguồn/M không tăng tuyến tính theo số ô. Thời gian chạy chỉ ghi lại để so, không có ngưỡng pass/fail (tài liệu chưa đặt ngưỡng).</t>
        </is>
      </c>
      <c r="M202" s="9"/>
      <c r="N202" s="9"/>
      <c r="O202" s="9">
        <v>2</v>
      </c>
      <c r="P202" s="9">
        <f>IF(OR(COUNTIF('Run Log'!$B:$B,A202)&lt;&gt;O202,COUNTIF('Run Log'!$A:$A,"RUN-TC-RS-REG-014-size10")&lt;&gt;1,COUNTIFS('Run Log'!$A:$A,"RUN-TC-RS-REG-014-size10",'Run Log'!$B:$B,A202,'Run Log'!$C:$C,"size10")&lt;&gt;1,COUNTIF('Run Log'!$A:$A,"RUN-TC-RS-REG-014-size100")&lt;&gt;1,COUNTIFS('Run Log'!$A:$A,"RUN-TC-RS-REG-014-size100",'Run Log'!$B:$B,A202,'Run Log'!$C:$C,"size100")&lt;&gt;1),"INCOMPLETE",IF(COUNTIFS('Run Log'!$B:$B,A202,'Run Log'!$D:$D,"PASS")=O202,"PASS",IF(COUNTIFS('Run Log'!$B:$B,A202,'Run Log'!$D:$D,"FAIL")&gt;0,"FAIL",IF(COUNTIFS('Run Log'!$B:$B,A202,'Run Log'!$D:$D,"BLOCKED")&gt;0,"BLOCKED",IF(COUNTIFS('Run Log'!$B:$B,A202,'Run Log'!$D:$D,"SKIPPED")&gt;0,"SKIPPED","NOT RUN")))))</f>
      </c>
    </row>
    <row r="203">
      <c r="A203" s="9" t="inlineStr">
        <is>
          <t>TC-RS-REG-015</t>
        </is>
      </c>
      <c r="B203" s="9" t="inlineStr">
        <is>
          <t>Quyền học sinh/phụ huynh giữ nguyên</t>
        </is>
      </c>
      <c r="C203" s="9" t="inlineStr">
        <is>
          <t>H. Regression</t>
        </is>
      </c>
      <c r="D203" s="9" t="inlineStr">
        <is>
          <t>- Điều kiện: tài khoản học sinh S01 (S01), tài khoản phụ huynh của học sinh S01 (phụ huynh của S01). Tài khoản học sinh/phụ huynh test lấy theo kênh được phép.
- Dữ liệu test: tài khoản học sinh S01, tài khoản phụ huynh của học sinh S01</t>
        </is>
      </c>
      <c r="E203" s="9" t="inlineStr">
        <is>
          <t>Cao</t>
        </is>
      </c>
      <c r="F203" s="9" t="inlineStr">
        <is>
          <t>CONFIRMED</t>
        </is>
      </c>
      <c r="G203" s="9" t="inlineStr">
        <is>
          <t>UNASSESSED</t>
        </is>
      </c>
      <c r="H203" s="9" t="inlineStr">
        <is>
          <t>tiêu chí nghiệm thu “Đúng người, lịch và đầu ra công khai” (AC-G34 «Đúng người, lịch và đầu ra công khai»)</t>
        </is>
      </c>
      <c r="I203" s="9" t="inlineStr">
        <is>
          <t>H. Regression</t>
        </is>
      </c>
      <c r="J203" s="9" t="inlineStr">
        <is>
          <t>test-cases.vi.md</t>
        </is>
      </c>
      <c r="K203" s="9" t="inlineStr">
        <is>
          <t>1. Đăng nhập S01, xem màn.
2. Đổi ID học sinh trong URL/request API sang S02.
3. Mở URL màn cấu hình đỏ.
4. Đăng nhập phụ huynh của S01, xem màn và PDF công khai.
5. Đổi ID học sinh trong URL/request API sang S02.
| Lượt chạy | Phạm vi thực hiện và đối chiếu |
| --- | --- |
| Run: student | Bước 1–3 tài khoản học sinh |
| Run: parent | Bước 4–5 tài khoản phụ huynh |</t>
        </is>
      </c>
      <c r="L203" s="9" t="inlineStr">
        <is>
          <t>1. Chỉ thấy dữ liệu S01.
2. Bị từ chối.
3. Bị từ chối.
4. Chỉ thấy dữ liệu S01; dấu đỏ và điểm ẩn giống màn học sinh.
5. Bị từ chối.</t>
        </is>
      </c>
      <c r="M203" s="9"/>
      <c r="N203" s="9"/>
      <c r="O203" s="9">
        <v>2</v>
      </c>
      <c r="P203" s="9">
        <f>IF(OR(COUNTIF('Run Log'!$B:$B,A203)&lt;&gt;O203,COUNTIF('Run Log'!$A:$A,"RUN-TC-RS-REG-015-student")&lt;&gt;1,COUNTIFS('Run Log'!$A:$A,"RUN-TC-RS-REG-015-student",'Run Log'!$B:$B,A203,'Run Log'!$C:$C,"student")&lt;&gt;1,COUNTIF('Run Log'!$A:$A,"RUN-TC-RS-REG-015-parent")&lt;&gt;1,COUNTIFS('Run Log'!$A:$A,"RUN-TC-RS-REG-015-parent",'Run Log'!$B:$B,A203,'Run Log'!$C:$C,"parent")&lt;&gt;1),"INCOMPLETE",IF(COUNTIFS('Run Log'!$B:$B,A203,'Run Log'!$D:$D,"PASS")=O203,"PASS",IF(COUNTIFS('Run Log'!$B:$B,A203,'Run Log'!$D:$D,"FAIL")&gt;0,"FAIL",IF(COUNTIFS('Run Log'!$B:$B,A203,'Run Log'!$D:$D,"BLOCKED")&gt;0,"BLOCKED",IF(COUNTIFS('Run Log'!$B:$B,A203,'Run Log'!$D:$D,"SKIPPED")&gt;0,"SKIPPED","NOT RUN")))))</f>
      </c>
    </row>
    <row r="204">
      <c r="A204" s="9" t="inlineStr">
        <is>
          <t>TC-RS-REG-016</t>
        </is>
      </c>
      <c r="B204" s="9" t="inlineStr">
        <is>
          <t>Đăng ký điểm: xử lý điểm liên quan và giao dịch giữ như trước</t>
        </is>
      </c>
      <c r="C204" s="9" t="inlineStr">
        <is>
          <t>H. Regression</t>
        </is>
      </c>
      <c r="D204" s="9" t="inlineStr">
        <is>
          <t>- Điều kiện: Mục có môn chính/môn con và quan điểm, có quy tắc tính tự động（自動計算設定） (mục số nguyên có thêm tính tự động) để các bước sau tính tự động chạy; baseline điểm môn chính, điểm quan điểm được sao chép và tín chỉ（単位） sau khi lưu điểm môn con. quy tắc “Cố định 30” (dưới 30) ở mục môn chính và ở mục nhận điểm sao chép theo quan điểm.
- Dữ liệu test: quy tắc “Cố định 30” (dưới 30); mục số nguyên (M=100); mục số nguyên có thêm tính tự động</t>
        </is>
      </c>
      <c r="E204" s="9" t="inlineStr">
        <is>
          <t>Cao</t>
        </is>
      </c>
      <c r="F204" s="9" t="inlineStr">
        <is>
          <t>CONFIRMED</t>
        </is>
      </c>
      <c r="G204" s="9" t="inlineStr">
        <is>
          <t>UNASSESSED</t>
        </is>
      </c>
      <c r="H204" s="9" t="inlineStr">
        <is>
          <t>đặc tả v2 mục 7.5 “Phạm vi một lượt và thứ tự hoàn tất”, mục 8.4 “Lỗi kỹ thuật và thông báo”</t>
        </is>
      </c>
      <c r="I204" s="9" t="inlineStr">
        <is>
          <t>H. Regression</t>
        </is>
      </c>
      <c r="J204" s="9" t="inlineStr">
        <is>
          <t>test-cases.vi.md</t>
        </is>
      </c>
      <c r="K204" s="9" t="inlineStr">
        <is>
          <t>1. Lưu điểm môn con qua đường ghi điểm “Màn lớp NB 成績登録 (đăng ký điểm)”, đường ghi điểm “CSV lớp NB”, đường ghi điểm “HR成績CSV一括登録 (đăng ký điểm hàng loạt bằng CSV)”.
2. So điểm môn chính, điểm quan điểm được sao chép và tín chỉ với baseline.
3. Xem kết quả đỏ của ô môn chính và ô nhận điểm sao chép; chọn dữ liệu sao cho giá trị trung gian (trước bước môn chính/phụ hoặc sao chép) và giá trị cuối nằm khác phía ngưỡng 30.
| Lượt chạy | Phạm vi thực hiện và đối chiếu |
| --- | --- |
| Run: direct | Màn đăng ký NB, đủ bước 1–3 |
| Run: csv | CSV lớp NB, đủ bước 1–3 |
| Run: hr-csv | CSV lớp chủ nhiệm hàng loạt, đủ bước 1–3 |</t>
        </is>
      </c>
      <c r="L204" s="9" t="inlineStr">
        <is>
          <t>1–2. Điểm môn chính, điểm quan điểm được sao chép và tín chỉ bằng baseline; thông báo và hành vi lỗi của từng đường như baseline.
3. Ô môn chính và ô nhận điểm sao chép được xét theo giá trị cuối sau các bước sau tính tự động, không theo giá trị trung gian (đặc tả v2 mục 7.5 “Phạm vi một lượt và thứ tự hoàn tất”).</t>
        </is>
      </c>
      <c r="M204" s="9"/>
      <c r="N204" s="9"/>
      <c r="O204" s="9">
        <v>3</v>
      </c>
      <c r="P204" s="9">
        <f>IF(OR(COUNTIF('Run Log'!$B:$B,A204)&lt;&gt;O204,COUNTIF('Run Log'!$A:$A,"RUN-TC-RS-REG-016-direct")&lt;&gt;1,COUNTIFS('Run Log'!$A:$A,"RUN-TC-RS-REG-016-direct",'Run Log'!$B:$B,A204,'Run Log'!$C:$C,"direct")&lt;&gt;1,COUNTIF('Run Log'!$A:$A,"RUN-TC-RS-REG-016-csv")&lt;&gt;1,COUNTIFS('Run Log'!$A:$A,"RUN-TC-RS-REG-016-csv",'Run Log'!$B:$B,A204,'Run Log'!$C:$C,"csv")&lt;&gt;1,COUNTIF('Run Log'!$A:$A,"RUN-TC-RS-REG-016-hr-csv")&lt;&gt;1,COUNTIFS('Run Log'!$A:$A,"RUN-TC-RS-REG-016-hr-csv",'Run Log'!$B:$B,A204,'Run Log'!$C:$C,"hr-csv")&lt;&gt;1),"INCOMPLETE",IF(COUNTIFS('Run Log'!$B:$B,A204,'Run Log'!$D:$D,"PASS")=O204,"PASS",IF(COUNTIFS('Run Log'!$B:$B,A204,'Run Log'!$D:$D,"FAIL")&gt;0,"FAIL",IF(COUNTIFS('Run Log'!$B:$B,A204,'Run Log'!$D:$D,"BLOCKED")&gt;0,"BLOCKED",IF(COUNTIFS('Run Log'!$B:$B,A204,'Run Log'!$D:$D,"SKIPPED")&gt;0,"SKIPPED","NOT RUN")))))</f>
      </c>
    </row>
    <row r="205">
      <c r="A205" s="9" t="inlineStr">
        <is>
          <t>TC-RS-REG-017</t>
        </is>
      </c>
      <c r="B205" s="9" t="inlineStr">
        <is>
          <t>Thiết lập ô nhập（入力欄設定）: các hàng hiện có không bị ảnh hưởng</t>
        </is>
      </c>
      <c r="C205" s="9" t="inlineStr">
        <is>
          <t>H. Regression</t>
        </is>
      </c>
      <c r="D205" s="9" t="inlineStr">
        <is>
          <t>- Điều kiện: Baseline màn với nhiều mục; có mục có tính tự động và mục bị ẩn.
- Dữ liệu test: mục số nguyên (M=100), mục số nguyên có thêm tính tự động</t>
        </is>
      </c>
      <c r="E205" s="9" t="inlineStr">
        <is>
          <t>TBD</t>
        </is>
      </c>
      <c r="F205" s="9" t="inlineStr">
        <is>
          <t>CONFIRMED</t>
        </is>
      </c>
      <c r="G205" s="9" t="inlineStr">
        <is>
          <t>UNASSESSED</t>
        </is>
      </c>
      <c r="H205" s="9" t="inlineStr">
        <is>
          <t>đặc tả v2 mục 4.1 “Điểm vào và trạng thái trống”, mục 12.2 “Điểm tích hợp chính”</t>
        </is>
      </c>
      <c r="I205" s="9" t="inlineStr">
        <is>
          <t>H. Regression</t>
        </is>
      </c>
      <c r="J205" s="9" t="inlineStr">
        <is>
          <t>test-cases.vi.md</t>
        </is>
      </c>
      <c r="K205" s="9" t="inlineStr">
        <is>
          <t>1. Mở màn, so bố cục với baseline.
2. Bấm link ở hàng Tính tự động（自動計算） và Thiết lập ẩn mục nhập（入力項目の非表示設定）.
3. Sửa một giá trị ở hàng khác, lưu.
| Lượt chạy | Phạm vi thực hiện và đối chiếu |
| --- | --- |
| Run: Base | Toàn bộ thủ tục theo đúng thứ tự; các đối chứng cùng fixture được kiểm trong cùng lượt, không bỏ bước |</t>
        </is>
      </c>
      <c r="L205" s="9" t="inlineStr">
        <is>
          <t>Cột thẳng hàng, link mở đúng màn của đúng mục, lưu các hàng khác như baseline.</t>
        </is>
      </c>
      <c r="M205" s="9"/>
      <c r="N205" s="9"/>
      <c r="O205" s="9">
        <v>1</v>
      </c>
      <c r="P205" s="9">
        <f>IF(OR(COUNTIF('Run Log'!$B:$B,A205)&lt;&gt;O205,COUNTIF('Run Log'!$A:$A,"RUN-TC-RS-REG-017-Base")&lt;&gt;1,COUNTIFS('Run Log'!$A:$A,"RUN-TC-RS-REG-017-Base",'Run Log'!$B:$B,A205,'Run Log'!$C:$C,"Base")&lt;&gt;1),"INCOMPLETE",IF(COUNTIFS('Run Log'!$B:$B,A205,'Run Log'!$D:$D,"PASS")=O205,"PASS",IF(COUNTIFS('Run Log'!$B:$B,A205,'Run Log'!$D:$D,"FAIL")&gt;0,"FAIL",IF(COUNTIFS('Run Log'!$B:$B,A205,'Run Log'!$D:$D,"BLOCKED")&gt;0,"BLOCKED",IF(COUNTIFS('Run Log'!$B:$B,A205,'Run Log'!$D:$D,"SKIPPED")&gt;0,"SKIPPED","NOT RUN")))))</f>
      </c>
    </row>
    <row r="206">
      <c r="A206" s="9" t="inlineStr">
        <is>
          <t>TC-RS-DATA-014</t>
        </is>
      </c>
      <c r="B206" s="9" t="inlineStr">
        <is>
          <t>Legacy: báo cáo riêng trường vẫn giữ cách dùng điểm đỏ cũ</t>
        </is>
      </c>
      <c r="C206" s="9" t="inlineStr">
        <is>
          <t>G. Data • Persistence</t>
        </is>
      </c>
      <c r="D206" s="9" t="inlineStr">
        <is>
          <t>- Có dữ liệu legacy `red_score` trước khi bật cấu hình mới; có cùng mục được cấu hình rule mới.</t>
        </is>
      </c>
      <c r="E206" s="9" t="inlineStr">
        <is>
          <t>Cao</t>
        </is>
      </c>
      <c r="F206" s="9" t="inlineStr">
        <is>
          <t>CONFIRMED</t>
        </is>
      </c>
      <c r="G206" s="9" t="inlineStr">
        <is>
          <t>UNASSESSED</t>
        </is>
      </c>
      <c r="H206" s="9" t="inlineStr">
        <is>
          <t>AC-G38 «Bảo toàn điểm đỏ cũ»</t>
        </is>
      </c>
      <c r="I206" s="9" t="inlineStr">
        <is>
          <t>G. Data • Persistence</t>
        </is>
      </c>
      <c r="J206" s="9" t="inlineStr">
        <is>
          <t>test-cases.vi.md</t>
        </is>
      </c>
      <c r="K206" s="9" t="inlineStr">
        <is>
          <t>1. Xem báo cáo riêng trường trước và sau khi cấu hình/chạy rule mới.
2. Đối chiếu giá trị legacy và kết luận của rule mới.
| Lượt chạy | Phạm vi thực hiện và đối chiếu |
| --- | --- |
| Run: Base | Toàn bộ thủ tục theo đúng thứ tự; các đối chứng cùng fixture được kiểm trong cùng lượt, không bỏ bước |</t>
        </is>
      </c>
      <c r="L206" s="9" t="inlineStr">
        <is>
          <t>Legacy không bị chuyển thành rule mới, reset hoặc dùng thay cho rule mới; hai nguồn được giữ riêng và báo cáo legacy vẫn giữ cách dùng cũ.</t>
        </is>
      </c>
      <c r="M206" s="9"/>
      <c r="N206" s="9"/>
      <c r="O206" s="9">
        <v>1</v>
      </c>
      <c r="P206" s="9">
        <f>IF(OR(COUNTIF('Run Log'!$B:$B,A206)&lt;&gt;O206,COUNTIF('Run Log'!$A:$A,"RUN-TC-RS-DATA-014-Base")&lt;&gt;1,COUNTIFS('Run Log'!$A:$A,"RUN-TC-RS-DATA-014-Base",'Run Log'!$B:$B,A206,'Run Log'!$C:$C,"Base")&lt;&gt;1),"INCOMPLETE",IF(COUNTIFS('Run Log'!$B:$B,A206,'Run Log'!$D:$D,"PASS")=O206,"PASS",IF(COUNTIFS('Run Log'!$B:$B,A206,'Run Log'!$D:$D,"FAIL")&gt;0,"FAIL",IF(COUNTIFS('Run Log'!$B:$B,A206,'Run Log'!$D:$D,"BLOCKED")&gt;0,"BLOCKED",IF(COUNTIFS('Run Log'!$B:$B,A206,'Run Log'!$D:$D,"SKIPPED")&gt;0,"SKIPPED","NOT RUN")))))</f>
      </c>
    </row>
    <row r="207">
      <c r="A207" s="9" t="inlineStr">
        <is>
          <t>TC-RS-DATA-015</t>
        </is>
      </c>
      <c r="B207" s="9" t="inlineStr">
        <is>
          <t>Sao chép cấu hình giữ riêng legacy và không sao chép kết quả cá nhân</t>
        </is>
      </c>
      <c r="C207" s="9" t="inlineStr">
        <is>
          <t>G. Data • Persistence</t>
        </is>
      </c>
      <c r="D207" s="9" t="inlineStr">
        <is>
          <t>- Nguồn: trường A / năm 2026 / mục Toán / nhóm G-A, có rule mới `&lt;30`, ngưỡng legacy `red_score=25` đang được báo cáo riêng, và S01 có kết quả Đỏ đã chốt. Đích: trường A / năm 2026 / mục Toán tương ứng / nhóm G-B, chưa có legacy/kết quả cá nhân; mapping môn Toán và identity ô đích khác nguồn. Có chức năng sao chép cấu hình trong phạm vi đợt.</t>
        </is>
      </c>
      <c r="E207" s="9" t="inlineStr">
        <is>
          <t>Cao</t>
        </is>
      </c>
      <c r="F207" s="9" t="inlineStr">
        <is>
          <t>CONFIRMED</t>
        </is>
      </c>
      <c r="G207" s="9" t="inlineStr">
        <is>
          <t>BLOCKED</t>
        </is>
      </c>
      <c r="H207" s="9" t="inlineStr">
        <is>
          <t>AC-G38 «Bảo toàn điểm đỏ cũ»; AC-G39 «Không dùng lại kết quả cho đối tượng mới»</t>
        </is>
      </c>
      <c r="I207" s="9" t="inlineStr">
        <is>
          <t>G. Data • Persistence</t>
        </is>
      </c>
      <c r="J207" s="9" t="inlineStr">
        <is>
          <t>test-cases.vi.md</t>
        </is>
      </c>
      <c r="K207" s="9" t="inlineStr">
        <is>
          <t>1. Ghi snapshot trước thao tác: rule, mapping mục/môn/nhóm, legacy và kết quả riêng của S01 ở nguồn.
2. Sao chép cấu hình sang mục/đối tượng đích; ghi identity nguồn/đích và mapping thực tế.
3. Mở cấu hình, legacy và kết quả của đích; không dùng dữ liệu nguồn làm baseline cho đích.
| Lượt chạy | Phạm vi thực hiện và đối chiếu |
| --- | --- |
| Run: Base | Toàn bộ thủ tục theo đúng thứ tự; các đối chứng cùng fixture được kiểm trong cùng lượt, không bỏ bước |</t>
        </is>
      </c>
      <c r="L207" s="9" t="inlineStr">
        <is>
          <t>Cấu hình `&lt;30` được ánh xạ theo identity đích. Ngưỡng legacy `red_score=25` có mapping hợp lệ cũng được sao chép theo đường legacy hiện hữu: nguồn và đích đều đọc ra 25 tại cấu hình/báo cáo legacy riêng; không xóa, đổi nghĩa hoặc biến thành rule/fallback mới. Nếu đường sao chép legacy của build chưa được xác minh, giữ nhánh BLOCKED và ghi seam/mapping thiếu. Đích không có kết quả đỏ/bản chốt **cá nhân** của S01 nguồn; chỉ lần xét mới trên identity đích mới tạo kết quả cá nhân ở đích.</t>
        </is>
      </c>
      <c r="M207" s="9"/>
      <c r="N207" s="9"/>
      <c r="O207" s="9">
        <v>1</v>
      </c>
      <c r="P207" s="9">
        <f>IF(OR(COUNTIF('Run Log'!$B:$B,A207)&lt;&gt;O207,COUNTIF('Run Log'!$A:$A,"RUN-TC-RS-DATA-015-Base")&lt;&gt;1,COUNTIFS('Run Log'!$A:$A,"RUN-TC-RS-DATA-015-Base",'Run Log'!$B:$B,A207,'Run Log'!$C:$C,"Base")&lt;&gt;1),"INCOMPLETE",IF(COUNTIFS('Run Log'!$B:$B,A207,'Run Log'!$D:$D,"PASS")=O207,"PASS",IF(COUNTIFS('Run Log'!$B:$B,A207,'Run Log'!$D:$D,"FAIL")&gt;0,"FAIL",IF(COUNTIFS('Run Log'!$B:$B,A207,'Run Log'!$D:$D,"BLOCKED")&gt;0,"BLOCKED",IF(COUNTIFS('Run Log'!$B:$B,A207,'Run Log'!$D:$D,"SKIPPED")&gt;0,"SKIPPED","NOT RUN")))))</f>
      </c>
    </row>
    <row r="208">
      <c r="A208" s="9" t="inlineStr">
        <is>
          <t>TC-RS-DATA-016</t>
        </is>
      </c>
      <c r="B208" s="9" t="inlineStr">
        <is>
          <t>Kế thừa năm mới không dùng bản chốt hoặc kết quả cá nhân của năm cũ</t>
        </is>
      </c>
      <c r="C208" s="9" t="inlineStr">
        <is>
          <t>G. Data • Persistence</t>
        </is>
      </c>
      <c r="D208" s="9" t="inlineStr">
        <is>
          <t>- Nguồn: TD-LEGACY-01 tại trường A/năm 2025/kỳ Cuối kỳ học kỳ 1/mục Toán/nhóm G-A có rule mới `&lt;30`, ngưỡng legacy `red_score=25`, snapshot và kết quả cá nhân Đỏ của S01. Đích: cùng trường/năm 2026/kỳ tương ứng/mục Toán/nhóm được ánh xạ G-A→G-A năm mới, ban đầu không có ngưỡng legacy hay kết quả cá nhân; ghi identity học sinh đích riêng. Đường tạo/kế thừa năm cần provision và xác minh mapping thực tế.</t>
        </is>
      </c>
      <c r="E208" s="9" t="inlineStr">
        <is>
          <t>Cao</t>
        </is>
      </c>
      <c r="F208" s="9" t="inlineStr">
        <is>
          <t>CONFIRMED</t>
        </is>
      </c>
      <c r="G208" s="9" t="inlineStr">
        <is>
          <t>BLOCKED</t>
        </is>
      </c>
      <c r="H208" s="9" t="inlineStr">
        <is>
          <t>AC-G38 «Bảo toàn điểm đỏ cũ»; AC-G39 «Không dùng lại kết quả cho đối tượng mới»</t>
        </is>
      </c>
      <c r="I208" s="9" t="inlineStr">
        <is>
          <t>G. Data • Persistence</t>
        </is>
      </c>
      <c r="J208" s="9" t="inlineStr">
        <is>
          <t>test-cases.vi.md</t>
        </is>
      </c>
      <c r="K208" s="9" t="inlineStr">
        <is>
          <t>1. Chụp riêng rule mới, giá trị legacy 25 tại nguồn, snapshot và kết quả cá nhân S01 năm 2025; ghi đích chưa có legacy/kết quả.
2. Tạo năm 2026/kế thừa cấu hình; ghi mapping kỳ/mục Toán/môn Toán/nhóm G-A, identity ô và học sinh đích thực tế.
3. Đọc lại ngưỡng/báo cáo legacy của hai năm; mở kết quả cá nhân năm 2026 **trước** khi chạy xét, rồi chạy xét riêng ở đích.
| Lượt chạy | Phạm vi thực hiện và đối chiếu |
| --- | --- |
| Run: Base | Toàn bộ thủ tục theo đúng thứ tự; các đối chứng cùng fixture được kiểm trong cùng lượt, không bỏ bước |</t>
        </is>
      </c>
      <c r="L208" s="9" t="inlineStr">
        <is>
          <t>Rule mới `&lt;30` và ngưỡng legacy **25** được kế thừa đúng mapping: nguồn vẫn 25, đích đọc 25 ở cấu hình/báo cáo legacy riêng; không thành rule/fallback mới. Trước lần xét mới, đích không có snapshot/kết quả **cá nhân** của S01 năm 2025; sau lần xét riêng, kết quả chỉ mang identity năm 2026. Nếu chưa xác minh được seam kế thừa/mapping hoặc reader legacy ở đích thì BLOCKED, không chỉ kiểm nguồn giữ nguyên.</t>
        </is>
      </c>
      <c r="M208" s="9"/>
      <c r="N208" s="9"/>
      <c r="O208" s="9">
        <v>1</v>
      </c>
      <c r="P208" s="9">
        <f>IF(OR(COUNTIF('Run Log'!$B:$B,A208)&lt;&gt;O208,COUNTIF('Run Log'!$A:$A,"RUN-TC-RS-DATA-016-Base")&lt;&gt;1,COUNTIFS('Run Log'!$A:$A,"RUN-TC-RS-DATA-016-Base",'Run Log'!$B:$B,A208,'Run Log'!$C:$C,"Base")&lt;&gt;1),"INCOMPLETE",IF(COUNTIFS('Run Log'!$B:$B,A208,'Run Log'!$D:$D,"PASS")=O208,"PASS",IF(COUNTIFS('Run Log'!$B:$B,A208,'Run Log'!$D:$D,"FAIL")&gt;0,"FAIL",IF(COUNTIFS('Run Log'!$B:$B,A208,'Run Log'!$D:$D,"BLOCKED")&gt;0,"BLOCKED",IF(COUNTIFS('Run Log'!$B:$B,A208,'Run Log'!$D:$D,"SKIPPED")&gt;0,"SKIPPED","NOT RUN")))))</f>
      </c>
    </row>
    <row r="209">
      <c r="A209" s="9" t="inlineStr">
        <is>
          <t>TC-RS-DATA-017</t>
        </is>
      </c>
      <c r="B209" s="9" t="inlineStr">
        <is>
          <t>Xuất/nhập cấu hình giữ legacy riêng và không nhập kết quả cá nhân</t>
        </is>
      </c>
      <c r="C209" s="9" t="inlineStr">
        <is>
          <t>G. Data • Persistence</t>
        </is>
      </c>
      <c r="D209" s="9" t="inlineStr">
        <is>
          <t>- Nguồn: TD-LEGACY-01 trường A/năm 2025/kỳ Cuối kỳ học kỳ 1/mục Toán/nhóm G-A. File cấu hình xuất phải chứa mapping kỳ/môn Toán/mục Toán/nhóm G-A **và giá trị legacy `red_score=25`**, không chỉ metadata/tên field; rule mới `&lt;30` nằm ở phần cấu hình mới riêng. Snapshot/kết quả cá nhân Đỏ của S01 làm đối chứng âm, không thuộc payload cấu hình được phép nhập. Đích: trường A/năm 2026/kỳ, môn, mục, nhóm tương ứng được ánh xạ, ban đầu chưa có legacy/kết quả cá nhân; quyền nhập hợp lệ.</t>
        </is>
      </c>
      <c r="E209" s="9" t="inlineStr">
        <is>
          <t>Cao</t>
        </is>
      </c>
      <c r="F209" s="9" t="inlineStr">
        <is>
          <t>CONFIRMED</t>
        </is>
      </c>
      <c r="G209" s="9" t="inlineStr">
        <is>
          <t>BLOCKED</t>
        </is>
      </c>
      <c r="H209" s="9" t="inlineStr">
        <is>
          <t>AC-G38 «Bảo toàn điểm đỏ cũ»; AC-G39 «Không dùng lại kết quả cho đối tượng mới»</t>
        </is>
      </c>
      <c r="I209" s="9" t="inlineStr">
        <is>
          <t>G. Data • Persistence</t>
        </is>
      </c>
      <c r="J209" s="9" t="inlineStr">
        <is>
          <t>test-cases.vi.md</t>
        </is>
      </c>
      <c r="K209" s="9" t="inlineStr">
        <is>
          <t>1. Ghi file xuất thật, vị trí giá trị legacy 25, mapping nguồn→đích và sự vắng mặt của snapshot/kết quả cá nhân trong phần cấu hình.
2. Nhập file vào trường/năm đích bằng đường import được hỗ trợ; ghi response/lỗi ánh xạ nếu có.
3. Đọc lại legacy ở nguồn và đích qua cấu hình/báo cáo riêng, rule mới và kết quả cá nhân đích trước/sau lần xét riêng.
| Lượt chạy | Phạm vi thực hiện và đối chiếu |
| --- | --- |
| Run: Base | Toàn bộ thủ tục theo đúng thứ tự; các đối chứng cùng fixture được kiểm trong cùng lượt, không bỏ bước |</t>
        </is>
      </c>
      <c r="L209" s="9" t="inlineStr">
        <is>
          <t>Chỉ payload cấu hình có mapping hợp lệ được nhập: ngưỡng legacy nguồn 25 vẫn là 25, file chứa 25 và đích đọc ra **25** ở cấu hình/báo cáo legacy riêng; rule mới `&lt;30` giữ riêng, không dùng 25 như fallback. Snapshot/kết quả **cá nhân** của S01 nguồn không được nhập hoặc gắn vào identity đích trước lần xét riêng; kết quả mới phải mang identity đích. Nếu format/đường import hoặc reader legacy chưa xác minh thì BLOCKED đúng nhánh, ghi seam thiếu, không suy giá trị từ metadata trống.</t>
        </is>
      </c>
      <c r="M209" s="9"/>
      <c r="N209" s="9"/>
      <c r="O209" s="9">
        <v>1</v>
      </c>
      <c r="P209" s="9">
        <f>IF(OR(COUNTIF('Run Log'!$B:$B,A209)&lt;&gt;O209,COUNTIF('Run Log'!$A:$A,"RUN-TC-RS-DATA-017-Base")&lt;&gt;1,COUNTIFS('Run Log'!$A:$A,"RUN-TC-RS-DATA-017-Base",'Run Log'!$B:$B,A209,'Run Log'!$C:$C,"Base")&lt;&gt;1),"INCOMPLETE",IF(COUNTIFS('Run Log'!$B:$B,A209,'Run Log'!$D:$D,"PASS")=O209,"PASS",IF(COUNTIFS('Run Log'!$B:$B,A209,'Run Log'!$D:$D,"FAIL")&gt;0,"FAIL",IF(COUNTIFS('Run Log'!$B:$B,A209,'Run Log'!$D:$D,"BLOCKED")&gt;0,"BLOCKED",IF(COUNTIFS('Run Log'!$B:$B,A209,'Run Log'!$D:$D,"SKIPPED")&gt;0,"SKIPPED","NOT RUN")))))</f>
      </c>
    </row>
    <row r="210">
      <c r="A210" s="9" t="inlineStr">
        <is>
          <t>TC-RS-DATA-018</t>
        </is>
      </c>
      <c r="B210" s="9" t="inlineStr">
        <is>
          <t>Khôi phục/thay khung không gắn kết quả vào ô mới</t>
        </is>
      </c>
      <c r="C210" s="9" t="inlineStr">
        <is>
          <t>G. Data • Persistence</t>
        </is>
      </c>
      <c r="D210" s="9" t="inlineStr">
        <is>
          <t>- Nguồn: TD-LEGACY-01, ô cũ trường A/năm 2025/kỳ Cuối kỳ học kỳ 1/mục Toán/nhóm G-A có rule mới `&lt;30`, ngưỡng legacy 25, snapshot và kết quả cá nhân Đỏ. Đích: ô/khung tạo lại có identity mới, cùng kỳ/môn Toán/mục Toán/nhóm G-A theo mapping được hỗ trợ, ban đầu chưa có legacy/kết quả cá nhân; đường khôi phục cần provision.</t>
        </is>
      </c>
      <c r="E210" s="9" t="inlineStr">
        <is>
          <t>Cao</t>
        </is>
      </c>
      <c r="F210" s="9" t="inlineStr">
        <is>
          <t>CONFIRMED</t>
        </is>
      </c>
      <c r="G210" s="9" t="inlineStr">
        <is>
          <t>BLOCKED</t>
        </is>
      </c>
      <c r="H210" s="9" t="inlineStr">
        <is>
          <t>AC-G38 «Bảo toàn điểm đỏ cũ»; AC-G39 «Không dùng lại kết quả cho đối tượng mới»</t>
        </is>
      </c>
      <c r="I210" s="9" t="inlineStr">
        <is>
          <t>G. Data • Persistence</t>
        </is>
      </c>
      <c r="J210" s="9" t="inlineStr">
        <is>
          <t>test-cases.vi.md</t>
        </is>
      </c>
      <c r="K210" s="9" t="inlineStr">
        <is>
          <t>1. Chụp identity, rule mới, ngưỡng legacy 25 và kết quả cá nhân ô cũ; ghi ô đích chưa có các giá trị đó.
2. Khôi phục/thay khung theo đường được hỗ trợ; ghi mapping kỳ/môn/mục/nhóm và ô cũ → ô mới, không tự ghép theo tên giống nhau.
3. Đọc lại ngưỡng/báo cáo legacy nguồn và đích, rule mới và kết quả cá nhân ô mới trước/sau khi xét riêng; kiểm ba đầu ra theo identity ô.
| Lượt chạy | Phạm vi thực hiện và đối chiếu |
| --- | --- |
| Run: Base | Toàn bộ thủ tục theo đúng thứ tự; các đối chứng cùng fixture được kiểm trong cùng lượt, không bỏ bước |</t>
        </is>
      </c>
      <c r="L210" s="9" t="inlineStr">
        <is>
          <t>Nguồn giữ ngưỡng legacy **25**; ô/khung mới có mapping hợp lệ cũng đọc **25** qua cấu hình/báo cáo legacy riêng, không thành rule/fallback mới. Ô mới **không** nhận snapshot/kết quả cá nhân của ô cũ trước lần xét riêng; sau đó kết quả phải mang identity ô mới. Nếu chưa xác minh đường khôi phục/mapping hoặc reader legacy ở đích thì BLOCKED, không bỏ nhánh.</t>
        </is>
      </c>
      <c r="M210" s="9"/>
      <c r="N210" s="9"/>
      <c r="O210" s="9">
        <v>1</v>
      </c>
      <c r="P210" s="9">
        <f>IF(OR(COUNTIF('Run Log'!$B:$B,A210)&lt;&gt;O210,COUNTIF('Run Log'!$A:$A,"RUN-TC-RS-DATA-018-Base")&lt;&gt;1,COUNTIFS('Run Log'!$A:$A,"RUN-TC-RS-DATA-018-Base",'Run Log'!$B:$B,A210,'Run Log'!$C:$C,"Base")&lt;&gt;1),"INCOMPLETE",IF(COUNTIFS('Run Log'!$B:$B,A210,'Run Log'!$D:$D,"PASS")=O210,"PASS",IF(COUNTIFS('Run Log'!$B:$B,A210,'Run Log'!$D:$D,"FAIL")&gt;0,"FAIL",IF(COUNTIFS('Run Log'!$B:$B,A210,'Run Log'!$D:$D,"BLOCKED")&gt;0,"BLOCKED",IF(COUNTIFS('Run Log'!$B:$B,A210,'Run Log'!$D:$D,"SKIPPED")&gt;0,"SKIPPED","NOT RUN")))))</f>
      </c>
    </row>
    <row r="211">
      <c r="A211" s="9" t="inlineStr">
        <is>
          <t>TC-RS-DATA-019</t>
        </is>
      </c>
      <c r="B211" s="9" t="inlineStr">
        <is>
          <t>Đồng bộ cấu hình không đồng nghĩa đã xét</t>
        </is>
      </c>
      <c r="C211" s="9" t="inlineStr">
        <is>
          <t>G. Data • Persistence</t>
        </is>
      </c>
      <c r="D211" s="9" t="inlineStr">
        <is>
          <t>- Nguồn: TD-LEGACY-01 trường A/năm 2025/kỳ Cuối kỳ học kỳ 1/mục Toán/nhóm G-A có rule mới `&lt;30`, ngưỡng legacy 25, snapshot và kết quả cá nhân Đỏ của S01. Đích: cùng trường/năm 2026/kỳ tương ứng/môn Toán/mục Toán/nhóm được ánh xạ G-A→G-A năm mới, ban đầu không có legacy, snapshot hoặc kết quả nguồn; đường sync cấu hình cần provision.</t>
        </is>
      </c>
      <c r="E211" s="9" t="inlineStr">
        <is>
          <t>Cao</t>
        </is>
      </c>
      <c r="F211" s="9" t="inlineStr">
        <is>
          <t>CONFIRMED</t>
        </is>
      </c>
      <c r="G211" s="9" t="inlineStr">
        <is>
          <t>BLOCKED</t>
        </is>
      </c>
      <c r="H211" s="9" t="inlineStr">
        <is>
          <t>AC-G38 «Bảo toàn điểm đỏ cũ»; AC-G39 «Không dùng lại kết quả cho đối tượng mới»</t>
        </is>
      </c>
      <c r="I211" s="9" t="inlineStr">
        <is>
          <t>G. Data • Persistence</t>
        </is>
      </c>
      <c r="J211" s="9" t="inlineStr">
        <is>
          <t>test-cases.vi.md</t>
        </is>
      </c>
      <c r="K211" s="9" t="inlineStr">
        <is>
          <t>1. Ghi mapping kỳ/môn/mục/nhóm, identity nguồn/đích, giá trị legacy nguồn 25 và snapshot/kết quả cá nhân nguồn; ghi trạng thái đích ban đầu.
2. Đồng bộ cấu hình; đọc lại rule mới và ngưỡng/báo cáo legacy ở cả nguồn lẫn đích.
3. Mở kết quả cá nhân và ba đầu ra của đích **trước** khi chạy xét, sau đó chạy xét riêng ở đích và đọc lại.
| Lượt chạy | Phạm vi thực hiện và đối chiếu |
| --- | --- |
| Run: Base | Toàn bộ thủ tục theo đúng thứ tự; các đối chứng cùng fixture được kiểm trong cùng lượt, không bỏ bước |</t>
        </is>
      </c>
      <c r="L211" s="9" t="inlineStr">
        <is>
          <t>Đồng bộ cấu hình có mapping hợp lệ giữ ngưỡng legacy **25** ở nguồn và đưa **25** tới cấu hình/báo cáo legacy riêng của đích; không thành rule/fallback mới. Trước lần xét riêng, đích chưa được coi là đã xét và không dùng snapshot/kết quả **cá nhân** nguồn; sau đó kết quả chỉ thuộc identity đích. Nếu seam sync/mapping hoặc reader legacy ở đích chưa xác minh thì BLOCKED, không coi chỉ bảo toàn nguồn là đủ.</t>
        </is>
      </c>
      <c r="M211" s="9"/>
      <c r="N211" s="9"/>
      <c r="O211" s="9">
        <v>1</v>
      </c>
      <c r="P211" s="9">
        <f>IF(OR(COUNTIF('Run Log'!$B:$B,A211)&lt;&gt;O211,COUNTIF('Run Log'!$A:$A,"RUN-TC-RS-DATA-019-Base")&lt;&gt;1,COUNTIFS('Run Log'!$A:$A,"RUN-TC-RS-DATA-019-Base",'Run Log'!$B:$B,A211,'Run Log'!$C:$C,"Base")&lt;&gt;1),"INCOMPLETE",IF(COUNTIFS('Run Log'!$B:$B,A211,'Run Log'!$D:$D,"PASS")=O211,"PASS",IF(COUNTIFS('Run Log'!$B:$B,A211,'Run Log'!$D:$D,"FAIL")&gt;0,"FAIL",IF(COUNTIFS('Run Log'!$B:$B,A211,'Run Log'!$D:$D,"BLOCKED")&gt;0,"BLOCKED",IF(COUNTIFS('Run Log'!$B:$B,A211,'Run Log'!$D:$D,"SKIPPED")&gt;0,"SKIPPED","NOT RUN")))))</f>
      </c>
    </row>
    <row r="212">
      <c r="A212" s="9" t="inlineStr">
        <is>
          <t>TC-RS-FUNC-003</t>
        </is>
      </c>
      <c r="B212" s="9" t="inlineStr">
        <is>
          <t>Danh sách trống không tự dựng rule từ cấu hình legacy</t>
        </is>
      </c>
      <c r="C212" s="9" t="inlineStr">
        <is>
          <t>A. Functional</t>
        </is>
      </c>
      <c r="D212" s="9" t="inlineStr">
        <is>
          <t>- Mục chưa có rule mới nhưng có giá trị legacy và kết quả legacy đã lưu.</t>
        </is>
      </c>
      <c r="E212" s="9" t="inlineStr">
        <is>
          <t>Cao</t>
        </is>
      </c>
      <c r="F212" s="9" t="inlineStr">
        <is>
          <t>CONFIRMED</t>
        </is>
      </c>
      <c r="G212" s="9" t="inlineStr">
        <is>
          <t>UNASSESSED</t>
        </is>
      </c>
      <c r="H212" s="9" t="inlineStr">
        <is>
          <t>AC-G04 «Lưu và mở lại nhiều thiết lập»; AC-G38 «Bảo toàn điểm đỏ cũ»</t>
        </is>
      </c>
      <c r="I212" s="9" t="inlineStr">
        <is>
          <t>A. Functional</t>
        </is>
      </c>
      <c r="J212" s="9" t="inlineStr">
        <is>
          <t>test-cases.vi.md</t>
        </is>
      </c>
      <c r="K212" s="9" t="inlineStr">
        <is>
          <t>1. Mở danh sách rule đỏ trống.
2. Chạy xét hoặc mở đầu ra.
| Lượt chạy | Phạm vi thực hiện và đối chiếu |
| --- | --- |
| Run: Base | Toàn bộ thủ tục theo đúng thứ tự; các đối chứng cùng fixture được kiểm trong cùng lượt, không bỏ bước |</t>
        </is>
      </c>
      <c r="L212" s="9" t="inlineStr">
        <is>
          <t>Danh sách không tự tạo rule/default từ ngưỡng legacy. Giá trị và kết quả legacy giữ nguyên; không dùng legacy làm rule fallback.</t>
        </is>
      </c>
      <c r="M212" s="9"/>
      <c r="N212" s="9"/>
      <c r="O212" s="9">
        <v>1</v>
      </c>
      <c r="P212" s="9">
        <f>IF(OR(COUNTIF('Run Log'!$B:$B,A212)&lt;&gt;O212,COUNTIF('Run Log'!$A:$A,"RUN-TC-RS-FUNC-003-Base")&lt;&gt;1,COUNTIFS('Run Log'!$A:$A,"RUN-TC-RS-FUNC-003-Base",'Run Log'!$B:$B,A212,'Run Log'!$C:$C,"Base")&lt;&gt;1),"INCOMPLETE",IF(COUNTIFS('Run Log'!$B:$B,A212,'Run Log'!$D:$D,"PASS")=O212,"PASS",IF(COUNTIFS('Run Log'!$B:$B,A212,'Run Log'!$D:$D,"FAIL")&gt;0,"FAIL",IF(COUNTIFS('Run Log'!$B:$B,A212,'Run Log'!$D:$D,"BLOCKED")&gt;0,"BLOCKED",IF(COUNTIFS('Run Log'!$B:$B,A212,'Run Log'!$D:$D,"SKIPPED")&gt;0,"SKIPPED","NOT RUN")))))</f>
      </c>
    </row>
    <row r="213">
      <c r="A213" s="9" t="inlineStr">
        <is>
          <t>TC-RS-BR-026</t>
        </is>
      </c>
      <c r="B213" s="9" t="inlineStr">
        <is>
          <t>Không fallback sang legacy khi rule mới thiếu hoặc không khớp dữ liệu</t>
        </is>
      </c>
      <c r="C213" s="9" t="inlineStr">
        <is>
          <t>C. Business Rules</t>
        </is>
      </c>
      <c r="D213" s="9" t="inlineStr">
        <is>
          <t>- Có rule mới thiếu nguồn/không khớp và kết quả legacy cũ của cùng ô.</t>
        </is>
      </c>
      <c r="E213" s="9" t="inlineStr">
        <is>
          <t>Cao</t>
        </is>
      </c>
      <c r="F213" s="9" t="inlineStr">
        <is>
          <t>CONFIRMED</t>
        </is>
      </c>
      <c r="G213" s="9" t="inlineStr">
        <is>
          <t>UNASSESSED</t>
        </is>
      </c>
      <c r="H213" s="9" t="inlineStr">
        <is>
          <t>AC-G12 «Đúng phạm vi tham chiếu»; AC-G38 «Bảo toàn điểm đỏ cũ»</t>
        </is>
      </c>
      <c r="I213" s="9" t="inlineStr">
        <is>
          <t>C. Business Rules</t>
        </is>
      </c>
      <c r="J213" s="9" t="inlineStr">
        <is>
          <t>test-cases.vi.md</t>
        </is>
      </c>
      <c r="K213" s="9" t="inlineStr">
        <is>
          <t>1. Chạy nút cam.
2. Xem trạng thái ô và ba đầu ra.
| Lượt chạy | Phạm vi thực hiện và đối chiếu |
| --- | --- |
| Run: no-match | Không quy tắc khớp |
| Run: missing-input | Thiếu dữ liệu để xét |</t>
        </is>
      </c>
      <c r="L213" s="9" t="inlineStr">
        <is>
          <t>Ô chuyển đúng trạng thái Chưa xét được/Không áp dụng theo nguyên nhân; không dùng legacy làm fallback và không tự ghi đè kết quả cũ ngoài chính sách trạng thái đã xác nhận.</t>
        </is>
      </c>
      <c r="M213" s="9"/>
      <c r="N213" s="9"/>
      <c r="O213" s="9">
        <v>2</v>
      </c>
      <c r="P213" s="9">
        <f>IF(OR(COUNTIF('Run Log'!$B:$B,A213)&lt;&gt;O213,COUNTIF('Run Log'!$A:$A,"RUN-TC-RS-BR-026-no-match")&lt;&gt;1,COUNTIFS('Run Log'!$A:$A,"RUN-TC-RS-BR-026-no-match",'Run Log'!$B:$B,A213,'Run Log'!$C:$C,"no-match")&lt;&gt;1,COUNTIF('Run Log'!$A:$A,"RUN-TC-RS-BR-026-missing-input")&lt;&gt;1,COUNTIFS('Run Log'!$A:$A,"RUN-TC-RS-BR-026-missing-input",'Run Log'!$B:$B,A213,'Run Log'!$C:$C,"missing-input")&lt;&gt;1),"INCOMPLETE",IF(COUNTIFS('Run Log'!$B:$B,A213,'Run Log'!$D:$D,"PASS")=O213,"PASS",IF(COUNTIFS('Run Log'!$B:$B,A213,'Run Log'!$D:$D,"FAIL")&gt;0,"FAIL",IF(COUNTIFS('Run Log'!$B:$B,A213,'Run Log'!$D:$D,"BLOCKED")&gt;0,"BLOCKED",IF(COUNTIFS('Run Log'!$B:$B,A213,'Run Log'!$D:$D,"SKIPPED")&gt;0,"SKIPPED","NOT RUN")))))</f>
      </c>
    </row>
    <row r="214">
      <c r="A214" s="9" t="inlineStr">
        <is>
          <t>TC-RS-DATA-006</t>
        </is>
      </c>
      <c r="B214" s="9" t="inlineStr">
        <is>
          <t>Giá trị legacy giữ nguyên khi thay đổi rule mới</t>
        </is>
      </c>
      <c r="C214" s="9" t="inlineStr">
        <is>
          <t>G. Data • Persistence</t>
        </is>
      </c>
      <c r="D214" s="9" t="inlineStr">
        <is>
          <t>- Có giá trị và kết quả legacy trước khi thêm rule mới.</t>
        </is>
      </c>
      <c r="E214" s="9" t="inlineStr">
        <is>
          <t>Cao</t>
        </is>
      </c>
      <c r="F214" s="9" t="inlineStr">
        <is>
          <t>CONFIRMED</t>
        </is>
      </c>
      <c r="G214" s="9" t="inlineStr">
        <is>
          <t>UNASSESSED</t>
        </is>
      </c>
      <c r="H214" s="9" t="inlineStr">
        <is>
          <t>AC-G38 «Bảo toàn điểm đỏ cũ»</t>
        </is>
      </c>
      <c r="I214" s="9" t="inlineStr">
        <is>
          <t>G. Data • Persistence</t>
        </is>
      </c>
      <c r="J214" s="9" t="inlineStr">
        <is>
          <t>test-cases.vi.md</t>
        </is>
      </c>
      <c r="K214" s="9" t="inlineStr">
        <is>
          <t>1. Thêm, sửa, xóa và chạy rule mới.
2. Đọc lại giá trị legacy và kết quả legacy.
| Lượt chạy | Phạm vi thực hiện và đối chiếu |
| --- | --- |
| Run: Base | Toàn bộ thủ tục theo đúng thứ tự; các đối chứng cùng fixture được kiểm trong cùng lượt, không bỏ bước |</t>
        </is>
      </c>
      <c r="L214" s="9" t="inlineStr">
        <is>
          <t>Giá trị legacy không bị sửa, xóa hoặc dùng lại làm kết quả cá nhân của rule mới.</t>
        </is>
      </c>
      <c r="M214" s="9"/>
      <c r="N214" s="9"/>
      <c r="O214" s="9">
        <v>1</v>
      </c>
      <c r="P214" s="9">
        <f>IF(OR(COUNTIF('Run Log'!$B:$B,A214)&lt;&gt;O214,COUNTIF('Run Log'!$A:$A,"RUN-TC-RS-DATA-006-Base")&lt;&gt;1,COUNTIFS('Run Log'!$A:$A,"RUN-TC-RS-DATA-006-Base",'Run Log'!$B:$B,A214,'Run Log'!$C:$C,"Base")&lt;&gt;1),"INCOMPLETE",IF(COUNTIFS('Run Log'!$B:$B,A214,'Run Log'!$D:$D,"PASS")=O214,"PASS",IF(COUNTIFS('Run Log'!$B:$B,A214,'Run Log'!$D:$D,"FAIL")&gt;0,"FAIL",IF(COUNTIFS('Run Log'!$B:$B,A214,'Run Log'!$D:$D,"BLOCKED")&gt;0,"BLOCKED",IF(COUNTIFS('Run Log'!$B:$B,A214,'Run Log'!$D:$D,"SKIPPED")&gt;0,"SKIPPED","NOT RUN")))))</f>
      </c>
    </row>
    <row r="215">
      <c r="A215" s="9" t="inlineStr">
        <is>
          <t>TC-RS-REG-011</t>
        </is>
      </c>
      <c r="B215" s="9" t="inlineStr">
        <is>
          <t>Consumer legacy giữ hành vi sau khi thêm rule đỏ</t>
        </is>
      </c>
      <c r="C215" s="9" t="inlineStr">
        <is>
          <t>H. Regression</t>
        </is>
      </c>
      <c r="D215" s="9" t="inlineStr">
        <is>
          <t>- Consumer/báo cáo hiện có đang hiển thị giá trị legacy trước khi bật rule mới.</t>
        </is>
      </c>
      <c r="E215" s="9" t="inlineStr">
        <is>
          <t>Cao</t>
        </is>
      </c>
      <c r="F215" s="9" t="inlineStr">
        <is>
          <t>CONFIRMED</t>
        </is>
      </c>
      <c r="G215" s="9" t="inlineStr">
        <is>
          <t>UNASSESSED</t>
        </is>
      </c>
      <c r="H215" s="9" t="inlineStr">
        <is>
          <t>AC-G38 «Bảo toàn điểm đỏ cũ»</t>
        </is>
      </c>
      <c r="I215" s="9" t="inlineStr">
        <is>
          <t>H. Regression</t>
        </is>
      </c>
      <c r="J215" s="9" t="inlineStr">
        <is>
          <t>test-cases.vi.md</t>
        </is>
      </c>
      <c r="K215" s="9" t="inlineStr">
        <is>
          <t>1. Thêm và chạy rule đỏ mới.
2. Mở consumer/báo cáo legacy cùng kỳ.
| Lượt chạy | Phạm vi thực hiện và đối chiếu |
| --- | --- |
| Run: Base | Toàn bộ thủ tục theo đúng thứ tự; các đối chứng cùng fixture được kiểm trong cùng lượt, không bỏ bước |</t>
        </is>
      </c>
      <c r="L215" s="9" t="inlineStr">
        <is>
          <t>Consumer legacy giữ hành vi và giá trị trước đó, trừ phần tích hợp đỏ được xác nhận riêng; không đọc nhầm payload kết quả cá nhân mới.</t>
        </is>
      </c>
      <c r="M215" s="9"/>
      <c r="N215" s="9"/>
      <c r="O215" s="9">
        <v>1</v>
      </c>
      <c r="P215" s="9">
        <f>IF(OR(COUNTIF('Run Log'!$B:$B,A215)&lt;&gt;O215,COUNTIF('Run Log'!$A:$A,"RUN-TC-RS-REG-011-Base")&lt;&gt;1,COUNTIFS('Run Log'!$A:$A,"RUN-TC-RS-REG-011-Base",'Run Log'!$B:$B,A215,'Run Log'!$C:$C,"Base")&lt;&gt;1),"INCOMPLETE",IF(COUNTIFS('Run Log'!$B:$B,A215,'Run Log'!$D:$D,"PASS")=O215,"PASS",IF(COUNTIFS('Run Log'!$B:$B,A215,'Run Log'!$D:$D,"FAIL")&gt;0,"FAIL",IF(COUNTIFS('Run Log'!$B:$B,A215,'Run Log'!$D:$D,"BLOCKED")&gt;0,"BLOCKED",IF(COUNTIFS('Run Log'!$B:$B,A215,'Run Log'!$D:$D,"SKIPPED")&gt;0,"SKIPPED","NOT RUN")))))</f>
      </c>
    </row>
    <row r="216">
      <c r="A216" s="9" t="inlineStr">
        <is>
          <t>TC-RS-DATA-009</t>
        </is>
      </c>
      <c r="B216" s="9" t="inlineStr">
        <is>
          <t>Copy, kế thừa năm, import/export và sync không mang kết quả cũ</t>
        </is>
      </c>
      <c r="C216" s="9" t="inlineStr">
        <is>
          <t>G. Data • Persistence</t>
        </is>
      </c>
      <c r="D216" s="9" t="inlineStr">
        <is>
          <t>- Nguồn có cấu hình, bản chốt và kết quả cá nhân legacy; đích là năm mới/đối tượng mới.</t>
        </is>
      </c>
      <c r="E216" s="9" t="inlineStr">
        <is>
          <t>Cao</t>
        </is>
      </c>
      <c r="F216" s="9" t="inlineStr">
        <is>
          <t>CONFIRMED</t>
        </is>
      </c>
      <c r="G216" s="9" t="inlineStr">
        <is>
          <t>UNASSESSED</t>
        </is>
      </c>
      <c r="H216" s="9" t="inlineStr">
        <is>
          <t>AC-G38 «Bảo toàn điểm đỏ cũ»; AC-G39 «Không dùng lại kết quả cho đối tượng mới»</t>
        </is>
      </c>
      <c r="I216" s="9" t="inlineStr">
        <is>
          <t>G. Data • Persistence</t>
        </is>
      </c>
      <c r="J216" s="9" t="inlineStr">
        <is>
          <t>test-cases.vi.md</t>
        </is>
      </c>
      <c r="K216" s="9" t="inlineStr">
        <is>
          <t>1. Thực hiện từng đường copy, kế thừa năm, import/export và sync.
2. Kiểm tra cấu hình, mapping identity, bản chốt và kết quả trước khi chạy xét ở đích.
| Lượt chạy | Phạm vi thực hiện và đối chiếu |
| --- | --- |
| Run: copy | Đường copy, fixture DATA-015 |
| Run: year | Đường kế thừa năm, fixture DATA-016 |
| Run: import-export | Đường xuất nhập, fixture DATA-017 |
| Run: sync | Đường đồng bộ, fixture DATA-019 |</t>
        </is>
      </c>
      <c r="L216" s="9" t="inlineStr">
        <is>
          <t>Chỉ phần được phép copy/sync được chuyển; không chuyển kết quả cá nhân hoặc bản chốt legacy sang identity đích. Mapping đúng; đích chỉ có kết quả sau lượt xét riêng.</t>
        </is>
      </c>
      <c r="M216" s="9"/>
      <c r="N216" s="9"/>
      <c r="O216" s="9">
        <v>4</v>
      </c>
      <c r="P216" s="9">
        <f>IF(OR(COUNTIF('Run Log'!$B:$B,A216)&lt;&gt;O216,COUNTIF('Run Log'!$A:$A,"RUN-TC-RS-DATA-009-copy")&lt;&gt;1,COUNTIFS('Run Log'!$A:$A,"RUN-TC-RS-DATA-009-copy",'Run Log'!$B:$B,A216,'Run Log'!$C:$C,"copy")&lt;&gt;1,COUNTIF('Run Log'!$A:$A,"RUN-TC-RS-DATA-009-year")&lt;&gt;1,COUNTIFS('Run Log'!$A:$A,"RUN-TC-RS-DATA-009-year",'Run Log'!$B:$B,A216,'Run Log'!$C:$C,"year")&lt;&gt;1,COUNTIF('Run Log'!$A:$A,"RUN-TC-RS-DATA-009-import-export")&lt;&gt;1,COUNTIFS('Run Log'!$A:$A,"RUN-TC-RS-DATA-009-import-export",'Run Log'!$B:$B,A216,'Run Log'!$C:$C,"import-export")&lt;&gt;1,COUNTIF('Run Log'!$A:$A,"RUN-TC-RS-DATA-009-sync")&lt;&gt;1,COUNTIFS('Run Log'!$A:$A,"RUN-TC-RS-DATA-009-sync",'Run Log'!$B:$B,A216,'Run Log'!$C:$C,"sync")&lt;&gt;1),"INCOMPLETE",IF(COUNTIFS('Run Log'!$B:$B,A216,'Run Log'!$D:$D,"PASS")=O216,"PASS",IF(COUNTIFS('Run Log'!$B:$B,A216,'Run Log'!$D:$D,"FAIL")&gt;0,"FAIL",IF(COUNTIFS('Run Log'!$B:$B,A216,'Run Log'!$D:$D,"BLOCKED")&gt;0,"BLOCKED",IF(COUNTIFS('Run Log'!$B:$B,A216,'Run Log'!$D:$D,"SKIPPED")&gt;0,"SKIPPED","NOT RUN")))))</f>
      </c>
    </row>
    <row r="217">
      <c r="A217" s="9" t="inlineStr">
        <is>
          <t>TC-RS-REG-012</t>
        </is>
      </c>
      <c r="B217" s="9" t="inlineStr">
        <is>
          <t>Các luồng chuyển cấu hình không làm mất legacy</t>
        </is>
      </c>
      <c r="C217" s="9" t="inlineStr">
        <is>
          <t>H. Regression</t>
        </is>
      </c>
      <c r="D217" s="9" t="inlineStr">
        <is>
          <t>- Có dữ liệu legacy và kết quả cá nhân ở nguồn; thực hiện một đường chuyển cấu hình được hỗ trợ.</t>
        </is>
      </c>
      <c r="E217" s="9" t="inlineStr">
        <is>
          <t>Cao</t>
        </is>
      </c>
      <c r="F217" s="9" t="inlineStr">
        <is>
          <t>CONFIRMED</t>
        </is>
      </c>
      <c r="G217" s="9" t="inlineStr">
        <is>
          <t>UNASSESSED</t>
        </is>
      </c>
      <c r="H217" s="9" t="inlineStr">
        <is>
          <t>AC-G38 «Bảo toàn điểm đỏ cũ»; AC-G39 «Không dùng lại kết quả cho đối tượng mới»</t>
        </is>
      </c>
      <c r="I217" s="9" t="inlineStr">
        <is>
          <t>H. Regression</t>
        </is>
      </c>
      <c r="J217" s="9" t="inlineStr">
        <is>
          <t>test-cases.vi.md</t>
        </is>
      </c>
      <c r="K217" s="9" t="inlineStr">
        <is>
          <t>1. Chuyển cấu hình qua copy/năm mới/import hoặc sync.
2. Đọc lại nguồn và đích trên consumer/báo cáo.
| Lượt chạy | Phạm vi thực hiện và đối chiếu |
| --- | --- |
| Run: copy | Đường copy DATA-015 |
| Run: year | Đường năm mới DATA-016 |
| Run: import | Đường import DATA-017 |
| Run: sync | Đường sync DATA-019 |</t>
        </is>
      </c>
      <c r="L217" s="9" t="inlineStr">
        <is>
          <t>Legacy ở nguồn vẫn nguyên vẹn; đích không nhận kết quả cá nhân ngoài mapping hợp lệ và không dùng lại kết quả nguồn.</t>
        </is>
      </c>
      <c r="M217" s="9"/>
      <c r="N217" s="9"/>
      <c r="O217" s="9">
        <v>4</v>
      </c>
      <c r="P217" s="9">
        <f>IF(OR(COUNTIF('Run Log'!$B:$B,A217)&lt;&gt;O217,COUNTIF('Run Log'!$A:$A,"RUN-TC-RS-REG-012-copy")&lt;&gt;1,COUNTIFS('Run Log'!$A:$A,"RUN-TC-RS-REG-012-copy",'Run Log'!$B:$B,A217,'Run Log'!$C:$C,"copy")&lt;&gt;1,COUNTIF('Run Log'!$A:$A,"RUN-TC-RS-REG-012-year")&lt;&gt;1,COUNTIFS('Run Log'!$A:$A,"RUN-TC-RS-REG-012-year",'Run Log'!$B:$B,A217,'Run Log'!$C:$C,"year")&lt;&gt;1,COUNTIF('Run Log'!$A:$A,"RUN-TC-RS-REG-012-import")&lt;&gt;1,COUNTIFS('Run Log'!$A:$A,"RUN-TC-RS-REG-012-import",'Run Log'!$B:$B,A217,'Run Log'!$C:$C,"import")&lt;&gt;1,COUNTIF('Run Log'!$A:$A,"RUN-TC-RS-REG-012-sync")&lt;&gt;1,COUNTIFS('Run Log'!$A:$A,"RUN-TC-RS-REG-012-sync",'Run Log'!$B:$B,A217,'Run Log'!$C:$C,"sync")&lt;&gt;1),"INCOMPLETE",IF(COUNTIFS('Run Log'!$B:$B,A217,'Run Log'!$D:$D,"PASS")=O217,"PASS",IF(COUNTIFS('Run Log'!$B:$B,A217,'Run Log'!$D:$D,"FAIL")&gt;0,"FAIL",IF(COUNTIFS('Run Log'!$B:$B,A217,'Run Log'!$D:$D,"BLOCKED")&gt;0,"BLOCKED",IF(COUNTIFS('Run Log'!$B:$B,A217,'Run Log'!$D:$D,"SKIPPED")&gt;0,"SKIPPED","NOT RUN")))))</f>
      </c>
    </row>
  </sheetData>
  <autoFilter ref="A1:P2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4"/>
  <sheetViews>
    <sheetView showGridLines="0" workbookViewId="0">
      <pane ySplit="4" topLeftCell="A5" activePane="bottomLeft" state="frozen"/>
      <selection pane="bottomLeft" activeCell="A1" sqref="A1"/>
    </sheetView>
  </sheetViews>
  <sheetFormatPr baseColWidth="8" defaultRowHeight="15"/>
  <cols>
    <col width="22" customWidth="1" min="1" max="1"/>
    <col width="120" customWidth="1" min="2" max="2"/>
  </cols>
  <sheetData>
    <row r="1">
      <c r="A1" s="11" t="inlineStr">
        <is>
          <t>Data / fixture index</t>
        </is>
      </c>
      <c r="B1" s="11" t="n">
      </c>
    </row>
    <row r="2">
      <c r="A2" s="1" t="inlineStr">
        <is>
          <t>Nguồn</t>
        </is>
      </c>
      <c r="B2" s="3" t="inlineStr">
        <is>
          <t>test-data.vi.md — fixture dùng chung; dữ liệu chỉ là thiết kế, cần chuẩn bị/reset trước khi chạy.</t>
        </is>
      </c>
    </row>
    <row r="3">
      <c r="A3" s="2" t="n">
      </c>
      <c r="B3" s="2" t="n">
      </c>
    </row>
    <row r="4">
      <c r="A4" s="11" t="inlineStr">
        <is>
          <t>Data ID</t>
        </is>
      </c>
      <c r="B4" s="11" t="inlineStr">
        <is>
          <t>Mô tả / giá trị fixture</t>
        </is>
      </c>
    </row>
    <row r="5">
      <c r="A5" s="9" t="inlineStr">
        <is>
          <t>TD-ENV-01</t>
        </is>
      </c>
      <c r="B5" s="9" t="inlineStr">
        <is>
          <t>Môi trường chạy | Local Docker (`docker-codeigniter`, `docker-mysql`) có build tính năng; hoặc staging được team cho phép ghi | env | Chạy toàn bộ case | Có quyền tạo/xóa dữ liệu test và reset</t>
        </is>
      </c>
    </row>
    <row r="6">
      <c r="A6" s="9" t="inlineStr">
        <is>
          <t>TD-ENV-02</t>
        </is>
      </c>
      <c r="B6" s="9" t="inlineStr">
        <is>
          <t>Trường khác | Trường B (tên giả), có ít nhất một mục đánh giá và một quy tắc đỏ | env | Kiểm tra giả mạo ID khác trường | Người dùng trường A không đọc/sửa được</t>
        </is>
      </c>
    </row>
    <row r="7">
      <c r="A7" s="9" t="inlineStr">
        <is>
          <t>TD-ENV-03</t>
        </is>
      </c>
      <c r="B7" s="9" t="inlineStr">
        <is>
          <t>Truy cập DB | Kết nối MySQL local, chỉ dùng SELECT / SHOW FULL COLUMNS để lấy bằng chứng | env | Bằng chứng dữ liệu | Không cần thông tin kết nối trong tài liệu</t>
        </is>
      </c>
    </row>
    <row r="8">
      <c r="A8" s="9" t="inlineStr">
        <is>
          <t>TD-ENV-04</t>
        </is>
      </c>
      <c r="B8" s="9" t="inlineStr">
        <is>
          <t>Nguồn snapshot | Dummy data cho bản tổng hợp đã chốt (R18 «đặc tả RC-001 v2» §5.5 «Chọn bản nguồn») cho tới khi [PR #57058](https://github.com/ednity/school-web/pull/57058) «PR thêm trạng thái xác nhận kết quả tổng hợp xếp hạng, còn mở» được tích hợp | env | Case nguồn trung bình | Bằng chứng ghi rõ "dummy data"</t>
        </is>
      </c>
    </row>
    <row r="9">
      <c r="A9" s="9" t="inlineStr">
        <is>
          <t>TD-ENV-05</t>
        </is>
      </c>
      <c r="B9" s="9" t="inlineStr">
        <is>
          <t>Đường dẫn màn (RSD-TASK «bản chia công việc v2») | Thiết lập nhập điểm（成績入力設定） `/admin/grade_report_setting/manage`; Tổng hợp thành tích（成績集計） `/admin/grade/grade_setting_system/grade_calc`; Đăng ký thành tích（成績登録） `/admin/nb/grade/grade_setting_system/lesson_group/regist/(:num)`; Đăng ký thành tích bằng CSV（成績CSV登録） `/admin/nb/grade/grade_setting_system/lesson_group_csv/regist/(:num)`; Thiết lập điểm tối đa hàng loạt（満点一括設定） `/admin/grade/lesson_group/setting?setting_type=change_max_score`; Trích xuất thành tích（成績抽出） `/admin/nb/grade/grade_setting_system/grade_extraction`; Thiết lập công khai thành tích（成績公開設定） `/admin/grade_report_setting/grade_publish`; Xác nhận thành tích（成績確認） `/student/grade/grade_publish`; Công cụ phiếu điểm（通知表ツール） `/admin/grade_report_setting/report_card` | env | Điều hướng khi chạy case | URL màn đỏ mới và màn liên kết điểm thi chưa chốt/chưa xác minh</t>
        </is>
      </c>
    </row>
    <row r="10">
      <c r="A10" s="9" t="inlineStr">
        <is>
          <t>TD-ENV-06</t>
        </is>
      </c>
      <c r="B10" s="9" t="inlineStr">
        <is>
          <t>Trường test | Trường A (tên giả "Trường THPT Test A"), `school_id` do môi trường cấp | env | Phạm vi trường | Mọi dữ liệu test thuộc trường này</t>
        </is>
      </c>
    </row>
    <row r="11">
      <c r="A11" s="9" t="inlineStr">
        <is>
          <t>TD-ENV-07</t>
        </is>
      </c>
      <c r="B11" s="9" t="inlineStr">
        <is>
          <t>Năm học | 2026 | env | Phạm vi năm | Mọi dữ liệu test thuộc năm này</t>
        </is>
      </c>
    </row>
    <row r="12">
      <c r="A12" s="9" t="inlineStr">
        <is>
          <t>TD-ROLE-01</t>
        </is>
      </c>
      <c r="B12" s="9" t="inlineStr">
        <is>
          <t>Giáo viên có quyền sửa mục | Có quyền vào Thiết lập nhập điểm（成績入力設定） và quyền sửa TD-ITEM-01…03 «mục đánh giá: Mục số nguyên: Điểm đánh… … Mục điểm đơn vị: Điểm bài kiểm tra…» | role | Cấu hình quy tắc | Xem/thêm/sửa/xóa/đổi thứ tự được</t>
        </is>
      </c>
    </row>
    <row r="13">
      <c r="A13" s="9" t="inlineStr">
        <is>
          <t>TD-ROLE-02</t>
        </is>
      </c>
      <c r="B13" s="9" t="inlineStr">
        <is>
          <t>Giáo viên không có quyền sửa mục | Vào được Thiết lập nhập điểm（成績入力設定） nhưng mục TD-ITEM-06 «Mục chỉ nội bộ: Mục số có cờ chỉ dành nội bộ（`mw_only_flg`）» là mục chỉ dành nội bộ（`mw_only_flg`） | role | Kiểm quyền mục | Không sửa được quy tắc của TD-ITEM-06 «Mục chỉ nội bộ: Mục số có cờ chỉ dành nội bộ（`mw_only_flg`）»</t>
        </is>
      </c>
    </row>
    <row r="14">
      <c r="A14" s="9" t="inlineStr">
        <is>
          <t>TD-ROLE-03</t>
        </is>
      </c>
      <c r="B14" s="9" t="inlineStr">
        <is>
          <t>Người có quyền chạy hàng loạt | Có quyền thực hiện Thực hiện tổng hợp（集計実行） và Thực hiện tính toán tự động（自動算出実行） theo cấu hình hiện hành | role | Chạy lại | Nút chạy dùng được</t>
        </is>
      </c>
    </row>
    <row r="15">
      <c r="A15" s="9" t="inlineStr">
        <is>
          <t>TD-ROLE-04</t>
        </is>
      </c>
      <c r="B15" s="9" t="inlineStr">
        <is>
          <t>Người sửa được mục nhưng không có quyền chạy | Như TD-ROLE-01 «Giáo viên có quyền sửa mục: Có quyền vào Thiết lập nhập điểm（成績入力設定） và…» nhưng không có quyền chạy hàng loạt | role | QAC «Q&amp;A nghiệp vụ đã xác nhận» Q1 «Ai được thiết lập điều kiện điểm đỏ?» | Không chạy được hàng loạt</t>
        </is>
      </c>
    </row>
    <row r="16">
      <c r="A16" s="9" t="inlineStr">
        <is>
          <t>TD-ROLE-05</t>
        </is>
      </c>
      <c r="B16" s="9" t="inlineStr">
        <is>
          <t>Học sinh | Học sinh S01 của trường A, có lịch công khai đang mở | role | Xác nhận thành tích（成績確認） | Chỉ xem dữ liệu của chính mình</t>
        </is>
      </c>
    </row>
    <row r="17">
      <c r="A17" s="9" t="inlineStr">
        <is>
          <t>TD-ROLE-06</t>
        </is>
      </c>
      <c r="B17" s="9" t="inlineStr">
        <is>
          <t>Học sinh | Học sinh S06 của trường A, có lịch công khai đang mở cho HR2 | role | Xác nhận thành tích（成績確認） | Chỉ xem dữ liệu của chính mình; dùng cho FUNC-027 và REG-008, không thay bằng tài khoản S01</t>
        </is>
      </c>
    </row>
    <row r="18">
      <c r="A18" s="9" t="inlineStr">
        <is>
          <t>TD-ROLE-07</t>
        </is>
      </c>
      <c r="B18" s="9" t="inlineStr">
        <is>
          <t>Người phụ trách đầu ra | Có quyền Trích xuất thành tích（成績抽出）, Thiết lập công khai thành tích（成績公開設定）, Công cụ phiếu điểm（通知表ツール） | role | Ba đầu ra | Mở và lưu được cấu hình đầu ra</t>
        </is>
      </c>
    </row>
    <row r="19">
      <c r="A19" s="9" t="inlineStr">
        <is>
          <t>TD-ROLE-08</t>
        </is>
      </c>
      <c r="B19" s="9" t="inlineStr">
        <is>
          <t>Phụ huynh | Phụ huynh có quan hệ với S01 ở trường A, lịch công khai đang mở (R18 «đặc tả RC-001 v2» §1.3 «Quyền sử dụng»; AC-G34 «Đúng người, lịch và đầu ra công khai») | role | Xác nhận thành tích（成績確認） phía phụ huynh | Chỉ xem dữ liệu của S01</t>
        </is>
      </c>
    </row>
    <row r="20">
      <c r="A20" s="9" t="inlineStr">
        <is>
          <t>TD-ROLE-09</t>
        </is>
      </c>
      <c r="B20" s="9" t="inlineStr">
        <is>
          <t>Giáo viên nhập điểm | Giáo viên phụ trách lớp G-A, G-B, G-C: có quyền Đăng ký thành tích（成績登録）, Đăng ký thành tích bằng CSV（成績CSV登録） và Trích xuất thành tích（成績抽出） của các lớp này | role | Đăng ký điểm, quan sát kết quả xét | Lưu điểm và xem trích xuất được</t>
        </is>
      </c>
    </row>
    <row r="21">
      <c r="A21" s="9" t="inlineStr">
        <is>
          <t>TD-ROLE-10</t>
        </is>
      </c>
      <c r="B21" s="9" t="inlineStr">
        <is>
          <t>Người dùng trường B | Giáo viên/quản trị của trường B | role | Giả mạo ID | Bị từ chối với dữ liệu trường A</t>
        </is>
      </c>
    </row>
    <row r="22">
      <c r="A22" s="9" t="inlineStr">
        <is>
          <t>TD-ITEM-01</t>
        </is>
      </c>
      <c r="B22" s="9" t="inlineStr">
        <is>
          <t>Mục số nguyên | Điểm đánh giá（評点）, Nhập số nguyên（数値入力（整数））, M mặc định 100, môn Toán（数学） | master | Case chính | Có hàng Thiết lập điểm đỏ（赤点設定）</t>
        </is>
      </c>
    </row>
    <row r="23">
      <c r="A23" s="9" t="inlineStr">
        <is>
          <t>TD-ITEM-02</t>
        </is>
      </c>
      <c r="B23" s="9" t="inlineStr">
        <is>
          <t>Mục số thập phân | Điểm đánh giá（評点）, Nhập số thập phân（数値入力（小数））, M mặc định 100 | master | Điểm và ngưỡng thập phân | Có hàng Thiết lập điểm đỏ（赤点設定）</t>
        </is>
      </c>
    </row>
    <row r="24">
      <c r="A24" s="9" t="inlineStr">
        <is>
          <t>TD-ITEM-03</t>
        </is>
      </c>
      <c r="B24" s="9" t="inlineStr">
        <is>
          <t>Mục điểm đơn vị | Điểm bài kiểm tra đơn vị（単元テスト点）, M mặc định 100; đơn vị U1 có M riêng 40; đơn vị U2 không có ngoại lệ; lựa chọn lớp（満点設定） ghi đè 50 áp dụng cho lớp G-A | master | Phân giải M, ô theo đơn vị | M(G-A,U1)=50; M(G-B,U1)=40; M(G-B,U2)=100</t>
        </is>
      </c>
    </row>
    <row r="25">
      <c r="A25" s="9" t="inlineStr">
        <is>
          <t>TD-ITEM-04</t>
        </is>
      </c>
      <c r="B25" s="9" t="inlineStr">
        <is>
          <t>Mục lựa chọn | Kiểu lựa chọn（選択肢型） A/B/C | master | Loại khỏi phạm vi | Không có thao tác tạo quy tắc có hiệu lực</t>
        </is>
      </c>
    </row>
    <row r="26">
      <c r="A26" s="9" t="inlineStr">
        <is>
          <t>TD-ITEM-05</t>
        </is>
      </c>
      <c r="B26" s="9" t="inlineStr">
        <is>
          <t>Mục đạt/không đạt | Đạt/không đạt（合否） | master | Loại khỏi phạm vi | Như TD-ITEM-04 «Mục lựa chọn: Kiểu lựa chọn（選択肢型） A/B/C»</t>
        </is>
      </c>
    </row>
    <row r="27">
      <c r="A27" s="9" t="inlineStr">
        <is>
          <t>TD-ITEM-06</t>
        </is>
      </c>
      <c r="B27" s="9" t="inlineStr">
        <is>
          <t>Mục chỉ nội bộ | Mục số có cờ chỉ dành nội bộ（`mw_only_flg`） | master | Kiểm quyền | Chỉ người có quyền nội bộ sửa được</t>
        </is>
      </c>
    </row>
    <row r="28">
      <c r="A28" s="9" t="inlineStr">
        <is>
          <t>TD-ITEM-07</t>
        </is>
      </c>
      <c r="B28" s="9" t="inlineStr">
        <is>
          <t>Mục khác M theo lớp | Mục số M mặc định 100; lớp G-A dùng lựa chọn lớp M=20; lớp G-B M=100 | master | Kiểm `0≤N≤M` của mọi đối tượng | N=30 không lưu được khi phạm vi gồm G-A</t>
        </is>
      </c>
    </row>
    <row r="29">
      <c r="A29" s="9" t="inlineStr">
        <is>
          <t>TD-ITEM-08</t>
        </is>
      </c>
      <c r="B29" s="9" t="inlineStr">
        <is>
          <t>M không hợp lệ | Mục số có M hiệu lực = 0 (nếu cấu hình được) hoặc không phân giải được M | master | Tỷ lệ với M không hợp lệ | Cách tạo dữ liệu: hỏi team dev khi chuẩn bị</t>
        </is>
      </c>
    </row>
    <row r="30">
      <c r="A30" s="9" t="inlineStr">
        <is>
          <t>TD-ITEM-09</t>
        </is>
      </c>
      <c r="B30" s="9" t="inlineStr">
        <is>
          <t>Mục cho phép điểm âm | Mục số có miền điểm cho phép số âm (nếu cấu hình được) | master | Ngưỡng âm | Cách tạo dữ liệu: hỏi team dev khi chuẩn bị</t>
        </is>
      </c>
    </row>
    <row r="31">
      <c r="A31" s="9" t="inlineStr">
        <is>
          <t>TD-ITEM-10</t>
        </is>
      </c>
      <c r="B31" s="9" t="inlineStr">
        <is>
          <t>Mục có tính tự động | TD-ITEM-01 «Mục số nguyên: Điểm đánh giá（評点）, Nhập số nguyên（数値入力（整数））, M mặc định…» có thêm quy tắc tính tự động（自動計算設定） đang hoạt động | master | Hồi quy AutoRating | Điểm tự động giữ như trước</t>
        </is>
      </c>
    </row>
    <row r="32">
      <c r="A32" s="9" t="inlineStr">
        <is>
          <t>TD-GRP-01</t>
        </is>
      </c>
      <c r="B32" s="9" t="inlineStr">
        <is>
          <t>Lớp học phần | G-A (Toán I（数学Ⅰ）, khối 1, nhóm thành tích Nâng cao), G-B (Toán I（数学Ⅰ）, khối 2), G-C (Ngữ văn logic（論理国語）, khối 1) | master | Bộ lọc, nhóm tham chiếu | Mỗi lớp có ≥ 2 học sinh</t>
        </is>
      </c>
    </row>
    <row r="33">
      <c r="A33" s="9" t="inlineStr">
        <is>
          <t>TD-GRP-03</t>
        </is>
      </c>
      <c r="B33" s="9" t="inlineStr">
        <is>
          <t>Fixture batch cùng khối (cần provision) | Tạo lớp fixture `BATCH-GA1` và `BATCH-GA2` cùng khối 1, với học sinh riêng `BATCH-S01` và `BATCH-S02`; `BATCH-GC`/`BATCH-S03` là control ngoài batch. Trước chạy ghi identity thật `learner → class → score cell → batch scope` và giá trị baseline; ID `BATCH-*` là alias fixture, không khẳng định record đã tồn tại. | synthetic fixture, chưa provision | ERR-003 batch partial | BLOCKED đến khi alias được map thành fixture identities thật và seam lỗi riêng BATCH-GA2 được provision/quan sát; không dùng lớp master làm bằng chứng</t>
        </is>
      </c>
    </row>
    <row r="34">
      <c r="A34" s="9" t="inlineStr">
        <is>
          <t>TD-GRP-04</t>
        </is>
      </c>
      <c r="B34" s="9" t="inlineStr">
        <is>
          <t>Fixture bộ lọc BR-041 (cần provision) | Ba identity độc lập: `BR041-FILTER-POS` thuộc khối 1 + Nâng cao; `BR041-FILTER-GRADE-NEG` thuộc khối 3 + Nâng cao; `BR041-FILTER-GROUP-NEG` thuộc khối 1 + nhóm không phải Nâng cao. Trên mỗi identity, nguồn reader riêng phải trả `A=60`, `R=60%`, điểm học sinh `S=60`; cùng rule yêu cầu `A≥50 AND R≥50%`, ngưỡng `T=70`, dấu `&lt;`. Ghi source/snapshot identity, membership, A/R/S thực đọc trước khi xét; giữa ba lượt chỉ thay một predicate bộ lọc, không đổi điều kiện A/R. | synthetic fixture, chưa provision | BR-041 / `FILTER-POS`, `FILTER-GRADE-NEG`, `FILTER-GROUP-NEG` | BLOCKED đến khi cả ba reader/membership được quan sát: positive Đỏ, hai negative Không áp dụng dù A/R đều khớp; không PASS nếu chỉ biết A/R hợp lệ</t>
        </is>
      </c>
    </row>
    <row r="35">
      <c r="A35" s="9" t="inlineStr">
        <is>
          <t>TD-GRP-05</t>
        </is>
      </c>
      <c r="B35" s="9" t="inlineStr">
        <is>
          <t>Fixture lớp CALC-015 decimal (cần provision) | Lớp/nhóm `CALC015-DECIMAL` dùng đúng mục điểm thập phân TD-ITEM-02 (M=100), cùng rule TD-RULE-06; chứa ba học sinh C15-P1=23.9, C15-P2=24, C15-P3=24.4. Không suy thành viên từ S01/S09/S10; ghi membership, source identity/revision và reader response A=61. | synthetic fixture, chưa provision | CALC-015 / các biến thể biên &lt; và ≤ | BLOCKED cho tới khi fixture được provision và reader xác nhận cùng scope có A=61; không PASS bằng cách thay expected trong lúc chạy</t>
        </is>
      </c>
    </row>
    <row r="36">
      <c r="A36" s="9" t="inlineStr">
        <is>
          <t>TD-GRP-06</t>
        </is>
      </c>
      <c r="B36" s="9" t="inlineStr">
        <is>
          <t>Fixture kiểm trạng thái nguồn BR-041 (cần provision) | Identity độc lập P17/P18/P19 trong cùng phạm vi áp dụng, mỗi identity có bản chạy riêng: P17 source A=NaN, P18 source A=null/missing, P19 source A=Infinity; P17/P18/P19 có S=25 và rule ưu tiên thấp hơn T=30 để phát hiện fallback. P18-S-EMPTY là lượt khác của identity P18 với A=60 và không có điểm S. | synthetic fixture, chưa provision | BR-041 / P17-A-NAN, P19-A-INFINITY, P18-A-EMPTY, P18-S-EMPTY | BLOCKED đến khi reader chứng minh được source invalid/null và trạng thái điểm riêng; NaN/Infinity có thể cần seam, không thay oracle nếu UI không cho nhập</t>
        </is>
      </c>
    </row>
    <row r="37">
      <c r="A37" s="9" t="inlineStr">
        <is>
          <t>TD-GRP-02</t>
        </is>
      </c>
      <c r="B37" s="9" t="inlineStr">
        <is>
          <t>Lớp chủ nhiệm | HR1 (S01–S05), HR2 (S06–S10) | master | Nhóm tham chiếu ホームルーム (lớp chủ nhiệm; file Figma cũ ghi HR毎) | —</t>
        </is>
      </c>
    </row>
    <row r="38">
      <c r="A38" s="9" t="inlineStr">
        <is>
          <t>TD-STU-01</t>
        </is>
      </c>
      <c r="B38" s="9" t="inlineStr">
        <is>
          <t>S01 | G-A, HR1; TD-ITEM-01 «Mục số nguyên: Điểm đánh giá（評点）, Nhập số nguyên（数値入力（整数））, M mặc định…» = 29 | score | Đỏ với `&lt;30` | Đỏ</t>
        </is>
      </c>
    </row>
    <row r="39">
      <c r="A39" s="9" t="inlineStr">
        <is>
          <t>TD-STU-02</t>
        </is>
      </c>
      <c r="B39" s="9" t="inlineStr">
        <is>
          <t>S02 | G-A, HR1; TD-ITEM-01 «Mục số nguyên: Điểm đánh giá（評点）, Nhập số nguyên（数値入力（整数））, M mặc định…» = 30 | score | Biên `S=T` | `&lt;` không đỏ; `≤` đỏ</t>
        </is>
      </c>
    </row>
    <row r="40">
      <c r="A40" s="9" t="inlineStr">
        <is>
          <t>TD-STU-03</t>
        </is>
      </c>
      <c r="B40" s="9" t="inlineStr">
        <is>
          <t>S03 | G-A, HR1; TD-ITEM-01 «Mục số nguyên: Điểm đánh giá（評点）, Nhập số nguyên（数値入力（整数））, M mặc định…» = 31 | score | Biên +1 | Không đỏ</t>
        </is>
      </c>
    </row>
    <row r="41">
      <c r="A41" s="9" t="inlineStr">
        <is>
          <t>TD-STU-04</t>
        </is>
      </c>
      <c r="B41" s="9" t="inlineStr">
        <is>
          <t>S04 | G-A, HR1; TD-ITEM-01 «Mục số nguyên: Điểm đánh giá（評点）, Nhập số nguyên（数値入力（整数））, M mặc định…» = 0 | score | Điểm 0 hợp lệ | Xét như số 0</t>
        </is>
      </c>
    </row>
    <row r="42">
      <c r="A42" s="9" t="inlineStr">
        <is>
          <t>TD-STU-05</t>
        </is>
      </c>
      <c r="B42" s="9" t="inlineStr">
        <is>
          <t>S05 | G-A, HR1; TD-ITEM-01 «Mục số nguyên: Điểm đánh giá（評点）, Nhập số nguyên（数値入力（整数））, M mặc định…» = ô trống | score | Không có điểm | Không coi là 0</t>
        </is>
      </c>
    </row>
    <row r="43">
      <c r="A43" s="9" t="inlineStr">
        <is>
          <t>TD-STU-06</t>
        </is>
      </c>
      <c r="B43" s="9" t="inlineStr">
        <is>
          <t>S06 | G-B, HR2; TD-ITEM-01 «Mục số nguyên: Điểm đánh giá（評点）, Nhập số nguyên（数値入力（整数））, M mặc định…» = 24, là Điểm dự kiến（見込点） | score | Kết hợp dự kiến + đỏ | Đỏ; hiển thị theo đầu ra</t>
        </is>
      </c>
    </row>
    <row r="44">
      <c r="A44" s="9" t="inlineStr">
        <is>
          <t>TD-STU-07</t>
        </is>
      </c>
      <c r="B44" s="9" t="inlineStr">
        <is>
          <t>S07 | G-B, HR2; TD-ITEM-01 «Mục số nguyên: Điểm đánh giá（評点）, Nhập số nguyên（数値入力（整数））, M mặc định…» = 35, cờ Chưa dự thi（未受験） | score | Cờ chưa dự thi không loại khỏi xét | Được xét</t>
        </is>
      </c>
    </row>
    <row r="45">
      <c r="A45" s="9" t="inlineStr">
        <is>
          <t>TD-STU-08</t>
        </is>
      </c>
      <c r="B45" s="9" t="inlineStr">
        <is>
          <t>S08 | G-B, HR2; TD-ITEM-01 «Mục số nguyên: Điểm đánh giá（評点）, Nhập số nguyên（数値入力（整数））, M mặc định…» nhập tay 28 rồi sửa tay 35 | score | Điểm sửa tay | Xét 35</t>
        </is>
      </c>
    </row>
    <row r="46">
      <c r="A46" s="9" t="inlineStr">
        <is>
          <t>TD-STU-09</t>
        </is>
      </c>
      <c r="B46" s="9" t="inlineStr">
        <is>
          <t>S09 | G-B, HR2; TD-ITEM-02 «Mục số thập phân: Điểm đánh giá（評点）, Nhập số thập phân（数値入力（小数））, M mặc…» = 29.5 | score | Điểm thập phân | Đỏ với `&lt;30`</t>
        </is>
      </c>
    </row>
    <row r="47">
      <c r="A47" s="9" t="inlineStr">
        <is>
          <t>TD-STU-10</t>
        </is>
      </c>
      <c r="B47" s="9" t="inlineStr">
        <is>
          <t>S10 | HR2; lớp G-C Ngữ văn logic（論理国語）= 70; lớp G-B Toán I（数学Ⅰ）= 24 (cùng mục Điểm đánh giá（評点）, cùng quy tắc `&lt;30`) | score | Trích xuất theo phạm vi môn | Chỉ ô Toán đỏ</t>
        </is>
      </c>
    </row>
    <row r="48">
      <c r="A48" s="9" t="inlineStr">
        <is>
          <t>TD-SRC-01</t>
        </is>
      </c>
      <c r="B48" s="9" t="inlineStr">
        <is>
          <t>Bản đã chốt | Snapshot của nguồn mặc định, `A` thô = 49.99 (màn tổng hợp hiển thị 50.0) | source | Ưu tiên bản chốt, A trước làm tròn | Dùng 49.99</t>
        </is>
      </c>
    </row>
    <row r="49">
      <c r="A49" s="9" t="inlineStr">
        <is>
          <t>TD-SRC-02</t>
        </is>
      </c>
      <c r="B49" s="9" t="inlineStr">
        <is>
          <t>Bản mới nhất chưa chốt | Tổng hợp chạy sau TD-SRC-01 «Bản đã chốt: Snapshot của nguồn mặc định, `A` thô = 49.99…», `A` = 62 | source | Không thay bản chốt | Không dùng khi có TD-SRC-01 «Bản đã chốt: Snapshot của nguồn mặc định, `A` thô = 49.99…»</t>
        </is>
      </c>
    </row>
    <row r="50">
      <c r="A50" s="9" t="inlineStr">
        <is>
          <t>TD-SRC-03</t>
        </is>
      </c>
      <c r="B50" s="9" t="inlineStr">
        <is>
          <t>Không có tổng hợp | Nguồn chưa từng chạy tổng hợp | source | Thiếu nguồn | Chưa xét được</t>
        </is>
      </c>
    </row>
    <row r="51">
      <c r="A51" s="9" t="inlineStr">
        <is>
          <t>TD-SRC-04</t>
        </is>
      </c>
      <c r="B51" s="9" t="inlineStr">
        <is>
          <t>Bản chốt thiếu dữ liệu | Snapshot tồn tại nhưng không có dòng cho môn/mục của ô | source | Không fallback | Chưa xét được, không dùng TD-SRC-02 «Bản mới nhất chưa chốt: Tổng hợp chạy sau TD-SRC-01, `A` = 62»</t>
        </is>
      </c>
    </row>
    <row r="52">
      <c r="A52" s="9" t="inlineStr">
        <is>
          <t>TD-SRC-05</t>
        </is>
      </c>
      <c r="B52" s="9" t="inlineStr">
        <is>
          <t>Tỷ lệ nhóm cùng M | 2 học sinh: 60/100 và 80/100 → `R=70%` | source | Tỷ lệ nhóm (R18 «đặc tả RC-001 v2» §5.3 «Tỷ lệ nhóm») | Khớp `R≥65%`</t>
        </is>
      </c>
    </row>
    <row r="53">
      <c r="A53" s="9" t="inlineStr">
        <is>
          <t>TD-SRC-06</t>
        </is>
      </c>
      <c r="B53" s="9" t="inlineStr">
        <is>
          <t>Tỷ lệ nhóm khác M | G-A: `10/20`; G-B: `80/100`; học sinh kiểm P1 ở G-B có `M=100` | source | Khác M không gây lỗi dừng; giá trị `R` phải lấy từ snapshot/reader thực tế và ghi trong evidence | Xử lý không dừng; không suy fixture thành yêu cầu tính mới</t>
        </is>
      </c>
    </row>
    <row r="54">
      <c r="A54" s="9" t="inlineStr">
        <is>
          <t>TD-SRC-07</t>
        </is>
      </c>
      <c r="B54" s="9" t="inlineStr">
        <is>
          <t>Có học sinh bị loại khỏi xếp hạng | 3 học sinh: 60, 40 và 20 (học sinh 20 điểm bị loại khỏi xếp hạng) | source | Mẫu số trung bình (R18 «đặc tả RC-001 v2» §5.5 «Chọn bản nguồn», AC-G14 «Giá trị thô từ cùng tập dữ liệu») | Kỳ vọng: `A=40` (chia số người có điểm, 3); chia số người thuộc xếp hạng (`A=50`) là sai. Trường nào (`examinees`/`student_count`) mang giá trị đúng: kiểm khi tích hợp</t>
        </is>
      </c>
    </row>
    <row r="55">
      <c r="A55" s="9" t="inlineStr">
        <is>
          <t>TD-SRC-08</t>
        </is>
      </c>
      <c r="B55" s="9" t="inlineStr">
        <is>
          <t>Trung bình bằng 0 | Mọi học sinh trong nhóm có 0 điểm → `A=0` | source | Chia 0 khi chạy | Chưa xét được</t>
        </is>
      </c>
    </row>
    <row r="56">
      <c r="A56" s="9" t="inlineStr">
        <is>
          <t>TD-SRC-09</t>
        </is>
      </c>
      <c r="B56" s="9" t="inlineStr">
        <is>
          <t>Trung bình cho điểm đơn vị | Hai snapshot độc lập cùng môn: `UNIT-U1` trả A thô=40 và `UNIT-U2` trả A thô=70; lưu source identity, revision và reader response cho mỗi snapshot. Đây là fixture cần tích hợp/quan sát, không phải dữ liệu đã tồn tại. | required source fixture, chưa provision | CALC-027; trung bình riêng U1/U2 (R18 «đặc tả RC-001 v2» §13.1 «Điều kiện triển khai và kiểm chứng») | Chưa PASS cho tới khi reader chứng minh U1 dùng 40, U2 dùng 70 và không gộp; chưa có seam thì BLOCKED</t>
        </is>
      </c>
    </row>
    <row r="57">
      <c r="A57" s="9" t="inlineStr">
        <is>
          <t>TD-SRC-10</t>
        </is>
      </c>
      <c r="B57" s="9" t="inlineStr">
        <is>
          <t>A = 60 và 59.96 | Hai nguồn riêng: `A`=60.00 và `A`=59.96 (hiển thị 60.0) | source | Biên điều kiện phân nhánh | 60 khớp `≥60`; 59.96 không khớp</t>
        </is>
      </c>
    </row>
    <row r="58">
      <c r="A58" s="9" t="inlineStr">
        <is>
          <t>TD-SRC-11</t>
        </is>
      </c>
      <c r="B58" s="9" t="inlineStr">
        <is>
          <t>BR-041 R+R positive | Fixture `BR041-RR-60`, snapshot identity riêng; source reader phải trả `R=60%`; rule yêu cầu `R≥50% AND R&lt;70%`; control P1 `S=60`, `T=70`, `&lt;` | required source fixture, chưa provision | BR-041 / `RR-60` | Chỉ đánh giá sau khi snapshot/reader evidence xác nhận chính `R=60%`; khi xác nhận, rule khớp và P1 Đỏ</t>
        </is>
      </c>
    </row>
    <row r="59">
      <c r="A59" s="9" t="inlineStr">
        <is>
          <t>TD-SRC-12</t>
        </is>
      </c>
      <c r="B59" s="9" t="inlineStr">
        <is>
          <t>BR-041 R dưới biên | Fixture `BR041-RR-49.9`, snapshot identity riêng; reader phải trả `R=49.9%` | required source fixture, chưa provision | BR-041 / `RR-49.9` | Chỉ đánh giá khi reader xác nhận; khi xác nhận, `R≥50%` sai → Không áp dụng</t>
        </is>
      </c>
    </row>
    <row r="60">
      <c r="A60" s="9" t="inlineStr">
        <is>
          <t>TD-SRC-13</t>
        </is>
      </c>
      <c r="B60" s="9" t="inlineStr">
        <is>
          <t>BR-041 R trên biên | Fixture `BR041-RR-70`, snapshot identity riêng; reader phải trả `R=70%` | required source fixture, chưa provision | BR-041 / `RR-70` | Chỉ đánh giá khi reader xác nhận; khi xác nhận, `R&lt;70%` sai → Không áp dụng</t>
        </is>
      </c>
    </row>
    <row r="61">
      <c r="A61" s="9" t="inlineStr">
        <is>
          <t>TD-SRC-14</t>
        </is>
      </c>
      <c r="B61" s="9" t="inlineStr">
        <is>
          <t>BR-041 A+R positive | Fixture `BR041-AR-60-60`, identity/source mapping được ghi riêng; reader observables `A=60`, `R=60%` | required source fixture, chưa provision | BR-041 / `AR-60-60` | Chỉ đánh giá khi cùng đối tượng áp dụng xác nhận cả hai giá trị; hai điều kiện AND đúng → P1 Đỏ</t>
        </is>
      </c>
    </row>
    <row r="62">
      <c r="A62" s="9" t="inlineStr">
        <is>
          <t>TD-SRC-15</t>
        </is>
      </c>
      <c r="B62" s="9" t="inlineStr">
        <is>
          <t>BR-041 A âm, R dương | Fixture `BR041-AR-40-60`, identity/snapshot riêng; reader observables `A=40`, `R=60%` | required source fixture, chưa provision | BR-041 / `AR-40-60` | Chỉ đánh giá khi reader xác nhận; A sai nên AND sai → Không áp dụng</t>
        </is>
      </c>
    </row>
    <row r="63">
      <c r="A63" s="9" t="inlineStr">
        <is>
          <t>TD-SRC-16</t>
        </is>
      </c>
      <c r="B63" s="9" t="inlineStr">
        <is>
          <t>BR-041 A dương, R âm | Fixture `BR041-AR-60-40`, identity/snapshot riêng; reader observables `A=60`, `R=40%` | required source fixture, chưa provision | BR-041 / `AR-60-40` | Chỉ đánh giá khi reader xác nhận; R sai nên AND sai → Không áp dụng</t>
        </is>
      </c>
    </row>
    <row r="64">
      <c r="A64" s="9" t="inlineStr">
        <is>
          <t>TD-SRC-17</t>
        </is>
      </c>
      <c r="B64" s="9" t="inlineStr">
        <is>
          <t>BR-041 A boundary P9 | Snapshot `BR041-A-P9`, identity riêng; reader trả `A=40`; P9 có `S=60,T=70,&lt;` | required source fixture, chưa provision | BR-041 / `A-P9` | Chỉ đánh giá sau khi mapping/reader xác nhận đúng P9 và A=40; A≥50 sai → Không áp dụng</t>
        </is>
      </c>
    </row>
    <row r="65">
      <c r="A65" s="9" t="inlineStr">
        <is>
          <t>TD-SRC-18</t>
        </is>
      </c>
      <c r="B65" s="9" t="inlineStr">
        <is>
          <t>BR-041 A boundary P10 | Snapshot `BR041-A-P10`, identity riêng; reader trả `A=50`; P10 có `S=60,T=70,&lt;` | required source fixture, chưa provision | BR-041 / `A-P10` | Chỉ đánh giá sau khi mapping/reader xác nhận đúng P10 và A=50; cả hai điều kiện A khớp → P10 Đỏ</t>
        </is>
      </c>
    </row>
    <row r="66">
      <c r="A66" s="9" t="inlineStr">
        <is>
          <t>TD-SRC-19</t>
        </is>
      </c>
      <c r="B66" s="9" t="inlineStr">
        <is>
          <t>BR-041 A boundary P11 | Snapshot `BR041-A-P11`, identity riêng; reader trả `A=60`; P11 có `S=60,T=70,&lt;` | required source fixture, chưa provision | BR-041 / `A-P11` | Chỉ đánh giá sau khi mapping/reader xác nhận đúng P11 và A=60; cả hai điều kiện A khớp → P11 Đỏ</t>
        </is>
      </c>
    </row>
    <row r="67">
      <c r="A67" s="9" t="inlineStr">
        <is>
          <t>TD-SRC-20</t>
        </is>
      </c>
      <c r="B67" s="9" t="inlineStr">
        <is>
          <t>BR-041 A boundary P12 | Snapshot `BR041-A-P12`, identity riêng; reader trả `A=70`; P12 có `S=60,T=70,&lt;` | required source fixture, chưa provision | BR-041 / `A-P12` | Chỉ đánh giá sau khi mapping/reader xác nhận đúng P12 và A=70; điều kiện A&lt;70 sai → Không áp dụng</t>
        </is>
      </c>
    </row>
    <row r="68">
      <c r="A68" s="9" t="inlineStr">
        <is>
          <t>TD-SRC-21</t>
        </is>
      </c>
      <c r="B68" s="9" t="inlineStr">
        <is>
          <t>BR-041 A boundary P13 | Snapshot `BR041-A-P13`, identity riêng; reader trả `A=49.9`; P13 có `S=60,T=70,&lt;` | required source fixture, chưa provision | BR-041 / `A-P13` | Chỉ đánh giá sau khi mapping/reader xác nhận đúng P13 và A=49.9; A≥50 sai → Không áp dụng</t>
        </is>
      </c>
    </row>
    <row r="69">
      <c r="A69" s="9" t="inlineStr">
        <is>
          <t>TD-SRC-22</t>
        </is>
      </c>
      <c r="B69" s="9" t="inlineStr">
        <is>
          <t>BR-041 A boundary P14 | Snapshot `BR041-A-P14`, identity riêng; reader trả `A=50.0`; P14 có `S=60,T=70,&lt;` | required source fixture, chưa provision | BR-041 / `A-P14` | Chỉ đánh giá sau khi mapping/reader xác nhận đúng P14 và A=50.0; cả hai điều kiện A khớp → P14 Đỏ</t>
        </is>
      </c>
    </row>
    <row r="70">
      <c r="A70" s="9" t="inlineStr">
        <is>
          <t>TD-SRC-23</t>
        </is>
      </c>
      <c r="B70" s="9" t="inlineStr">
        <is>
          <t>BR-041 A boundary P15 | Snapshot `BR041-A-P15`, identity riêng; reader trả `A=69.9`; P15 có `S=60,T=70,&lt;` | required source fixture, chưa provision | BR-041 / `A-P15` | Chỉ đánh giá sau khi mapping/reader xác nhận đúng P15 và A=69.9; cả hai điều kiện A khớp → P15 Đỏ</t>
        </is>
      </c>
    </row>
    <row r="71">
      <c r="A71" s="9" t="inlineStr">
        <is>
          <t>TD-SRC-24</t>
        </is>
      </c>
      <c r="B71" s="9" t="inlineStr">
        <is>
          <t>BR-041 A boundary P16 | Snapshot `BR041-A-P16`, identity riêng; reader trả `A=70.0`; P16 có `S=60,T=70,&lt;` | required source fixture, chưa provision | BR-041 / `A-P16` | Chỉ đánh giá sau khi mapping/reader xác nhận đúng P16 và A=70.0; điều kiện A&lt;70 sai → Không áp dụng</t>
        </is>
      </c>
    </row>
    <row r="72">
      <c r="A72" s="9" t="inlineStr">
        <is>
          <t>TD-SRC-25</t>
        </is>
      </c>
      <c r="B72" s="9" t="inlineStr">
        <is>
          <t>CALC-015 reader source | Snapshot `CALC015-A61` gắn với TD-GRP-05; reader phải trả trung bình nguồn A=61 cho đúng lớp/môn/scope CALC015-DECIMAL | required source fixture, chưa provision | CALC-015 / `&lt;`, `≤` | BLOCKED tới khi mapping và reader response A=61 có evidence; sau đó expected cố định T=24, không đổi oracle theo kết quả chạy</t>
        </is>
      </c>
    </row>
    <row r="73">
      <c r="A73" s="9" t="inlineStr">
        <is>
          <t>TD-SRC-26</t>
        </is>
      </c>
      <c r="B73" s="9" t="inlineStr">
        <is>
          <t>BR-041 P17 nguồn NaN | Snapshot riêng `BR041-P17-A-NAN`; reader phải cho thấy A không hữu hạn/không thể so sánh, identity P17 thuộc bộ lọc và S=25 | required source fixture, chưa provision | BR-041 / P17-A-NAN | BLOCKED tới khi có evidence reader/seam; expected là Chưa xét được, không xuống rule T=30</t>
        </is>
      </c>
    </row>
    <row r="74">
      <c r="A74" s="9" t="inlineStr">
        <is>
          <t>TD-SRC-27</t>
        </is>
      </c>
      <c r="B74" s="9" t="inlineStr">
        <is>
          <t>BR-041 P18 thiếu nguồn A | Snapshot riêng `BR041-P18-A-EMPTY`; reader trả A null/không có giá trị, identity P18 thuộc bộ lọc và S=25 | required source fixture, chưa provision | BR-041 / P18-A-EMPTY | BLOCKED tới khi có evidence reader/seam; expected là Chưa xét được, không xuống rule T=30</t>
        </is>
      </c>
    </row>
    <row r="75">
      <c r="A75" s="9" t="inlineStr">
        <is>
          <t>TD-SRC-28</t>
        </is>
      </c>
      <c r="B75" s="9" t="inlineStr">
        <is>
          <t>BR-041 P18 thiếu điểm S | Lượt riêng `BR041-P18-S-EMPTY`; reader trả A=60 cho identity P18 nhưng ô điểm S không có điểm | required score/source fixture, chưa provision | BR-041 / P18-S-EMPTY | BLOCKED tới khi chứng minh A hợp lệ và ô S trống; expected là Không có điểm, không đổi thành Chưa xét được</t>
        </is>
      </c>
    </row>
    <row r="76">
      <c r="A76" s="9" t="inlineStr">
        <is>
          <t>TD-SRC-29</t>
        </is>
      </c>
      <c r="B76" s="9" t="inlineStr">
        <is>
          <t>BR-041 P19 nguồn Infinity | Snapshot riêng `BR041-P19-A-INFINITY`; reader cho thấy A vô hạn/không thể so sánh, identity P19 thuộc bộ lọc và S=25 | required source fixture, chưa provision | BR-041 / P19-A-INFINITY | BLOCKED tới khi có evidence reader/seam; expected là Chưa xét được, không xuống rule T=30</t>
        </is>
      </c>
    </row>
    <row r="77">
      <c r="A77" s="9" t="inlineStr">
        <is>
          <t>TD-POP-01</t>
        </is>
      </c>
      <c r="B77" s="9" t="inlineStr">
        <is>
          <t>Thiết lập tổng hợp X | Thiết lập tổng hợp thứ hạng（順位集計設定） "評点集計" (tổng hợp điểm đánh giá) của trường A/2026; công tắc hiện hữu: Khối（学年） BẬT, Lớp chủ nhiệm（ホームルーム） BẬT, Lớp học（授業） TẮT; X đã chạy tổng hợp cho kỳ đang dùng | source | Loại cơ bản theo công tắc | Trong ba loại cơ bản chỉ có khối và lớp chủ nhiệm</t>
        </is>
      </c>
    </row>
    <row r="78">
      <c r="A78" s="9" t="inlineStr">
        <is>
          <t>TD-POP-02</t>
        </is>
      </c>
      <c r="B78" s="9" t="inlineStr">
        <is>
          <t>X sau khi bật lớp học | Như TD-POP-01 «Thiết lập tổng hợp X: Thiết lập tổng hợp thứ hạng（順位集計設定）…» nhưng bật thêm Lớp học（授業）, chạy lại tổng hợp X; không tạo cấu hình tổng hợp mới | source | Thêm lựa chọn lớp học trong cùng X | Có lựa chọn lớp học; kết quả theo từng lớp G-A, G-B</t>
        </is>
      </c>
    </row>
    <row r="79">
      <c r="A79" s="9" t="inlineStr">
        <is>
          <t>TD-POP-03</t>
        </is>
      </c>
      <c r="B79" s="9" t="inlineStr">
        <is>
          <t>Nhóm tổng hợp thứ hạng（順位集計グループ） | "Toán I khối 1+2" gồm lớp G-A và G-B, thuộc trường A/2026, đã có kết quả tổng hợp trong X | source | Loại cấu hình: chọn bằng tên, lưu ID | Hiển thị đúng tên đã đặt</t>
        </is>
      </c>
    </row>
    <row r="80">
      <c r="A80" s="9" t="inlineStr">
        <is>
          <t>TD-POP-04</t>
        </is>
      </c>
      <c r="B80" s="9" t="inlineStr">
        <is>
          <t>Nhóm tổ hợp（組み合わせグループ） | "Tổ hợp Toán" (tên giả) thuộc trường A/2026, đã có kết quả tổng hợp trong X | source | Loại cấu hình độc lập ba công tắc | Hiển thị đúng tên đã đặt</t>
        </is>
      </c>
    </row>
    <row r="81">
      <c r="A81" s="9" t="inlineStr">
        <is>
          <t>TD-POP-05</t>
        </is>
      </c>
      <c r="B81" s="9" t="inlineStr">
        <is>
          <t>Nhóm môn học（科目グループ） | "Nhóm môn Toán" (tên giả): có cấu hình riêng cho Toán I（数学Ⅰ） và cấu hình default đã lưu. Biến thể: (a) môn không có cấu hình riêng → dùng default; (b) default bị xóa hoặc trỏ tới cấu hình không hợp lệ | source | Phân giải nhóm môn | Dùng cấu hình riêng hoặc default; thiếu/sai → Chưa xét được</t>
        </is>
      </c>
    </row>
    <row r="82">
      <c r="A82" s="9" t="inlineStr">
        <is>
          <t>TD-POP-06</t>
        </is>
      </c>
      <c r="B82" s="9" t="inlineStr">
        <is>
          <t>Học sinh học hai lớp cùng môn | S11 (tên giả, HR1) học cả G-A và G-D (Toán I（数学Ⅰ）, khối 1, lớp thứ hai); có điểm TD-ITEM-01 «Mục số nguyên: Điểm đánh giá（評点）, Nhập số nguyên（数値入力（整数））, M mặc định…» ở cả hai lớp; trung bình lớp G-A = 40, G-D = 70 trong X | score | Loại lớp học đọc đúng lớp của ô | Ô ở G-A dùng kết quả G-A; ô ở G-D dùng kết quả G-D</t>
        </is>
      </c>
    </row>
    <row r="83">
      <c r="A83" s="9" t="inlineStr">
        <is>
          <t>TD-RULE-01</t>
        </is>
      </c>
      <c r="B83" s="9" t="inlineStr">
        <is>
          <t>Cố định `&lt;` | Tên "Cố định 30"; Toàn bộ đối tượng（全員が対象）; Điểm cố định（固定点数） 30; Nhỏ hơn（未満） | rule | Quy tắc cơ bản | `T=30`, đỏ khi `S&lt;30`</t>
        </is>
      </c>
    </row>
    <row r="84">
      <c r="A84" s="9" t="inlineStr">
        <is>
          <t>TD-RULE-02</t>
        </is>
      </c>
      <c r="B84" s="9" t="inlineStr">
        <is>
          <t>Cố định `≤` | Như TD-RULE-01 «Cố định `&lt;`: Tên "Cố định 30"» nhưng Nhỏ hơn hoặc bằng（以下） | rule | Biên `S=T` | Đỏ khi `S≤30`</t>
        </is>
      </c>
    </row>
    <row r="85">
      <c r="A85" s="9" t="inlineStr">
        <is>
          <t>TD-RULE-03</t>
        </is>
      </c>
      <c r="B85" s="9" t="inlineStr">
        <is>
          <t>Tỷ lệ | Tỷ lệ điểm tối đa（得点率） 30%, không xử lý phần lẻ（しない）, Nhỏ hơn（未満） | rule | Tỷ lệ theo M hiện hành | `T=M×0.3`</t>
        </is>
      </c>
    </row>
    <row r="86">
      <c r="A86" s="9" t="inlineStr">
        <is>
          <t>TD-RULE-04</t>
        </is>
      </c>
      <c r="B86" s="9" t="inlineStr">
        <is>
          <t>Tỷ lệ làm tròn xuống | Như TD-RULE-03 «Tỷ lệ: Tỷ lệ điểm tối đa（得点率） 30%, không xử lý phần lẻ（しない）, Nhỏ hơn（未満）», xử lý phần lẻ: chữ số thập phân thứ 1（小数第1位）, Làm tròn xuống（切り捨て） | rule | Làm tròn | `T` là số nguyên làm tròn xuống</t>
        </is>
      </c>
    </row>
    <row r="87">
      <c r="A87" s="9" t="inlineStr">
        <is>
          <t>TD-RULE-05</t>
        </is>
      </c>
      <c r="B87" s="9" t="inlineStr">
        <is>
          <t>Tỷ lệ làm tròn gần nhất | Như TD-RULE-04 «Tỷ lệ làm tròn xuống: Như TD-RULE-03, xử lý phần lẻ: chữ số thập phân…» nhưng Làm tròn gần nhất（四捨五入） | rule | Làm tròn | `T` là số nguyên gần nhất</t>
        </is>
      </c>
    </row>
    <row r="88">
      <c r="A88" s="9" t="inlineStr">
        <is>
          <t>TD-RULE-06</t>
        </is>
      </c>
      <c r="B88" s="9" t="inlineStr">
        <is>
          <t>Công thức hai dòng | Dòng 1: Trung bình（平均点）÷ Số cố định（固定値）2, Chữ số thập phân thứ 1（小数第1位）, Làm tròn xuống（切り捨て） về số nguyên; Dòng 2: Kết quả dòng 1（式の結果 式1）× 0.8, Không xử lý phần lẻ（しない）; Nhỏ hơn（未満）; nguồn mặc định | rule | Cấu hình cố định cho TC-RS-CALC-015; không cho tester chọn phương thức khác trong case này | `T=floor(A÷2)×0.8`; với `A=61`, `T=24`</t>
        </is>
      </c>
    </row>
    <row r="89">
      <c r="A89" s="9" t="inlineStr">
        <is>
          <t>TD-RULE-07</t>
        </is>
      </c>
      <c r="B89" s="9" t="inlineStr">
        <is>
          <t>Cặp phân nhánh | Ưu tiên 1 "Trung bình từ 60": điều kiện `A≥60`, cố định 30 `&lt;`. Ưu tiên 2 "Trung bình dưới 60": `A&lt;60`, công thức `A×0.5` `&lt;` | rule | Phân nhánh bằng nhiều quy tắc (R18 «đặc tả RC-001 v2» §5.2 «Điều kiện dựa trên trung bình») | Chọn đúng nhánh theo A thô</t>
        </is>
      </c>
    </row>
    <row r="90">
      <c r="A90" s="9" t="inlineStr">
        <is>
          <t>TD-RULE-08</t>
        </is>
      </c>
      <c r="B90" s="9" t="inlineStr">
        <is>
          <t>Cặp cùng áp dụng | Ưu tiên 1: Toàn bộ, cố định 20 `&lt;`; Ưu tiên 2: Toàn bộ, cố định 30 `&lt;` | rule | First match (R18 «đặc tả RC-001 v2» §4.3 «Chọn quy tắc») | Luôn dùng ưu tiên 1</t>
        </is>
      </c>
    </row>
    <row r="91">
      <c r="A91" s="9" t="inlineStr">
        <is>
          <t>TD-RULE-09</t>
        </is>
      </c>
      <c r="B91" s="9" t="inlineStr">
        <is>
          <t>Tỷ lệ nhóm | Điều kiện Tỷ lệ điểm của nhóm（集団の得点率） `≥65%`; cố định 70 `&lt;` | rule | Nguồn tỷ lệ nhóm | Học sinh 60 đỏ, 80 không đỏ khi khớp</t>
        </is>
      </c>
    </row>
    <row r="92">
      <c r="A92" s="9" t="inlineStr">
        <is>
          <t>TD-RULE-10</t>
        </is>
      </c>
      <c r="B92" s="9" t="inlineStr">
        <is>
          <t>Công thức âm | Dòng 1: Trung bình（平均点）− 20; Nhỏ hơn（未満） | rule | Ngưỡng âm (QAC «Q&amp;A nghiệp vụ đã xác nhận» Q25 «Công thức cho ngưỡng âm thì xử lý thế nào?») | Với `A=15`: `T=−5`</t>
        </is>
      </c>
    </row>
    <row r="93">
      <c r="A93" s="9" t="inlineStr">
        <is>
          <t>TD-RULE-11</t>
        </is>
      </c>
      <c r="B93" s="9" t="inlineStr">
        <is>
          <t>Chia cho trung bình | Dòng 1: Số cố định（固定値）100 ÷ Trung bình（平均点） | rule | Chia 0 khi chạy | Với `A=0`: chưa xét được</t>
        </is>
      </c>
    </row>
    <row r="94">
      <c r="A94" s="9" t="inlineStr">
        <is>
          <t>TD-RULE-12</t>
        </is>
      </c>
      <c r="B94" s="9" t="inlineStr">
        <is>
          <t>Bộ lọc kết hợp | Giới hạn bằng bộ lọc（特定条件で絞り込む）: Khối（学年） = 1 hoặc 2; Nhóm thành tích（成績グループ） = Nâng cao; cố định 30 `&lt;` | rule | OR trong loại, AND giữa loại | Chỉ học sinh khối 1/2 **và** nhóm Nâng cao</t>
        </is>
      </c>
    </row>
    <row r="95">
      <c r="A95" s="9" t="inlineStr">
        <is>
          <t>TD-RULE-13</t>
        </is>
      </c>
      <c r="B95" s="9" t="inlineStr">
        <is>
          <t>Cố định chưa có ngưỡng | Chỉ lưu điều kiện áp dụng, chưa lưu ngưỡng | rule | Hành vi đã xác nhận theo AC-G04/Q34: hiển thị là chưa thiết lập, không tham gia xét và không hồi sinh sau stale-form; enum/schema biểu diễn trạng thái vẫn PROPOSED | Không tham gia xét; sau xóa và gửi form cũ không xuất hiện lại</t>
        </is>
      </c>
    </row>
    <row r="96">
      <c r="A96" s="9" t="inlineStr">
        <is>
          <t>TD-RULE-14</t>
        </is>
      </c>
      <c r="B96" s="9" t="inlineStr">
        <is>
          <t>Nhóm tổng hợp hai loại nhóm | Giới hạn bằng bộ lọc（特定条件で絞り込む）: nhóm tổng hợp loại K1 = Nâng cao VÀ loại K2 = X; cố định 30 `&lt;` | rule | AND giữa các loại nhóm theo xác nhận Q35 | P7 thuộc cả hai; P5/P6 chỉ thuộc một loại và không áp dụng</t>
        </is>
      </c>
    </row>
    <row r="97">
      <c r="A97" s="9" t="inlineStr">
        <is>
          <t>TD-RULE-15</t>
        </is>
      </c>
      <c r="B97" s="9" t="inlineStr">
        <is>
          <t>Hai điều kiện cùng rule và phối hợp nguồn | Biến thể A: cùng nguồn `A`, `A≥50` AND `A&lt;70`; biến thể R: `R≥50%` AND `R&lt;70%`; biến thể A+R: `A≥50` AND `R≥50%`; rule cố định `T=70`, dấu `&lt;` | rule | AND trong một rule theo xác nhận Q35; reader/source thực tế là căn cứ, fixture không tạo yêu cầu tính nguồn mới | A: chỉ `50≤A&lt;70`; R: chỉ khi source thực tế nằm trong khoảng; A+R: cả hai đúng mới áp dụng</t>
        </is>
      </c>
    </row>
    <row r="98">
      <c r="A98" s="9" t="inlineStr">
        <is>
          <t>TD-LEGACY-01</t>
        </is>
      </c>
      <c r="B98" s="9" t="inlineStr">
        <is>
          <t>Ngưỡng cũ qua các đường chuyển cấu hình (cần provision) | Ở nguồn trường A/năm 2025/mục Toán/nhóm G-A, `red_score=25` là **ngưỡng cấu hình legacy**, khác rule mới `&lt;30`; ghi identity kỳ/môn/mục/nhóm và ảnh/đọc dữ liệu legacy trước thao tác. Với mỗi đường kế thừa năm, xuất/nhập, khôi phục hoặc sync được hỗ trợ, chuẩn bị một đích riêng có mapping hợp lệ và ban đầu không có ngưỡng legacy/kết quả xét cá nhân; file xuất phải chứa **giá trị 25**, không chỉ tên field/metadata. Ghi bảng đối chiếu nguồn 25 → đích 25, identity đích và nơi đọc báo cáo legacy sau thao tác. S01 nguồn có kết quả cá nhân Đỏ và snapshot nguồn; đích chưa chạy xét mới. DATA-015 dùng cùng giá trị 25 nhưng fixture sao chép riêng ở năm 2026 theo điều kiện của case đó, không dùng lại identity năm 2025. Đây là fixture dự kiến, không khẳng định đường/record đã được provision. | legacy fixture, chưa provision | DATA-015…019; AC-G38/G39 | Giữ ngưỡng 25 đúng nghĩa ở nguồn/đích theo đường hiện hữu; không thành rule mới/fallback; đích không nhận snapshot/kết quả cá nhân nguồn. Chưa có seam/mapping của đường nào thì đường đó BLOCKED</t>
        </is>
      </c>
    </row>
    <row r="99">
      <c r="A99" s="9" t="inlineStr">
        <is>
          <t>TD-OUT-01</t>
        </is>
      </c>
      <c r="B99" s="9" t="inlineStr">
        <is>
          <t>Trích xuất lọc + ký hiệu trước + màu | Lọc học sinh có điểm đỏ（抽出する） BẬT; ký hiệu đầu（強調記号を接頭に表示する） BẬT, ký hiệu `*`; ký hiệu cuối TẮT; tô màu ô（セルを色付けする） BẬT, màu Đỏ（赤） của bảng màu hiện có | output | Lọc và trang trí | Chỉ học sinh có ô đỏ; ô đỏ `*29` nền đỏ</t>
        </is>
      </c>
    </row>
    <row r="100">
      <c r="A100" s="9" t="inlineStr">
        <is>
          <t>TD-OUT-02</t>
        </is>
      </c>
      <c r="B100" s="9" t="inlineStr">
        <is>
          <t>Trích xuất chỉ ký hiệu | Lọc TẮT; ký hiệu đầu `※`, ký hiệu cuối `!` | output | Ký hiệu hai phía, không lọc | Ô đỏ `※24!`; danh sách không bị lọc</t>
        </is>
      </c>
    </row>
    <row r="101">
      <c r="A101" s="9" t="inlineStr">
        <is>
          <t>TD-OUT-03</t>
        </is>
      </c>
      <c r="B101" s="9" t="inlineStr">
        <is>
          <t>Công khai | Hiệu ứng đỏ: `*` phía trước（前に「*」）; Điểm dự kiến（見込点）: Ngoặc（括弧） | output | Kết hợp hiệu ứng | S06 hiển thị `(*24)`</t>
        </is>
      </c>
    </row>
    <row r="102">
      <c r="A102" s="9" t="inlineStr">
        <is>
          <t>TD-OUT-04</t>
        </is>
      </c>
      <c r="B102" s="9" t="inlineStr">
        <is>
          <t>Phiếu điểm | Dòng Thiết lập điểm đỏ（赤点設定）: Ký tự phía trước（前に任意の文字） `※`; các dòng khác: Nguyên trạng（そのまま表示） | output | First match | Ô đỏ `※29`</t>
        </is>
      </c>
    </row>
    <row r="103">
      <c r="A103" s="9" t="inlineStr">
        <is>
          <t>TD-OUT-05</t>
        </is>
      </c>
      <c r="B103" s="9" t="inlineStr">
        <is>
          <t>Hai cấu hình công khai cùng mục | Thiết lập công khai thành tích（成績公開設定） X: TD-ITEM-01 «Mục số nguyên: Điểm đánh giá（評点）, Nhập số nguyên（数値入力（整数））, M mặc định…» hiệu ứng đỏ Có ngoặc（括弧つき）; cấu hình Y: cùng TD-ITEM-01, hiệu ứng `*` phía trước（前に「*」）; cả hai không bật hiệu ứng Điểm dự kiến（見込点） | output | Hiệu ứng riêng theo cấu hình (AC-G32 «Cấu hình công khai và ẩn điểm») | S01 (29, đỏ): X hiển thị `(29)`, Y hiển thị `*29`</t>
        </is>
      </c>
    </row>
    <row r="104">
      <c r="A104" s="9" t="inlineStr">
        <is>
          <t>TD-OUT-06</t>
        </is>
      </c>
      <c r="B104" s="9" t="inlineStr">
        <is>
          <t>Công khai có mục thường và đơn vị | Cấu hình X: TD-ITEM-01 «Mục số nguyên: Điểm đánh giá（評点）, Nhập số nguyên（数値入力（整数））, M mặc định…» (điểm thường（通常）) chọn Có ngoặc; TD-ITEM-03 «Mục điểm đơn vị: Điểm bài kiểm tra đơn vị（単元テスト点）, M mặc định 100» (điểm đơn vị（単元）) chọn `*` phía sau（後ろに「*」） | output | Không trộn thường/đơn vị | Mở lại giữ đúng lựa chọn của từng phân loại</t>
        </is>
      </c>
    </row>
  </sheetData>
  <autoFilter ref="A4:B104"/>
  <mergeCells count="2">
    <mergeCell ref="B2"/>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70"/>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14" customWidth="1" min="3" max="3"/>
    <col width="18" customWidth="1" min="4" max="4"/>
    <col width="48" customWidth="1" min="5" max="5"/>
    <col width="30" customWidth="1" min="6" max="6"/>
    <col width="14" customWidth="1" min="7" max="7"/>
    <col width="18" customWidth="1" min="8" max="8"/>
    <col width="20" customWidth="1" min="9" max="9"/>
    <col width="18" customWidth="1" min="10" max="10"/>
    <col width="24" customWidth="1" min="11" max="11"/>
    <col width="24" customWidth="1" min="12" max="12"/>
    <col width="42" customWidth="1" min="13" max="13"/>
  </cols>
  <sheetData>
    <row r="1">
      <c r="A1" s="12" t="inlineStr">
        <is>
          <t>Run ID</t>
        </is>
      </c>
      <c r="B1" s="12" t="inlineStr">
        <is>
          <t>Test Case ID</t>
        </is>
      </c>
      <c r="C1" s="12" t="inlineStr">
        <is>
          <t>Variant</t>
        </is>
      </c>
      <c r="D1" s="12" t="inlineStr">
        <is>
          <t>Execution Status</t>
        </is>
      </c>
      <c r="E1" s="12" t="inlineStr">
        <is>
          <t>Actual Result</t>
        </is>
      </c>
      <c r="F1" s="12" t="inlineStr">
        <is>
          <t>Evidence Link</t>
        </is>
      </c>
      <c r="G1" s="12" t="inlineStr">
        <is>
          <t>Bug ID</t>
        </is>
      </c>
      <c r="H1" s="12" t="inlineStr">
        <is>
          <t>Tester</t>
        </is>
      </c>
      <c r="I1" s="12" t="inlineStr">
        <is>
          <t>Executed At</t>
        </is>
      </c>
      <c r="J1" s="12" t="inlineStr">
        <is>
          <t>Build</t>
        </is>
      </c>
      <c r="K1" s="12" t="inlineStr">
        <is>
          <t>Environment</t>
        </is>
      </c>
      <c r="L1" s="12" t="inlineStr">
        <is>
          <t>Test Suite Revision</t>
        </is>
      </c>
      <c r="M1" s="12" t="inlineStr">
        <is>
          <t>Notes</t>
        </is>
      </c>
    </row>
    <row r="2">
      <c r="A2" s="9" t="inlineStr">
        <is>
          <t>RUN-TC-RS-FUNC-001-integer</t>
        </is>
      </c>
      <c r="B2" s="9" t="inlineStr">
        <is>
          <t>TC-RS-FUNC-001</t>
        </is>
      </c>
      <c r="C2" s="9" t="inlineStr">
        <is>
          <t>integer</t>
        </is>
      </c>
      <c r="D2" s="9" t="inlineStr">
        <is>
          <t>NOT RUN</t>
        </is>
      </c>
      <c r="E2" s="9"/>
      <c r="F2" s="9"/>
      <c r="G2" s="9"/>
      <c r="H2" s="9"/>
      <c r="I2" s="9"/>
      <c r="J2" s="9"/>
      <c r="K2" s="9"/>
      <c r="L2" s="9"/>
      <c r="M2" s="9"/>
    </row>
    <row r="3">
      <c r="A3" s="9" t="inlineStr">
        <is>
          <t>RUN-TC-RS-FUNC-001-decimal</t>
        </is>
      </c>
      <c r="B3" s="9" t="inlineStr">
        <is>
          <t>TC-RS-FUNC-001</t>
        </is>
      </c>
      <c r="C3" s="9" t="inlineStr">
        <is>
          <t>decimal</t>
        </is>
      </c>
      <c r="D3" s="9" t="inlineStr">
        <is>
          <t>NOT RUN</t>
        </is>
      </c>
      <c r="E3" s="9"/>
      <c r="F3" s="9"/>
      <c r="G3" s="9"/>
      <c r="H3" s="9"/>
      <c r="I3" s="9"/>
      <c r="J3" s="9"/>
      <c r="K3" s="9"/>
      <c r="L3" s="9"/>
      <c r="M3" s="9"/>
    </row>
    <row r="4">
      <c r="A4" s="9" t="inlineStr">
        <is>
          <t>RUN-TC-RS-FUNC-001-unit</t>
        </is>
      </c>
      <c r="B4" s="9" t="inlineStr">
        <is>
          <t>TC-RS-FUNC-001</t>
        </is>
      </c>
      <c r="C4" s="9" t="inlineStr">
        <is>
          <t>unit</t>
        </is>
      </c>
      <c r="D4" s="9" t="inlineStr">
        <is>
          <t>NOT RUN</t>
        </is>
      </c>
      <c r="E4" s="9"/>
      <c r="F4" s="9"/>
      <c r="G4" s="9"/>
      <c r="H4" s="9"/>
      <c r="I4" s="9"/>
      <c r="J4" s="9"/>
      <c r="K4" s="9"/>
      <c r="L4" s="9"/>
      <c r="M4" s="9"/>
    </row>
    <row r="5">
      <c r="A5" s="9" t="inlineStr">
        <is>
          <t>RUN-TC-RS-FUNC-002-choice</t>
        </is>
      </c>
      <c r="B5" s="9" t="inlineStr">
        <is>
          <t>TC-RS-FUNC-002</t>
        </is>
      </c>
      <c r="C5" s="9" t="inlineStr">
        <is>
          <t>choice</t>
        </is>
      </c>
      <c r="D5" s="9" t="inlineStr">
        <is>
          <t>NOT RUN</t>
        </is>
      </c>
      <c r="E5" s="9"/>
      <c r="F5" s="9"/>
      <c r="G5" s="9"/>
      <c r="H5" s="9"/>
      <c r="I5" s="9"/>
      <c r="J5" s="9"/>
      <c r="K5" s="9"/>
      <c r="L5" s="9"/>
      <c r="M5" s="9"/>
    </row>
    <row r="6">
      <c r="A6" s="9" t="inlineStr">
        <is>
          <t>RUN-TC-RS-FUNC-002-passfail</t>
        </is>
      </c>
      <c r="B6" s="9" t="inlineStr">
        <is>
          <t>TC-RS-FUNC-002</t>
        </is>
      </c>
      <c r="C6" s="9" t="inlineStr">
        <is>
          <t>passfail</t>
        </is>
      </c>
      <c r="D6" s="9" t="inlineStr">
        <is>
          <t>NOT RUN</t>
        </is>
      </c>
      <c r="E6" s="9"/>
      <c r="F6" s="9"/>
      <c r="G6" s="9"/>
      <c r="H6" s="9"/>
      <c r="I6" s="9"/>
      <c r="J6" s="9"/>
      <c r="K6" s="9"/>
      <c r="L6" s="9"/>
      <c r="M6" s="9"/>
    </row>
    <row r="7">
      <c r="A7" s="9" t="inlineStr">
        <is>
          <t>RUN-TC-RS-FUNC-004-Base</t>
        </is>
      </c>
      <c r="B7" s="9" t="inlineStr">
        <is>
          <t>TC-RS-FUNC-004</t>
        </is>
      </c>
      <c r="C7" s="9" t="inlineStr">
        <is>
          <t>Base</t>
        </is>
      </c>
      <c r="D7" s="9" t="inlineStr">
        <is>
          <t>NOT RUN</t>
        </is>
      </c>
      <c r="E7" s="9"/>
      <c r="F7" s="9"/>
      <c r="G7" s="9"/>
      <c r="H7" s="9"/>
      <c r="I7" s="9"/>
      <c r="J7" s="9"/>
      <c r="K7" s="9"/>
      <c r="L7" s="9"/>
      <c r="M7" s="9"/>
    </row>
    <row r="8">
      <c r="A8" s="9" t="inlineStr">
        <is>
          <t>RUN-TC-RS-FUNC-005-Base</t>
        </is>
      </c>
      <c r="B8" s="9" t="inlineStr">
        <is>
          <t>TC-RS-FUNC-005</t>
        </is>
      </c>
      <c r="C8" s="9" t="inlineStr">
        <is>
          <t>Base</t>
        </is>
      </c>
      <c r="D8" s="9" t="inlineStr">
        <is>
          <t>NOT RUN</t>
        </is>
      </c>
      <c r="E8" s="9"/>
      <c r="F8" s="9"/>
      <c r="G8" s="9"/>
      <c r="H8" s="9"/>
      <c r="I8" s="9"/>
      <c r="J8" s="9"/>
      <c r="K8" s="9"/>
      <c r="L8" s="9"/>
      <c r="M8" s="9"/>
    </row>
    <row r="9">
      <c r="A9" s="9" t="inlineStr">
        <is>
          <t>RUN-TC-RS-FUNC-006-cancel</t>
        </is>
      </c>
      <c r="B9" s="9" t="inlineStr">
        <is>
          <t>TC-RS-FUNC-006</t>
        </is>
      </c>
      <c r="C9" s="9" t="inlineStr">
        <is>
          <t>cancel</t>
        </is>
      </c>
      <c r="D9" s="9" t="inlineStr">
        <is>
          <t>NOT RUN</t>
        </is>
      </c>
      <c r="E9" s="9"/>
      <c r="F9" s="9"/>
      <c r="G9" s="9"/>
      <c r="H9" s="9"/>
      <c r="I9" s="9"/>
      <c r="J9" s="9"/>
      <c r="K9" s="9"/>
      <c r="L9" s="9"/>
      <c r="M9" s="9"/>
    </row>
    <row r="10">
      <c r="A10" s="9" t="inlineStr">
        <is>
          <t>RUN-TC-RS-FUNC-006-delete</t>
        </is>
      </c>
      <c r="B10" s="9" t="inlineStr">
        <is>
          <t>TC-RS-FUNC-006</t>
        </is>
      </c>
      <c r="C10" s="9" t="inlineStr">
        <is>
          <t>delete</t>
        </is>
      </c>
      <c r="D10" s="9" t="inlineStr">
        <is>
          <t>NOT RUN</t>
        </is>
      </c>
      <c r="E10" s="9"/>
      <c r="F10" s="9"/>
      <c r="G10" s="9"/>
      <c r="H10" s="9"/>
      <c r="I10" s="9"/>
      <c r="J10" s="9"/>
      <c r="K10" s="9"/>
      <c r="L10" s="9"/>
      <c r="M10" s="9"/>
    </row>
    <row r="11">
      <c r="A11" s="9" t="inlineStr">
        <is>
          <t>RUN-TC-RS-FUNC-007-back-threshold</t>
        </is>
      </c>
      <c r="B11" s="9" t="inlineStr">
        <is>
          <t>TC-RS-FUNC-007</t>
        </is>
      </c>
      <c r="C11" s="9" t="inlineStr">
        <is>
          <t>back-threshold</t>
        </is>
      </c>
      <c r="D11" s="9" t="inlineStr">
        <is>
          <t>NOT RUN</t>
        </is>
      </c>
      <c r="E11" s="9"/>
      <c r="F11" s="9"/>
      <c r="G11" s="9"/>
      <c r="H11" s="9"/>
      <c r="I11" s="9"/>
      <c r="J11" s="9"/>
      <c r="K11" s="9"/>
      <c r="L11" s="9"/>
      <c r="M11" s="9"/>
    </row>
    <row r="12">
      <c r="A12" s="9" t="inlineStr">
        <is>
          <t>RUN-TC-RS-FUNC-007-back-condition</t>
        </is>
      </c>
      <c r="B12" s="9" t="inlineStr">
        <is>
          <t>TC-RS-FUNC-007</t>
        </is>
      </c>
      <c r="C12" s="9" t="inlineStr">
        <is>
          <t>back-condition</t>
        </is>
      </c>
      <c r="D12" s="9" t="inlineStr">
        <is>
          <t>NOT RUN</t>
        </is>
      </c>
      <c r="E12" s="9"/>
      <c r="F12" s="9"/>
      <c r="G12" s="9"/>
      <c r="H12" s="9"/>
      <c r="I12" s="9"/>
      <c r="J12" s="9"/>
      <c r="K12" s="9"/>
      <c r="L12" s="9"/>
      <c r="M12" s="9"/>
    </row>
    <row r="13">
      <c r="A13" s="9" t="inlineStr">
        <is>
          <t>RUN-TC-RS-FUNC-008-all</t>
        </is>
      </c>
      <c r="B13" s="9" t="inlineStr">
        <is>
          <t>TC-RS-FUNC-008</t>
        </is>
      </c>
      <c r="C13" s="9" t="inlineStr">
        <is>
          <t>all</t>
        </is>
      </c>
      <c r="D13" s="9" t="inlineStr">
        <is>
          <t>NOT RUN</t>
        </is>
      </c>
      <c r="E13" s="9"/>
      <c r="F13" s="9"/>
      <c r="G13" s="9"/>
      <c r="H13" s="9"/>
      <c r="I13" s="9"/>
      <c r="J13" s="9"/>
      <c r="K13" s="9"/>
      <c r="L13" s="9"/>
      <c r="M13" s="9"/>
    </row>
    <row r="14">
      <c r="A14" s="9" t="inlineStr">
        <is>
          <t>RUN-TC-RS-FUNC-008-filter</t>
        </is>
      </c>
      <c r="B14" s="9" t="inlineStr">
        <is>
          <t>TC-RS-FUNC-008</t>
        </is>
      </c>
      <c r="C14" s="9" t="inlineStr">
        <is>
          <t>filter</t>
        </is>
      </c>
      <c r="D14" s="9" t="inlineStr">
        <is>
          <t>NOT RUN</t>
        </is>
      </c>
      <c r="E14" s="9"/>
      <c r="F14" s="9"/>
      <c r="G14" s="9"/>
      <c r="H14" s="9"/>
      <c r="I14" s="9"/>
      <c r="J14" s="9"/>
      <c r="K14" s="9"/>
      <c r="L14" s="9"/>
      <c r="M14" s="9"/>
    </row>
    <row r="15">
      <c r="A15" s="9" t="inlineStr">
        <is>
          <t>RUN-TC-RS-FUNC-009-below60</t>
        </is>
      </c>
      <c r="B15" s="9" t="inlineStr">
        <is>
          <t>TC-RS-FUNC-009</t>
        </is>
      </c>
      <c r="C15" s="9" t="inlineStr">
        <is>
          <t>below60</t>
        </is>
      </c>
      <c r="D15" s="9" t="inlineStr">
        <is>
          <t>NOT RUN</t>
        </is>
      </c>
      <c r="E15" s="9"/>
      <c r="F15" s="9"/>
      <c r="G15" s="9"/>
      <c r="H15" s="9"/>
      <c r="I15" s="9"/>
      <c r="J15" s="9"/>
      <c r="K15" s="9"/>
      <c r="L15" s="9"/>
      <c r="M15" s="9"/>
    </row>
    <row r="16">
      <c r="A16" s="9" t="inlineStr">
        <is>
          <t>RUN-TC-RS-FUNC-009-from60</t>
        </is>
      </c>
      <c r="B16" s="9" t="inlineStr">
        <is>
          <t>TC-RS-FUNC-009</t>
        </is>
      </c>
      <c r="C16" s="9" t="inlineStr">
        <is>
          <t>from60</t>
        </is>
      </c>
      <c r="D16" s="9" t="inlineStr">
        <is>
          <t>NOT RUN</t>
        </is>
      </c>
      <c r="E16" s="9"/>
      <c r="F16" s="9"/>
      <c r="G16" s="9"/>
      <c r="H16" s="9"/>
      <c r="I16" s="9"/>
      <c r="J16" s="9"/>
      <c r="K16" s="9"/>
      <c r="L16" s="9"/>
      <c r="M16" s="9"/>
    </row>
    <row r="17">
      <c r="A17" s="9" t="inlineStr">
        <is>
          <t>RUN-TC-RS-FUNC-010-Base</t>
        </is>
      </c>
      <c r="B17" s="9" t="inlineStr">
        <is>
          <t>TC-RS-FUNC-010</t>
        </is>
      </c>
      <c r="C17" s="9" t="inlineStr">
        <is>
          <t>Base</t>
        </is>
      </c>
      <c r="D17" s="9" t="inlineStr">
        <is>
          <t>NOT RUN</t>
        </is>
      </c>
      <c r="E17" s="9"/>
      <c r="F17" s="9"/>
      <c r="G17" s="9"/>
      <c r="H17" s="9"/>
      <c r="I17" s="9"/>
      <c r="J17" s="9"/>
      <c r="K17" s="9"/>
      <c r="L17" s="9"/>
      <c r="M17" s="9"/>
    </row>
    <row r="18">
      <c r="A18" s="9" t="inlineStr">
        <is>
          <t>RUN-TC-RS-FUNC-011-fixed</t>
        </is>
      </c>
      <c r="B18" s="9" t="inlineStr">
        <is>
          <t>TC-RS-FUNC-011</t>
        </is>
      </c>
      <c r="C18" s="9" t="inlineStr">
        <is>
          <t>fixed</t>
        </is>
      </c>
      <c r="D18" s="9" t="inlineStr">
        <is>
          <t>NOT RUN</t>
        </is>
      </c>
      <c r="E18" s="9"/>
      <c r="F18" s="9"/>
      <c r="G18" s="9"/>
      <c r="H18" s="9"/>
      <c r="I18" s="9"/>
      <c r="J18" s="9"/>
      <c r="K18" s="9"/>
      <c r="L18" s="9"/>
      <c r="M18" s="9"/>
    </row>
    <row r="19">
      <c r="A19" s="9" t="inlineStr">
        <is>
          <t>RUN-TC-RS-FUNC-011-ratio</t>
        </is>
      </c>
      <c r="B19" s="9" t="inlineStr">
        <is>
          <t>TC-RS-FUNC-011</t>
        </is>
      </c>
      <c r="C19" s="9" t="inlineStr">
        <is>
          <t>ratio</t>
        </is>
      </c>
      <c r="D19" s="9" t="inlineStr">
        <is>
          <t>NOT RUN</t>
        </is>
      </c>
      <c r="E19" s="9"/>
      <c r="F19" s="9"/>
      <c r="G19" s="9"/>
      <c r="H19" s="9"/>
      <c r="I19" s="9"/>
      <c r="J19" s="9"/>
      <c r="K19" s="9"/>
      <c r="L19" s="9"/>
      <c r="M19" s="9"/>
    </row>
    <row r="20">
      <c r="A20" s="9" t="inlineStr">
        <is>
          <t>RUN-TC-RS-FUNC-011-formula</t>
        </is>
      </c>
      <c r="B20" s="9" t="inlineStr">
        <is>
          <t>TC-RS-FUNC-011</t>
        </is>
      </c>
      <c r="C20" s="9" t="inlineStr">
        <is>
          <t>formula</t>
        </is>
      </c>
      <c r="D20" s="9" t="inlineStr">
        <is>
          <t>NOT RUN</t>
        </is>
      </c>
      <c r="E20" s="9"/>
      <c r="F20" s="9"/>
      <c r="G20" s="9"/>
      <c r="H20" s="9"/>
      <c r="I20" s="9"/>
      <c r="J20" s="9"/>
      <c r="K20" s="9"/>
      <c r="L20" s="9"/>
      <c r="M20" s="9"/>
    </row>
    <row r="21">
      <c r="A21" s="9" t="inlineStr">
        <is>
          <t>RUN-TC-RS-FUNC-012-Base</t>
        </is>
      </c>
      <c r="B21" s="9" t="inlineStr">
        <is>
          <t>TC-RS-FUNC-012</t>
        </is>
      </c>
      <c r="C21" s="9" t="inlineStr">
        <is>
          <t>Base</t>
        </is>
      </c>
      <c r="D21" s="9" t="inlineStr">
        <is>
          <t>NOT RUN</t>
        </is>
      </c>
      <c r="E21" s="9"/>
      <c r="F21" s="9"/>
      <c r="G21" s="9"/>
      <c r="H21" s="9"/>
      <c r="I21" s="9"/>
      <c r="J21" s="9"/>
      <c r="K21" s="9"/>
      <c r="L21" s="9"/>
      <c r="M21" s="9"/>
    </row>
    <row r="22">
      <c r="A22" s="9" t="inlineStr">
        <is>
          <t>RUN-TC-RS-FUNC-013-lt</t>
        </is>
      </c>
      <c r="B22" s="9" t="inlineStr">
        <is>
          <t>TC-RS-FUNC-013</t>
        </is>
      </c>
      <c r="C22" s="9" t="inlineStr">
        <is>
          <t>lt</t>
        </is>
      </c>
      <c r="D22" s="9" t="inlineStr">
        <is>
          <t>NOT RUN</t>
        </is>
      </c>
      <c r="E22" s="9"/>
      <c r="F22" s="9"/>
      <c r="G22" s="9"/>
      <c r="H22" s="9"/>
      <c r="I22" s="9"/>
      <c r="J22" s="9"/>
      <c r="K22" s="9"/>
      <c r="L22" s="9"/>
      <c r="M22" s="9"/>
    </row>
    <row r="23">
      <c r="A23" s="9" t="inlineStr">
        <is>
          <t>RUN-TC-RS-FUNC-013-le</t>
        </is>
      </c>
      <c r="B23" s="9" t="inlineStr">
        <is>
          <t>TC-RS-FUNC-013</t>
        </is>
      </c>
      <c r="C23" s="9" t="inlineStr">
        <is>
          <t>le</t>
        </is>
      </c>
      <c r="D23" s="9" t="inlineStr">
        <is>
          <t>NOT RUN</t>
        </is>
      </c>
      <c r="E23" s="9"/>
      <c r="F23" s="9"/>
      <c r="G23" s="9"/>
      <c r="H23" s="9"/>
      <c r="I23" s="9"/>
      <c r="J23" s="9"/>
      <c r="K23" s="9"/>
      <c r="L23" s="9"/>
      <c r="M23" s="9"/>
    </row>
    <row r="24">
      <c r="A24" s="9" t="inlineStr">
        <is>
          <t>RUN-TC-RS-FUNC-014-incomplete-excluded</t>
        </is>
      </c>
      <c r="B24" s="9" t="inlineStr">
        <is>
          <t>TC-RS-FUNC-014</t>
        </is>
      </c>
      <c r="C24" s="9" t="inlineStr">
        <is>
          <t>incomplete-excluded</t>
        </is>
      </c>
      <c r="D24" s="9" t="inlineStr">
        <is>
          <t>NOT RUN</t>
        </is>
      </c>
      <c r="E24" s="9"/>
      <c r="F24" s="9"/>
      <c r="G24" s="9"/>
      <c r="H24" s="9"/>
      <c r="I24" s="9"/>
      <c r="J24" s="9"/>
      <c r="K24" s="9"/>
      <c r="L24" s="9"/>
      <c r="M24" s="9"/>
    </row>
    <row r="25">
      <c r="A25" s="9" t="inlineStr">
        <is>
          <t>RUN-TC-RS-FUNC-014-complete-deleted-stale</t>
        </is>
      </c>
      <c r="B25" s="9" t="inlineStr">
        <is>
          <t>TC-RS-FUNC-014</t>
        </is>
      </c>
      <c r="C25" s="9" t="inlineStr">
        <is>
          <t>complete-deleted-stale</t>
        </is>
      </c>
      <c r="D25" s="9" t="inlineStr">
        <is>
          <t>NOT RUN</t>
        </is>
      </c>
      <c r="E25" s="9"/>
      <c r="F25" s="9"/>
      <c r="G25" s="9"/>
      <c r="H25" s="9"/>
      <c r="I25" s="9"/>
      <c r="J25" s="9"/>
      <c r="K25" s="9"/>
      <c r="L25" s="9"/>
      <c r="M25" s="9"/>
    </row>
    <row r="26">
      <c r="A26" s="9" t="inlineStr">
        <is>
          <t>RUN-TC-RS-FUNC-014-incomplete-deleted-stale</t>
        </is>
      </c>
      <c r="B26" s="9" t="inlineStr">
        <is>
          <t>TC-RS-FUNC-014</t>
        </is>
      </c>
      <c r="C26" s="9" t="inlineStr">
        <is>
          <t>incomplete-deleted-stale</t>
        </is>
      </c>
      <c r="D26" s="9" t="inlineStr">
        <is>
          <t>NOT RUN</t>
        </is>
      </c>
      <c r="E26" s="9"/>
      <c r="F26" s="9"/>
      <c r="G26" s="9"/>
      <c r="H26" s="9"/>
      <c r="I26" s="9"/>
      <c r="J26" s="9"/>
      <c r="K26" s="9"/>
      <c r="L26" s="9"/>
      <c r="M26" s="9"/>
    </row>
    <row r="27">
      <c r="A27" s="9" t="inlineStr">
        <is>
          <t>RUN-TC-RS-FUNC-015-Base</t>
        </is>
      </c>
      <c r="B27" s="9" t="inlineStr">
        <is>
          <t>TC-RS-FUNC-015</t>
        </is>
      </c>
      <c r="C27" s="9" t="inlineStr">
        <is>
          <t>Base</t>
        </is>
      </c>
      <c r="D27" s="9" t="inlineStr">
        <is>
          <t>NOT RUN</t>
        </is>
      </c>
      <c r="E27" s="9"/>
      <c r="F27" s="9"/>
      <c r="G27" s="9"/>
      <c r="H27" s="9"/>
      <c r="I27" s="9"/>
      <c r="J27" s="9"/>
      <c r="K27" s="9"/>
      <c r="L27" s="9"/>
      <c r="M27" s="9"/>
    </row>
    <row r="28">
      <c r="A28" s="9" t="inlineStr">
        <is>
          <t>RUN-TC-RS-FUNC-016-Base</t>
        </is>
      </c>
      <c r="B28" s="9" t="inlineStr">
        <is>
          <t>TC-RS-FUNC-016</t>
        </is>
      </c>
      <c r="C28" s="9" t="inlineStr">
        <is>
          <t>Base</t>
        </is>
      </c>
      <c r="D28" s="9" t="inlineStr">
        <is>
          <t>NOT RUN</t>
        </is>
      </c>
      <c r="E28" s="9"/>
      <c r="F28" s="9"/>
      <c r="G28" s="9"/>
      <c r="H28" s="9"/>
      <c r="I28" s="9"/>
      <c r="J28" s="9"/>
      <c r="K28" s="9"/>
      <c r="L28" s="9"/>
      <c r="M28" s="9"/>
    </row>
    <row r="29">
      <c r="A29" s="9" t="inlineStr">
        <is>
          <t>RUN-TC-RS-FUNC-017-auto-on</t>
        </is>
      </c>
      <c r="B29" s="9" t="inlineStr">
        <is>
          <t>TC-RS-FUNC-017</t>
        </is>
      </c>
      <c r="C29" s="9" t="inlineStr">
        <is>
          <t>auto-on</t>
        </is>
      </c>
      <c r="D29" s="9" t="inlineStr">
        <is>
          <t>NOT RUN</t>
        </is>
      </c>
      <c r="E29" s="9"/>
      <c r="F29" s="9"/>
      <c r="G29" s="9"/>
      <c r="H29" s="9"/>
      <c r="I29" s="9"/>
      <c r="J29" s="9"/>
      <c r="K29" s="9"/>
      <c r="L29" s="9"/>
      <c r="M29" s="9"/>
    </row>
    <row r="30">
      <c r="A30" s="9" t="inlineStr">
        <is>
          <t>RUN-TC-RS-FUNC-017-auto-off</t>
        </is>
      </c>
      <c r="B30" s="9" t="inlineStr">
        <is>
          <t>TC-RS-FUNC-017</t>
        </is>
      </c>
      <c r="C30" s="9" t="inlineStr">
        <is>
          <t>auto-off</t>
        </is>
      </c>
      <c r="D30" s="9" t="inlineStr">
        <is>
          <t>NOT RUN</t>
        </is>
      </c>
      <c r="E30" s="9"/>
      <c r="F30" s="9"/>
      <c r="G30" s="9"/>
      <c r="H30" s="9"/>
      <c r="I30" s="9"/>
      <c r="J30" s="9"/>
      <c r="K30" s="9"/>
      <c r="L30" s="9"/>
      <c r="M30" s="9"/>
    </row>
    <row r="31">
      <c r="A31" s="9" t="inlineStr">
        <is>
          <t>RUN-TC-RS-FUNC-018-linked</t>
        </is>
      </c>
      <c r="B31" s="9" t="inlineStr">
        <is>
          <t>TC-RS-FUNC-018</t>
        </is>
      </c>
      <c r="C31" s="9" t="inlineStr">
        <is>
          <t>linked</t>
        </is>
      </c>
      <c r="D31" s="9" t="inlineStr">
        <is>
          <t>NOT RUN</t>
        </is>
      </c>
      <c r="E31" s="9"/>
      <c r="F31" s="9"/>
      <c r="G31" s="9"/>
      <c r="H31" s="9"/>
      <c r="I31" s="9"/>
      <c r="J31" s="9"/>
      <c r="K31" s="9"/>
      <c r="L31" s="9"/>
      <c r="M31" s="9"/>
    </row>
    <row r="32">
      <c r="A32" s="9" t="inlineStr">
        <is>
          <t>RUN-TC-RS-FUNC-018-auto-skipped</t>
        </is>
      </c>
      <c r="B32" s="9" t="inlineStr">
        <is>
          <t>TC-RS-FUNC-018</t>
        </is>
      </c>
      <c r="C32" s="9" t="inlineStr">
        <is>
          <t>auto-skipped</t>
        </is>
      </c>
      <c r="D32" s="9" t="inlineStr">
        <is>
          <t>NOT RUN</t>
        </is>
      </c>
      <c r="E32" s="9"/>
      <c r="F32" s="9"/>
      <c r="G32" s="9"/>
      <c r="H32" s="9"/>
      <c r="I32" s="9"/>
      <c r="J32" s="9"/>
      <c r="K32" s="9"/>
      <c r="L32" s="9"/>
      <c r="M32" s="9"/>
    </row>
    <row r="33">
      <c r="A33" s="9" t="inlineStr">
        <is>
          <t>RUN-TC-RS-FUNC-019-Base</t>
        </is>
      </c>
      <c r="B33" s="9" t="inlineStr">
        <is>
          <t>TC-RS-FUNC-019</t>
        </is>
      </c>
      <c r="C33" s="9" t="inlineStr">
        <is>
          <t>Base</t>
        </is>
      </c>
      <c r="D33" s="9" t="inlineStr">
        <is>
          <t>NOT RUN</t>
        </is>
      </c>
      <c r="E33" s="9"/>
      <c r="F33" s="9"/>
      <c r="G33" s="9"/>
      <c r="H33" s="9"/>
      <c r="I33" s="9"/>
      <c r="J33" s="9"/>
      <c r="K33" s="9"/>
      <c r="L33" s="9"/>
      <c r="M33" s="9"/>
    </row>
    <row r="34">
      <c r="A34" s="9" t="inlineStr">
        <is>
          <t>RUN-TC-RS-FUNC-020-Base</t>
        </is>
      </c>
      <c r="B34" s="9" t="inlineStr">
        <is>
          <t>TC-RS-FUNC-020</t>
        </is>
      </c>
      <c r="C34" s="9" t="inlineStr">
        <is>
          <t>Base</t>
        </is>
      </c>
      <c r="D34" s="9" t="inlineStr">
        <is>
          <t>NOT RUN</t>
        </is>
      </c>
      <c r="E34" s="9"/>
      <c r="F34" s="9"/>
      <c r="G34" s="9"/>
      <c r="H34" s="9"/>
      <c r="I34" s="9"/>
      <c r="J34" s="9"/>
      <c r="K34" s="9"/>
      <c r="L34" s="9"/>
      <c r="M34" s="9"/>
    </row>
    <row r="35">
      <c r="A35" s="9" t="inlineStr">
        <is>
          <t>RUN-TC-RS-FUNC-021-Base</t>
        </is>
      </c>
      <c r="B35" s="9" t="inlineStr">
        <is>
          <t>TC-RS-FUNC-021</t>
        </is>
      </c>
      <c r="C35" s="9" t="inlineStr">
        <is>
          <t>Base</t>
        </is>
      </c>
      <c r="D35" s="9" t="inlineStr">
        <is>
          <t>NOT RUN</t>
        </is>
      </c>
      <c r="E35" s="9"/>
      <c r="F35" s="9"/>
      <c r="G35" s="9"/>
      <c r="H35" s="9"/>
      <c r="I35" s="9"/>
      <c r="J35" s="9"/>
      <c r="K35" s="9"/>
      <c r="L35" s="9"/>
      <c r="M35" s="9"/>
    </row>
    <row r="36">
      <c r="A36" s="9" t="inlineStr">
        <is>
          <t>RUN-TC-RS-FUNC-022-filter-color</t>
        </is>
      </c>
      <c r="B36" s="9" t="inlineStr">
        <is>
          <t>TC-RS-FUNC-022</t>
        </is>
      </c>
      <c r="C36" s="9" t="inlineStr">
        <is>
          <t>filter-color</t>
        </is>
      </c>
      <c r="D36" s="9" t="inlineStr">
        <is>
          <t>NOT RUN</t>
        </is>
      </c>
      <c r="E36" s="9"/>
      <c r="F36" s="9"/>
      <c r="G36" s="9"/>
      <c r="H36" s="9"/>
      <c r="I36" s="9"/>
      <c r="J36" s="9"/>
      <c r="K36" s="9"/>
      <c r="L36" s="9"/>
      <c r="M36" s="9"/>
    </row>
    <row r="37">
      <c r="A37" s="9" t="inlineStr">
        <is>
          <t>RUN-TC-RS-FUNC-022-prefix-suffix</t>
        </is>
      </c>
      <c r="B37" s="9" t="inlineStr">
        <is>
          <t>TC-RS-FUNC-022</t>
        </is>
      </c>
      <c r="C37" s="9" t="inlineStr">
        <is>
          <t>prefix-suffix</t>
        </is>
      </c>
      <c r="D37" s="9" t="inlineStr">
        <is>
          <t>NOT RUN</t>
        </is>
      </c>
      <c r="E37" s="9"/>
      <c r="F37" s="9"/>
      <c r="G37" s="9"/>
      <c r="H37" s="9"/>
      <c r="I37" s="9"/>
      <c r="J37" s="9"/>
      <c r="K37" s="9"/>
      <c r="L37" s="9"/>
      <c r="M37" s="9"/>
    </row>
    <row r="38">
      <c r="A38" s="9" t="inlineStr">
        <is>
          <t>RUN-TC-RS-FUNC-022-copy</t>
        </is>
      </c>
      <c r="B38" s="9" t="inlineStr">
        <is>
          <t>TC-RS-FUNC-022</t>
        </is>
      </c>
      <c r="C38" s="9" t="inlineStr">
        <is>
          <t>copy</t>
        </is>
      </c>
      <c r="D38" s="9" t="inlineStr">
        <is>
          <t>NOT RUN</t>
        </is>
      </c>
      <c r="E38" s="9"/>
      <c r="F38" s="9"/>
      <c r="G38" s="9"/>
      <c r="H38" s="9"/>
      <c r="I38" s="9"/>
      <c r="J38" s="9"/>
      <c r="K38" s="9"/>
      <c r="L38" s="9"/>
      <c r="M38" s="9"/>
    </row>
    <row r="39">
      <c r="A39" s="9" t="inlineStr">
        <is>
          <t>RUN-TC-RS-FUNC-023-multi-red-scope</t>
        </is>
      </c>
      <c r="B39" s="9" t="inlineStr">
        <is>
          <t>TC-RS-FUNC-023</t>
        </is>
      </c>
      <c r="C39" s="9" t="inlineStr">
        <is>
          <t>multi-red-scope</t>
        </is>
      </c>
      <c r="D39" s="9" t="inlineStr">
        <is>
          <t>NOT RUN</t>
        </is>
      </c>
      <c r="E39" s="9"/>
      <c r="F39" s="9"/>
      <c r="G39" s="9"/>
      <c r="H39" s="9"/>
      <c r="I39" s="9"/>
      <c r="J39" s="9"/>
      <c r="K39" s="9"/>
      <c r="L39" s="9"/>
      <c r="M39" s="9"/>
    </row>
    <row r="40">
      <c r="A40" s="9" t="inlineStr">
        <is>
          <t>RUN-TC-RS-FUNC-023-one-red-in-scope</t>
        </is>
      </c>
      <c r="B40" s="9" t="inlineStr">
        <is>
          <t>TC-RS-FUNC-023</t>
        </is>
      </c>
      <c r="C40" s="9" t="inlineStr">
        <is>
          <t>one-red-in-scope</t>
        </is>
      </c>
      <c r="D40" s="9" t="inlineStr">
        <is>
          <t>NOT RUN</t>
        </is>
      </c>
      <c r="E40" s="9"/>
      <c r="F40" s="9"/>
      <c r="G40" s="9"/>
      <c r="H40" s="9"/>
      <c r="I40" s="9"/>
      <c r="J40" s="9"/>
      <c r="K40" s="9"/>
      <c r="L40" s="9"/>
      <c r="M40" s="9"/>
    </row>
    <row r="41">
      <c r="A41" s="9" t="inlineStr">
        <is>
          <t>RUN-TC-RS-FUNC-023-no-red-in-scope</t>
        </is>
      </c>
      <c r="B41" s="9" t="inlineStr">
        <is>
          <t>TC-RS-FUNC-023</t>
        </is>
      </c>
      <c r="C41" s="9" t="inlineStr">
        <is>
          <t>no-red-in-scope</t>
        </is>
      </c>
      <c r="D41" s="9" t="inlineStr">
        <is>
          <t>NOT RUN</t>
        </is>
      </c>
      <c r="E41" s="9"/>
      <c r="F41" s="9"/>
      <c r="G41" s="9"/>
      <c r="H41" s="9"/>
      <c r="I41" s="9"/>
      <c r="J41" s="9"/>
      <c r="K41" s="9"/>
      <c r="L41" s="9"/>
      <c r="M41" s="9"/>
    </row>
    <row r="42">
      <c r="A42" s="9" t="inlineStr">
        <is>
          <t>RUN-TC-RS-FUNC-023-filter-off</t>
        </is>
      </c>
      <c r="B42" s="9" t="inlineStr">
        <is>
          <t>TC-RS-FUNC-023</t>
        </is>
      </c>
      <c r="C42" s="9" t="inlineStr">
        <is>
          <t>filter-off</t>
        </is>
      </c>
      <c r="D42" s="9" t="inlineStr">
        <is>
          <t>NOT RUN</t>
        </is>
      </c>
      <c r="E42" s="9"/>
      <c r="F42" s="9"/>
      <c r="G42" s="9"/>
      <c r="H42" s="9"/>
      <c r="I42" s="9"/>
      <c r="J42" s="9"/>
      <c r="K42" s="9"/>
      <c r="L42" s="9"/>
      <c r="M42" s="9"/>
    </row>
    <row r="43">
      <c r="A43" s="9" t="inlineStr">
        <is>
          <t>RUN-TC-RS-FUNC-023-another-period-only</t>
        </is>
      </c>
      <c r="B43" s="9" t="inlineStr">
        <is>
          <t>TC-RS-FUNC-023</t>
        </is>
      </c>
      <c r="C43" s="9" t="inlineStr">
        <is>
          <t>another-period-only</t>
        </is>
      </c>
      <c r="D43" s="9" t="inlineStr">
        <is>
          <t>NOT RUN</t>
        </is>
      </c>
      <c r="E43" s="9"/>
      <c r="F43" s="9"/>
      <c r="G43" s="9"/>
      <c r="H43" s="9"/>
      <c r="I43" s="9"/>
      <c r="J43" s="9"/>
      <c r="K43" s="9"/>
      <c r="L43" s="9"/>
      <c r="M43" s="9"/>
    </row>
    <row r="44">
      <c r="A44" s="9" t="inlineStr">
        <is>
          <t>RUN-TC-RS-FUNC-023-other-unit-only</t>
        </is>
      </c>
      <c r="B44" s="9" t="inlineStr">
        <is>
          <t>TC-RS-FUNC-023</t>
        </is>
      </c>
      <c r="C44" s="9" t="inlineStr">
        <is>
          <t>other-unit-only</t>
        </is>
      </c>
      <c r="D44" s="9" t="inlineStr">
        <is>
          <t>NOT RUN</t>
        </is>
      </c>
      <c r="E44" s="9"/>
      <c r="F44" s="9"/>
      <c r="G44" s="9"/>
      <c r="H44" s="9"/>
      <c r="I44" s="9"/>
      <c r="J44" s="9"/>
      <c r="K44" s="9"/>
      <c r="L44" s="9"/>
      <c r="M44" s="9"/>
    </row>
    <row r="45">
      <c r="A45" s="9" t="inlineStr">
        <is>
          <t>RUN-TC-RS-FUNC-023-after-delete</t>
        </is>
      </c>
      <c r="B45" s="9" t="inlineStr">
        <is>
          <t>TC-RS-FUNC-023</t>
        </is>
      </c>
      <c r="C45" s="9" t="inlineStr">
        <is>
          <t>after-delete</t>
        </is>
      </c>
      <c r="D45" s="9" t="inlineStr">
        <is>
          <t>NOT RUN</t>
        </is>
      </c>
      <c r="E45" s="9"/>
      <c r="F45" s="9"/>
      <c r="G45" s="9"/>
      <c r="H45" s="9"/>
      <c r="I45" s="9"/>
      <c r="J45" s="9"/>
      <c r="K45" s="9"/>
      <c r="L45" s="9"/>
      <c r="M45" s="9"/>
    </row>
    <row r="46">
      <c r="A46" s="9" t="inlineStr">
        <is>
          <t>RUN-TC-RS-FUNC-024-prefix-color</t>
        </is>
      </c>
      <c r="B46" s="9" t="inlineStr">
        <is>
          <t>TC-RS-FUNC-024</t>
        </is>
      </c>
      <c r="C46" s="9" t="inlineStr">
        <is>
          <t>prefix-color</t>
        </is>
      </c>
      <c r="D46" s="9" t="inlineStr">
        <is>
          <t>NOT RUN</t>
        </is>
      </c>
      <c r="E46" s="9"/>
      <c r="F46" s="9"/>
      <c r="G46" s="9"/>
      <c r="H46" s="9"/>
      <c r="I46" s="9"/>
      <c r="J46" s="9"/>
      <c r="K46" s="9"/>
      <c r="L46" s="9"/>
      <c r="M46" s="9"/>
    </row>
    <row r="47">
      <c r="A47" s="9" t="inlineStr">
        <is>
          <t>RUN-TC-RS-FUNC-024-prefix-suffix</t>
        </is>
      </c>
      <c r="B47" s="9" t="inlineStr">
        <is>
          <t>TC-RS-FUNC-024</t>
        </is>
      </c>
      <c r="C47" s="9" t="inlineStr">
        <is>
          <t>prefix-suffix</t>
        </is>
      </c>
      <c r="D47" s="9" t="inlineStr">
        <is>
          <t>NOT RUN</t>
        </is>
      </c>
      <c r="E47" s="9"/>
      <c r="F47" s="9"/>
      <c r="G47" s="9"/>
      <c r="H47" s="9"/>
      <c r="I47" s="9"/>
      <c r="J47" s="9"/>
      <c r="K47" s="9"/>
      <c r="L47" s="9"/>
      <c r="M47" s="9"/>
    </row>
    <row r="48">
      <c r="A48" s="9" t="inlineStr">
        <is>
          <t>RUN-TC-RS-FUNC-025-filter-on</t>
        </is>
      </c>
      <c r="B48" s="9" t="inlineStr">
        <is>
          <t>TC-RS-FUNC-025</t>
        </is>
      </c>
      <c r="C48" s="9" t="inlineStr">
        <is>
          <t>filter-on</t>
        </is>
      </c>
      <c r="D48" s="9" t="inlineStr">
        <is>
          <t>NOT RUN</t>
        </is>
      </c>
      <c r="E48" s="9"/>
      <c r="F48" s="9"/>
      <c r="G48" s="9"/>
      <c r="H48" s="9"/>
      <c r="I48" s="9"/>
      <c r="J48" s="9"/>
      <c r="K48" s="9"/>
      <c r="L48" s="9"/>
      <c r="M48" s="9"/>
    </row>
    <row r="49">
      <c r="A49" s="9" t="inlineStr">
        <is>
          <t>RUN-TC-RS-FUNC-025-filter-off</t>
        </is>
      </c>
      <c r="B49" s="9" t="inlineStr">
        <is>
          <t>TC-RS-FUNC-025</t>
        </is>
      </c>
      <c r="C49" s="9" t="inlineStr">
        <is>
          <t>filter-off</t>
        </is>
      </c>
      <c r="D49" s="9" t="inlineStr">
        <is>
          <t>NOT RUN</t>
        </is>
      </c>
      <c r="E49" s="9"/>
      <c r="F49" s="9"/>
      <c r="G49" s="9"/>
      <c r="H49" s="9"/>
      <c r="I49" s="9"/>
      <c r="J49" s="9"/>
      <c r="K49" s="9"/>
      <c r="L49" s="9"/>
      <c r="M49" s="9"/>
    </row>
    <row r="50">
      <c r="A50" s="9" t="inlineStr">
        <is>
          <t>RUN-TC-RS-FUNC-025-empty</t>
        </is>
      </c>
      <c r="B50" s="9" t="inlineStr">
        <is>
          <t>TC-RS-FUNC-025</t>
        </is>
      </c>
      <c r="C50" s="9" t="inlineStr">
        <is>
          <t>empty</t>
        </is>
      </c>
      <c r="D50" s="9" t="inlineStr">
        <is>
          <t>NOT RUN</t>
        </is>
      </c>
      <c r="E50" s="9"/>
      <c r="F50" s="9"/>
      <c r="G50" s="9"/>
      <c r="H50" s="9"/>
      <c r="I50" s="9"/>
      <c r="J50" s="9"/>
      <c r="K50" s="9"/>
      <c r="L50" s="9"/>
      <c r="M50" s="9"/>
    </row>
    <row r="51">
      <c r="A51" s="9" t="inlineStr">
        <is>
          <t>RUN-TC-RS-FUNC-025-stale</t>
        </is>
      </c>
      <c r="B51" s="9" t="inlineStr">
        <is>
          <t>TC-RS-FUNC-025</t>
        </is>
      </c>
      <c r="C51" s="9" t="inlineStr">
        <is>
          <t>stale</t>
        </is>
      </c>
      <c r="D51" s="9" t="inlineStr">
        <is>
          <t>NOT RUN</t>
        </is>
      </c>
      <c r="E51" s="9"/>
      <c r="F51" s="9"/>
      <c r="G51" s="9"/>
      <c r="H51" s="9"/>
      <c r="I51" s="9"/>
      <c r="J51" s="9"/>
      <c r="K51" s="9"/>
      <c r="L51" s="9"/>
      <c r="M51" s="9"/>
    </row>
    <row r="52">
      <c r="A52" s="9" t="inlineStr">
        <is>
          <t>RUN-TC-RS-FUNC-025-hidden</t>
        </is>
      </c>
      <c r="B52" s="9" t="inlineStr">
        <is>
          <t>TC-RS-FUNC-025</t>
        </is>
      </c>
      <c r="C52" s="9" t="inlineStr">
        <is>
          <t>hidden</t>
        </is>
      </c>
      <c r="D52" s="9" t="inlineStr">
        <is>
          <t>NOT RUN</t>
        </is>
      </c>
      <c r="E52" s="9"/>
      <c r="F52" s="9"/>
      <c r="G52" s="9"/>
      <c r="H52" s="9"/>
      <c r="I52" s="9"/>
      <c r="J52" s="9"/>
      <c r="K52" s="9"/>
      <c r="L52" s="9"/>
      <c r="M52" s="9"/>
    </row>
    <row r="53">
      <c r="A53" s="9" t="inlineStr">
        <is>
          <t>RUN-TC-RS-FUNC-026-parentheses</t>
        </is>
      </c>
      <c r="B53" s="9" t="inlineStr">
        <is>
          <t>TC-RS-FUNC-026</t>
        </is>
      </c>
      <c r="C53" s="9" t="inlineStr">
        <is>
          <t>parentheses</t>
        </is>
      </c>
      <c r="D53" s="9" t="inlineStr">
        <is>
          <t>NOT RUN</t>
        </is>
      </c>
      <c r="E53" s="9"/>
      <c r="F53" s="9"/>
      <c r="G53" s="9"/>
      <c r="H53" s="9"/>
      <c r="I53" s="9"/>
      <c r="J53" s="9"/>
      <c r="K53" s="9"/>
      <c r="L53" s="9"/>
      <c r="M53" s="9"/>
    </row>
    <row r="54">
      <c r="A54" s="9" t="inlineStr">
        <is>
          <t>RUN-TC-RS-FUNC-026-prefix</t>
        </is>
      </c>
      <c r="B54" s="9" t="inlineStr">
        <is>
          <t>TC-RS-FUNC-026</t>
        </is>
      </c>
      <c r="C54" s="9" t="inlineStr">
        <is>
          <t>prefix</t>
        </is>
      </c>
      <c r="D54" s="9" t="inlineStr">
        <is>
          <t>NOT RUN</t>
        </is>
      </c>
      <c r="E54" s="9"/>
      <c r="F54" s="9"/>
      <c r="G54" s="9"/>
      <c r="H54" s="9"/>
      <c r="I54" s="9"/>
      <c r="J54" s="9"/>
      <c r="K54" s="9"/>
      <c r="L54" s="9"/>
      <c r="M54" s="9"/>
    </row>
    <row r="55">
      <c r="A55" s="9" t="inlineStr">
        <is>
          <t>RUN-TC-RS-FUNC-026-suffix-reopen</t>
        </is>
      </c>
      <c r="B55" s="9" t="inlineStr">
        <is>
          <t>TC-RS-FUNC-026</t>
        </is>
      </c>
      <c r="C55" s="9" t="inlineStr">
        <is>
          <t>suffix-reopen</t>
        </is>
      </c>
      <c r="D55" s="9" t="inlineStr">
        <is>
          <t>NOT RUN</t>
        </is>
      </c>
      <c r="E55" s="9"/>
      <c r="F55" s="9"/>
      <c r="G55" s="9"/>
      <c r="H55" s="9"/>
      <c r="I55" s="9"/>
      <c r="J55" s="9"/>
      <c r="K55" s="9"/>
      <c r="L55" s="9"/>
      <c r="M55" s="9"/>
    </row>
    <row r="56">
      <c r="A56" s="9" t="inlineStr">
        <is>
          <t>RUN-TC-RS-FUNC-026-unit-prefix</t>
        </is>
      </c>
      <c r="B56" s="9" t="inlineStr">
        <is>
          <t>TC-RS-FUNC-026</t>
        </is>
      </c>
      <c r="C56" s="9" t="inlineStr">
        <is>
          <t>unit-prefix</t>
        </is>
      </c>
      <c r="D56" s="9" t="inlineStr">
        <is>
          <t>NOT RUN</t>
        </is>
      </c>
      <c r="E56" s="9"/>
      <c r="F56" s="9"/>
      <c r="G56" s="9"/>
      <c r="H56" s="9"/>
      <c r="I56" s="9"/>
      <c r="J56" s="9"/>
      <c r="K56" s="9"/>
      <c r="L56" s="9"/>
      <c r="M56" s="9"/>
    </row>
    <row r="57">
      <c r="A57" s="9" t="inlineStr">
        <is>
          <t>RUN-TC-RS-FUNC-027-a</t>
        </is>
      </c>
      <c r="B57" s="9" t="inlineStr">
        <is>
          <t>TC-RS-FUNC-027</t>
        </is>
      </c>
      <c r="C57" s="9" t="inlineStr">
        <is>
          <t>a</t>
        </is>
      </c>
      <c r="D57" s="9" t="inlineStr">
        <is>
          <t>NOT RUN</t>
        </is>
      </c>
      <c r="E57" s="9"/>
      <c r="F57" s="9"/>
      <c r="G57" s="9"/>
      <c r="H57" s="9"/>
      <c r="I57" s="9"/>
      <c r="J57" s="9"/>
      <c r="K57" s="9"/>
      <c r="L57" s="9"/>
      <c r="M57" s="9"/>
    </row>
    <row r="58">
      <c r="A58" s="9" t="inlineStr">
        <is>
          <t>RUN-TC-RS-FUNC-027-b</t>
        </is>
      </c>
      <c r="B58" s="9" t="inlineStr">
        <is>
          <t>TC-RS-FUNC-027</t>
        </is>
      </c>
      <c r="C58" s="9" t="inlineStr">
        <is>
          <t>b</t>
        </is>
      </c>
      <c r="D58" s="9" t="inlineStr">
        <is>
          <t>NOT RUN</t>
        </is>
      </c>
      <c r="E58" s="9"/>
      <c r="F58" s="9"/>
      <c r="G58" s="9"/>
      <c r="H58" s="9"/>
      <c r="I58" s="9"/>
      <c r="J58" s="9"/>
      <c r="K58" s="9"/>
      <c r="L58" s="9"/>
      <c r="M58" s="9"/>
    </row>
    <row r="59">
      <c r="A59" s="9" t="inlineStr">
        <is>
          <t>RUN-TC-RS-FUNC-027-c</t>
        </is>
      </c>
      <c r="B59" s="9" t="inlineStr">
        <is>
          <t>TC-RS-FUNC-027</t>
        </is>
      </c>
      <c r="C59" s="9" t="inlineStr">
        <is>
          <t>c</t>
        </is>
      </c>
      <c r="D59" s="9" t="inlineStr">
        <is>
          <t>NOT RUN</t>
        </is>
      </c>
      <c r="E59" s="9"/>
      <c r="F59" s="9"/>
      <c r="G59" s="9"/>
      <c r="H59" s="9"/>
      <c r="I59" s="9"/>
      <c r="J59" s="9"/>
      <c r="K59" s="9"/>
      <c r="L59" s="9"/>
      <c r="M59" s="9"/>
    </row>
    <row r="60">
      <c r="A60" s="9" t="inlineStr">
        <is>
          <t>RUN-TC-RS-FUNC-027-d</t>
        </is>
      </c>
      <c r="B60" s="9" t="inlineStr">
        <is>
          <t>TC-RS-FUNC-027</t>
        </is>
      </c>
      <c r="C60" s="9" t="inlineStr">
        <is>
          <t>d</t>
        </is>
      </c>
      <c r="D60" s="9" t="inlineStr">
        <is>
          <t>NOT RUN</t>
        </is>
      </c>
      <c r="E60" s="9"/>
      <c r="F60" s="9"/>
      <c r="G60" s="9"/>
      <c r="H60" s="9"/>
      <c r="I60" s="9"/>
      <c r="J60" s="9"/>
      <c r="K60" s="9"/>
      <c r="L60" s="9"/>
      <c r="M60" s="9"/>
    </row>
    <row r="61">
      <c r="A61" s="9" t="inlineStr">
        <is>
          <t>RUN-TC-RS-FUNC-027-e</t>
        </is>
      </c>
      <c r="B61" s="9" t="inlineStr">
        <is>
          <t>TC-RS-FUNC-027</t>
        </is>
      </c>
      <c r="C61" s="9" t="inlineStr">
        <is>
          <t>e</t>
        </is>
      </c>
      <c r="D61" s="9" t="inlineStr">
        <is>
          <t>NOT RUN</t>
        </is>
      </c>
      <c r="E61" s="9"/>
      <c r="F61" s="9"/>
      <c r="G61" s="9"/>
      <c r="H61" s="9"/>
      <c r="I61" s="9"/>
      <c r="J61" s="9"/>
      <c r="K61" s="9"/>
      <c r="L61" s="9"/>
      <c r="M61" s="9"/>
    </row>
    <row r="62">
      <c r="A62" s="9" t="inlineStr">
        <is>
          <t>RUN-TC-RS-FUNC-027-f</t>
        </is>
      </c>
      <c r="B62" s="9" t="inlineStr">
        <is>
          <t>TC-RS-FUNC-027</t>
        </is>
      </c>
      <c r="C62" s="9" t="inlineStr">
        <is>
          <t>f</t>
        </is>
      </c>
      <c r="D62" s="9" t="inlineStr">
        <is>
          <t>NOT RUN</t>
        </is>
      </c>
      <c r="E62" s="9"/>
      <c r="F62" s="9"/>
      <c r="G62" s="9"/>
      <c r="H62" s="9"/>
      <c r="I62" s="9"/>
      <c r="J62" s="9"/>
      <c r="K62" s="9"/>
      <c r="L62" s="9"/>
      <c r="M62" s="9"/>
    </row>
    <row r="63">
      <c r="A63" s="9" t="inlineStr">
        <is>
          <t>RUN-TC-RS-FUNC-028-web</t>
        </is>
      </c>
      <c r="B63" s="9" t="inlineStr">
        <is>
          <t>TC-RS-FUNC-028</t>
        </is>
      </c>
      <c r="C63" s="9" t="inlineStr">
        <is>
          <t>web</t>
        </is>
      </c>
      <c r="D63" s="9" t="inlineStr">
        <is>
          <t>NOT RUN</t>
        </is>
      </c>
      <c r="E63" s="9"/>
      <c r="F63" s="9"/>
      <c r="G63" s="9"/>
      <c r="H63" s="9"/>
      <c r="I63" s="9"/>
      <c r="J63" s="9"/>
      <c r="K63" s="9"/>
      <c r="L63" s="9"/>
      <c r="M63" s="9"/>
    </row>
    <row r="64">
      <c r="A64" s="9" t="inlineStr">
        <is>
          <t>RUN-TC-RS-FUNC-028-api</t>
        </is>
      </c>
      <c r="B64" s="9" t="inlineStr">
        <is>
          <t>TC-RS-FUNC-028</t>
        </is>
      </c>
      <c r="C64" s="9" t="inlineStr">
        <is>
          <t>api</t>
        </is>
      </c>
      <c r="D64" s="9" t="inlineStr">
        <is>
          <t>NOT RUN</t>
        </is>
      </c>
      <c r="E64" s="9"/>
      <c r="F64" s="9"/>
      <c r="G64" s="9"/>
      <c r="H64" s="9"/>
      <c r="I64" s="9"/>
      <c r="J64" s="9"/>
      <c r="K64" s="9"/>
      <c r="L64" s="9"/>
      <c r="M64" s="9"/>
    </row>
    <row r="65">
      <c r="A65" s="9" t="inlineStr">
        <is>
          <t>RUN-TC-RS-FUNC-028-pdf</t>
        </is>
      </c>
      <c r="B65" s="9" t="inlineStr">
        <is>
          <t>TC-RS-FUNC-028</t>
        </is>
      </c>
      <c r="C65" s="9" t="inlineStr">
        <is>
          <t>pdf</t>
        </is>
      </c>
      <c r="D65" s="9" t="inlineStr">
        <is>
          <t>NOT RUN</t>
        </is>
      </c>
      <c r="E65" s="9"/>
      <c r="F65" s="9"/>
      <c r="G65" s="9"/>
      <c r="H65" s="9"/>
      <c r="I65" s="9"/>
      <c r="J65" s="9"/>
      <c r="K65" s="9"/>
      <c r="L65" s="9"/>
      <c r="M65" s="9"/>
    </row>
    <row r="66">
      <c r="A66" s="9" t="inlineStr">
        <is>
          <t>RUN-TC-RS-FUNC-029-unchanged</t>
        </is>
      </c>
      <c r="B66" s="9" t="inlineStr">
        <is>
          <t>TC-RS-FUNC-029</t>
        </is>
      </c>
      <c r="C66" s="9" t="inlineStr">
        <is>
          <t>unchanged</t>
        </is>
      </c>
      <c r="D66" s="9" t="inlineStr">
        <is>
          <t>NOT RUN</t>
        </is>
      </c>
      <c r="E66" s="9"/>
      <c r="F66" s="9"/>
      <c r="G66" s="9"/>
      <c r="H66" s="9"/>
      <c r="I66" s="9"/>
      <c r="J66" s="9"/>
      <c r="K66" s="9"/>
      <c r="L66" s="9"/>
      <c r="M66" s="9"/>
    </row>
    <row r="67">
      <c r="A67" s="9" t="inlineStr">
        <is>
          <t>RUN-TC-RS-FUNC-029-parentheses</t>
        </is>
      </c>
      <c r="B67" s="9" t="inlineStr">
        <is>
          <t>TC-RS-FUNC-029</t>
        </is>
      </c>
      <c r="C67" s="9" t="inlineStr">
        <is>
          <t>parentheses</t>
        </is>
      </c>
      <c r="D67" s="9" t="inlineStr">
        <is>
          <t>NOT RUN</t>
        </is>
      </c>
      <c r="E67" s="9"/>
      <c r="F67" s="9"/>
      <c r="G67" s="9"/>
      <c r="H67" s="9"/>
      <c r="I67" s="9"/>
      <c r="J67" s="9"/>
      <c r="K67" s="9"/>
      <c r="L67" s="9"/>
      <c r="M67" s="9"/>
    </row>
    <row r="68">
      <c r="A68" s="9" t="inlineStr">
        <is>
          <t>RUN-TC-RS-FUNC-029-prefix</t>
        </is>
      </c>
      <c r="B68" s="9" t="inlineStr">
        <is>
          <t>TC-RS-FUNC-029</t>
        </is>
      </c>
      <c r="C68" s="9" t="inlineStr">
        <is>
          <t>prefix</t>
        </is>
      </c>
      <c r="D68" s="9" t="inlineStr">
        <is>
          <t>NOT RUN</t>
        </is>
      </c>
      <c r="E68" s="9"/>
      <c r="F68" s="9"/>
      <c r="G68" s="9"/>
      <c r="H68" s="9"/>
      <c r="I68" s="9"/>
      <c r="J68" s="9"/>
      <c r="K68" s="9"/>
      <c r="L68" s="9"/>
      <c r="M68" s="9"/>
    </row>
    <row r="69">
      <c r="A69" s="9" t="inlineStr">
        <is>
          <t>RUN-TC-RS-FUNC-029-suffix</t>
        </is>
      </c>
      <c r="B69" s="9" t="inlineStr">
        <is>
          <t>TC-RS-FUNC-029</t>
        </is>
      </c>
      <c r="C69" s="9" t="inlineStr">
        <is>
          <t>suffix</t>
        </is>
      </c>
      <c r="D69" s="9" t="inlineStr">
        <is>
          <t>NOT RUN</t>
        </is>
      </c>
      <c r="E69" s="9"/>
      <c r="F69" s="9"/>
      <c r="G69" s="9"/>
      <c r="H69" s="9"/>
      <c r="I69" s="9"/>
      <c r="J69" s="9"/>
      <c r="K69" s="9"/>
      <c r="L69" s="9"/>
      <c r="M69" s="9"/>
    </row>
    <row r="70">
      <c r="A70" s="9" t="inlineStr">
        <is>
          <t>RUN-TC-RS-FUNC-030-a</t>
        </is>
      </c>
      <c r="B70" s="9" t="inlineStr">
        <is>
          <t>TC-RS-FUNC-030</t>
        </is>
      </c>
      <c r="C70" s="9" t="inlineStr">
        <is>
          <t>a</t>
        </is>
      </c>
      <c r="D70" s="9" t="inlineStr">
        <is>
          <t>NOT RUN</t>
        </is>
      </c>
      <c r="E70" s="9"/>
      <c r="F70" s="9"/>
      <c r="G70" s="9"/>
      <c r="H70" s="9"/>
      <c r="I70" s="9"/>
      <c r="J70" s="9"/>
      <c r="K70" s="9"/>
      <c r="L70" s="9"/>
      <c r="M70" s="9"/>
    </row>
    <row r="71">
      <c r="A71" s="9" t="inlineStr">
        <is>
          <t>RUN-TC-RS-FUNC-030-b</t>
        </is>
      </c>
      <c r="B71" s="9" t="inlineStr">
        <is>
          <t>TC-RS-FUNC-030</t>
        </is>
      </c>
      <c r="C71" s="9" t="inlineStr">
        <is>
          <t>b</t>
        </is>
      </c>
      <c r="D71" s="9" t="inlineStr">
        <is>
          <t>NOT RUN</t>
        </is>
      </c>
      <c r="E71" s="9"/>
      <c r="F71" s="9"/>
      <c r="G71" s="9"/>
      <c r="H71" s="9"/>
      <c r="I71" s="9"/>
      <c r="J71" s="9"/>
      <c r="K71" s="9"/>
      <c r="L71" s="9"/>
      <c r="M71" s="9"/>
    </row>
    <row r="72">
      <c r="A72" s="9" t="inlineStr">
        <is>
          <t>RUN-TC-RS-FUNC-030-c-hidden</t>
        </is>
      </c>
      <c r="B72" s="9" t="inlineStr">
        <is>
          <t>TC-RS-FUNC-030</t>
        </is>
      </c>
      <c r="C72" s="9" t="inlineStr">
        <is>
          <t>c-hidden</t>
        </is>
      </c>
      <c r="D72" s="9" t="inlineStr">
        <is>
          <t>NOT RUN</t>
        </is>
      </c>
      <c r="E72" s="9"/>
      <c r="F72" s="9"/>
      <c r="G72" s="9"/>
      <c r="H72" s="9"/>
      <c r="I72" s="9"/>
      <c r="J72" s="9"/>
      <c r="K72" s="9"/>
      <c r="L72" s="9"/>
      <c r="M72" s="9"/>
    </row>
    <row r="73">
      <c r="A73" s="9" t="inlineStr">
        <is>
          <t>RUN-TC-RS-FUNC-030-c-slash</t>
        </is>
      </c>
      <c r="B73" s="9" t="inlineStr">
        <is>
          <t>TC-RS-FUNC-030</t>
        </is>
      </c>
      <c r="C73" s="9" t="inlineStr">
        <is>
          <t>c-slash</t>
        </is>
      </c>
      <c r="D73" s="9" t="inlineStr">
        <is>
          <t>NOT RUN</t>
        </is>
      </c>
      <c r="E73" s="9"/>
      <c r="F73" s="9"/>
      <c r="G73" s="9"/>
      <c r="H73" s="9"/>
      <c r="I73" s="9"/>
      <c r="J73" s="9"/>
      <c r="K73" s="9"/>
      <c r="L73" s="9"/>
      <c r="M73" s="9"/>
    </row>
    <row r="74">
      <c r="A74" s="9" t="inlineStr">
        <is>
          <t>RUN-TC-RS-FUNC-030-d</t>
        </is>
      </c>
      <c r="B74" s="9" t="inlineStr">
        <is>
          <t>TC-RS-FUNC-030</t>
        </is>
      </c>
      <c r="C74" s="9" t="inlineStr">
        <is>
          <t>d</t>
        </is>
      </c>
      <c r="D74" s="9" t="inlineStr">
        <is>
          <t>NOT RUN</t>
        </is>
      </c>
      <c r="E74" s="9"/>
      <c r="F74" s="9"/>
      <c r="G74" s="9"/>
      <c r="H74" s="9"/>
      <c r="I74" s="9"/>
      <c r="J74" s="9"/>
      <c r="K74" s="9"/>
      <c r="L74" s="9"/>
      <c r="M74" s="9"/>
    </row>
    <row r="75">
      <c r="A75" s="9" t="inlineStr">
        <is>
          <t>RUN-TC-RS-FUNC-030-e</t>
        </is>
      </c>
      <c r="B75" s="9" t="inlineStr">
        <is>
          <t>TC-RS-FUNC-030</t>
        </is>
      </c>
      <c r="C75" s="9" t="inlineStr">
        <is>
          <t>e</t>
        </is>
      </c>
      <c r="D75" s="9" t="inlineStr">
        <is>
          <t>NOT RUN</t>
        </is>
      </c>
      <c r="E75" s="9"/>
      <c r="F75" s="9"/>
      <c r="G75" s="9"/>
      <c r="H75" s="9"/>
      <c r="I75" s="9"/>
      <c r="J75" s="9"/>
      <c r="K75" s="9"/>
      <c r="L75" s="9"/>
      <c r="M75" s="9"/>
    </row>
    <row r="76">
      <c r="A76" s="9" t="inlineStr">
        <is>
          <t>RUN-TC-RS-FUNC-030-f</t>
        </is>
      </c>
      <c r="B76" s="9" t="inlineStr">
        <is>
          <t>TC-RS-FUNC-030</t>
        </is>
      </c>
      <c r="C76" s="9" t="inlineStr">
        <is>
          <t>f</t>
        </is>
      </c>
      <c r="D76" s="9" t="inlineStr">
        <is>
          <t>NOT RUN</t>
        </is>
      </c>
      <c r="E76" s="9"/>
      <c r="F76" s="9"/>
      <c r="G76" s="9"/>
      <c r="H76" s="9"/>
      <c r="I76" s="9"/>
      <c r="J76" s="9"/>
      <c r="K76" s="9"/>
      <c r="L76" s="9"/>
      <c r="M76" s="9"/>
    </row>
    <row r="77">
      <c r="A77" s="9" t="inlineStr">
        <is>
          <t>RUN-TC-RS-FUNC-030-g</t>
        </is>
      </c>
      <c r="B77" s="9" t="inlineStr">
        <is>
          <t>TC-RS-FUNC-030</t>
        </is>
      </c>
      <c r="C77" s="9" t="inlineStr">
        <is>
          <t>g</t>
        </is>
      </c>
      <c r="D77" s="9" t="inlineStr">
        <is>
          <t>NOT RUN</t>
        </is>
      </c>
      <c r="E77" s="9"/>
      <c r="F77" s="9"/>
      <c r="G77" s="9"/>
      <c r="H77" s="9"/>
      <c r="I77" s="9"/>
      <c r="J77" s="9"/>
      <c r="K77" s="9"/>
      <c r="L77" s="9"/>
      <c r="M77" s="9"/>
    </row>
    <row r="78">
      <c r="A78" s="9" t="inlineStr">
        <is>
          <t>RUN-TC-RS-FUNC-031-unsaved</t>
        </is>
      </c>
      <c r="B78" s="9" t="inlineStr">
        <is>
          <t>TC-RS-FUNC-031</t>
        </is>
      </c>
      <c r="C78" s="9" t="inlineStr">
        <is>
          <t>unsaved</t>
        </is>
      </c>
      <c r="D78" s="9" t="inlineStr">
        <is>
          <t>NOT RUN</t>
        </is>
      </c>
      <c r="E78" s="9"/>
      <c r="F78" s="9"/>
      <c r="G78" s="9"/>
      <c r="H78" s="9"/>
      <c r="I78" s="9"/>
      <c r="J78" s="9"/>
      <c r="K78" s="9"/>
      <c r="L78" s="9"/>
      <c r="M78" s="9"/>
    </row>
    <row r="79">
      <c r="A79" s="9" t="inlineStr">
        <is>
          <t>RUN-TC-RS-FUNC-031-saved-pdf</t>
        </is>
      </c>
      <c r="B79" s="9" t="inlineStr">
        <is>
          <t>TC-RS-FUNC-031</t>
        </is>
      </c>
      <c r="C79" s="9" t="inlineStr">
        <is>
          <t>saved-pdf</t>
        </is>
      </c>
      <c r="D79" s="9" t="inlineStr">
        <is>
          <t>NOT RUN</t>
        </is>
      </c>
      <c r="E79" s="9"/>
      <c r="F79" s="9"/>
      <c r="G79" s="9"/>
      <c r="H79" s="9"/>
      <c r="I79" s="9"/>
      <c r="J79" s="9"/>
      <c r="K79" s="9"/>
      <c r="L79" s="9"/>
      <c r="M79" s="9"/>
    </row>
    <row r="80">
      <c r="A80" s="9" t="inlineStr">
        <is>
          <t>RUN-TC-RS-FUNC-032-extract-off</t>
        </is>
      </c>
      <c r="B80" s="9" t="inlineStr">
        <is>
          <t>TC-RS-FUNC-032</t>
        </is>
      </c>
      <c r="C80" s="9" t="inlineStr">
        <is>
          <t>extract-off</t>
        </is>
      </c>
      <c r="D80" s="9" t="inlineStr">
        <is>
          <t>NOT RUN</t>
        </is>
      </c>
      <c r="E80" s="9"/>
      <c r="F80" s="9"/>
      <c r="G80" s="9"/>
      <c r="H80" s="9"/>
      <c r="I80" s="9"/>
      <c r="J80" s="9"/>
      <c r="K80" s="9"/>
      <c r="L80" s="9"/>
      <c r="M80" s="9"/>
    </row>
    <row r="81">
      <c r="A81" s="9" t="inlineStr">
        <is>
          <t>RUN-TC-RS-FUNC-032-extract-on</t>
        </is>
      </c>
      <c r="B81" s="9" t="inlineStr">
        <is>
          <t>TC-RS-FUNC-032</t>
        </is>
      </c>
      <c r="C81" s="9" t="inlineStr">
        <is>
          <t>extract-on</t>
        </is>
      </c>
      <c r="D81" s="9" t="inlineStr">
        <is>
          <t>NOT RUN</t>
        </is>
      </c>
      <c r="E81" s="9"/>
      <c r="F81" s="9"/>
      <c r="G81" s="9"/>
      <c r="H81" s="9"/>
      <c r="I81" s="9"/>
      <c r="J81" s="9"/>
      <c r="K81" s="9"/>
      <c r="L81" s="9"/>
      <c r="M81" s="9"/>
    </row>
    <row r="82">
      <c r="A82" s="9" t="inlineStr">
        <is>
          <t>RUN-TC-RS-FUNC-032-publish</t>
        </is>
      </c>
      <c r="B82" s="9" t="inlineStr">
        <is>
          <t>TC-RS-FUNC-032</t>
        </is>
      </c>
      <c r="C82" s="9" t="inlineStr">
        <is>
          <t>publish</t>
        </is>
      </c>
      <c r="D82" s="9" t="inlineStr">
        <is>
          <t>NOT RUN</t>
        </is>
      </c>
      <c r="E82" s="9"/>
      <c r="F82" s="9"/>
      <c r="G82" s="9"/>
      <c r="H82" s="9"/>
      <c r="I82" s="9"/>
      <c r="J82" s="9"/>
      <c r="K82" s="9"/>
      <c r="L82" s="9"/>
      <c r="M82" s="9"/>
    </row>
    <row r="83">
      <c r="A83" s="9" t="inlineStr">
        <is>
          <t>RUN-TC-RS-FUNC-032-report</t>
        </is>
      </c>
      <c r="B83" s="9" t="inlineStr">
        <is>
          <t>TC-RS-FUNC-032</t>
        </is>
      </c>
      <c r="C83" s="9" t="inlineStr">
        <is>
          <t>report</t>
        </is>
      </c>
      <c r="D83" s="9" t="inlineStr">
        <is>
          <t>NOT RUN</t>
        </is>
      </c>
      <c r="E83" s="9"/>
      <c r="F83" s="9"/>
      <c r="G83" s="9"/>
      <c r="H83" s="9"/>
      <c r="I83" s="9"/>
      <c r="J83" s="9"/>
      <c r="K83" s="9"/>
      <c r="L83" s="9"/>
      <c r="M83" s="9"/>
    </row>
    <row r="84">
      <c r="A84" s="9" t="inlineStr">
        <is>
          <t>RUN-TC-RS-FUNC-033-Base</t>
        </is>
      </c>
      <c r="B84" s="9" t="inlineStr">
        <is>
          <t>TC-RS-FUNC-033</t>
        </is>
      </c>
      <c r="C84" s="9" t="inlineStr">
        <is>
          <t>Base</t>
        </is>
      </c>
      <c r="D84" s="9" t="inlineStr">
        <is>
          <t>NOT RUN</t>
        </is>
      </c>
      <c r="E84" s="9"/>
      <c r="F84" s="9"/>
      <c r="G84" s="9"/>
      <c r="H84" s="9"/>
      <c r="I84" s="9"/>
      <c r="J84" s="9"/>
      <c r="K84" s="9"/>
      <c r="L84" s="9"/>
      <c r="M84" s="9"/>
    </row>
    <row r="85">
      <c r="A85" s="9" t="inlineStr">
        <is>
          <t>RUN-TC-RS-FUNC-034-Base</t>
        </is>
      </c>
      <c r="B85" s="9" t="inlineStr">
        <is>
          <t>TC-RS-FUNC-034</t>
        </is>
      </c>
      <c r="C85" s="9" t="inlineStr">
        <is>
          <t>Base</t>
        </is>
      </c>
      <c r="D85" s="9" t="inlineStr">
        <is>
          <t>NOT RUN</t>
        </is>
      </c>
      <c r="E85" s="9"/>
      <c r="F85" s="9"/>
      <c r="G85" s="9"/>
      <c r="H85" s="9"/>
      <c r="I85" s="9"/>
      <c r="J85" s="9"/>
      <c r="K85" s="9"/>
      <c r="L85" s="9"/>
      <c r="M85" s="9"/>
    </row>
    <row r="86">
      <c r="A86" s="9" t="inlineStr">
        <is>
          <t>RUN-TC-RS-FUNC-035-auto-on</t>
        </is>
      </c>
      <c r="B86" s="9" t="inlineStr">
        <is>
          <t>TC-RS-FUNC-035</t>
        </is>
      </c>
      <c r="C86" s="9" t="inlineStr">
        <is>
          <t>auto-on</t>
        </is>
      </c>
      <c r="D86" s="9" t="inlineStr">
        <is>
          <t>NOT RUN</t>
        </is>
      </c>
      <c r="E86" s="9"/>
      <c r="F86" s="9"/>
      <c r="G86" s="9"/>
      <c r="H86" s="9"/>
      <c r="I86" s="9"/>
      <c r="J86" s="9"/>
      <c r="K86" s="9"/>
      <c r="L86" s="9"/>
      <c r="M86" s="9"/>
    </row>
    <row r="87">
      <c r="A87" s="9" t="inlineStr">
        <is>
          <t>RUN-TC-RS-FUNC-035-auto-off</t>
        </is>
      </c>
      <c r="B87" s="9" t="inlineStr">
        <is>
          <t>TC-RS-FUNC-035</t>
        </is>
      </c>
      <c r="C87" s="9" t="inlineStr">
        <is>
          <t>auto-off</t>
        </is>
      </c>
      <c r="D87" s="9" t="inlineStr">
        <is>
          <t>NOT RUN</t>
        </is>
      </c>
      <c r="E87" s="9"/>
      <c r="F87" s="9"/>
      <c r="G87" s="9"/>
      <c r="H87" s="9"/>
      <c r="I87" s="9"/>
      <c r="J87" s="9"/>
      <c r="K87" s="9"/>
      <c r="L87" s="9"/>
      <c r="M87" s="9"/>
    </row>
    <row r="88">
      <c r="A88" s="9" t="inlineStr">
        <is>
          <t>RUN-TC-RS-FUNC-036-switch-sequence</t>
        </is>
      </c>
      <c r="B88" s="9" t="inlineStr">
        <is>
          <t>TC-RS-FUNC-036</t>
        </is>
      </c>
      <c r="C88" s="9" t="inlineStr">
        <is>
          <t>switch-sequence</t>
        </is>
      </c>
      <c r="D88" s="9" t="inlineStr">
        <is>
          <t>NOT RUN</t>
        </is>
      </c>
      <c r="E88" s="9"/>
      <c r="F88" s="9"/>
      <c r="G88" s="9"/>
      <c r="H88" s="9"/>
      <c r="I88" s="9"/>
      <c r="J88" s="9"/>
      <c r="K88" s="9"/>
      <c r="L88" s="9"/>
      <c r="M88" s="9"/>
    </row>
    <row r="89">
      <c r="A89" s="9" t="inlineStr">
        <is>
          <t>RUN-TC-RS-FUNC-036-grade-only</t>
        </is>
      </c>
      <c r="B89" s="9" t="inlineStr">
        <is>
          <t>TC-RS-FUNC-036</t>
        </is>
      </c>
      <c r="C89" s="9" t="inlineStr">
        <is>
          <t>grade-only</t>
        </is>
      </c>
      <c r="D89" s="9" t="inlineStr">
        <is>
          <t>NOT RUN</t>
        </is>
      </c>
      <c r="E89" s="9"/>
      <c r="F89" s="9"/>
      <c r="G89" s="9"/>
      <c r="H89" s="9"/>
      <c r="I89" s="9"/>
      <c r="J89" s="9"/>
      <c r="K89" s="9"/>
      <c r="L89" s="9"/>
      <c r="M89" s="9"/>
    </row>
    <row r="90">
      <c r="A90" s="9" t="inlineStr">
        <is>
          <t>RUN-TC-RS-FUNC-036-formula-source</t>
        </is>
      </c>
      <c r="B90" s="9" t="inlineStr">
        <is>
          <t>TC-RS-FUNC-036</t>
        </is>
      </c>
      <c r="C90" s="9" t="inlineStr">
        <is>
          <t>formula-source</t>
        </is>
      </c>
      <c r="D90" s="9" t="inlineStr">
        <is>
          <t>NOT RUN</t>
        </is>
      </c>
      <c r="E90" s="9"/>
      <c r="F90" s="9"/>
      <c r="G90" s="9"/>
      <c r="H90" s="9"/>
      <c r="I90" s="9"/>
      <c r="J90" s="9"/>
      <c r="K90" s="9"/>
      <c r="L90" s="9"/>
      <c r="M90" s="9"/>
    </row>
    <row r="91">
      <c r="A91" s="9" t="inlineStr">
        <is>
          <t>RUN-TC-RS-FUNC-037-web</t>
        </is>
      </c>
      <c r="B91" s="9" t="inlineStr">
        <is>
          <t>TC-RS-FUNC-037</t>
        </is>
      </c>
      <c r="C91" s="9" t="inlineStr">
        <is>
          <t>web</t>
        </is>
      </c>
      <c r="D91" s="9" t="inlineStr">
        <is>
          <t>NOT RUN</t>
        </is>
      </c>
      <c r="E91" s="9"/>
      <c r="F91" s="9"/>
      <c r="G91" s="9"/>
      <c r="H91" s="9"/>
      <c r="I91" s="9"/>
      <c r="J91" s="9"/>
      <c r="K91" s="9"/>
      <c r="L91" s="9"/>
      <c r="M91" s="9"/>
    </row>
    <row r="92">
      <c r="A92" s="9" t="inlineStr">
        <is>
          <t>RUN-TC-RS-FUNC-037-api</t>
        </is>
      </c>
      <c r="B92" s="9" t="inlineStr">
        <is>
          <t>TC-RS-FUNC-037</t>
        </is>
      </c>
      <c r="C92" s="9" t="inlineStr">
        <is>
          <t>api</t>
        </is>
      </c>
      <c r="D92" s="9" t="inlineStr">
        <is>
          <t>NOT RUN</t>
        </is>
      </c>
      <c r="E92" s="9"/>
      <c r="F92" s="9"/>
      <c r="G92" s="9"/>
      <c r="H92" s="9"/>
      <c r="I92" s="9"/>
      <c r="J92" s="9"/>
      <c r="K92" s="9"/>
      <c r="L92" s="9"/>
      <c r="M92" s="9"/>
    </row>
    <row r="93">
      <c r="A93" s="9" t="inlineStr">
        <is>
          <t>RUN-TC-RS-FUNC-037-pdf</t>
        </is>
      </c>
      <c r="B93" s="9" t="inlineStr">
        <is>
          <t>TC-RS-FUNC-037</t>
        </is>
      </c>
      <c r="C93" s="9" t="inlineStr">
        <is>
          <t>pdf</t>
        </is>
      </c>
      <c r="D93" s="9" t="inlineStr">
        <is>
          <t>NOT RUN</t>
        </is>
      </c>
      <c r="E93" s="9"/>
      <c r="F93" s="9"/>
      <c r="G93" s="9"/>
      <c r="H93" s="9"/>
      <c r="I93" s="9"/>
      <c r="J93" s="9"/>
      <c r="K93" s="9"/>
      <c r="L93" s="9"/>
      <c r="M93" s="9"/>
    </row>
    <row r="94">
      <c r="A94" s="9" t="inlineStr">
        <is>
          <t>RUN-TC-RS-FUNC-037-copy</t>
        </is>
      </c>
      <c r="B94" s="9" t="inlineStr">
        <is>
          <t>TC-RS-FUNC-037</t>
        </is>
      </c>
      <c r="C94" s="9" t="inlineStr">
        <is>
          <t>copy</t>
        </is>
      </c>
      <c r="D94" s="9" t="inlineStr">
        <is>
          <t>NOT RUN</t>
        </is>
      </c>
      <c r="E94" s="9"/>
      <c r="F94" s="9"/>
      <c r="G94" s="9"/>
      <c r="H94" s="9"/>
      <c r="I94" s="9"/>
      <c r="J94" s="9"/>
      <c r="K94" s="9"/>
      <c r="L94" s="9"/>
      <c r="M94" s="9"/>
    </row>
    <row r="95">
      <c r="A95" s="9" t="inlineStr">
        <is>
          <t>RUN-TC-RS-FUNC-037-item-types</t>
        </is>
      </c>
      <c r="B95" s="9" t="inlineStr">
        <is>
          <t>TC-RS-FUNC-037</t>
        </is>
      </c>
      <c r="C95" s="9" t="inlineStr">
        <is>
          <t>item-types</t>
        </is>
      </c>
      <c r="D95" s="9" t="inlineStr">
        <is>
          <t>NOT RUN</t>
        </is>
      </c>
      <c r="E95" s="9"/>
      <c r="F95" s="9"/>
      <c r="G95" s="9"/>
      <c r="H95" s="9"/>
      <c r="I95" s="9"/>
      <c r="J95" s="9"/>
      <c r="K95" s="9"/>
      <c r="L95" s="9"/>
      <c r="M95" s="9"/>
    </row>
    <row r="96">
      <c r="A96" s="9" t="inlineStr">
        <is>
          <t>RUN-TC-RS-FUNC-037-save-failure</t>
        </is>
      </c>
      <c r="B96" s="9" t="inlineStr">
        <is>
          <t>TC-RS-FUNC-037</t>
        </is>
      </c>
      <c r="C96" s="9" t="inlineStr">
        <is>
          <t>save-failure</t>
        </is>
      </c>
      <c r="D96" s="9" t="inlineStr">
        <is>
          <t>NOT RUN</t>
        </is>
      </c>
      <c r="E96" s="9"/>
      <c r="F96" s="9"/>
      <c r="G96" s="9"/>
      <c r="H96" s="9"/>
      <c r="I96" s="9"/>
      <c r="J96" s="9"/>
      <c r="K96" s="9"/>
      <c r="L96" s="9"/>
      <c r="M96" s="9"/>
    </row>
    <row r="97">
      <c r="A97" s="9" t="inlineStr">
        <is>
          <t>RUN-TC-RS-BR-001-priority20</t>
        </is>
      </c>
      <c r="B97" s="9" t="inlineStr">
        <is>
          <t>TC-RS-BR-001</t>
        </is>
      </c>
      <c r="C97" s="9" t="inlineStr">
        <is>
          <t>priority20</t>
        </is>
      </c>
      <c r="D97" s="9" t="inlineStr">
        <is>
          <t>NOT RUN</t>
        </is>
      </c>
      <c r="E97" s="9"/>
      <c r="F97" s="9"/>
      <c r="G97" s="9"/>
      <c r="H97" s="9"/>
      <c r="I97" s="9"/>
      <c r="J97" s="9"/>
      <c r="K97" s="9"/>
      <c r="L97" s="9"/>
      <c r="M97" s="9"/>
    </row>
    <row r="98">
      <c r="A98" s="9" t="inlineStr">
        <is>
          <t>RUN-TC-RS-BR-001-priority30</t>
        </is>
      </c>
      <c r="B98" s="9" t="inlineStr">
        <is>
          <t>TC-RS-BR-001</t>
        </is>
      </c>
      <c r="C98" s="9" t="inlineStr">
        <is>
          <t>priority30</t>
        </is>
      </c>
      <c r="D98" s="9" t="inlineStr">
        <is>
          <t>NOT RUN</t>
        </is>
      </c>
      <c r="E98" s="9"/>
      <c r="F98" s="9"/>
      <c r="G98" s="9"/>
      <c r="H98" s="9"/>
      <c r="I98" s="9"/>
      <c r="J98" s="9"/>
      <c r="K98" s="9"/>
      <c r="L98" s="9"/>
      <c r="M98" s="9"/>
    </row>
    <row r="99">
      <c r="A99" s="9" t="inlineStr">
        <is>
          <t>RUN-TC-RS-BR-002-Base</t>
        </is>
      </c>
      <c r="B99" s="9" t="inlineStr">
        <is>
          <t>TC-RS-BR-002</t>
        </is>
      </c>
      <c r="C99" s="9" t="inlineStr">
        <is>
          <t>Base</t>
        </is>
      </c>
      <c r="D99" s="9" t="inlineStr">
        <is>
          <t>NOT RUN</t>
        </is>
      </c>
      <c r="E99" s="9"/>
      <c r="F99" s="9"/>
      <c r="G99" s="9"/>
      <c r="H99" s="9"/>
      <c r="I99" s="9"/>
      <c r="J99" s="9"/>
      <c r="K99" s="9"/>
      <c r="L99" s="9"/>
      <c r="M99" s="9"/>
    </row>
    <row r="100">
      <c r="A100" s="9" t="inlineStr">
        <is>
          <t>RUN-TC-RS-BR-003-divide-zero</t>
        </is>
      </c>
      <c r="B100" s="9" t="inlineStr">
        <is>
          <t>TC-RS-BR-003</t>
        </is>
      </c>
      <c r="C100" s="9" t="inlineStr">
        <is>
          <t>divide-zero</t>
        </is>
      </c>
      <c r="D100" s="9" t="inlineStr">
        <is>
          <t>NOT RUN</t>
        </is>
      </c>
      <c r="E100" s="9"/>
      <c r="F100" s="9"/>
      <c r="G100" s="9"/>
      <c r="H100" s="9"/>
      <c r="I100" s="9"/>
      <c r="J100" s="9"/>
      <c r="K100" s="9"/>
      <c r="L100" s="9"/>
      <c r="M100" s="9"/>
    </row>
    <row r="101">
      <c r="A101" s="9" t="inlineStr">
        <is>
          <t>RUN-TC-RS-BR-003-missing-average</t>
        </is>
      </c>
      <c r="B101" s="9" t="inlineStr">
        <is>
          <t>TC-RS-BR-003</t>
        </is>
      </c>
      <c r="C101" s="9" t="inlineStr">
        <is>
          <t>missing-average</t>
        </is>
      </c>
      <c r="D101" s="9" t="inlineStr">
        <is>
          <t>NOT RUN</t>
        </is>
      </c>
      <c r="E101" s="9"/>
      <c r="F101" s="9"/>
      <c r="G101" s="9"/>
      <c r="H101" s="9"/>
      <c r="I101" s="9"/>
      <c r="J101" s="9"/>
      <c r="K101" s="9"/>
      <c r="L101" s="9"/>
      <c r="M101" s="9"/>
    </row>
    <row r="102">
      <c r="A102" s="9" t="inlineStr">
        <is>
          <t>RUN-TC-RS-BR-003-filter-miss</t>
        </is>
      </c>
      <c r="B102" s="9" t="inlineStr">
        <is>
          <t>TC-RS-BR-003</t>
        </is>
      </c>
      <c r="C102" s="9" t="inlineStr">
        <is>
          <t>filter-miss</t>
        </is>
      </c>
      <c r="D102" s="9" t="inlineStr">
        <is>
          <t>NOT RUN</t>
        </is>
      </c>
      <c r="E102" s="9"/>
      <c r="F102" s="9"/>
      <c r="G102" s="9"/>
      <c r="H102" s="9"/>
      <c r="I102" s="9"/>
      <c r="J102" s="9"/>
      <c r="K102" s="9"/>
      <c r="L102" s="9"/>
      <c r="M102" s="9"/>
    </row>
    <row r="103">
      <c r="A103" s="9" t="inlineStr">
        <is>
          <t>RUN-TC-RS-BR-004-Base</t>
        </is>
      </c>
      <c r="B103" s="9" t="inlineStr">
        <is>
          <t>TC-RS-BR-004</t>
        </is>
      </c>
      <c r="C103" s="9" t="inlineStr">
        <is>
          <t>Base</t>
        </is>
      </c>
      <c r="D103" s="9" t="inlineStr">
        <is>
          <t>NOT RUN</t>
        </is>
      </c>
      <c r="E103" s="9"/>
      <c r="F103" s="9"/>
      <c r="G103" s="9"/>
      <c r="H103" s="9"/>
      <c r="I103" s="9"/>
      <c r="J103" s="9"/>
      <c r="K103" s="9"/>
      <c r="L103" s="9"/>
      <c r="M103" s="9"/>
    </row>
    <row r="104">
      <c r="A104" s="9" t="inlineStr">
        <is>
          <t>RUN-TC-RS-BR-041-A-P9</t>
        </is>
      </c>
      <c r="B104" s="9" t="inlineStr">
        <is>
          <t>TC-RS-BR-041</t>
        </is>
      </c>
      <c r="C104" s="9" t="inlineStr">
        <is>
          <t>A-P9</t>
        </is>
      </c>
      <c r="D104" s="9" t="inlineStr">
        <is>
          <t>NOT RUN</t>
        </is>
      </c>
      <c r="E104" s="9"/>
      <c r="F104" s="9"/>
      <c r="G104" s="9"/>
      <c r="H104" s="9"/>
      <c r="I104" s="9"/>
      <c r="J104" s="9"/>
      <c r="K104" s="9"/>
      <c r="L104" s="9"/>
      <c r="M104" s="9"/>
    </row>
    <row r="105">
      <c r="A105" s="9" t="inlineStr">
        <is>
          <t>RUN-TC-RS-BR-041-A-P10</t>
        </is>
      </c>
      <c r="B105" s="9" t="inlineStr">
        <is>
          <t>TC-RS-BR-041</t>
        </is>
      </c>
      <c r="C105" s="9" t="inlineStr">
        <is>
          <t>A-P10</t>
        </is>
      </c>
      <c r="D105" s="9" t="inlineStr">
        <is>
          <t>NOT RUN</t>
        </is>
      </c>
      <c r="E105" s="9"/>
      <c r="F105" s="9"/>
      <c r="G105" s="9"/>
      <c r="H105" s="9"/>
      <c r="I105" s="9"/>
      <c r="J105" s="9"/>
      <c r="K105" s="9"/>
      <c r="L105" s="9"/>
      <c r="M105" s="9"/>
    </row>
    <row r="106">
      <c r="A106" s="9" t="inlineStr">
        <is>
          <t>RUN-TC-RS-BR-041-A-P11</t>
        </is>
      </c>
      <c r="B106" s="9" t="inlineStr">
        <is>
          <t>TC-RS-BR-041</t>
        </is>
      </c>
      <c r="C106" s="9" t="inlineStr">
        <is>
          <t>A-P11</t>
        </is>
      </c>
      <c r="D106" s="9" t="inlineStr">
        <is>
          <t>NOT RUN</t>
        </is>
      </c>
      <c r="E106" s="9"/>
      <c r="F106" s="9"/>
      <c r="G106" s="9"/>
      <c r="H106" s="9"/>
      <c r="I106" s="9"/>
      <c r="J106" s="9"/>
      <c r="K106" s="9"/>
      <c r="L106" s="9"/>
      <c r="M106" s="9"/>
    </row>
    <row r="107">
      <c r="A107" s="9" t="inlineStr">
        <is>
          <t>RUN-TC-RS-BR-041-A-P12</t>
        </is>
      </c>
      <c r="B107" s="9" t="inlineStr">
        <is>
          <t>TC-RS-BR-041</t>
        </is>
      </c>
      <c r="C107" s="9" t="inlineStr">
        <is>
          <t>A-P12</t>
        </is>
      </c>
      <c r="D107" s="9" t="inlineStr">
        <is>
          <t>NOT RUN</t>
        </is>
      </c>
      <c r="E107" s="9"/>
      <c r="F107" s="9"/>
      <c r="G107" s="9"/>
      <c r="H107" s="9"/>
      <c r="I107" s="9"/>
      <c r="J107" s="9"/>
      <c r="K107" s="9"/>
      <c r="L107" s="9"/>
      <c r="M107" s="9"/>
    </row>
    <row r="108">
      <c r="A108" s="9" t="inlineStr">
        <is>
          <t>RUN-TC-RS-BR-041-A-P13</t>
        </is>
      </c>
      <c r="B108" s="9" t="inlineStr">
        <is>
          <t>TC-RS-BR-041</t>
        </is>
      </c>
      <c r="C108" s="9" t="inlineStr">
        <is>
          <t>A-P13</t>
        </is>
      </c>
      <c r="D108" s="9" t="inlineStr">
        <is>
          <t>NOT RUN</t>
        </is>
      </c>
      <c r="E108" s="9"/>
      <c r="F108" s="9"/>
      <c r="G108" s="9"/>
      <c r="H108" s="9"/>
      <c r="I108" s="9"/>
      <c r="J108" s="9"/>
      <c r="K108" s="9"/>
      <c r="L108" s="9"/>
      <c r="M108" s="9"/>
    </row>
    <row r="109">
      <c r="A109" s="9" t="inlineStr">
        <is>
          <t>RUN-TC-RS-BR-041-A-P14</t>
        </is>
      </c>
      <c r="B109" s="9" t="inlineStr">
        <is>
          <t>TC-RS-BR-041</t>
        </is>
      </c>
      <c r="C109" s="9" t="inlineStr">
        <is>
          <t>A-P14</t>
        </is>
      </c>
      <c r="D109" s="9" t="inlineStr">
        <is>
          <t>NOT RUN</t>
        </is>
      </c>
      <c r="E109" s="9"/>
      <c r="F109" s="9"/>
      <c r="G109" s="9"/>
      <c r="H109" s="9"/>
      <c r="I109" s="9"/>
      <c r="J109" s="9"/>
      <c r="K109" s="9"/>
      <c r="L109" s="9"/>
      <c r="M109" s="9"/>
    </row>
    <row r="110">
      <c r="A110" s="9" t="inlineStr">
        <is>
          <t>RUN-TC-RS-BR-041-A-P15</t>
        </is>
      </c>
      <c r="B110" s="9" t="inlineStr">
        <is>
          <t>TC-RS-BR-041</t>
        </is>
      </c>
      <c r="C110" s="9" t="inlineStr">
        <is>
          <t>A-P15</t>
        </is>
      </c>
      <c r="D110" s="9" t="inlineStr">
        <is>
          <t>NOT RUN</t>
        </is>
      </c>
      <c r="E110" s="9"/>
      <c r="F110" s="9"/>
      <c r="G110" s="9"/>
      <c r="H110" s="9"/>
      <c r="I110" s="9"/>
      <c r="J110" s="9"/>
      <c r="K110" s="9"/>
      <c r="L110" s="9"/>
      <c r="M110" s="9"/>
    </row>
    <row r="111">
      <c r="A111" s="9" t="inlineStr">
        <is>
          <t>RUN-TC-RS-BR-041-A-P16</t>
        </is>
      </c>
      <c r="B111" s="9" t="inlineStr">
        <is>
          <t>TC-RS-BR-041</t>
        </is>
      </c>
      <c r="C111" s="9" t="inlineStr">
        <is>
          <t>A-P16</t>
        </is>
      </c>
      <c r="D111" s="9" t="inlineStr">
        <is>
          <t>NOT RUN</t>
        </is>
      </c>
      <c r="E111" s="9"/>
      <c r="F111" s="9"/>
      <c r="G111" s="9"/>
      <c r="H111" s="9"/>
      <c r="I111" s="9"/>
      <c r="J111" s="9"/>
      <c r="K111" s="9"/>
      <c r="L111" s="9"/>
      <c r="M111" s="9"/>
    </row>
    <row r="112">
      <c r="A112" s="9" t="inlineStr">
        <is>
          <t>RUN-TC-RS-BR-041-RR-60</t>
        </is>
      </c>
      <c r="B112" s="9" t="inlineStr">
        <is>
          <t>TC-RS-BR-041</t>
        </is>
      </c>
      <c r="C112" s="9" t="inlineStr">
        <is>
          <t>RR-60</t>
        </is>
      </c>
      <c r="D112" s="9" t="inlineStr">
        <is>
          <t>NOT RUN</t>
        </is>
      </c>
      <c r="E112" s="9"/>
      <c r="F112" s="9"/>
      <c r="G112" s="9"/>
      <c r="H112" s="9"/>
      <c r="I112" s="9"/>
      <c r="J112" s="9"/>
      <c r="K112" s="9"/>
      <c r="L112" s="9"/>
      <c r="M112" s="9"/>
    </row>
    <row r="113">
      <c r="A113" s="9" t="inlineStr">
        <is>
          <t>RUN-TC-RS-BR-041-RR-49.9</t>
        </is>
      </c>
      <c r="B113" s="9" t="inlineStr">
        <is>
          <t>TC-RS-BR-041</t>
        </is>
      </c>
      <c r="C113" s="9" t="inlineStr">
        <is>
          <t>RR-49.9</t>
        </is>
      </c>
      <c r="D113" s="9" t="inlineStr">
        <is>
          <t>NOT RUN</t>
        </is>
      </c>
      <c r="E113" s="9"/>
      <c r="F113" s="9"/>
      <c r="G113" s="9"/>
      <c r="H113" s="9"/>
      <c r="I113" s="9"/>
      <c r="J113" s="9"/>
      <c r="K113" s="9"/>
      <c r="L113" s="9"/>
      <c r="M113" s="9"/>
    </row>
    <row r="114">
      <c r="A114" s="9" t="inlineStr">
        <is>
          <t>RUN-TC-RS-BR-041-RR-70</t>
        </is>
      </c>
      <c r="B114" s="9" t="inlineStr">
        <is>
          <t>TC-RS-BR-041</t>
        </is>
      </c>
      <c r="C114" s="9" t="inlineStr">
        <is>
          <t>RR-70</t>
        </is>
      </c>
      <c r="D114" s="9" t="inlineStr">
        <is>
          <t>NOT RUN</t>
        </is>
      </c>
      <c r="E114" s="9"/>
      <c r="F114" s="9"/>
      <c r="G114" s="9"/>
      <c r="H114" s="9"/>
      <c r="I114" s="9"/>
      <c r="J114" s="9"/>
      <c r="K114" s="9"/>
      <c r="L114" s="9"/>
      <c r="M114" s="9"/>
    </row>
    <row r="115">
      <c r="A115" s="9" t="inlineStr">
        <is>
          <t>RUN-TC-RS-BR-041-AR-60-60</t>
        </is>
      </c>
      <c r="B115" s="9" t="inlineStr">
        <is>
          <t>TC-RS-BR-041</t>
        </is>
      </c>
      <c r="C115" s="9" t="inlineStr">
        <is>
          <t>AR-60-60</t>
        </is>
      </c>
      <c r="D115" s="9" t="inlineStr">
        <is>
          <t>NOT RUN</t>
        </is>
      </c>
      <c r="E115" s="9"/>
      <c r="F115" s="9"/>
      <c r="G115" s="9"/>
      <c r="H115" s="9"/>
      <c r="I115" s="9"/>
      <c r="J115" s="9"/>
      <c r="K115" s="9"/>
      <c r="L115" s="9"/>
      <c r="M115" s="9"/>
    </row>
    <row r="116">
      <c r="A116" s="9" t="inlineStr">
        <is>
          <t>RUN-TC-RS-BR-041-AR-40-60</t>
        </is>
      </c>
      <c r="B116" s="9" t="inlineStr">
        <is>
          <t>TC-RS-BR-041</t>
        </is>
      </c>
      <c r="C116" s="9" t="inlineStr">
        <is>
          <t>AR-40-60</t>
        </is>
      </c>
      <c r="D116" s="9" t="inlineStr">
        <is>
          <t>NOT RUN</t>
        </is>
      </c>
      <c r="E116" s="9"/>
      <c r="F116" s="9"/>
      <c r="G116" s="9"/>
      <c r="H116" s="9"/>
      <c r="I116" s="9"/>
      <c r="J116" s="9"/>
      <c r="K116" s="9"/>
      <c r="L116" s="9"/>
      <c r="M116" s="9"/>
    </row>
    <row r="117">
      <c r="A117" s="9" t="inlineStr">
        <is>
          <t>RUN-TC-RS-BR-041-AR-60-40</t>
        </is>
      </c>
      <c r="B117" s="9" t="inlineStr">
        <is>
          <t>TC-RS-BR-041</t>
        </is>
      </c>
      <c r="C117" s="9" t="inlineStr">
        <is>
          <t>AR-60-40</t>
        </is>
      </c>
      <c r="D117" s="9" t="inlineStr">
        <is>
          <t>NOT RUN</t>
        </is>
      </c>
      <c r="E117" s="9"/>
      <c r="F117" s="9"/>
      <c r="G117" s="9"/>
      <c r="H117" s="9"/>
      <c r="I117" s="9"/>
      <c r="J117" s="9"/>
      <c r="K117" s="9"/>
      <c r="L117" s="9"/>
      <c r="M117" s="9"/>
    </row>
    <row r="118">
      <c r="A118" s="9" t="inlineStr">
        <is>
          <t>RUN-TC-RS-BR-041-FILTER-POS</t>
        </is>
      </c>
      <c r="B118" s="9" t="inlineStr">
        <is>
          <t>TC-RS-BR-041</t>
        </is>
      </c>
      <c r="C118" s="9" t="inlineStr">
        <is>
          <t>FILTER-POS</t>
        </is>
      </c>
      <c r="D118" s="9" t="inlineStr">
        <is>
          <t>NOT RUN</t>
        </is>
      </c>
      <c r="E118" s="9"/>
      <c r="F118" s="9"/>
      <c r="G118" s="9"/>
      <c r="H118" s="9"/>
      <c r="I118" s="9"/>
      <c r="J118" s="9"/>
      <c r="K118" s="9"/>
      <c r="L118" s="9"/>
      <c r="M118" s="9"/>
    </row>
    <row r="119">
      <c r="A119" s="9" t="inlineStr">
        <is>
          <t>RUN-TC-RS-BR-041-FILTER-GRADE-NEG</t>
        </is>
      </c>
      <c r="B119" s="9" t="inlineStr">
        <is>
          <t>TC-RS-BR-041</t>
        </is>
      </c>
      <c r="C119" s="9" t="inlineStr">
        <is>
          <t>FILTER-GRADE-NEG</t>
        </is>
      </c>
      <c r="D119" s="9" t="inlineStr">
        <is>
          <t>NOT RUN</t>
        </is>
      </c>
      <c r="E119" s="9"/>
      <c r="F119" s="9"/>
      <c r="G119" s="9"/>
      <c r="H119" s="9"/>
      <c r="I119" s="9"/>
      <c r="J119" s="9"/>
      <c r="K119" s="9"/>
      <c r="L119" s="9"/>
      <c r="M119" s="9"/>
    </row>
    <row r="120">
      <c r="A120" s="9" t="inlineStr">
        <is>
          <t>RUN-TC-RS-BR-041-FILTER-GROUP-NEG</t>
        </is>
      </c>
      <c r="B120" s="9" t="inlineStr">
        <is>
          <t>TC-RS-BR-041</t>
        </is>
      </c>
      <c r="C120" s="9" t="inlineStr">
        <is>
          <t>FILTER-GROUP-NEG</t>
        </is>
      </c>
      <c r="D120" s="9" t="inlineStr">
        <is>
          <t>NOT RUN</t>
        </is>
      </c>
      <c r="E120" s="9"/>
      <c r="F120" s="9"/>
      <c r="G120" s="9"/>
      <c r="H120" s="9"/>
      <c r="I120" s="9"/>
      <c r="J120" s="9"/>
      <c r="K120" s="9"/>
      <c r="L120" s="9"/>
      <c r="M120" s="9"/>
    </row>
    <row r="121">
      <c r="A121" s="9" t="inlineStr">
        <is>
          <t>RUN-TC-RS-BR-041-P17-A-NAN</t>
        </is>
      </c>
      <c r="B121" s="9" t="inlineStr">
        <is>
          <t>TC-RS-BR-041</t>
        </is>
      </c>
      <c r="C121" s="9" t="inlineStr">
        <is>
          <t>P17-A-NAN</t>
        </is>
      </c>
      <c r="D121" s="9" t="inlineStr">
        <is>
          <t>NOT RUN</t>
        </is>
      </c>
      <c r="E121" s="9"/>
      <c r="F121" s="9"/>
      <c r="G121" s="9"/>
      <c r="H121" s="9"/>
      <c r="I121" s="9"/>
      <c r="J121" s="9"/>
      <c r="K121" s="9"/>
      <c r="L121" s="9"/>
      <c r="M121" s="9"/>
    </row>
    <row r="122">
      <c r="A122" s="9" t="inlineStr">
        <is>
          <t>RUN-TC-RS-BR-041-P19-A-INFINITY</t>
        </is>
      </c>
      <c r="B122" s="9" t="inlineStr">
        <is>
          <t>TC-RS-BR-041</t>
        </is>
      </c>
      <c r="C122" s="9" t="inlineStr">
        <is>
          <t>P19-A-INFINITY</t>
        </is>
      </c>
      <c r="D122" s="9" t="inlineStr">
        <is>
          <t>NOT RUN</t>
        </is>
      </c>
      <c r="E122" s="9"/>
      <c r="F122" s="9"/>
      <c r="G122" s="9"/>
      <c r="H122" s="9"/>
      <c r="I122" s="9"/>
      <c r="J122" s="9"/>
      <c r="K122" s="9"/>
      <c r="L122" s="9"/>
      <c r="M122" s="9"/>
    </row>
    <row r="123">
      <c r="A123" s="9" t="inlineStr">
        <is>
          <t>RUN-TC-RS-BR-041-P18-A-EMPTY</t>
        </is>
      </c>
      <c r="B123" s="9" t="inlineStr">
        <is>
          <t>TC-RS-BR-041</t>
        </is>
      </c>
      <c r="C123" s="9" t="inlineStr">
        <is>
          <t>P18-A-EMPTY</t>
        </is>
      </c>
      <c r="D123" s="9" t="inlineStr">
        <is>
          <t>NOT RUN</t>
        </is>
      </c>
      <c r="E123" s="9"/>
      <c r="F123" s="9"/>
      <c r="G123" s="9"/>
      <c r="H123" s="9"/>
      <c r="I123" s="9"/>
      <c r="J123" s="9"/>
      <c r="K123" s="9"/>
      <c r="L123" s="9"/>
      <c r="M123" s="9"/>
    </row>
    <row r="124">
      <c r="A124" s="9" t="inlineStr">
        <is>
          <t>RUN-TC-RS-BR-041-P18-S-EMPTY</t>
        </is>
      </c>
      <c r="B124" s="9" t="inlineStr">
        <is>
          <t>TC-RS-BR-041</t>
        </is>
      </c>
      <c r="C124" s="9" t="inlineStr">
        <is>
          <t>P18-S-EMPTY</t>
        </is>
      </c>
      <c r="D124" s="9" t="inlineStr">
        <is>
          <t>NOT RUN</t>
        </is>
      </c>
      <c r="E124" s="9"/>
      <c r="F124" s="9"/>
      <c r="G124" s="9"/>
      <c r="H124" s="9"/>
      <c r="I124" s="9"/>
      <c r="J124" s="9"/>
      <c r="K124" s="9"/>
      <c r="L124" s="9"/>
      <c r="M124" s="9"/>
    </row>
    <row r="125">
      <c r="A125" s="9" t="inlineStr">
        <is>
          <t>RUN-TC-RS-BR-041-reopen-summary</t>
        </is>
      </c>
      <c r="B125" s="9" t="inlineStr">
        <is>
          <t>TC-RS-BR-041</t>
        </is>
      </c>
      <c r="C125" s="9" t="inlineStr">
        <is>
          <t>reopen-summary</t>
        </is>
      </c>
      <c r="D125" s="9" t="inlineStr">
        <is>
          <t>NOT RUN</t>
        </is>
      </c>
      <c r="E125" s="9"/>
      <c r="F125" s="9"/>
      <c r="G125" s="9"/>
      <c r="H125" s="9"/>
      <c r="I125" s="9"/>
      <c r="J125" s="9"/>
      <c r="K125" s="9"/>
      <c r="L125" s="9"/>
      <c r="M125" s="9"/>
    </row>
    <row r="126">
      <c r="A126" s="9" t="inlineStr">
        <is>
          <t>RUN-TC-RS-BR-005-Base</t>
        </is>
      </c>
      <c r="B126" s="9" t="inlineStr">
        <is>
          <t>TC-RS-BR-005</t>
        </is>
      </c>
      <c r="C126" s="9" t="inlineStr">
        <is>
          <t>Base</t>
        </is>
      </c>
      <c r="D126" s="9" t="inlineStr">
        <is>
          <t>NOT RUN</t>
        </is>
      </c>
      <c r="E126" s="9"/>
      <c r="F126" s="9"/>
      <c r="G126" s="9"/>
      <c r="H126" s="9"/>
      <c r="I126" s="9"/>
      <c r="J126" s="9"/>
      <c r="K126" s="9"/>
      <c r="L126" s="9"/>
      <c r="M126" s="9"/>
    </row>
    <row r="127">
      <c r="A127" s="9" t="inlineStr">
        <is>
          <t>RUN-TC-RS-BR-006-Base</t>
        </is>
      </c>
      <c r="B127" s="9" t="inlineStr">
        <is>
          <t>TC-RS-BR-006</t>
        </is>
      </c>
      <c r="C127" s="9" t="inlineStr">
        <is>
          <t>Base</t>
        </is>
      </c>
      <c r="D127" s="9" t="inlineStr">
        <is>
          <t>NOT RUN</t>
        </is>
      </c>
      <c r="E127" s="9"/>
      <c r="F127" s="9"/>
      <c r="G127" s="9"/>
      <c r="H127" s="9"/>
      <c r="I127" s="9"/>
      <c r="J127" s="9"/>
      <c r="K127" s="9"/>
      <c r="L127" s="9"/>
      <c r="M127" s="9"/>
    </row>
    <row r="128">
      <c r="A128" s="9" t="inlineStr">
        <is>
          <t>RUN-TC-RS-BR-007-Base</t>
        </is>
      </c>
      <c r="B128" s="9" t="inlineStr">
        <is>
          <t>TC-RS-BR-007</t>
        </is>
      </c>
      <c r="C128" s="9" t="inlineStr">
        <is>
          <t>Base</t>
        </is>
      </c>
      <c r="D128" s="9" t="inlineStr">
        <is>
          <t>NOT RUN</t>
        </is>
      </c>
      <c r="E128" s="9"/>
      <c r="F128" s="9"/>
      <c r="G128" s="9"/>
      <c r="H128" s="9"/>
      <c r="I128" s="9"/>
      <c r="J128" s="9"/>
      <c r="K128" s="9"/>
      <c r="L128" s="9"/>
      <c r="M128" s="9"/>
    </row>
    <row r="129">
      <c r="A129" s="9" t="inlineStr">
        <is>
          <t>RUN-TC-RS-BR-008-completed</t>
        </is>
      </c>
      <c r="B129" s="9" t="inlineStr">
        <is>
          <t>TC-RS-BR-008</t>
        </is>
      </c>
      <c r="C129" s="9" t="inlineStr">
        <is>
          <t>completed</t>
        </is>
      </c>
      <c r="D129" s="9" t="inlineStr">
        <is>
          <t>NOT RUN</t>
        </is>
      </c>
      <c r="E129" s="9"/>
      <c r="F129" s="9"/>
      <c r="G129" s="9"/>
      <c r="H129" s="9"/>
      <c r="I129" s="9"/>
      <c r="J129" s="9"/>
      <c r="K129" s="9"/>
      <c r="L129" s="9"/>
      <c r="M129" s="9"/>
    </row>
    <row r="130">
      <c r="A130" s="9" t="inlineStr">
        <is>
          <t>RUN-TC-RS-BR-008-running</t>
        </is>
      </c>
      <c r="B130" s="9" t="inlineStr">
        <is>
          <t>TC-RS-BR-008</t>
        </is>
      </c>
      <c r="C130" s="9" t="inlineStr">
        <is>
          <t>running</t>
        </is>
      </c>
      <c r="D130" s="9" t="inlineStr">
        <is>
          <t>NOT RUN</t>
        </is>
      </c>
      <c r="E130" s="9"/>
      <c r="F130" s="9"/>
      <c r="G130" s="9"/>
      <c r="H130" s="9"/>
      <c r="I130" s="9"/>
      <c r="J130" s="9"/>
      <c r="K130" s="9"/>
      <c r="L130" s="9"/>
      <c r="M130" s="9"/>
    </row>
    <row r="131">
      <c r="A131" s="9" t="inlineStr">
        <is>
          <t>RUN-TC-RS-BR-008-failed</t>
        </is>
      </c>
      <c r="B131" s="9" t="inlineStr">
        <is>
          <t>TC-RS-BR-008</t>
        </is>
      </c>
      <c r="C131" s="9" t="inlineStr">
        <is>
          <t>failed</t>
        </is>
      </c>
      <c r="D131" s="9" t="inlineStr">
        <is>
          <t>NOT RUN</t>
        </is>
      </c>
      <c r="E131" s="9"/>
      <c r="F131" s="9"/>
      <c r="G131" s="9"/>
      <c r="H131" s="9"/>
      <c r="I131" s="9"/>
      <c r="J131" s="9"/>
      <c r="K131" s="9"/>
      <c r="L131" s="9"/>
      <c r="M131" s="9"/>
    </row>
    <row r="132">
      <c r="A132" s="9" t="inlineStr">
        <is>
          <t>RUN-TC-RS-BR-009-Base</t>
        </is>
      </c>
      <c r="B132" s="9" t="inlineStr">
        <is>
          <t>TC-RS-BR-009</t>
        </is>
      </c>
      <c r="C132" s="9" t="inlineStr">
        <is>
          <t>Base</t>
        </is>
      </c>
      <c r="D132" s="9" t="inlineStr">
        <is>
          <t>NOT RUN</t>
        </is>
      </c>
      <c r="E132" s="9"/>
      <c r="F132" s="9"/>
      <c r="G132" s="9"/>
      <c r="H132" s="9"/>
      <c r="I132" s="9"/>
      <c r="J132" s="9"/>
      <c r="K132" s="9"/>
      <c r="L132" s="9"/>
      <c r="M132" s="9"/>
    </row>
    <row r="133">
      <c r="A133" s="9" t="inlineStr">
        <is>
          <t>RUN-TC-RS-BR-010-Base</t>
        </is>
      </c>
      <c r="B133" s="9" t="inlineStr">
        <is>
          <t>TC-RS-BR-010</t>
        </is>
      </c>
      <c r="C133" s="9" t="inlineStr">
        <is>
          <t>Base</t>
        </is>
      </c>
      <c r="D133" s="9" t="inlineStr">
        <is>
          <t>NOT RUN</t>
        </is>
      </c>
      <c r="E133" s="9"/>
      <c r="F133" s="9"/>
      <c r="G133" s="9"/>
      <c r="H133" s="9"/>
      <c r="I133" s="9"/>
      <c r="J133" s="9"/>
      <c r="K133" s="9"/>
      <c r="L133" s="9"/>
      <c r="M133" s="9"/>
    </row>
    <row r="134">
      <c r="A134" s="9" t="inlineStr">
        <is>
          <t>RUN-TC-RS-BR-011-fixed</t>
        </is>
      </c>
      <c r="B134" s="9" t="inlineStr">
        <is>
          <t>TC-RS-BR-011</t>
        </is>
      </c>
      <c r="C134" s="9" t="inlineStr">
        <is>
          <t>fixed</t>
        </is>
      </c>
      <c r="D134" s="9" t="inlineStr">
        <is>
          <t>NOT RUN</t>
        </is>
      </c>
      <c r="E134" s="9"/>
      <c r="F134" s="9"/>
      <c r="G134" s="9"/>
      <c r="H134" s="9"/>
      <c r="I134" s="9"/>
      <c r="J134" s="9"/>
      <c r="K134" s="9"/>
      <c r="L134" s="9"/>
      <c r="M134" s="9"/>
    </row>
    <row r="135">
      <c r="A135" s="9" t="inlineStr">
        <is>
          <t>RUN-TC-RS-BR-011-ratio</t>
        </is>
      </c>
      <c r="B135" s="9" t="inlineStr">
        <is>
          <t>TC-RS-BR-011</t>
        </is>
      </c>
      <c r="C135" s="9" t="inlineStr">
        <is>
          <t>ratio</t>
        </is>
      </c>
      <c r="D135" s="9" t="inlineStr">
        <is>
          <t>NOT RUN</t>
        </is>
      </c>
      <c r="E135" s="9"/>
      <c r="F135" s="9"/>
      <c r="G135" s="9"/>
      <c r="H135" s="9"/>
      <c r="I135" s="9"/>
      <c r="J135" s="9"/>
      <c r="K135" s="9"/>
      <c r="L135" s="9"/>
      <c r="M135" s="9"/>
    </row>
    <row r="136">
      <c r="A136" s="9" t="inlineStr">
        <is>
          <t>RUN-TC-RS-BR-011-average-condition</t>
        </is>
      </c>
      <c r="B136" s="9" t="inlineStr">
        <is>
          <t>TC-RS-BR-011</t>
        </is>
      </c>
      <c r="C136" s="9" t="inlineStr">
        <is>
          <t>average-condition</t>
        </is>
      </c>
      <c r="D136" s="9" t="inlineStr">
        <is>
          <t>NOT RUN</t>
        </is>
      </c>
      <c r="E136" s="9"/>
      <c r="F136" s="9"/>
      <c r="G136" s="9"/>
      <c r="H136" s="9"/>
      <c r="I136" s="9"/>
      <c r="J136" s="9"/>
      <c r="K136" s="9"/>
      <c r="L136" s="9"/>
      <c r="M136" s="9"/>
    </row>
    <row r="137">
      <c r="A137" s="9" t="inlineStr">
        <is>
          <t>RUN-TC-RS-BR-012-projected</t>
        </is>
      </c>
      <c r="B137" s="9" t="inlineStr">
        <is>
          <t>TC-RS-BR-012</t>
        </is>
      </c>
      <c r="C137" s="9" t="inlineStr">
        <is>
          <t>projected</t>
        </is>
      </c>
      <c r="D137" s="9" t="inlineStr">
        <is>
          <t>NOT RUN</t>
        </is>
      </c>
      <c r="E137" s="9"/>
      <c r="F137" s="9"/>
      <c r="G137" s="9"/>
      <c r="H137" s="9"/>
      <c r="I137" s="9"/>
      <c r="J137" s="9"/>
      <c r="K137" s="9"/>
      <c r="L137" s="9"/>
      <c r="M137" s="9"/>
    </row>
    <row r="138">
      <c r="A138" s="9" t="inlineStr">
        <is>
          <t>RUN-TC-RS-BR-012-manual</t>
        </is>
      </c>
      <c r="B138" s="9" t="inlineStr">
        <is>
          <t>TC-RS-BR-012</t>
        </is>
      </c>
      <c r="C138" s="9" t="inlineStr">
        <is>
          <t>manual</t>
        </is>
      </c>
      <c r="D138" s="9" t="inlineStr">
        <is>
          <t>NOT RUN</t>
        </is>
      </c>
      <c r="E138" s="9"/>
      <c r="F138" s="9"/>
      <c r="G138" s="9"/>
      <c r="H138" s="9"/>
      <c r="I138" s="9"/>
      <c r="J138" s="9"/>
      <c r="K138" s="9"/>
      <c r="L138" s="9"/>
      <c r="M138" s="9"/>
    </row>
    <row r="139">
      <c r="A139" s="9" t="inlineStr">
        <is>
          <t>RUN-TC-RS-BR-012-clamp-lt</t>
        </is>
      </c>
      <c r="B139" s="9" t="inlineStr">
        <is>
          <t>TC-RS-BR-012</t>
        </is>
      </c>
      <c r="C139" s="9" t="inlineStr">
        <is>
          <t>clamp-lt</t>
        </is>
      </c>
      <c r="D139" s="9" t="inlineStr">
        <is>
          <t>NOT RUN</t>
        </is>
      </c>
      <c r="E139" s="9"/>
      <c r="F139" s="9"/>
      <c r="G139" s="9"/>
      <c r="H139" s="9"/>
      <c r="I139" s="9"/>
      <c r="J139" s="9"/>
      <c r="K139" s="9"/>
      <c r="L139" s="9"/>
      <c r="M139" s="9"/>
    </row>
    <row r="140">
      <c r="A140" s="9" t="inlineStr">
        <is>
          <t>RUN-TC-RS-BR-012-clamp-le</t>
        </is>
      </c>
      <c r="B140" s="9" t="inlineStr">
        <is>
          <t>TC-RS-BR-012</t>
        </is>
      </c>
      <c r="C140" s="9" t="inlineStr">
        <is>
          <t>clamp-le</t>
        </is>
      </c>
      <c r="D140" s="9" t="inlineStr">
        <is>
          <t>NOT RUN</t>
        </is>
      </c>
      <c r="E140" s="9"/>
      <c r="F140" s="9"/>
      <c r="G140" s="9"/>
      <c r="H140" s="9"/>
      <c r="I140" s="9"/>
      <c r="J140" s="9"/>
      <c r="K140" s="9"/>
      <c r="L140" s="9"/>
      <c r="M140" s="9"/>
    </row>
    <row r="141">
      <c r="A141" s="9" t="inlineStr">
        <is>
          <t>RUN-TC-RS-BR-013-notexam35</t>
        </is>
      </c>
      <c r="B141" s="9" t="inlineStr">
        <is>
          <t>TC-RS-BR-013</t>
        </is>
      </c>
      <c r="C141" s="9" t="inlineStr">
        <is>
          <t>notexam35</t>
        </is>
      </c>
      <c r="D141" s="9" t="inlineStr">
        <is>
          <t>NOT RUN</t>
        </is>
      </c>
      <c r="E141" s="9"/>
      <c r="F141" s="9"/>
      <c r="G141" s="9"/>
      <c r="H141" s="9"/>
      <c r="I141" s="9"/>
      <c r="J141" s="9"/>
      <c r="K141" s="9"/>
      <c r="L141" s="9"/>
      <c r="M141" s="9"/>
    </row>
    <row r="142">
      <c r="A142" s="9" t="inlineStr">
        <is>
          <t>RUN-TC-RS-BR-013-notexam25</t>
        </is>
      </c>
      <c r="B142" s="9" t="inlineStr">
        <is>
          <t>TC-RS-BR-013</t>
        </is>
      </c>
      <c r="C142" s="9" t="inlineStr">
        <is>
          <t>notexam25</t>
        </is>
      </c>
      <c r="D142" s="9" t="inlineStr">
        <is>
          <t>NOT RUN</t>
        </is>
      </c>
      <c r="E142" s="9"/>
      <c r="F142" s="9"/>
      <c r="G142" s="9"/>
      <c r="H142" s="9"/>
      <c r="I142" s="9"/>
      <c r="J142" s="9"/>
      <c r="K142" s="9"/>
      <c r="L142" s="9"/>
      <c r="M142" s="9"/>
    </row>
    <row r="143">
      <c r="A143" s="9" t="inlineStr">
        <is>
          <t>RUN-TC-RS-BR-013-ranking-excluded</t>
        </is>
      </c>
      <c r="B143" s="9" t="inlineStr">
        <is>
          <t>TC-RS-BR-013</t>
        </is>
      </c>
      <c r="C143" s="9" t="inlineStr">
        <is>
          <t>ranking-excluded</t>
        </is>
      </c>
      <c r="D143" s="9" t="inlineStr">
        <is>
          <t>NOT RUN</t>
        </is>
      </c>
      <c r="E143" s="9"/>
      <c r="F143" s="9"/>
      <c r="G143" s="9"/>
      <c r="H143" s="9"/>
      <c r="I143" s="9"/>
      <c r="J143" s="9"/>
      <c r="K143" s="9"/>
      <c r="L143" s="9"/>
      <c r="M143" s="9"/>
    </row>
    <row r="144">
      <c r="A144" s="9" t="inlineStr">
        <is>
          <t>RUN-TC-RS-BR-014-fixed30-lt</t>
        </is>
      </c>
      <c r="B144" s="9" t="inlineStr">
        <is>
          <t>TC-RS-BR-014</t>
        </is>
      </c>
      <c r="C144" s="9" t="inlineStr">
        <is>
          <t>fixed30-lt</t>
        </is>
      </c>
      <c r="D144" s="9" t="inlineStr">
        <is>
          <t>NOT RUN</t>
        </is>
      </c>
      <c r="E144" s="9"/>
      <c r="F144" s="9"/>
      <c r="G144" s="9"/>
      <c r="H144" s="9"/>
      <c r="I144" s="9"/>
      <c r="J144" s="9"/>
      <c r="K144" s="9"/>
      <c r="L144" s="9"/>
      <c r="M144" s="9"/>
    </row>
    <row r="145">
      <c r="A145" s="9" t="inlineStr">
        <is>
          <t>RUN-TC-RS-BR-014-fixed0-le</t>
        </is>
      </c>
      <c r="B145" s="9" t="inlineStr">
        <is>
          <t>TC-RS-BR-014</t>
        </is>
      </c>
      <c r="C145" s="9" t="inlineStr">
        <is>
          <t>fixed0-le</t>
        </is>
      </c>
      <c r="D145" s="9" t="inlineStr">
        <is>
          <t>NOT RUN</t>
        </is>
      </c>
      <c r="E145" s="9"/>
      <c r="F145" s="9"/>
      <c r="G145" s="9"/>
      <c r="H145" s="9"/>
      <c r="I145" s="9"/>
      <c r="J145" s="9"/>
      <c r="K145" s="9"/>
      <c r="L145" s="9"/>
      <c r="M145" s="9"/>
    </row>
    <row r="146">
      <c r="A146" s="9" t="inlineStr">
        <is>
          <t>RUN-TC-RS-BR-015-Base</t>
        </is>
      </c>
      <c r="B146" s="9" t="inlineStr">
        <is>
          <t>TC-RS-BR-015</t>
        </is>
      </c>
      <c r="C146" s="9" t="inlineStr">
        <is>
          <t>Base</t>
        </is>
      </c>
      <c r="D146" s="9" t="inlineStr">
        <is>
          <t>NOT RUN</t>
        </is>
      </c>
      <c r="E146" s="9"/>
      <c r="F146" s="9"/>
      <c r="G146" s="9"/>
      <c r="H146" s="9"/>
      <c r="I146" s="9"/>
      <c r="J146" s="9"/>
      <c r="K146" s="9"/>
      <c r="L146" s="9"/>
      <c r="M146" s="9"/>
    </row>
    <row r="147">
      <c r="A147" s="9" t="inlineStr">
        <is>
          <t>RUN-TC-RS-BR-016-Base</t>
        </is>
      </c>
      <c r="B147" s="9" t="inlineStr">
        <is>
          <t>TC-RS-BR-016</t>
        </is>
      </c>
      <c r="C147" s="9" t="inlineStr">
        <is>
          <t>Base</t>
        </is>
      </c>
      <c r="D147" s="9" t="inlineStr">
        <is>
          <t>NOT RUN</t>
        </is>
      </c>
      <c r="E147" s="9"/>
      <c r="F147" s="9"/>
      <c r="G147" s="9"/>
      <c r="H147" s="9"/>
      <c r="I147" s="9"/>
      <c r="J147" s="9"/>
      <c r="K147" s="9"/>
      <c r="L147" s="9"/>
      <c r="M147" s="9"/>
    </row>
    <row r="148">
      <c r="A148" s="9" t="inlineStr">
        <is>
          <t>RUN-TC-RS-BR-017-invalid-M</t>
        </is>
      </c>
      <c r="B148" s="9" t="inlineStr">
        <is>
          <t>TC-RS-BR-017</t>
        </is>
      </c>
      <c r="C148" s="9" t="inlineStr">
        <is>
          <t>invalid-M</t>
        </is>
      </c>
      <c r="D148" s="9" t="inlineStr">
        <is>
          <t>NOT RUN</t>
        </is>
      </c>
      <c r="E148" s="9"/>
      <c r="F148" s="9"/>
      <c r="G148" s="9"/>
      <c r="H148" s="9"/>
      <c r="I148" s="9"/>
      <c r="J148" s="9"/>
      <c r="K148" s="9"/>
      <c r="L148" s="9"/>
      <c r="M148" s="9"/>
    </row>
    <row r="149">
      <c r="A149" s="9" t="inlineStr">
        <is>
          <t>RUN-TC-RS-BR-017-missing-source</t>
        </is>
      </c>
      <c r="B149" s="9" t="inlineStr">
        <is>
          <t>TC-RS-BR-017</t>
        </is>
      </c>
      <c r="C149" s="9" t="inlineStr">
        <is>
          <t>missing-source</t>
        </is>
      </c>
      <c r="D149" s="9" t="inlineStr">
        <is>
          <t>NOT RUN</t>
        </is>
      </c>
      <c r="E149" s="9"/>
      <c r="F149" s="9"/>
      <c r="G149" s="9"/>
      <c r="H149" s="9"/>
      <c r="I149" s="9"/>
      <c r="J149" s="9"/>
      <c r="K149" s="9"/>
      <c r="L149" s="9"/>
      <c r="M149" s="9"/>
    </row>
    <row r="150">
      <c r="A150" s="9" t="inlineStr">
        <is>
          <t>RUN-TC-RS-BR-017-invalid-formula</t>
        </is>
      </c>
      <c r="B150" s="9" t="inlineStr">
        <is>
          <t>TC-RS-BR-017</t>
        </is>
      </c>
      <c r="C150" s="9" t="inlineStr">
        <is>
          <t>invalid-formula</t>
        </is>
      </c>
      <c r="D150" s="9" t="inlineStr">
        <is>
          <t>NOT RUN</t>
        </is>
      </c>
      <c r="E150" s="9"/>
      <c r="F150" s="9"/>
      <c r="G150" s="9"/>
      <c r="H150" s="9"/>
      <c r="I150" s="9"/>
      <c r="J150" s="9"/>
      <c r="K150" s="9"/>
      <c r="L150" s="9"/>
      <c r="M150" s="9"/>
    </row>
    <row r="151">
      <c r="A151" s="9" t="inlineStr">
        <is>
          <t>RUN-TC-RS-BR-018-Base</t>
        </is>
      </c>
      <c r="B151" s="9" t="inlineStr">
        <is>
          <t>TC-RS-BR-018</t>
        </is>
      </c>
      <c r="C151" s="9" t="inlineStr">
        <is>
          <t>Base</t>
        </is>
      </c>
      <c r="D151" s="9" t="inlineStr">
        <is>
          <t>NOT RUN</t>
        </is>
      </c>
      <c r="E151" s="9"/>
      <c r="F151" s="9"/>
      <c r="G151" s="9"/>
      <c r="H151" s="9"/>
      <c r="I151" s="9"/>
      <c r="J151" s="9"/>
      <c r="K151" s="9"/>
      <c r="L151" s="9"/>
      <c r="M151" s="9"/>
    </row>
    <row r="152">
      <c r="A152" s="9" t="inlineStr">
        <is>
          <t>RUN-TC-RS-BR-019-registration</t>
        </is>
      </c>
      <c r="B152" s="9" t="inlineStr">
        <is>
          <t>TC-RS-BR-019</t>
        </is>
      </c>
      <c r="C152" s="9" t="inlineStr">
        <is>
          <t>registration</t>
        </is>
      </c>
      <c r="D152" s="9" t="inlineStr">
        <is>
          <t>NOT RUN</t>
        </is>
      </c>
      <c r="E152" s="9"/>
      <c r="F152" s="9"/>
      <c r="G152" s="9"/>
      <c r="H152" s="9"/>
      <c r="I152" s="9"/>
      <c r="J152" s="9"/>
      <c r="K152" s="9"/>
      <c r="L152" s="9"/>
      <c r="M152" s="9"/>
    </row>
    <row r="153">
      <c r="A153" s="9" t="inlineStr">
        <is>
          <t>RUN-TC-RS-BR-019-batch</t>
        </is>
      </c>
      <c r="B153" s="9" t="inlineStr">
        <is>
          <t>TC-RS-BR-019</t>
        </is>
      </c>
      <c r="C153" s="9" t="inlineStr">
        <is>
          <t>batch</t>
        </is>
      </c>
      <c r="D153" s="9" t="inlineStr">
        <is>
          <t>NOT RUN</t>
        </is>
      </c>
      <c r="E153" s="9"/>
      <c r="F153" s="9"/>
      <c r="G153" s="9"/>
      <c r="H153" s="9"/>
      <c r="I153" s="9"/>
      <c r="J153" s="9"/>
      <c r="K153" s="9"/>
      <c r="L153" s="9"/>
      <c r="M153" s="9"/>
    </row>
    <row r="154">
      <c r="A154" s="9" t="inlineStr">
        <is>
          <t>RUN-TC-RS-BR-020-Base</t>
        </is>
      </c>
      <c r="B154" s="9" t="inlineStr">
        <is>
          <t>TC-RS-BR-020</t>
        </is>
      </c>
      <c r="C154" s="9" t="inlineStr">
        <is>
          <t>Base</t>
        </is>
      </c>
      <c r="D154" s="9" t="inlineStr">
        <is>
          <t>NOT RUN</t>
        </is>
      </c>
      <c r="E154" s="9"/>
      <c r="F154" s="9"/>
      <c r="G154" s="9"/>
      <c r="H154" s="9"/>
      <c r="I154" s="9"/>
      <c r="J154" s="9"/>
      <c r="K154" s="9"/>
      <c r="L154" s="9"/>
      <c r="M154" s="9"/>
    </row>
    <row r="155">
      <c r="A155" s="9" t="inlineStr">
        <is>
          <t>RUN-TC-RS-BR-021-Base</t>
        </is>
      </c>
      <c r="B155" s="9" t="inlineStr">
        <is>
          <t>TC-RS-BR-021</t>
        </is>
      </c>
      <c r="C155" s="9" t="inlineStr">
        <is>
          <t>Base</t>
        </is>
      </c>
      <c r="D155" s="9" t="inlineStr">
        <is>
          <t>NOT RUN</t>
        </is>
      </c>
      <c r="E155" s="9"/>
      <c r="F155" s="9"/>
      <c r="G155" s="9"/>
      <c r="H155" s="9"/>
      <c r="I155" s="9"/>
      <c r="J155" s="9"/>
      <c r="K155" s="9"/>
      <c r="L155" s="9"/>
      <c r="M155" s="9"/>
    </row>
    <row r="156">
      <c r="A156" s="9" t="inlineStr">
        <is>
          <t>RUN-TC-RS-BR-022-Base</t>
        </is>
      </c>
      <c r="B156" s="9" t="inlineStr">
        <is>
          <t>TC-RS-BR-022</t>
        </is>
      </c>
      <c r="C156" s="9" t="inlineStr">
        <is>
          <t>Base</t>
        </is>
      </c>
      <c r="D156" s="9" t="inlineStr">
        <is>
          <t>NOT RUN</t>
        </is>
      </c>
      <c r="E156" s="9"/>
      <c r="F156" s="9"/>
      <c r="G156" s="9"/>
      <c r="H156" s="9"/>
      <c r="I156" s="9"/>
      <c r="J156" s="9"/>
      <c r="K156" s="9"/>
      <c r="L156" s="9"/>
      <c r="M156" s="9"/>
    </row>
    <row r="157">
      <c r="A157" s="9" t="inlineStr">
        <is>
          <t>RUN-TC-RS-BR-023-Base</t>
        </is>
      </c>
      <c r="B157" s="9" t="inlineStr">
        <is>
          <t>TC-RS-BR-023</t>
        </is>
      </c>
      <c r="C157" s="9" t="inlineStr">
        <is>
          <t>Base</t>
        </is>
      </c>
      <c r="D157" s="9" t="inlineStr">
        <is>
          <t>NOT RUN</t>
        </is>
      </c>
      <c r="E157" s="9"/>
      <c r="F157" s="9"/>
      <c r="G157" s="9"/>
      <c r="H157" s="9"/>
      <c r="I157" s="9"/>
      <c r="J157" s="9"/>
      <c r="K157" s="9"/>
      <c r="L157" s="9"/>
      <c r="M157" s="9"/>
    </row>
    <row r="158">
      <c r="A158" s="9" t="inlineStr">
        <is>
          <t>RUN-TC-RS-BR-024-extract</t>
        </is>
      </c>
      <c r="B158" s="9" t="inlineStr">
        <is>
          <t>TC-RS-BR-024</t>
        </is>
      </c>
      <c r="C158" s="9" t="inlineStr">
        <is>
          <t>extract</t>
        </is>
      </c>
      <c r="D158" s="9" t="inlineStr">
        <is>
          <t>NOT RUN</t>
        </is>
      </c>
      <c r="E158" s="9"/>
      <c r="F158" s="9"/>
      <c r="G158" s="9"/>
      <c r="H158" s="9"/>
      <c r="I158" s="9"/>
      <c r="J158" s="9"/>
      <c r="K158" s="9"/>
      <c r="L158" s="9"/>
      <c r="M158" s="9"/>
    </row>
    <row r="159">
      <c r="A159" s="9" t="inlineStr">
        <is>
          <t>RUN-TC-RS-BR-024-excel</t>
        </is>
      </c>
      <c r="B159" s="9" t="inlineStr">
        <is>
          <t>TC-RS-BR-024</t>
        </is>
      </c>
      <c r="C159" s="9" t="inlineStr">
        <is>
          <t>excel</t>
        </is>
      </c>
      <c r="D159" s="9" t="inlineStr">
        <is>
          <t>NOT RUN</t>
        </is>
      </c>
      <c r="E159" s="9"/>
      <c r="F159" s="9"/>
      <c r="G159" s="9"/>
      <c r="H159" s="9"/>
      <c r="I159" s="9"/>
      <c r="J159" s="9"/>
      <c r="K159" s="9"/>
      <c r="L159" s="9"/>
      <c r="M159" s="9"/>
    </row>
    <row r="160">
      <c r="A160" s="9" t="inlineStr">
        <is>
          <t>RUN-TC-RS-BR-024-publish-web</t>
        </is>
      </c>
      <c r="B160" s="9" t="inlineStr">
        <is>
          <t>TC-RS-BR-024</t>
        </is>
      </c>
      <c r="C160" s="9" t="inlineStr">
        <is>
          <t>publish-web</t>
        </is>
      </c>
      <c r="D160" s="9" t="inlineStr">
        <is>
          <t>NOT RUN</t>
        </is>
      </c>
      <c r="E160" s="9"/>
      <c r="F160" s="9"/>
      <c r="G160" s="9"/>
      <c r="H160" s="9"/>
      <c r="I160" s="9"/>
      <c r="J160" s="9"/>
      <c r="K160" s="9"/>
      <c r="L160" s="9"/>
      <c r="M160" s="9"/>
    </row>
    <row r="161">
      <c r="A161" s="9" t="inlineStr">
        <is>
          <t>RUN-TC-RS-BR-024-publish-pdf</t>
        </is>
      </c>
      <c r="B161" s="9" t="inlineStr">
        <is>
          <t>TC-RS-BR-024</t>
        </is>
      </c>
      <c r="C161" s="9" t="inlineStr">
        <is>
          <t>publish-pdf</t>
        </is>
      </c>
      <c r="D161" s="9" t="inlineStr">
        <is>
          <t>NOT RUN</t>
        </is>
      </c>
      <c r="E161" s="9"/>
      <c r="F161" s="9"/>
      <c r="G161" s="9"/>
      <c r="H161" s="9"/>
      <c r="I161" s="9"/>
      <c r="J161" s="9"/>
      <c r="K161" s="9"/>
      <c r="L161" s="9"/>
      <c r="M161" s="9"/>
    </row>
    <row r="162">
      <c r="A162" s="9" t="inlineStr">
        <is>
          <t>RUN-TC-RS-BR-024-report</t>
        </is>
      </c>
      <c r="B162" s="9" t="inlineStr">
        <is>
          <t>TC-RS-BR-024</t>
        </is>
      </c>
      <c r="C162" s="9" t="inlineStr">
        <is>
          <t>report</t>
        </is>
      </c>
      <c r="D162" s="9" t="inlineStr">
        <is>
          <t>NOT RUN</t>
        </is>
      </c>
      <c r="E162" s="9"/>
      <c r="F162" s="9"/>
      <c r="G162" s="9"/>
      <c r="H162" s="9"/>
      <c r="I162" s="9"/>
      <c r="J162" s="9"/>
      <c r="K162" s="9"/>
      <c r="L162" s="9"/>
      <c r="M162" s="9"/>
    </row>
    <row r="163">
      <c r="A163" s="9" t="inlineStr">
        <is>
          <t>RUN-TC-RS-BR-025-extract</t>
        </is>
      </c>
      <c r="B163" s="9" t="inlineStr">
        <is>
          <t>TC-RS-BR-025</t>
        </is>
      </c>
      <c r="C163" s="9" t="inlineStr">
        <is>
          <t>extract</t>
        </is>
      </c>
      <c r="D163" s="9" t="inlineStr">
        <is>
          <t>NOT RUN</t>
        </is>
      </c>
      <c r="E163" s="9"/>
      <c r="F163" s="9"/>
      <c r="G163" s="9"/>
      <c r="H163" s="9"/>
      <c r="I163" s="9"/>
      <c r="J163" s="9"/>
      <c r="K163" s="9"/>
      <c r="L163" s="9"/>
      <c r="M163" s="9"/>
    </row>
    <row r="164">
      <c r="A164" s="9" t="inlineStr">
        <is>
          <t>RUN-TC-RS-BR-025-excel</t>
        </is>
      </c>
      <c r="B164" s="9" t="inlineStr">
        <is>
          <t>TC-RS-BR-025</t>
        </is>
      </c>
      <c r="C164" s="9" t="inlineStr">
        <is>
          <t>excel</t>
        </is>
      </c>
      <c r="D164" s="9" t="inlineStr">
        <is>
          <t>NOT RUN</t>
        </is>
      </c>
      <c r="E164" s="9"/>
      <c r="F164" s="9"/>
      <c r="G164" s="9"/>
      <c r="H164" s="9"/>
      <c r="I164" s="9"/>
      <c r="J164" s="9"/>
      <c r="K164" s="9"/>
      <c r="L164" s="9"/>
      <c r="M164" s="9"/>
    </row>
    <row r="165">
      <c r="A165" s="9" t="inlineStr">
        <is>
          <t>RUN-TC-RS-BR-025-publish</t>
        </is>
      </c>
      <c r="B165" s="9" t="inlineStr">
        <is>
          <t>TC-RS-BR-025</t>
        </is>
      </c>
      <c r="C165" s="9" t="inlineStr">
        <is>
          <t>publish</t>
        </is>
      </c>
      <c r="D165" s="9" t="inlineStr">
        <is>
          <t>NOT RUN</t>
        </is>
      </c>
      <c r="E165" s="9"/>
      <c r="F165" s="9"/>
      <c r="G165" s="9"/>
      <c r="H165" s="9"/>
      <c r="I165" s="9"/>
      <c r="J165" s="9"/>
      <c r="K165" s="9"/>
      <c r="L165" s="9"/>
      <c r="M165" s="9"/>
    </row>
    <row r="166">
      <c r="A166" s="9" t="inlineStr">
        <is>
          <t>RUN-TC-RS-BR-025-report</t>
        </is>
      </c>
      <c r="B166" s="9" t="inlineStr">
        <is>
          <t>TC-RS-BR-025</t>
        </is>
      </c>
      <c r="C166" s="9" t="inlineStr">
        <is>
          <t>report</t>
        </is>
      </c>
      <c r="D166" s="9" t="inlineStr">
        <is>
          <t>NOT RUN</t>
        </is>
      </c>
      <c r="E166" s="9"/>
      <c r="F166" s="9"/>
      <c r="G166" s="9"/>
      <c r="H166" s="9"/>
      <c r="I166" s="9"/>
      <c r="J166" s="9"/>
      <c r="K166" s="9"/>
      <c r="L166" s="9"/>
      <c r="M166" s="9"/>
    </row>
    <row r="167">
      <c r="A167" s="9" t="inlineStr">
        <is>
          <t>RUN-TC-RS-BR-027-Base</t>
        </is>
      </c>
      <c r="B167" s="9" t="inlineStr">
        <is>
          <t>TC-RS-BR-027</t>
        </is>
      </c>
      <c r="C167" s="9" t="inlineStr">
        <is>
          <t>Base</t>
        </is>
      </c>
      <c r="D167" s="9" t="inlineStr">
        <is>
          <t>NOT RUN</t>
        </is>
      </c>
      <c r="E167" s="9"/>
      <c r="F167" s="9"/>
      <c r="G167" s="9"/>
      <c r="H167" s="9"/>
      <c r="I167" s="9"/>
      <c r="J167" s="9"/>
      <c r="K167" s="9"/>
      <c r="L167" s="9"/>
      <c r="M167" s="9"/>
    </row>
    <row r="168">
      <c r="A168" s="9" t="inlineStr">
        <is>
          <t>RUN-TC-RS-BR-028-Base</t>
        </is>
      </c>
      <c r="B168" s="9" t="inlineStr">
        <is>
          <t>TC-RS-BR-028</t>
        </is>
      </c>
      <c r="C168" s="9" t="inlineStr">
        <is>
          <t>Base</t>
        </is>
      </c>
      <c r="D168" s="9" t="inlineStr">
        <is>
          <t>NOT RUN</t>
        </is>
      </c>
      <c r="E168" s="9"/>
      <c r="F168" s="9"/>
      <c r="G168" s="9"/>
      <c r="H168" s="9"/>
      <c r="I168" s="9"/>
      <c r="J168" s="9"/>
      <c r="K168" s="9"/>
      <c r="L168" s="9"/>
      <c r="M168" s="9"/>
    </row>
    <row r="169">
      <c r="A169" s="9" t="inlineStr">
        <is>
          <t>RUN-TC-RS-BR-029-Base</t>
        </is>
      </c>
      <c r="B169" s="9" t="inlineStr">
        <is>
          <t>TC-RS-BR-029</t>
        </is>
      </c>
      <c r="C169" s="9" t="inlineStr">
        <is>
          <t>Base</t>
        </is>
      </c>
      <c r="D169" s="9" t="inlineStr">
        <is>
          <t>NOT RUN</t>
        </is>
      </c>
      <c r="E169" s="9"/>
      <c r="F169" s="9"/>
      <c r="G169" s="9"/>
      <c r="H169" s="9"/>
      <c r="I169" s="9"/>
      <c r="J169" s="9"/>
      <c r="K169" s="9"/>
      <c r="L169" s="9"/>
      <c r="M169" s="9"/>
    </row>
    <row r="170">
      <c r="A170" s="9" t="inlineStr">
        <is>
          <t>RUN-TC-RS-BR-030-Base</t>
        </is>
      </c>
      <c r="B170" s="9" t="inlineStr">
        <is>
          <t>TC-RS-BR-030</t>
        </is>
      </c>
      <c r="C170" s="9" t="inlineStr">
        <is>
          <t>Base</t>
        </is>
      </c>
      <c r="D170" s="9" t="inlineStr">
        <is>
          <t>NOT RUN</t>
        </is>
      </c>
      <c r="E170" s="9"/>
      <c r="F170" s="9"/>
      <c r="G170" s="9"/>
      <c r="H170" s="9"/>
      <c r="I170" s="9"/>
      <c r="J170" s="9"/>
      <c r="K170" s="9"/>
      <c r="L170" s="9"/>
      <c r="M170" s="9"/>
    </row>
    <row r="171">
      <c r="A171" s="9" t="inlineStr">
        <is>
          <t>RUN-TC-RS-BR-031-add</t>
        </is>
      </c>
      <c r="B171" s="9" t="inlineStr">
        <is>
          <t>TC-RS-BR-031</t>
        </is>
      </c>
      <c r="C171" s="9" t="inlineStr">
        <is>
          <t>add</t>
        </is>
      </c>
      <c r="D171" s="9" t="inlineStr">
        <is>
          <t>NOT RUN</t>
        </is>
      </c>
      <c r="E171" s="9"/>
      <c r="F171" s="9"/>
      <c r="G171" s="9"/>
      <c r="H171" s="9"/>
      <c r="I171" s="9"/>
      <c r="J171" s="9"/>
      <c r="K171" s="9"/>
      <c r="L171" s="9"/>
      <c r="M171" s="9"/>
    </row>
    <row r="172">
      <c r="A172" s="9" t="inlineStr">
        <is>
          <t>RUN-TC-RS-BR-031-condition</t>
        </is>
      </c>
      <c r="B172" s="9" t="inlineStr">
        <is>
          <t>TC-RS-BR-031</t>
        </is>
      </c>
      <c r="C172" s="9" t="inlineStr">
        <is>
          <t>condition</t>
        </is>
      </c>
      <c r="D172" s="9" t="inlineStr">
        <is>
          <t>NOT RUN</t>
        </is>
      </c>
      <c r="E172" s="9"/>
      <c r="F172" s="9"/>
      <c r="G172" s="9"/>
      <c r="H172" s="9"/>
      <c r="I172" s="9"/>
      <c r="J172" s="9"/>
      <c r="K172" s="9"/>
      <c r="L172" s="9"/>
      <c r="M172" s="9"/>
    </row>
    <row r="173">
      <c r="A173" s="9" t="inlineStr">
        <is>
          <t>RUN-TC-RS-BR-031-threshold</t>
        </is>
      </c>
      <c r="B173" s="9" t="inlineStr">
        <is>
          <t>TC-RS-BR-031</t>
        </is>
      </c>
      <c r="C173" s="9" t="inlineStr">
        <is>
          <t>threshold</t>
        </is>
      </c>
      <c r="D173" s="9" t="inlineStr">
        <is>
          <t>NOT RUN</t>
        </is>
      </c>
      <c r="E173" s="9"/>
      <c r="F173" s="9"/>
      <c r="G173" s="9"/>
      <c r="H173" s="9"/>
      <c r="I173" s="9"/>
      <c r="J173" s="9"/>
      <c r="K173" s="9"/>
      <c r="L173" s="9"/>
      <c r="M173" s="9"/>
    </row>
    <row r="174">
      <c r="A174" s="9" t="inlineStr">
        <is>
          <t>RUN-TC-RS-BR-031-reorder</t>
        </is>
      </c>
      <c r="B174" s="9" t="inlineStr">
        <is>
          <t>TC-RS-BR-031</t>
        </is>
      </c>
      <c r="C174" s="9" t="inlineStr">
        <is>
          <t>reorder</t>
        </is>
      </c>
      <c r="D174" s="9" t="inlineStr">
        <is>
          <t>NOT RUN</t>
        </is>
      </c>
      <c r="E174" s="9"/>
      <c r="F174" s="9"/>
      <c r="G174" s="9"/>
      <c r="H174" s="9"/>
      <c r="I174" s="9"/>
      <c r="J174" s="9"/>
      <c r="K174" s="9"/>
      <c r="L174" s="9"/>
      <c r="M174" s="9"/>
    </row>
    <row r="175">
      <c r="A175" s="9" t="inlineStr">
        <is>
          <t>RUN-TC-RS-BR-031-delete</t>
        </is>
      </c>
      <c r="B175" s="9" t="inlineStr">
        <is>
          <t>TC-RS-BR-031</t>
        </is>
      </c>
      <c r="C175" s="9" t="inlineStr">
        <is>
          <t>delete</t>
        </is>
      </c>
      <c r="D175" s="9" t="inlineStr">
        <is>
          <t>NOT RUN</t>
        </is>
      </c>
      <c r="E175" s="9"/>
      <c r="F175" s="9"/>
      <c r="G175" s="9"/>
      <c r="H175" s="9"/>
      <c r="I175" s="9"/>
      <c r="J175" s="9"/>
      <c r="K175" s="9"/>
      <c r="L175" s="9"/>
      <c r="M175" s="9"/>
    </row>
    <row r="176">
      <c r="A176" s="9" t="inlineStr">
        <is>
          <t>RUN-TC-RS-BR-032-Base</t>
        </is>
      </c>
      <c r="B176" s="9" t="inlineStr">
        <is>
          <t>TC-RS-BR-032</t>
        </is>
      </c>
      <c r="C176" s="9" t="inlineStr">
        <is>
          <t>Base</t>
        </is>
      </c>
      <c r="D176" s="9" t="inlineStr">
        <is>
          <t>NOT RUN</t>
        </is>
      </c>
      <c r="E176" s="9"/>
      <c r="F176" s="9"/>
      <c r="G176" s="9"/>
      <c r="H176" s="9"/>
      <c r="I176" s="9"/>
      <c r="J176" s="9"/>
      <c r="K176" s="9"/>
      <c r="L176" s="9"/>
      <c r="M176" s="9"/>
    </row>
    <row r="177">
      <c r="A177" s="9" t="inlineStr">
        <is>
          <t>RUN-TC-RS-BR-033-Base</t>
        </is>
      </c>
      <c r="B177" s="9" t="inlineStr">
        <is>
          <t>TC-RS-BR-033</t>
        </is>
      </c>
      <c r="C177" s="9" t="inlineStr">
        <is>
          <t>Base</t>
        </is>
      </c>
      <c r="D177" s="9" t="inlineStr">
        <is>
          <t>NOT RUN</t>
        </is>
      </c>
      <c r="E177" s="9"/>
      <c r="F177" s="9"/>
      <c r="G177" s="9"/>
      <c r="H177" s="9"/>
      <c r="I177" s="9"/>
      <c r="J177" s="9"/>
      <c r="K177" s="9"/>
      <c r="L177" s="9"/>
      <c r="M177" s="9"/>
    </row>
    <row r="178">
      <c r="A178" s="9" t="inlineStr">
        <is>
          <t>RUN-TC-RS-BR-034-Base</t>
        </is>
      </c>
      <c r="B178" s="9" t="inlineStr">
        <is>
          <t>TC-RS-BR-034</t>
        </is>
      </c>
      <c r="C178" s="9" t="inlineStr">
        <is>
          <t>Base</t>
        </is>
      </c>
      <c r="D178" s="9" t="inlineStr">
        <is>
          <t>NOT RUN</t>
        </is>
      </c>
      <c r="E178" s="9"/>
      <c r="F178" s="9"/>
      <c r="G178" s="9"/>
      <c r="H178" s="9"/>
      <c r="I178" s="9"/>
      <c r="J178" s="9"/>
      <c r="K178" s="9"/>
      <c r="L178" s="9"/>
      <c r="M178" s="9"/>
    </row>
    <row r="179">
      <c r="A179" s="9" t="inlineStr">
        <is>
          <t>RUN-TC-RS-BR-035-Base</t>
        </is>
      </c>
      <c r="B179" s="9" t="inlineStr">
        <is>
          <t>TC-RS-BR-035</t>
        </is>
      </c>
      <c r="C179" s="9" t="inlineStr">
        <is>
          <t>Base</t>
        </is>
      </c>
      <c r="D179" s="9" t="inlineStr">
        <is>
          <t>NOT RUN</t>
        </is>
      </c>
      <c r="E179" s="9"/>
      <c r="F179" s="9"/>
      <c r="G179" s="9"/>
      <c r="H179" s="9"/>
      <c r="I179" s="9"/>
      <c r="J179" s="9"/>
      <c r="K179" s="9"/>
      <c r="L179" s="9"/>
      <c r="M179" s="9"/>
    </row>
    <row r="180">
      <c r="A180" s="9" t="inlineStr">
        <is>
          <t>RUN-TC-RS-BR-036-Base</t>
        </is>
      </c>
      <c r="B180" s="9" t="inlineStr">
        <is>
          <t>TC-RS-BR-036</t>
        </is>
      </c>
      <c r="C180" s="9" t="inlineStr">
        <is>
          <t>Base</t>
        </is>
      </c>
      <c r="D180" s="9" t="inlineStr">
        <is>
          <t>NOT RUN</t>
        </is>
      </c>
      <c r="E180" s="9"/>
      <c r="F180" s="9"/>
      <c r="G180" s="9"/>
      <c r="H180" s="9"/>
      <c r="I180" s="9"/>
      <c r="J180" s="9"/>
      <c r="K180" s="9"/>
      <c r="L180" s="9"/>
      <c r="M180" s="9"/>
    </row>
    <row r="181">
      <c r="A181" s="9" t="inlineStr">
        <is>
          <t>RUN-TC-RS-BR-037-delete-unit</t>
        </is>
      </c>
      <c r="B181" s="9" t="inlineStr">
        <is>
          <t>TC-RS-BR-037</t>
        </is>
      </c>
      <c r="C181" s="9" t="inlineStr">
        <is>
          <t>delete-unit</t>
        </is>
      </c>
      <c r="D181" s="9" t="inlineStr">
        <is>
          <t>NOT RUN</t>
        </is>
      </c>
      <c r="E181" s="9"/>
      <c r="F181" s="9"/>
      <c r="G181" s="9"/>
      <c r="H181" s="9"/>
      <c r="I181" s="9"/>
      <c r="J181" s="9"/>
      <c r="K181" s="9"/>
      <c r="L181" s="9"/>
      <c r="M181" s="9"/>
    </row>
    <row r="182">
      <c r="A182" s="9" t="inlineStr">
        <is>
          <t>RUN-TC-RS-BR-037-disable-unit</t>
        </is>
      </c>
      <c r="B182" s="9" t="inlineStr">
        <is>
          <t>TC-RS-BR-037</t>
        </is>
      </c>
      <c r="C182" s="9" t="inlineStr">
        <is>
          <t>disable-unit</t>
        </is>
      </c>
      <c r="D182" s="9" t="inlineStr">
        <is>
          <t>NOT RUN</t>
        </is>
      </c>
      <c r="E182" s="9"/>
      <c r="F182" s="9"/>
      <c r="G182" s="9"/>
      <c r="H182" s="9"/>
      <c r="I182" s="9"/>
      <c r="J182" s="9"/>
      <c r="K182" s="9"/>
      <c r="L182" s="9"/>
      <c r="M182" s="9"/>
    </row>
    <row r="183">
      <c r="A183" s="9" t="inlineStr">
        <is>
          <t>RUN-TC-RS-BR-038-Base</t>
        </is>
      </c>
      <c r="B183" s="9" t="inlineStr">
        <is>
          <t>TC-RS-BR-038</t>
        </is>
      </c>
      <c r="C183" s="9" t="inlineStr">
        <is>
          <t>Base</t>
        </is>
      </c>
      <c r="D183" s="9" t="inlineStr">
        <is>
          <t>NOT RUN</t>
        </is>
      </c>
      <c r="E183" s="9"/>
      <c r="F183" s="9"/>
      <c r="G183" s="9"/>
      <c r="H183" s="9"/>
      <c r="I183" s="9"/>
      <c r="J183" s="9"/>
      <c r="K183" s="9"/>
      <c r="L183" s="9"/>
      <c r="M183" s="9"/>
    </row>
    <row r="184">
      <c r="A184" s="9" t="inlineStr">
        <is>
          <t>RUN-TC-RS-BR-039-private</t>
        </is>
      </c>
      <c r="B184" s="9" t="inlineStr">
        <is>
          <t>TC-RS-BR-039</t>
        </is>
      </c>
      <c r="C184" s="9" t="inlineStr">
        <is>
          <t>private</t>
        </is>
      </c>
      <c r="D184" s="9" t="inlineStr">
        <is>
          <t>NOT RUN</t>
        </is>
      </c>
      <c r="E184" s="9"/>
      <c r="F184" s="9"/>
      <c r="G184" s="9"/>
      <c r="H184" s="9"/>
      <c r="I184" s="9"/>
      <c r="J184" s="9"/>
      <c r="K184" s="9"/>
      <c r="L184" s="9"/>
      <c r="M184" s="9"/>
    </row>
    <row r="185">
      <c r="A185" s="9" t="inlineStr">
        <is>
          <t>RUN-TC-RS-BR-039-default</t>
        </is>
      </c>
      <c r="B185" s="9" t="inlineStr">
        <is>
          <t>TC-RS-BR-039</t>
        </is>
      </c>
      <c r="C185" s="9" t="inlineStr">
        <is>
          <t>default</t>
        </is>
      </c>
      <c r="D185" s="9" t="inlineStr">
        <is>
          <t>NOT RUN</t>
        </is>
      </c>
      <c r="E185" s="9"/>
      <c r="F185" s="9"/>
      <c r="G185" s="9"/>
      <c r="H185" s="9"/>
      <c r="I185" s="9"/>
      <c r="J185" s="9"/>
      <c r="K185" s="9"/>
      <c r="L185" s="9"/>
      <c r="M185" s="9"/>
    </row>
    <row r="186">
      <c r="A186" s="9" t="inlineStr">
        <is>
          <t>RUN-TC-RS-BR-039-default-missing</t>
        </is>
      </c>
      <c r="B186" s="9" t="inlineStr">
        <is>
          <t>TC-RS-BR-039</t>
        </is>
      </c>
      <c r="C186" s="9" t="inlineStr">
        <is>
          <t>default-missing</t>
        </is>
      </c>
      <c r="D186" s="9" t="inlineStr">
        <is>
          <t>NOT RUN</t>
        </is>
      </c>
      <c r="E186" s="9"/>
      <c r="F186" s="9"/>
      <c r="G186" s="9"/>
      <c r="H186" s="9"/>
      <c r="I186" s="9"/>
      <c r="J186" s="9"/>
      <c r="K186" s="9"/>
      <c r="L186" s="9"/>
      <c r="M186" s="9"/>
    </row>
    <row r="187">
      <c r="A187" s="9" t="inlineStr">
        <is>
          <t>RUN-TC-RS-BR-039-default-invalid</t>
        </is>
      </c>
      <c r="B187" s="9" t="inlineStr">
        <is>
          <t>TC-RS-BR-039</t>
        </is>
      </c>
      <c r="C187" s="9" t="inlineStr">
        <is>
          <t>default-invalid</t>
        </is>
      </c>
      <c r="D187" s="9" t="inlineStr">
        <is>
          <t>NOT RUN</t>
        </is>
      </c>
      <c r="E187" s="9"/>
      <c r="F187" s="9"/>
      <c r="G187" s="9"/>
      <c r="H187" s="9"/>
      <c r="I187" s="9"/>
      <c r="J187" s="9"/>
      <c r="K187" s="9"/>
      <c r="L187" s="9"/>
      <c r="M187" s="9"/>
    </row>
    <row r="188">
      <c r="A188" s="9" t="inlineStr">
        <is>
          <t>RUN-TC-RS-BR-040-missing-source</t>
        </is>
      </c>
      <c r="B188" s="9" t="inlineStr">
        <is>
          <t>TC-RS-BR-040</t>
        </is>
      </c>
      <c r="C188" s="9" t="inlineStr">
        <is>
          <t>missing-source</t>
        </is>
      </c>
      <c r="D188" s="9" t="inlineStr">
        <is>
          <t>NOT RUN</t>
        </is>
      </c>
      <c r="E188" s="9"/>
      <c r="F188" s="9"/>
      <c r="G188" s="9"/>
      <c r="H188" s="9"/>
      <c r="I188" s="9"/>
      <c r="J188" s="9"/>
      <c r="K188" s="9"/>
      <c r="L188" s="9"/>
      <c r="M188" s="9"/>
    </row>
    <row r="189">
      <c r="A189" s="9" t="inlineStr">
        <is>
          <t>RUN-TC-RS-BR-040-disabled-group</t>
        </is>
      </c>
      <c r="B189" s="9" t="inlineStr">
        <is>
          <t>TC-RS-BR-040</t>
        </is>
      </c>
      <c r="C189" s="9" t="inlineStr">
        <is>
          <t>disabled-group</t>
        </is>
      </c>
      <c r="D189" s="9" t="inlineStr">
        <is>
          <t>NOT RUN</t>
        </is>
      </c>
      <c r="E189" s="9"/>
      <c r="F189" s="9"/>
      <c r="G189" s="9"/>
      <c r="H189" s="9"/>
      <c r="I189" s="9"/>
      <c r="J189" s="9"/>
      <c r="K189" s="9"/>
      <c r="L189" s="9"/>
      <c r="M189" s="9"/>
    </row>
    <row r="190">
      <c r="A190" s="9" t="inlineStr">
        <is>
          <t>RUN-TC-RS-BR-040-deleted-group</t>
        </is>
      </c>
      <c r="B190" s="9" t="inlineStr">
        <is>
          <t>TC-RS-BR-040</t>
        </is>
      </c>
      <c r="C190" s="9" t="inlineStr">
        <is>
          <t>deleted-group</t>
        </is>
      </c>
      <c r="D190" s="9" t="inlineStr">
        <is>
          <t>NOT RUN</t>
        </is>
      </c>
      <c r="E190" s="9"/>
      <c r="F190" s="9"/>
      <c r="G190" s="9"/>
      <c r="H190" s="9"/>
      <c r="I190" s="9"/>
      <c r="J190" s="9"/>
      <c r="K190" s="9"/>
      <c r="L190" s="9"/>
      <c r="M190" s="9"/>
    </row>
    <row r="191">
      <c r="A191" s="9" t="inlineStr">
        <is>
          <t>RUN-TC-RS-VAL-001-negative</t>
        </is>
      </c>
      <c r="B191" s="9" t="inlineStr">
        <is>
          <t>TC-RS-VAL-001</t>
        </is>
      </c>
      <c r="C191" s="9" t="inlineStr">
        <is>
          <t>negative</t>
        </is>
      </c>
      <c r="D191" s="9" t="inlineStr">
        <is>
          <t>NOT RUN</t>
        </is>
      </c>
      <c r="E191" s="9"/>
      <c r="F191" s="9"/>
      <c r="G191" s="9"/>
      <c r="H191" s="9"/>
      <c r="I191" s="9"/>
      <c r="J191" s="9"/>
      <c r="K191" s="9"/>
      <c r="L191" s="9"/>
      <c r="M191" s="9"/>
    </row>
    <row r="192">
      <c r="A192" s="9" t="inlineStr">
        <is>
          <t>RUN-TC-RS-VAL-001-zero</t>
        </is>
      </c>
      <c r="B192" s="9" t="inlineStr">
        <is>
          <t>TC-RS-VAL-001</t>
        </is>
      </c>
      <c r="C192" s="9" t="inlineStr">
        <is>
          <t>zero</t>
        </is>
      </c>
      <c r="D192" s="9" t="inlineStr">
        <is>
          <t>NOT RUN</t>
        </is>
      </c>
      <c r="E192" s="9"/>
      <c r="F192" s="9"/>
      <c r="G192" s="9"/>
      <c r="H192" s="9"/>
      <c r="I192" s="9"/>
      <c r="J192" s="9"/>
      <c r="K192" s="9"/>
      <c r="L192" s="9"/>
      <c r="M192" s="9"/>
    </row>
    <row r="193">
      <c r="A193" s="9" t="inlineStr">
        <is>
          <t>RUN-TC-RS-VAL-001-maximum</t>
        </is>
      </c>
      <c r="B193" s="9" t="inlineStr">
        <is>
          <t>TC-RS-VAL-001</t>
        </is>
      </c>
      <c r="C193" s="9" t="inlineStr">
        <is>
          <t>maximum</t>
        </is>
      </c>
      <c r="D193" s="9" t="inlineStr">
        <is>
          <t>NOT RUN</t>
        </is>
      </c>
      <c r="E193" s="9"/>
      <c r="F193" s="9"/>
      <c r="G193" s="9"/>
      <c r="H193" s="9"/>
      <c r="I193" s="9"/>
      <c r="J193" s="9"/>
      <c r="K193" s="9"/>
      <c r="L193" s="9"/>
      <c r="M193" s="9"/>
    </row>
    <row r="194">
      <c r="A194" s="9" t="inlineStr">
        <is>
          <t>RUN-TC-RS-VAL-001-above</t>
        </is>
      </c>
      <c r="B194" s="9" t="inlineStr">
        <is>
          <t>TC-RS-VAL-001</t>
        </is>
      </c>
      <c r="C194" s="9" t="inlineStr">
        <is>
          <t>above</t>
        </is>
      </c>
      <c r="D194" s="9" t="inlineStr">
        <is>
          <t>NOT RUN</t>
        </is>
      </c>
      <c r="E194" s="9"/>
      <c r="F194" s="9"/>
      <c r="G194" s="9"/>
      <c r="H194" s="9"/>
      <c r="I194" s="9"/>
      <c r="J194" s="9"/>
      <c r="K194" s="9"/>
      <c r="L194" s="9"/>
      <c r="M194" s="9"/>
    </row>
    <row r="195">
      <c r="A195" s="9" t="inlineStr">
        <is>
          <t>RUN-TC-RS-VAL-002-all30</t>
        </is>
      </c>
      <c r="B195" s="9" t="inlineStr">
        <is>
          <t>TC-RS-VAL-002</t>
        </is>
      </c>
      <c r="C195" s="9" t="inlineStr">
        <is>
          <t>all30</t>
        </is>
      </c>
      <c r="D195" s="9" t="inlineStr">
        <is>
          <t>NOT RUN</t>
        </is>
      </c>
      <c r="E195" s="9"/>
      <c r="F195" s="9"/>
      <c r="G195" s="9"/>
      <c r="H195" s="9"/>
      <c r="I195" s="9"/>
      <c r="J195" s="9"/>
      <c r="K195" s="9"/>
      <c r="L195" s="9"/>
      <c r="M195" s="9"/>
    </row>
    <row r="196">
      <c r="A196" s="9" t="inlineStr">
        <is>
          <t>RUN-TC-RS-VAL-002-all20</t>
        </is>
      </c>
      <c r="B196" s="9" t="inlineStr">
        <is>
          <t>TC-RS-VAL-002</t>
        </is>
      </c>
      <c r="C196" s="9" t="inlineStr">
        <is>
          <t>all20</t>
        </is>
      </c>
      <c r="D196" s="9" t="inlineStr">
        <is>
          <t>NOT RUN</t>
        </is>
      </c>
      <c r="E196" s="9"/>
      <c r="F196" s="9"/>
      <c r="G196" s="9"/>
      <c r="H196" s="9"/>
      <c r="I196" s="9"/>
      <c r="J196" s="9"/>
      <c r="K196" s="9"/>
      <c r="L196" s="9"/>
      <c r="M196" s="9"/>
    </row>
    <row r="197">
      <c r="A197" s="9" t="inlineStr">
        <is>
          <t>RUN-TC-RS-VAL-002-gb30</t>
        </is>
      </c>
      <c r="B197" s="9" t="inlineStr">
        <is>
          <t>TC-RS-VAL-002</t>
        </is>
      </c>
      <c r="C197" s="9" t="inlineStr">
        <is>
          <t>gb30</t>
        </is>
      </c>
      <c r="D197" s="9" t="inlineStr">
        <is>
          <t>NOT RUN</t>
        </is>
      </c>
      <c r="E197" s="9"/>
      <c r="F197" s="9"/>
      <c r="G197" s="9"/>
      <c r="H197" s="9"/>
      <c r="I197" s="9"/>
      <c r="J197" s="9"/>
      <c r="K197" s="9"/>
      <c r="L197" s="9"/>
      <c r="M197" s="9"/>
    </row>
    <row r="198">
      <c r="A198" s="9" t="inlineStr">
        <is>
          <t>RUN-TC-RS-VAL-003-Base</t>
        </is>
      </c>
      <c r="B198" s="9" t="inlineStr">
        <is>
          <t>TC-RS-VAL-003</t>
        </is>
      </c>
      <c r="C198" s="9" t="inlineStr">
        <is>
          <t>Base</t>
        </is>
      </c>
      <c r="D198" s="9" t="inlineStr">
        <is>
          <t>NOT RUN</t>
        </is>
      </c>
      <c r="E198" s="9"/>
      <c r="F198" s="9"/>
      <c r="G198" s="9"/>
      <c r="H198" s="9"/>
      <c r="I198" s="9"/>
      <c r="J198" s="9"/>
      <c r="K198" s="9"/>
      <c r="L198" s="9"/>
      <c r="M198" s="9"/>
    </row>
    <row r="199">
      <c r="A199" s="9" t="inlineStr">
        <is>
          <t>RUN-TC-RS-VAL-004-fixed-empty</t>
        </is>
      </c>
      <c r="B199" s="9" t="inlineStr">
        <is>
          <t>TC-RS-VAL-004</t>
        </is>
      </c>
      <c r="C199" s="9" t="inlineStr">
        <is>
          <t>fixed-empty</t>
        </is>
      </c>
      <c r="D199" s="9" t="inlineStr">
        <is>
          <t>NOT RUN</t>
        </is>
      </c>
      <c r="E199" s="9"/>
      <c r="F199" s="9"/>
      <c r="G199" s="9"/>
      <c r="H199" s="9"/>
      <c r="I199" s="9"/>
      <c r="J199" s="9"/>
      <c r="K199" s="9"/>
      <c r="L199" s="9"/>
      <c r="M199" s="9"/>
    </row>
    <row r="200">
      <c r="A200" s="9" t="inlineStr">
        <is>
          <t>RUN-TC-RS-VAL-004-fixed-abc</t>
        </is>
      </c>
      <c r="B200" s="9" t="inlineStr">
        <is>
          <t>TC-RS-VAL-004</t>
        </is>
      </c>
      <c r="C200" s="9" t="inlineStr">
        <is>
          <t>fixed-abc</t>
        </is>
      </c>
      <c r="D200" s="9" t="inlineStr">
        <is>
          <t>NOT RUN</t>
        </is>
      </c>
      <c r="E200" s="9"/>
      <c r="F200" s="9"/>
      <c r="G200" s="9"/>
      <c r="H200" s="9"/>
      <c r="I200" s="9"/>
      <c r="J200" s="9"/>
      <c r="K200" s="9"/>
      <c r="L200" s="9"/>
      <c r="M200" s="9"/>
    </row>
    <row r="201">
      <c r="A201" s="9" t="inlineStr">
        <is>
          <t>RUN-TC-RS-VAL-004-fixed-3O</t>
        </is>
      </c>
      <c r="B201" s="9" t="inlineStr">
        <is>
          <t>TC-RS-VAL-004</t>
        </is>
      </c>
      <c r="C201" s="9" t="inlineStr">
        <is>
          <t>fixed-3O</t>
        </is>
      </c>
      <c r="D201" s="9" t="inlineStr">
        <is>
          <t>NOT RUN</t>
        </is>
      </c>
      <c r="E201" s="9"/>
      <c r="F201" s="9"/>
      <c r="G201" s="9"/>
      <c r="H201" s="9"/>
      <c r="I201" s="9"/>
      <c r="J201" s="9"/>
      <c r="K201" s="9"/>
      <c r="L201" s="9"/>
      <c r="M201" s="9"/>
    </row>
    <row r="202">
      <c r="A202" s="9" t="inlineStr">
        <is>
          <t>RUN-TC-RS-VAL-004-fixed-fullwidth</t>
        </is>
      </c>
      <c r="B202" s="9" t="inlineStr">
        <is>
          <t>TC-RS-VAL-004</t>
        </is>
      </c>
      <c r="C202" s="9" t="inlineStr">
        <is>
          <t>fixed-fullwidth</t>
        </is>
      </c>
      <c r="D202" s="9" t="inlineStr">
        <is>
          <t>NOT RUN</t>
        </is>
      </c>
      <c r="E202" s="9"/>
      <c r="F202" s="9"/>
      <c r="G202" s="9"/>
      <c r="H202" s="9"/>
      <c r="I202" s="9"/>
      <c r="J202" s="9"/>
      <c r="K202" s="9"/>
      <c r="L202" s="9"/>
      <c r="M202" s="9"/>
    </row>
    <row r="203">
      <c r="A203" s="9" t="inlineStr">
        <is>
          <t>RUN-TC-RS-VAL-004-ratio-empty</t>
        </is>
      </c>
      <c r="B203" s="9" t="inlineStr">
        <is>
          <t>TC-RS-VAL-004</t>
        </is>
      </c>
      <c r="C203" s="9" t="inlineStr">
        <is>
          <t>ratio-empty</t>
        </is>
      </c>
      <c r="D203" s="9" t="inlineStr">
        <is>
          <t>NOT RUN</t>
        </is>
      </c>
      <c r="E203" s="9"/>
      <c r="F203" s="9"/>
      <c r="G203" s="9"/>
      <c r="H203" s="9"/>
      <c r="I203" s="9"/>
      <c r="J203" s="9"/>
      <c r="K203" s="9"/>
      <c r="L203" s="9"/>
      <c r="M203" s="9"/>
    </row>
    <row r="204">
      <c r="A204" s="9" t="inlineStr">
        <is>
          <t>RUN-TC-RS-VAL-004-ratio-abc</t>
        </is>
      </c>
      <c r="B204" s="9" t="inlineStr">
        <is>
          <t>TC-RS-VAL-004</t>
        </is>
      </c>
      <c r="C204" s="9" t="inlineStr">
        <is>
          <t>ratio-abc</t>
        </is>
      </c>
      <c r="D204" s="9" t="inlineStr">
        <is>
          <t>NOT RUN</t>
        </is>
      </c>
      <c r="E204" s="9"/>
      <c r="F204" s="9"/>
      <c r="G204" s="9"/>
      <c r="H204" s="9"/>
      <c r="I204" s="9"/>
      <c r="J204" s="9"/>
      <c r="K204" s="9"/>
      <c r="L204" s="9"/>
      <c r="M204" s="9"/>
    </row>
    <row r="205">
      <c r="A205" s="9" t="inlineStr">
        <is>
          <t>RUN-TC-RS-VAL-004-ratio-3O</t>
        </is>
      </c>
      <c r="B205" s="9" t="inlineStr">
        <is>
          <t>TC-RS-VAL-004</t>
        </is>
      </c>
      <c r="C205" s="9" t="inlineStr">
        <is>
          <t>ratio-3O</t>
        </is>
      </c>
      <c r="D205" s="9" t="inlineStr">
        <is>
          <t>NOT RUN</t>
        </is>
      </c>
      <c r="E205" s="9"/>
      <c r="F205" s="9"/>
      <c r="G205" s="9"/>
      <c r="H205" s="9"/>
      <c r="I205" s="9"/>
      <c r="J205" s="9"/>
      <c r="K205" s="9"/>
      <c r="L205" s="9"/>
      <c r="M205" s="9"/>
    </row>
    <row r="206">
      <c r="A206" s="9" t="inlineStr">
        <is>
          <t>RUN-TC-RS-VAL-004-ratio-fullwidth</t>
        </is>
      </c>
      <c r="B206" s="9" t="inlineStr">
        <is>
          <t>TC-RS-VAL-004</t>
        </is>
      </c>
      <c r="C206" s="9" t="inlineStr">
        <is>
          <t>ratio-fullwidth</t>
        </is>
      </c>
      <c r="D206" s="9" t="inlineStr">
        <is>
          <t>NOT RUN</t>
        </is>
      </c>
      <c r="E206" s="9"/>
      <c r="F206" s="9"/>
      <c r="G206" s="9"/>
      <c r="H206" s="9"/>
      <c r="I206" s="9"/>
      <c r="J206" s="9"/>
      <c r="K206" s="9"/>
      <c r="L206" s="9"/>
      <c r="M206" s="9"/>
    </row>
    <row r="207">
      <c r="A207" s="9" t="inlineStr">
        <is>
          <t>RUN-TC-RS-VAL-005-d1</t>
        </is>
      </c>
      <c r="B207" s="9" t="inlineStr">
        <is>
          <t>TC-RS-VAL-005</t>
        </is>
      </c>
      <c r="C207" s="9" t="inlineStr">
        <is>
          <t>d1</t>
        </is>
      </c>
      <c r="D207" s="9" t="inlineStr">
        <is>
          <t>NOT RUN</t>
        </is>
      </c>
      <c r="E207" s="9"/>
      <c r="F207" s="9"/>
      <c r="G207" s="9"/>
      <c r="H207" s="9"/>
      <c r="I207" s="9"/>
      <c r="J207" s="9"/>
      <c r="K207" s="9"/>
      <c r="L207" s="9"/>
      <c r="M207" s="9"/>
    </row>
    <row r="208">
      <c r="A208" s="9" t="inlineStr">
        <is>
          <t>RUN-TC-RS-VAL-005-d2</t>
        </is>
      </c>
      <c r="B208" s="9" t="inlineStr">
        <is>
          <t>TC-RS-VAL-005</t>
        </is>
      </c>
      <c r="C208" s="9" t="inlineStr">
        <is>
          <t>d2</t>
        </is>
      </c>
      <c r="D208" s="9" t="inlineStr">
        <is>
          <t>NOT RUN</t>
        </is>
      </c>
      <c r="E208" s="9"/>
      <c r="F208" s="9"/>
      <c r="G208" s="9"/>
      <c r="H208" s="9"/>
      <c r="I208" s="9"/>
      <c r="J208" s="9"/>
      <c r="K208" s="9"/>
      <c r="L208" s="9"/>
      <c r="M208" s="9"/>
    </row>
    <row r="209">
      <c r="A209" s="9" t="inlineStr">
        <is>
          <t>RUN-TC-RS-VAL-005-d3</t>
        </is>
      </c>
      <c r="B209" s="9" t="inlineStr">
        <is>
          <t>TC-RS-VAL-005</t>
        </is>
      </c>
      <c r="C209" s="9" t="inlineStr">
        <is>
          <t>d3</t>
        </is>
      </c>
      <c r="D209" s="9" t="inlineStr">
        <is>
          <t>NOT RUN</t>
        </is>
      </c>
      <c r="E209" s="9"/>
      <c r="F209" s="9"/>
      <c r="G209" s="9"/>
      <c r="H209" s="9"/>
      <c r="I209" s="9"/>
      <c r="J209" s="9"/>
      <c r="K209" s="9"/>
      <c r="L209" s="9"/>
      <c r="M209" s="9"/>
    </row>
    <row r="210">
      <c r="A210" s="9" t="inlineStr">
        <is>
          <t>RUN-TC-RS-VAL-005-d4</t>
        </is>
      </c>
      <c r="B210" s="9" t="inlineStr">
        <is>
          <t>TC-RS-VAL-005</t>
        </is>
      </c>
      <c r="C210" s="9" t="inlineStr">
        <is>
          <t>d4</t>
        </is>
      </c>
      <c r="D210" s="9" t="inlineStr">
        <is>
          <t>NOT RUN</t>
        </is>
      </c>
      <c r="E210" s="9"/>
      <c r="F210" s="9"/>
      <c r="G210" s="9"/>
      <c r="H210" s="9"/>
      <c r="I210" s="9"/>
      <c r="J210" s="9"/>
      <c r="K210" s="9"/>
      <c r="L210" s="9"/>
      <c r="M210" s="9"/>
    </row>
    <row r="211">
      <c r="A211" s="9" t="inlineStr">
        <is>
          <t>RUN-TC-RS-VAL-006-negative</t>
        </is>
      </c>
      <c r="B211" s="9" t="inlineStr">
        <is>
          <t>TC-RS-VAL-006</t>
        </is>
      </c>
      <c r="C211" s="9" t="inlineStr">
        <is>
          <t>negative</t>
        </is>
      </c>
      <c r="D211" s="9" t="inlineStr">
        <is>
          <t>NOT RUN</t>
        </is>
      </c>
      <c r="E211" s="9"/>
      <c r="F211" s="9"/>
      <c r="G211" s="9"/>
      <c r="H211" s="9"/>
      <c r="I211" s="9"/>
      <c r="J211" s="9"/>
      <c r="K211" s="9"/>
      <c r="L211" s="9"/>
      <c r="M211" s="9"/>
    </row>
    <row r="212">
      <c r="A212" s="9" t="inlineStr">
        <is>
          <t>RUN-TC-RS-VAL-006-zero</t>
        </is>
      </c>
      <c r="B212" s="9" t="inlineStr">
        <is>
          <t>TC-RS-VAL-006</t>
        </is>
      </c>
      <c r="C212" s="9" t="inlineStr">
        <is>
          <t>zero</t>
        </is>
      </c>
      <c r="D212" s="9" t="inlineStr">
        <is>
          <t>NOT RUN</t>
        </is>
      </c>
      <c r="E212" s="9"/>
      <c r="F212" s="9"/>
      <c r="G212" s="9"/>
      <c r="H212" s="9"/>
      <c r="I212" s="9"/>
      <c r="J212" s="9"/>
      <c r="K212" s="9"/>
      <c r="L212" s="9"/>
      <c r="M212" s="9"/>
    </row>
    <row r="213">
      <c r="A213" s="9" t="inlineStr">
        <is>
          <t>RUN-TC-RS-VAL-006-hundred</t>
        </is>
      </c>
      <c r="B213" s="9" t="inlineStr">
        <is>
          <t>TC-RS-VAL-006</t>
        </is>
      </c>
      <c r="C213" s="9" t="inlineStr">
        <is>
          <t>hundred</t>
        </is>
      </c>
      <c r="D213" s="9" t="inlineStr">
        <is>
          <t>NOT RUN</t>
        </is>
      </c>
      <c r="E213" s="9"/>
      <c r="F213" s="9"/>
      <c r="G213" s="9"/>
      <c r="H213" s="9"/>
      <c r="I213" s="9"/>
      <c r="J213" s="9"/>
      <c r="K213" s="9"/>
      <c r="L213" s="9"/>
      <c r="M213" s="9"/>
    </row>
    <row r="214">
      <c r="A214" s="9" t="inlineStr">
        <is>
          <t>RUN-TC-RS-VAL-006-above</t>
        </is>
      </c>
      <c r="B214" s="9" t="inlineStr">
        <is>
          <t>TC-RS-VAL-006</t>
        </is>
      </c>
      <c r="C214" s="9" t="inlineStr">
        <is>
          <t>above</t>
        </is>
      </c>
      <c r="D214" s="9" t="inlineStr">
        <is>
          <t>NOT RUN</t>
        </is>
      </c>
      <c r="E214" s="9"/>
      <c r="F214" s="9"/>
      <c r="G214" s="9"/>
      <c r="H214" s="9"/>
      <c r="I214" s="9"/>
      <c r="J214" s="9"/>
      <c r="K214" s="9"/>
      <c r="L214" s="9"/>
      <c r="M214" s="9"/>
    </row>
    <row r="215">
      <c r="A215" s="9" t="inlineStr">
        <is>
          <t>RUN-TC-RS-VAL-006-decimal</t>
        </is>
      </c>
      <c r="B215" s="9" t="inlineStr">
        <is>
          <t>TC-RS-VAL-006</t>
        </is>
      </c>
      <c r="C215" s="9" t="inlineStr">
        <is>
          <t>decimal</t>
        </is>
      </c>
      <c r="D215" s="9" t="inlineStr">
        <is>
          <t>NOT RUN</t>
        </is>
      </c>
      <c r="E215" s="9"/>
      <c r="F215" s="9"/>
      <c r="G215" s="9"/>
      <c r="H215" s="9"/>
      <c r="I215" s="9"/>
      <c r="J215" s="9"/>
      <c r="K215" s="9"/>
      <c r="L215" s="9"/>
      <c r="M215" s="9"/>
    </row>
    <row r="216">
      <c r="A216" s="9" t="inlineStr">
        <is>
          <t>RUN-TC-RS-VAL-006-long-decimal</t>
        </is>
      </c>
      <c r="B216" s="9" t="inlineStr">
        <is>
          <t>TC-RS-VAL-006</t>
        </is>
      </c>
      <c r="C216" s="9" t="inlineStr">
        <is>
          <t>long-decimal</t>
        </is>
      </c>
      <c r="D216" s="9" t="inlineStr">
        <is>
          <t>NOT RUN</t>
        </is>
      </c>
      <c r="E216" s="9"/>
      <c r="F216" s="9"/>
      <c r="G216" s="9"/>
      <c r="H216" s="9"/>
      <c r="I216" s="9"/>
      <c r="J216" s="9"/>
      <c r="K216" s="9"/>
      <c r="L216" s="9"/>
      <c r="M216" s="9"/>
    </row>
    <row r="217">
      <c r="A217" s="9" t="inlineStr">
        <is>
          <t>RUN-TC-RS-VAL-007-default</t>
        </is>
      </c>
      <c r="B217" s="9" t="inlineStr">
        <is>
          <t>TC-RS-VAL-007</t>
        </is>
      </c>
      <c r="C217" s="9" t="inlineStr">
        <is>
          <t>default</t>
        </is>
      </c>
      <c r="D217" s="9" t="inlineStr">
        <is>
          <t>NOT RUN</t>
        </is>
      </c>
      <c r="E217" s="9"/>
      <c r="F217" s="9"/>
      <c r="G217" s="9"/>
      <c r="H217" s="9"/>
      <c r="I217" s="9"/>
      <c r="J217" s="9"/>
      <c r="K217" s="9"/>
      <c r="L217" s="9"/>
      <c r="M217" s="9"/>
    </row>
    <row r="218">
      <c r="A218" s="9" t="inlineStr">
        <is>
          <t>RUN-TC-RS-VAL-007-missing-method</t>
        </is>
      </c>
      <c r="B218" s="9" t="inlineStr">
        <is>
          <t>TC-RS-VAL-007</t>
        </is>
      </c>
      <c r="C218" s="9" t="inlineStr">
        <is>
          <t>missing-method</t>
        </is>
      </c>
      <c r="D218" s="9" t="inlineStr">
        <is>
          <t>NOT RUN</t>
        </is>
      </c>
      <c r="E218" s="9"/>
      <c r="F218" s="9"/>
      <c r="G218" s="9"/>
      <c r="H218" s="9"/>
      <c r="I218" s="9"/>
      <c r="J218" s="9"/>
      <c r="K218" s="9"/>
      <c r="L218" s="9"/>
      <c r="M218" s="9"/>
    </row>
    <row r="219">
      <c r="A219" s="9" t="inlineStr">
        <is>
          <t>RUN-TC-RS-VAL-007-p0</t>
        </is>
      </c>
      <c r="B219" s="9" t="inlineStr">
        <is>
          <t>TC-RS-VAL-007</t>
        </is>
      </c>
      <c r="C219" s="9" t="inlineStr">
        <is>
          <t>p0</t>
        </is>
      </c>
      <c r="D219" s="9" t="inlineStr">
        <is>
          <t>NOT RUN</t>
        </is>
      </c>
      <c r="E219" s="9"/>
      <c r="F219" s="9"/>
      <c r="G219" s="9"/>
      <c r="H219" s="9"/>
      <c r="I219" s="9"/>
      <c r="J219" s="9"/>
      <c r="K219" s="9"/>
      <c r="L219" s="9"/>
      <c r="M219" s="9"/>
    </row>
    <row r="220">
      <c r="A220" s="9" t="inlineStr">
        <is>
          <t>RUN-TC-RS-VAL-007-p1</t>
        </is>
      </c>
      <c r="B220" s="9" t="inlineStr">
        <is>
          <t>TC-RS-VAL-007</t>
        </is>
      </c>
      <c r="C220" s="9" t="inlineStr">
        <is>
          <t>p1</t>
        </is>
      </c>
      <c r="D220" s="9" t="inlineStr">
        <is>
          <t>NOT RUN</t>
        </is>
      </c>
      <c r="E220" s="9"/>
      <c r="F220" s="9"/>
      <c r="G220" s="9"/>
      <c r="H220" s="9"/>
      <c r="I220" s="9"/>
      <c r="J220" s="9"/>
      <c r="K220" s="9"/>
      <c r="L220" s="9"/>
      <c r="M220" s="9"/>
    </row>
    <row r="221">
      <c r="A221" s="9" t="inlineStr">
        <is>
          <t>RUN-TC-RS-VAL-007-p9</t>
        </is>
      </c>
      <c r="B221" s="9" t="inlineStr">
        <is>
          <t>TC-RS-VAL-007</t>
        </is>
      </c>
      <c r="C221" s="9" t="inlineStr">
        <is>
          <t>p9</t>
        </is>
      </c>
      <c r="D221" s="9" t="inlineStr">
        <is>
          <t>NOT RUN</t>
        </is>
      </c>
      <c r="E221" s="9"/>
      <c r="F221" s="9"/>
      <c r="G221" s="9"/>
      <c r="H221" s="9"/>
      <c r="I221" s="9"/>
      <c r="J221" s="9"/>
      <c r="K221" s="9"/>
      <c r="L221" s="9"/>
      <c r="M221" s="9"/>
    </row>
    <row r="222">
      <c r="A222" s="9" t="inlineStr">
        <is>
          <t>RUN-TC-RS-VAL-007-p10</t>
        </is>
      </c>
      <c r="B222" s="9" t="inlineStr">
        <is>
          <t>TC-RS-VAL-007</t>
        </is>
      </c>
      <c r="C222" s="9" t="inlineStr">
        <is>
          <t>p10</t>
        </is>
      </c>
      <c r="D222" s="9" t="inlineStr">
        <is>
          <t>NOT RUN</t>
        </is>
      </c>
      <c r="E222" s="9"/>
      <c r="F222" s="9"/>
      <c r="G222" s="9"/>
      <c r="H222" s="9"/>
      <c r="I222" s="9"/>
      <c r="J222" s="9"/>
      <c r="K222" s="9"/>
      <c r="L222" s="9"/>
      <c r="M222" s="9"/>
    </row>
    <row r="223">
      <c r="A223" s="9" t="inlineStr">
        <is>
          <t>RUN-TC-RS-VAL-008-Base</t>
        </is>
      </c>
      <c r="B223" s="9" t="inlineStr">
        <is>
          <t>TC-RS-VAL-008</t>
        </is>
      </c>
      <c r="C223" s="9" t="inlineStr">
        <is>
          <t>Base</t>
        </is>
      </c>
      <c r="D223" s="9" t="inlineStr">
        <is>
          <t>NOT RUN</t>
        </is>
      </c>
      <c r="E223" s="9"/>
      <c r="F223" s="9"/>
      <c r="G223" s="9"/>
      <c r="H223" s="9"/>
      <c r="I223" s="9"/>
      <c r="J223" s="9"/>
      <c r="K223" s="9"/>
      <c r="L223" s="9"/>
      <c r="M223" s="9"/>
    </row>
    <row r="224">
      <c r="A224" s="9" t="inlineStr">
        <is>
          <t>RUN-TC-RS-VAL-009-zero</t>
        </is>
      </c>
      <c r="B224" s="9" t="inlineStr">
        <is>
          <t>TC-RS-VAL-009</t>
        </is>
      </c>
      <c r="C224" s="9" t="inlineStr">
        <is>
          <t>zero</t>
        </is>
      </c>
      <c r="D224" s="9" t="inlineStr">
        <is>
          <t>NOT RUN</t>
        </is>
      </c>
      <c r="E224" s="9"/>
      <c r="F224" s="9"/>
      <c r="G224" s="9"/>
      <c r="H224" s="9"/>
      <c r="I224" s="9"/>
      <c r="J224" s="9"/>
      <c r="K224" s="9"/>
      <c r="L224" s="9"/>
      <c r="M224" s="9"/>
    </row>
    <row r="225">
      <c r="A225" s="9" t="inlineStr">
        <is>
          <t>RUN-TC-RS-VAL-009-decimal-zero</t>
        </is>
      </c>
      <c r="B225" s="9" t="inlineStr">
        <is>
          <t>TC-RS-VAL-009</t>
        </is>
      </c>
      <c r="C225" s="9" t="inlineStr">
        <is>
          <t>decimal-zero</t>
        </is>
      </c>
      <c r="D225" s="9" t="inlineStr">
        <is>
          <t>NOT RUN</t>
        </is>
      </c>
      <c r="E225" s="9"/>
      <c r="F225" s="9"/>
      <c r="G225" s="9"/>
      <c r="H225" s="9"/>
      <c r="I225" s="9"/>
      <c r="J225" s="9"/>
      <c r="K225" s="9"/>
      <c r="L225" s="9"/>
      <c r="M225" s="9"/>
    </row>
    <row r="226">
      <c r="A226" s="9" t="inlineStr">
        <is>
          <t>RUN-TC-RS-VAL-010-empty</t>
        </is>
      </c>
      <c r="B226" s="9" t="inlineStr">
        <is>
          <t>TC-RS-VAL-010</t>
        </is>
      </c>
      <c r="C226" s="9" t="inlineStr">
        <is>
          <t>empty</t>
        </is>
      </c>
      <c r="D226" s="9" t="inlineStr">
        <is>
          <t>NOT RUN</t>
        </is>
      </c>
      <c r="E226" s="9"/>
      <c r="F226" s="9"/>
      <c r="G226" s="9"/>
      <c r="H226" s="9"/>
      <c r="I226" s="9"/>
      <c r="J226" s="9"/>
      <c r="K226" s="9"/>
      <c r="L226" s="9"/>
      <c r="M226" s="9"/>
    </row>
    <row r="227">
      <c r="A227" s="9" t="inlineStr">
        <is>
          <t>RUN-TC-RS-VAL-010-text</t>
        </is>
      </c>
      <c r="B227" s="9" t="inlineStr">
        <is>
          <t>TC-RS-VAL-010</t>
        </is>
      </c>
      <c r="C227" s="9" t="inlineStr">
        <is>
          <t>text</t>
        </is>
      </c>
      <c r="D227" s="9" t="inlineStr">
        <is>
          <t>NOT RUN</t>
        </is>
      </c>
      <c r="E227" s="9"/>
      <c r="F227" s="9"/>
      <c r="G227" s="9"/>
      <c r="H227" s="9"/>
      <c r="I227" s="9"/>
      <c r="J227" s="9"/>
      <c r="K227" s="9"/>
      <c r="L227" s="9"/>
      <c r="M227" s="9"/>
    </row>
    <row r="228">
      <c r="A228" s="9" t="inlineStr">
        <is>
          <t>RUN-TC-RS-VAL-010-operator</t>
        </is>
      </c>
      <c r="B228" s="9" t="inlineStr">
        <is>
          <t>TC-RS-VAL-010</t>
        </is>
      </c>
      <c r="C228" s="9" t="inlineStr">
        <is>
          <t>operator</t>
        </is>
      </c>
      <c r="D228" s="9" t="inlineStr">
        <is>
          <t>NOT RUN</t>
        </is>
      </c>
      <c r="E228" s="9"/>
      <c r="F228" s="9"/>
      <c r="G228" s="9"/>
      <c r="H228" s="9"/>
      <c r="I228" s="9"/>
      <c r="J228" s="9"/>
      <c r="K228" s="9"/>
      <c r="L228" s="9"/>
      <c r="M228" s="9"/>
    </row>
    <row r="229">
      <c r="A229" s="9" t="inlineStr">
        <is>
          <t>RUN-TC-RS-VAL-011-first</t>
        </is>
      </c>
      <c r="B229" s="9" t="inlineStr">
        <is>
          <t>TC-RS-VAL-011</t>
        </is>
      </c>
      <c r="C229" s="9" t="inlineStr">
        <is>
          <t>first</t>
        </is>
      </c>
      <c r="D229" s="9" t="inlineStr">
        <is>
          <t>NOT RUN</t>
        </is>
      </c>
      <c r="E229" s="9"/>
      <c r="F229" s="9"/>
      <c r="G229" s="9"/>
      <c r="H229" s="9"/>
      <c r="I229" s="9"/>
      <c r="J229" s="9"/>
      <c r="K229" s="9"/>
      <c r="L229" s="9"/>
      <c r="M229" s="9"/>
    </row>
    <row r="230">
      <c r="A230" s="9" t="inlineStr">
        <is>
          <t>RUN-TC-RS-VAL-011-self</t>
        </is>
      </c>
      <c r="B230" s="9" t="inlineStr">
        <is>
          <t>TC-RS-VAL-011</t>
        </is>
      </c>
      <c r="C230" s="9" t="inlineStr">
        <is>
          <t>self</t>
        </is>
      </c>
      <c r="D230" s="9" t="inlineStr">
        <is>
          <t>NOT RUN</t>
        </is>
      </c>
      <c r="E230" s="9"/>
      <c r="F230" s="9"/>
      <c r="G230" s="9"/>
      <c r="H230" s="9"/>
      <c r="I230" s="9"/>
      <c r="J230" s="9"/>
      <c r="K230" s="9"/>
      <c r="L230" s="9"/>
      <c r="M230" s="9"/>
    </row>
    <row r="231">
      <c r="A231" s="9" t="inlineStr">
        <is>
          <t>RUN-TC-RS-VAL-011-forward</t>
        </is>
      </c>
      <c r="B231" s="9" t="inlineStr">
        <is>
          <t>TC-RS-VAL-011</t>
        </is>
      </c>
      <c r="C231" s="9" t="inlineStr">
        <is>
          <t>forward</t>
        </is>
      </c>
      <c r="D231" s="9" t="inlineStr">
        <is>
          <t>NOT RUN</t>
        </is>
      </c>
      <c r="E231" s="9"/>
      <c r="F231" s="9"/>
      <c r="G231" s="9"/>
      <c r="H231" s="9"/>
      <c r="I231" s="9"/>
      <c r="J231" s="9"/>
      <c r="K231" s="9"/>
      <c r="L231" s="9"/>
      <c r="M231" s="9"/>
    </row>
    <row r="232">
      <c r="A232" s="9" t="inlineStr">
        <is>
          <t>RUN-TC-RS-VAL-011-backward</t>
        </is>
      </c>
      <c r="B232" s="9" t="inlineStr">
        <is>
          <t>TC-RS-VAL-011</t>
        </is>
      </c>
      <c r="C232" s="9" t="inlineStr">
        <is>
          <t>backward</t>
        </is>
      </c>
      <c r="D232" s="9" t="inlineStr">
        <is>
          <t>NOT RUN</t>
        </is>
      </c>
      <c r="E232" s="9"/>
      <c r="F232" s="9"/>
      <c r="G232" s="9"/>
      <c r="H232" s="9"/>
      <c r="I232" s="9"/>
      <c r="J232" s="9"/>
      <c r="K232" s="9"/>
      <c r="L232" s="9"/>
      <c r="M232" s="9"/>
    </row>
    <row r="233">
      <c r="A233" s="9" t="inlineStr">
        <is>
          <t>RUN-TC-RS-VAL-012-delete</t>
        </is>
      </c>
      <c r="B233" s="9" t="inlineStr">
        <is>
          <t>TC-RS-VAL-012</t>
        </is>
      </c>
      <c r="C233" s="9" t="inlineStr">
        <is>
          <t>delete</t>
        </is>
      </c>
      <c r="D233" s="9" t="inlineStr">
        <is>
          <t>NOT RUN</t>
        </is>
      </c>
      <c r="E233" s="9"/>
      <c r="F233" s="9"/>
      <c r="G233" s="9"/>
      <c r="H233" s="9"/>
      <c r="I233" s="9"/>
      <c r="J233" s="9"/>
      <c r="K233" s="9"/>
      <c r="L233" s="9"/>
      <c r="M233" s="9"/>
    </row>
    <row r="234">
      <c r="A234" s="9" t="inlineStr">
        <is>
          <t>RUN-TC-RS-VAL-012-reorder</t>
        </is>
      </c>
      <c r="B234" s="9" t="inlineStr">
        <is>
          <t>TC-RS-VAL-012</t>
        </is>
      </c>
      <c r="C234" s="9" t="inlineStr">
        <is>
          <t>reorder</t>
        </is>
      </c>
      <c r="D234" s="9" t="inlineStr">
        <is>
          <t>NOT RUN</t>
        </is>
      </c>
      <c r="E234" s="9"/>
      <c r="F234" s="9"/>
      <c r="G234" s="9"/>
      <c r="H234" s="9"/>
      <c r="I234" s="9"/>
      <c r="J234" s="9"/>
      <c r="K234" s="9"/>
      <c r="L234" s="9"/>
      <c r="M234" s="9"/>
    </row>
    <row r="235">
      <c r="A235" s="9" t="inlineStr">
        <is>
          <t>RUN-TC-RS-VAL-013-times150</t>
        </is>
      </c>
      <c r="B235" s="9" t="inlineStr">
        <is>
          <t>TC-RS-VAL-013</t>
        </is>
      </c>
      <c r="C235" s="9" t="inlineStr">
        <is>
          <t>times150</t>
        </is>
      </c>
      <c r="D235" s="9" t="inlineStr">
        <is>
          <t>NOT RUN</t>
        </is>
      </c>
      <c r="E235" s="9"/>
      <c r="F235" s="9"/>
      <c r="G235" s="9"/>
      <c r="H235" s="9"/>
      <c r="I235" s="9"/>
      <c r="J235" s="9"/>
      <c r="K235" s="9"/>
      <c r="L235" s="9"/>
      <c r="M235" s="9"/>
    </row>
    <row r="236">
      <c r="A236" s="9" t="inlineStr">
        <is>
          <t>RUN-TC-RS-VAL-013-times05</t>
        </is>
      </c>
      <c r="B236" s="9" t="inlineStr">
        <is>
          <t>TC-RS-VAL-013</t>
        </is>
      </c>
      <c r="C236" s="9" t="inlineStr">
        <is>
          <t>times05</t>
        </is>
      </c>
      <c r="D236" s="9" t="inlineStr">
        <is>
          <t>NOT RUN</t>
        </is>
      </c>
      <c r="E236" s="9"/>
      <c r="F236" s="9"/>
      <c r="G236" s="9"/>
      <c r="H236" s="9"/>
      <c r="I236" s="9"/>
      <c r="J236" s="9"/>
      <c r="K236" s="9"/>
      <c r="L236" s="9"/>
      <c r="M236" s="9"/>
    </row>
    <row r="237">
      <c r="A237" s="9" t="inlineStr">
        <is>
          <t>RUN-TC-RS-VAL-013-minus150</t>
        </is>
      </c>
      <c r="B237" s="9" t="inlineStr">
        <is>
          <t>TC-RS-VAL-013</t>
        </is>
      </c>
      <c r="C237" s="9" t="inlineStr">
        <is>
          <t>minus150</t>
        </is>
      </c>
      <c r="D237" s="9" t="inlineStr">
        <is>
          <t>NOT RUN</t>
        </is>
      </c>
      <c r="E237" s="9"/>
      <c r="F237" s="9"/>
      <c r="G237" s="9"/>
      <c r="H237" s="9"/>
      <c r="I237" s="9"/>
      <c r="J237" s="9"/>
      <c r="K237" s="9"/>
      <c r="L237" s="9"/>
      <c r="M237" s="9"/>
    </row>
    <row r="238">
      <c r="A238" s="9" t="inlineStr">
        <is>
          <t>RUN-TC-RS-VAL-014-empty</t>
        </is>
      </c>
      <c r="B238" s="9" t="inlineStr">
        <is>
          <t>TC-RS-VAL-014</t>
        </is>
      </c>
      <c r="C238" s="9" t="inlineStr">
        <is>
          <t>empty</t>
        </is>
      </c>
      <c r="D238" s="9" t="inlineStr">
        <is>
          <t>NOT RUN</t>
        </is>
      </c>
      <c r="E238" s="9"/>
      <c r="F238" s="9"/>
      <c r="G238" s="9"/>
      <c r="H238" s="9"/>
      <c r="I238" s="9"/>
      <c r="J238" s="9"/>
      <c r="K238" s="9"/>
      <c r="L238" s="9"/>
      <c r="M238" s="9"/>
    </row>
    <row r="239">
      <c r="A239" s="9" t="inlineStr">
        <is>
          <t>RUN-TC-RS-VAL-014-space</t>
        </is>
      </c>
      <c r="B239" s="9" t="inlineStr">
        <is>
          <t>TC-RS-VAL-014</t>
        </is>
      </c>
      <c r="C239" s="9" t="inlineStr">
        <is>
          <t>space</t>
        </is>
      </c>
      <c r="D239" s="9" t="inlineStr">
        <is>
          <t>NOT RUN</t>
        </is>
      </c>
      <c r="E239" s="9"/>
      <c r="F239" s="9"/>
      <c r="G239" s="9"/>
      <c r="H239" s="9"/>
      <c r="I239" s="9"/>
      <c r="J239" s="9"/>
      <c r="K239" s="9"/>
      <c r="L239" s="9"/>
      <c r="M239" s="9"/>
    </row>
    <row r="240">
      <c r="A240" s="9" t="inlineStr">
        <is>
          <t>RUN-TC-RS-VAL-014-len255</t>
        </is>
      </c>
      <c r="B240" s="9" t="inlineStr">
        <is>
          <t>TC-RS-VAL-014</t>
        </is>
      </c>
      <c r="C240" s="9" t="inlineStr">
        <is>
          <t>len255</t>
        </is>
      </c>
      <c r="D240" s="9" t="inlineStr">
        <is>
          <t>NOT RUN</t>
        </is>
      </c>
      <c r="E240" s="9"/>
      <c r="F240" s="9"/>
      <c r="G240" s="9"/>
      <c r="H240" s="9"/>
      <c r="I240" s="9"/>
      <c r="J240" s="9"/>
      <c r="K240" s="9"/>
      <c r="L240" s="9"/>
      <c r="M240" s="9"/>
    </row>
    <row r="241">
      <c r="A241" s="9" t="inlineStr">
        <is>
          <t>RUN-TC-RS-VAL-014-len256</t>
        </is>
      </c>
      <c r="B241" s="9" t="inlineStr">
        <is>
          <t>TC-RS-VAL-014</t>
        </is>
      </c>
      <c r="C241" s="9" t="inlineStr">
        <is>
          <t>len256</t>
        </is>
      </c>
      <c r="D241" s="9" t="inlineStr">
        <is>
          <t>NOT RUN</t>
        </is>
      </c>
      <c r="E241" s="9"/>
      <c r="F241" s="9"/>
      <c r="G241" s="9"/>
      <c r="H241" s="9"/>
      <c r="I241" s="9"/>
      <c r="J241" s="9"/>
      <c r="K241" s="9"/>
      <c r="L241" s="9"/>
      <c r="M241" s="9"/>
    </row>
    <row r="242">
      <c r="A242" s="9" t="inlineStr">
        <is>
          <t>RUN-TC-RS-VAL-014-padded255</t>
        </is>
      </c>
      <c r="B242" s="9" t="inlineStr">
        <is>
          <t>TC-RS-VAL-014</t>
        </is>
      </c>
      <c r="C242" s="9" t="inlineStr">
        <is>
          <t>padded255</t>
        </is>
      </c>
      <c r="D242" s="9" t="inlineStr">
        <is>
          <t>NOT RUN</t>
        </is>
      </c>
      <c r="E242" s="9"/>
      <c r="F242" s="9"/>
      <c r="G242" s="9"/>
      <c r="H242" s="9"/>
      <c r="I242" s="9"/>
      <c r="J242" s="9"/>
      <c r="K242" s="9"/>
      <c r="L242" s="9"/>
      <c r="M242" s="9"/>
    </row>
    <row r="243">
      <c r="A243" s="9" t="inlineStr">
        <is>
          <t>RUN-TC-RS-VAL-014-duplicate</t>
        </is>
      </c>
      <c r="B243" s="9" t="inlineStr">
        <is>
          <t>TC-RS-VAL-014</t>
        </is>
      </c>
      <c r="C243" s="9" t="inlineStr">
        <is>
          <t>duplicate</t>
        </is>
      </c>
      <c r="D243" s="9" t="inlineStr">
        <is>
          <t>NOT RUN</t>
        </is>
      </c>
      <c r="E243" s="9"/>
      <c r="F243" s="9"/>
      <c r="G243" s="9"/>
      <c r="H243" s="9"/>
      <c r="I243" s="9"/>
      <c r="J243" s="9"/>
      <c r="K243" s="9"/>
      <c r="L243" s="9"/>
      <c r="M243" s="9"/>
    </row>
    <row r="244">
      <c r="A244" s="9" t="inlineStr">
        <is>
          <t>RUN-TC-RS-VAL-015-Base</t>
        </is>
      </c>
      <c r="B244" s="9" t="inlineStr">
        <is>
          <t>TC-RS-VAL-015</t>
        </is>
      </c>
      <c r="C244" s="9" t="inlineStr">
        <is>
          <t>Base</t>
        </is>
      </c>
      <c r="D244" s="9" t="inlineStr">
        <is>
          <t>NOT RUN</t>
        </is>
      </c>
      <c r="E244" s="9"/>
      <c r="F244" s="9"/>
      <c r="G244" s="9"/>
      <c r="H244" s="9"/>
      <c r="I244" s="9"/>
      <c r="J244" s="9"/>
      <c r="K244" s="9"/>
      <c r="L244" s="9"/>
      <c r="M244" s="9"/>
    </row>
    <row r="245">
      <c r="A245" s="9" t="inlineStr">
        <is>
          <t>RUN-TC-RS-VAL-016-Base</t>
        </is>
      </c>
      <c r="B245" s="9" t="inlineStr">
        <is>
          <t>TC-RS-VAL-016</t>
        </is>
      </c>
      <c r="C245" s="9" t="inlineStr">
        <is>
          <t>Base</t>
        </is>
      </c>
      <c r="D245" s="9" t="inlineStr">
        <is>
          <t>NOT RUN</t>
        </is>
      </c>
      <c r="E245" s="9"/>
      <c r="F245" s="9"/>
      <c r="G245" s="9"/>
      <c r="H245" s="9"/>
      <c r="I245" s="9"/>
      <c r="J245" s="9"/>
      <c r="K245" s="9"/>
      <c r="L245" s="9"/>
      <c r="M245" s="9"/>
    </row>
    <row r="246">
      <c r="A246" s="9" t="inlineStr">
        <is>
          <t>RUN-TC-RS-VAL-017-prefix</t>
        </is>
      </c>
      <c r="B246" s="9" t="inlineStr">
        <is>
          <t>TC-RS-VAL-017</t>
        </is>
      </c>
      <c r="C246" s="9" t="inlineStr">
        <is>
          <t>prefix</t>
        </is>
      </c>
      <c r="D246" s="9" t="inlineStr">
        <is>
          <t>NOT RUN</t>
        </is>
      </c>
      <c r="E246" s="9"/>
      <c r="F246" s="9"/>
      <c r="G246" s="9"/>
      <c r="H246" s="9"/>
      <c r="I246" s="9"/>
      <c r="J246" s="9"/>
      <c r="K246" s="9"/>
      <c r="L246" s="9"/>
      <c r="M246" s="9"/>
    </row>
    <row r="247">
      <c r="A247" s="9" t="inlineStr">
        <is>
          <t>RUN-TC-RS-VAL-017-suffix</t>
        </is>
      </c>
      <c r="B247" s="9" t="inlineStr">
        <is>
          <t>TC-RS-VAL-017</t>
        </is>
      </c>
      <c r="C247" s="9" t="inlineStr">
        <is>
          <t>suffix</t>
        </is>
      </c>
      <c r="D247" s="9" t="inlineStr">
        <is>
          <t>NOT RUN</t>
        </is>
      </c>
      <c r="E247" s="9"/>
      <c r="F247" s="9"/>
      <c r="G247" s="9"/>
      <c r="H247" s="9"/>
      <c r="I247" s="9"/>
      <c r="J247" s="9"/>
      <c r="K247" s="9"/>
      <c r="L247" s="9"/>
      <c r="M247" s="9"/>
    </row>
    <row r="248">
      <c r="A248" s="9" t="inlineStr">
        <is>
          <t>RUN-TC-RS-VAL-018-unchanged</t>
        </is>
      </c>
      <c r="B248" s="9" t="inlineStr">
        <is>
          <t>TC-RS-VAL-018</t>
        </is>
      </c>
      <c r="C248" s="9" t="inlineStr">
        <is>
          <t>unchanged</t>
        </is>
      </c>
      <c r="D248" s="9" t="inlineStr">
        <is>
          <t>NOT RUN</t>
        </is>
      </c>
      <c r="E248" s="9"/>
      <c r="F248" s="9"/>
      <c r="G248" s="9"/>
      <c r="H248" s="9"/>
      <c r="I248" s="9"/>
      <c r="J248" s="9"/>
      <c r="K248" s="9"/>
      <c r="L248" s="9"/>
      <c r="M248" s="9"/>
    </row>
    <row r="249">
      <c r="A249" s="9" t="inlineStr">
        <is>
          <t>RUN-TC-RS-VAL-018-parentheses</t>
        </is>
      </c>
      <c r="B249" s="9" t="inlineStr">
        <is>
          <t>TC-RS-VAL-018</t>
        </is>
      </c>
      <c r="C249" s="9" t="inlineStr">
        <is>
          <t>parentheses</t>
        </is>
      </c>
      <c r="D249" s="9" t="inlineStr">
        <is>
          <t>NOT RUN</t>
        </is>
      </c>
      <c r="E249" s="9"/>
      <c r="F249" s="9"/>
      <c r="G249" s="9"/>
      <c r="H249" s="9"/>
      <c r="I249" s="9"/>
      <c r="J249" s="9"/>
      <c r="K249" s="9"/>
      <c r="L249" s="9"/>
      <c r="M249" s="9"/>
    </row>
    <row r="250">
      <c r="A250" s="9" t="inlineStr">
        <is>
          <t>RUN-TC-RS-VAL-018-prefix</t>
        </is>
      </c>
      <c r="B250" s="9" t="inlineStr">
        <is>
          <t>TC-RS-VAL-018</t>
        </is>
      </c>
      <c r="C250" s="9" t="inlineStr">
        <is>
          <t>prefix</t>
        </is>
      </c>
      <c r="D250" s="9" t="inlineStr">
        <is>
          <t>NOT RUN</t>
        </is>
      </c>
      <c r="E250" s="9"/>
      <c r="F250" s="9"/>
      <c r="G250" s="9"/>
      <c r="H250" s="9"/>
      <c r="I250" s="9"/>
      <c r="J250" s="9"/>
      <c r="K250" s="9"/>
      <c r="L250" s="9"/>
      <c r="M250" s="9"/>
    </row>
    <row r="251">
      <c r="A251" s="9" t="inlineStr">
        <is>
          <t>RUN-TC-RS-VAL-018-suffix</t>
        </is>
      </c>
      <c r="B251" s="9" t="inlineStr">
        <is>
          <t>TC-RS-VAL-018</t>
        </is>
      </c>
      <c r="C251" s="9" t="inlineStr">
        <is>
          <t>suffix</t>
        </is>
      </c>
      <c r="D251" s="9" t="inlineStr">
        <is>
          <t>NOT RUN</t>
        </is>
      </c>
      <c r="E251" s="9"/>
      <c r="F251" s="9"/>
      <c r="G251" s="9"/>
      <c r="H251" s="9"/>
      <c r="I251" s="9"/>
      <c r="J251" s="9"/>
      <c r="K251" s="9"/>
      <c r="L251" s="9"/>
      <c r="M251" s="9"/>
    </row>
    <row r="252">
      <c r="A252" s="9" t="inlineStr">
        <is>
          <t>RUN-TC-RS-VAL-019-fixed0-lt</t>
        </is>
      </c>
      <c r="B252" s="9" t="inlineStr">
        <is>
          <t>TC-RS-VAL-019</t>
        </is>
      </c>
      <c r="C252" s="9" t="inlineStr">
        <is>
          <t>fixed0-lt</t>
        </is>
      </c>
      <c r="D252" s="9" t="inlineStr">
        <is>
          <t>NOT RUN</t>
        </is>
      </c>
      <c r="E252" s="9"/>
      <c r="F252" s="9"/>
      <c r="G252" s="9"/>
      <c r="H252" s="9"/>
      <c r="I252" s="9"/>
      <c r="J252" s="9"/>
      <c r="K252" s="9"/>
      <c r="L252" s="9"/>
      <c r="M252" s="9"/>
    </row>
    <row r="253">
      <c r="A253" s="9" t="inlineStr">
        <is>
          <t>RUN-TC-RS-VAL-019-fixed0-le</t>
        </is>
      </c>
      <c r="B253" s="9" t="inlineStr">
        <is>
          <t>TC-RS-VAL-019</t>
        </is>
      </c>
      <c r="C253" s="9" t="inlineStr">
        <is>
          <t>fixed0-le</t>
        </is>
      </c>
      <c r="D253" s="9" t="inlineStr">
        <is>
          <t>NOT RUN</t>
        </is>
      </c>
      <c r="E253" s="9"/>
      <c r="F253" s="9"/>
      <c r="G253" s="9"/>
      <c r="H253" s="9"/>
      <c r="I253" s="9"/>
      <c r="J253" s="9"/>
      <c r="K253" s="9"/>
      <c r="L253" s="9"/>
      <c r="M253" s="9"/>
    </row>
    <row r="254">
      <c r="A254" s="9" t="inlineStr">
        <is>
          <t>RUN-TC-RS-VAL-019-fixed100-lt</t>
        </is>
      </c>
      <c r="B254" s="9" t="inlineStr">
        <is>
          <t>TC-RS-VAL-019</t>
        </is>
      </c>
      <c r="C254" s="9" t="inlineStr">
        <is>
          <t>fixed100-lt</t>
        </is>
      </c>
      <c r="D254" s="9" t="inlineStr">
        <is>
          <t>NOT RUN</t>
        </is>
      </c>
      <c r="E254" s="9"/>
      <c r="F254" s="9"/>
      <c r="G254" s="9"/>
      <c r="H254" s="9"/>
      <c r="I254" s="9"/>
      <c r="J254" s="9"/>
      <c r="K254" s="9"/>
      <c r="L254" s="9"/>
      <c r="M254" s="9"/>
    </row>
    <row r="255">
      <c r="A255" s="9" t="inlineStr">
        <is>
          <t>RUN-TC-RS-VAL-019-fixed100-le</t>
        </is>
      </c>
      <c r="B255" s="9" t="inlineStr">
        <is>
          <t>TC-RS-VAL-019</t>
        </is>
      </c>
      <c r="C255" s="9" t="inlineStr">
        <is>
          <t>fixed100-le</t>
        </is>
      </c>
      <c r="D255" s="9" t="inlineStr">
        <is>
          <t>NOT RUN</t>
        </is>
      </c>
      <c r="E255" s="9"/>
      <c r="F255" s="9"/>
      <c r="G255" s="9"/>
      <c r="H255" s="9"/>
      <c r="I255" s="9"/>
      <c r="J255" s="9"/>
      <c r="K255" s="9"/>
      <c r="L255" s="9"/>
      <c r="M255" s="9"/>
    </row>
    <row r="256">
      <c r="A256" s="9" t="inlineStr">
        <is>
          <t>RUN-TC-RS-VAL-019-ratio0</t>
        </is>
      </c>
      <c r="B256" s="9" t="inlineStr">
        <is>
          <t>TC-RS-VAL-019</t>
        </is>
      </c>
      <c r="C256" s="9" t="inlineStr">
        <is>
          <t>ratio0</t>
        </is>
      </c>
      <c r="D256" s="9" t="inlineStr">
        <is>
          <t>NOT RUN</t>
        </is>
      </c>
      <c r="E256" s="9"/>
      <c r="F256" s="9"/>
      <c r="G256" s="9"/>
      <c r="H256" s="9"/>
      <c r="I256" s="9"/>
      <c r="J256" s="9"/>
      <c r="K256" s="9"/>
      <c r="L256" s="9"/>
      <c r="M256" s="9"/>
    </row>
    <row r="257">
      <c r="A257" s="9" t="inlineStr">
        <is>
          <t>RUN-TC-RS-VAL-019-ratio100</t>
        </is>
      </c>
      <c r="B257" s="9" t="inlineStr">
        <is>
          <t>TC-RS-VAL-019</t>
        </is>
      </c>
      <c r="C257" s="9" t="inlineStr">
        <is>
          <t>ratio100</t>
        </is>
      </c>
      <c r="D257" s="9" t="inlineStr">
        <is>
          <t>NOT RUN</t>
        </is>
      </c>
      <c r="E257" s="9"/>
      <c r="F257" s="9"/>
      <c r="G257" s="9"/>
      <c r="H257" s="9"/>
      <c r="I257" s="9"/>
      <c r="J257" s="9"/>
      <c r="K257" s="9"/>
      <c r="L257" s="9"/>
      <c r="M257" s="9"/>
    </row>
    <row r="258">
      <c r="A258" s="9" t="inlineStr">
        <is>
          <t>RUN-TC-RS-VAL-019-ratio04</t>
        </is>
      </c>
      <c r="B258" s="9" t="inlineStr">
        <is>
          <t>TC-RS-VAL-019</t>
        </is>
      </c>
      <c r="C258" s="9" t="inlineStr">
        <is>
          <t>ratio04</t>
        </is>
      </c>
      <c r="D258" s="9" t="inlineStr">
        <is>
          <t>NOT RUN</t>
        </is>
      </c>
      <c r="E258" s="9"/>
      <c r="F258" s="9"/>
      <c r="G258" s="9"/>
      <c r="H258" s="9"/>
      <c r="I258" s="9"/>
      <c r="J258" s="9"/>
      <c r="K258" s="9"/>
      <c r="L258" s="9"/>
      <c r="M258" s="9"/>
    </row>
    <row r="259">
      <c r="A259" s="9" t="inlineStr">
        <is>
          <t>RUN-TC-RS-VAL-020-minus20</t>
        </is>
      </c>
      <c r="B259" s="9" t="inlineStr">
        <is>
          <t>TC-RS-VAL-020</t>
        </is>
      </c>
      <c r="C259" s="9" t="inlineStr">
        <is>
          <t>minus20</t>
        </is>
      </c>
      <c r="D259" s="9" t="inlineStr">
        <is>
          <t>NOT RUN</t>
        </is>
      </c>
      <c r="E259" s="9"/>
      <c r="F259" s="9"/>
      <c r="G259" s="9"/>
      <c r="H259" s="9"/>
      <c r="I259" s="9"/>
      <c r="J259" s="9"/>
      <c r="K259" s="9"/>
      <c r="L259" s="9"/>
      <c r="M259" s="9"/>
    </row>
    <row r="260">
      <c r="A260" s="9" t="inlineStr">
        <is>
          <t>RUN-TC-RS-VAL-020-times3</t>
        </is>
      </c>
      <c r="B260" s="9" t="inlineStr">
        <is>
          <t>TC-RS-VAL-020</t>
        </is>
      </c>
      <c r="C260" s="9" t="inlineStr">
        <is>
          <t>times3</t>
        </is>
      </c>
      <c r="D260" s="9" t="inlineStr">
        <is>
          <t>NOT RUN</t>
        </is>
      </c>
      <c r="E260" s="9"/>
      <c r="F260" s="9"/>
      <c r="G260" s="9"/>
      <c r="H260" s="9"/>
      <c r="I260" s="9"/>
      <c r="J260" s="9"/>
      <c r="K260" s="9"/>
      <c r="L260" s="9"/>
      <c r="M260" s="9"/>
    </row>
    <row r="261">
      <c r="A261" s="9" t="inlineStr">
        <is>
          <t>RUN-TC-RS-VAL-021-Base</t>
        </is>
      </c>
      <c r="B261" s="9" t="inlineStr">
        <is>
          <t>TC-RS-VAL-021</t>
        </is>
      </c>
      <c r="C261" s="9" t="inlineStr">
        <is>
          <t>Base</t>
        </is>
      </c>
      <c r="D261" s="9" t="inlineStr">
        <is>
          <t>NOT RUN</t>
        </is>
      </c>
      <c r="E261" s="9"/>
      <c r="F261" s="9"/>
      <c r="G261" s="9"/>
      <c r="H261" s="9"/>
      <c r="I261" s="9"/>
      <c r="J261" s="9"/>
      <c r="K261" s="9"/>
      <c r="L261" s="9"/>
      <c r="M261" s="9"/>
    </row>
    <row r="262">
      <c r="A262" s="9" t="inlineStr">
        <is>
          <t>RUN-TC-RS-VAL-022-avg-empty</t>
        </is>
      </c>
      <c r="B262" s="9" t="inlineStr">
        <is>
          <t>TC-RS-VAL-022</t>
        </is>
      </c>
      <c r="C262" s="9" t="inlineStr">
        <is>
          <t>avg-empty</t>
        </is>
      </c>
      <c r="D262" s="9" t="inlineStr">
        <is>
          <t>NOT RUN</t>
        </is>
      </c>
      <c r="E262" s="9"/>
      <c r="F262" s="9"/>
      <c r="G262" s="9"/>
      <c r="H262" s="9"/>
      <c r="I262" s="9"/>
      <c r="J262" s="9"/>
      <c r="K262" s="9"/>
      <c r="L262" s="9"/>
      <c r="M262" s="9"/>
    </row>
    <row r="263">
      <c r="A263" s="9" t="inlineStr">
        <is>
          <t>RUN-TC-RS-VAL-022-avg-negative</t>
        </is>
      </c>
      <c r="B263" s="9" t="inlineStr">
        <is>
          <t>TC-RS-VAL-022</t>
        </is>
      </c>
      <c r="C263" s="9" t="inlineStr">
        <is>
          <t>avg-negative</t>
        </is>
      </c>
      <c r="D263" s="9" t="inlineStr">
        <is>
          <t>NOT RUN</t>
        </is>
      </c>
      <c r="E263" s="9"/>
      <c r="F263" s="9"/>
      <c r="G263" s="9"/>
      <c r="H263" s="9"/>
      <c r="I263" s="9"/>
      <c r="J263" s="9"/>
      <c r="K263" s="9"/>
      <c r="L263" s="9"/>
      <c r="M263" s="9"/>
    </row>
    <row r="264">
      <c r="A264" s="9" t="inlineStr">
        <is>
          <t>RUN-TC-RS-VAL-022-avg101</t>
        </is>
      </c>
      <c r="B264" s="9" t="inlineStr">
        <is>
          <t>TC-RS-VAL-022</t>
        </is>
      </c>
      <c r="C264" s="9" t="inlineStr">
        <is>
          <t>avg101</t>
        </is>
      </c>
      <c r="D264" s="9" t="inlineStr">
        <is>
          <t>NOT RUN</t>
        </is>
      </c>
      <c r="E264" s="9"/>
      <c r="F264" s="9"/>
      <c r="G264" s="9"/>
      <c r="H264" s="9"/>
      <c r="I264" s="9"/>
      <c r="J264" s="9"/>
      <c r="K264" s="9"/>
      <c r="L264" s="9"/>
      <c r="M264" s="9"/>
    </row>
    <row r="265">
      <c r="A265" s="9" t="inlineStr">
        <is>
          <t>RUN-TC-RS-VAL-022-avg605</t>
        </is>
      </c>
      <c r="B265" s="9" t="inlineStr">
        <is>
          <t>TC-RS-VAL-022</t>
        </is>
      </c>
      <c r="C265" s="9" t="inlineStr">
        <is>
          <t>avg605</t>
        </is>
      </c>
      <c r="D265" s="9" t="inlineStr">
        <is>
          <t>NOT RUN</t>
        </is>
      </c>
      <c r="E265" s="9"/>
      <c r="F265" s="9"/>
      <c r="G265" s="9"/>
      <c r="H265" s="9"/>
      <c r="I265" s="9"/>
      <c r="J265" s="9"/>
      <c r="K265" s="9"/>
      <c r="L265" s="9"/>
      <c r="M265" s="9"/>
    </row>
    <row r="266">
      <c r="A266" s="9" t="inlineStr">
        <is>
          <t>RUN-TC-RS-VAL-022-avg-long</t>
        </is>
      </c>
      <c r="B266" s="9" t="inlineStr">
        <is>
          <t>TC-RS-VAL-022</t>
        </is>
      </c>
      <c r="C266" s="9" t="inlineStr">
        <is>
          <t>avg-long</t>
        </is>
      </c>
      <c r="D266" s="9" t="inlineStr">
        <is>
          <t>NOT RUN</t>
        </is>
      </c>
      <c r="E266" s="9"/>
      <c r="F266" s="9"/>
      <c r="G266" s="9"/>
      <c r="H266" s="9"/>
      <c r="I266" s="9"/>
      <c r="J266" s="9"/>
      <c r="K266" s="9"/>
      <c r="L266" s="9"/>
      <c r="M266" s="9"/>
    </row>
    <row r="267">
      <c r="A267" s="9" t="inlineStr">
        <is>
          <t>RUN-TC-RS-VAL-022-ratio-negative</t>
        </is>
      </c>
      <c r="B267" s="9" t="inlineStr">
        <is>
          <t>TC-RS-VAL-022</t>
        </is>
      </c>
      <c r="C267" s="9" t="inlineStr">
        <is>
          <t>ratio-negative</t>
        </is>
      </c>
      <c r="D267" s="9" t="inlineStr">
        <is>
          <t>NOT RUN</t>
        </is>
      </c>
      <c r="E267" s="9"/>
      <c r="F267" s="9"/>
      <c r="G267" s="9"/>
      <c r="H267" s="9"/>
      <c r="I267" s="9"/>
      <c r="J267" s="9"/>
      <c r="K267" s="9"/>
      <c r="L267" s="9"/>
      <c r="M267" s="9"/>
    </row>
    <row r="268">
      <c r="A268" s="9" t="inlineStr">
        <is>
          <t>RUN-TC-RS-VAL-022-ratio0</t>
        </is>
      </c>
      <c r="B268" s="9" t="inlineStr">
        <is>
          <t>TC-RS-VAL-022</t>
        </is>
      </c>
      <c r="C268" s="9" t="inlineStr">
        <is>
          <t>ratio0</t>
        </is>
      </c>
      <c r="D268" s="9" t="inlineStr">
        <is>
          <t>NOT RUN</t>
        </is>
      </c>
      <c r="E268" s="9"/>
      <c r="F268" s="9"/>
      <c r="G268" s="9"/>
      <c r="H268" s="9"/>
      <c r="I268" s="9"/>
      <c r="J268" s="9"/>
      <c r="K268" s="9"/>
      <c r="L268" s="9"/>
      <c r="M268" s="9"/>
    </row>
    <row r="269">
      <c r="A269" s="9" t="inlineStr">
        <is>
          <t>RUN-TC-RS-VAL-022-ratio100</t>
        </is>
      </c>
      <c r="B269" s="9" t="inlineStr">
        <is>
          <t>TC-RS-VAL-022</t>
        </is>
      </c>
      <c r="C269" s="9" t="inlineStr">
        <is>
          <t>ratio100</t>
        </is>
      </c>
      <c r="D269" s="9" t="inlineStr">
        <is>
          <t>NOT RUN</t>
        </is>
      </c>
      <c r="E269" s="9"/>
      <c r="F269" s="9"/>
      <c r="G269" s="9"/>
      <c r="H269" s="9"/>
      <c r="I269" s="9"/>
      <c r="J269" s="9"/>
      <c r="K269" s="9"/>
      <c r="L269" s="9"/>
      <c r="M269" s="9"/>
    </row>
    <row r="270">
      <c r="A270" s="9" t="inlineStr">
        <is>
          <t>RUN-TC-RS-VAL-022-ratio101</t>
        </is>
      </c>
      <c r="B270" s="9" t="inlineStr">
        <is>
          <t>TC-RS-VAL-022</t>
        </is>
      </c>
      <c r="C270" s="9" t="inlineStr">
        <is>
          <t>ratio101</t>
        </is>
      </c>
      <c r="D270" s="9" t="inlineStr">
        <is>
          <t>NOT RUN</t>
        </is>
      </c>
      <c r="E270" s="9"/>
      <c r="F270" s="9"/>
      <c r="G270" s="9"/>
      <c r="H270" s="9"/>
      <c r="I270" s="9"/>
      <c r="J270" s="9"/>
      <c r="K270" s="9"/>
      <c r="L270" s="9"/>
      <c r="M270" s="9"/>
    </row>
    <row r="271">
      <c r="A271" s="9" t="inlineStr">
        <is>
          <t>RUN-TC-RS-VAL-023-lines20</t>
        </is>
      </c>
      <c r="B271" s="9" t="inlineStr">
        <is>
          <t>TC-RS-VAL-023</t>
        </is>
      </c>
      <c r="C271" s="9" t="inlineStr">
        <is>
          <t>lines20</t>
        </is>
      </c>
      <c r="D271" s="9" t="inlineStr">
        <is>
          <t>NOT RUN</t>
        </is>
      </c>
      <c r="E271" s="9"/>
      <c r="F271" s="9"/>
      <c r="G271" s="9"/>
      <c r="H271" s="9"/>
      <c r="I271" s="9"/>
      <c r="J271" s="9"/>
      <c r="K271" s="9"/>
      <c r="L271" s="9"/>
      <c r="M271" s="9"/>
    </row>
    <row r="272">
      <c r="A272" s="9" t="inlineStr">
        <is>
          <t>RUN-TC-RS-VAL-023-lines21</t>
        </is>
      </c>
      <c r="B272" s="9" t="inlineStr">
        <is>
          <t>TC-RS-VAL-023</t>
        </is>
      </c>
      <c r="C272" s="9" t="inlineStr">
        <is>
          <t>lines21</t>
        </is>
      </c>
      <c r="D272" s="9" t="inlineStr">
        <is>
          <t>NOT RUN</t>
        </is>
      </c>
      <c r="E272" s="9"/>
      <c r="F272" s="9"/>
      <c r="G272" s="9"/>
      <c r="H272" s="9"/>
      <c r="I272" s="9"/>
      <c r="J272" s="9"/>
      <c r="K272" s="9"/>
      <c r="L272" s="9"/>
      <c r="M272" s="9"/>
    </row>
    <row r="273">
      <c r="A273" s="9" t="inlineStr">
        <is>
          <t>RUN-TC-RS-VAL-023-constant</t>
        </is>
      </c>
      <c r="B273" s="9" t="inlineStr">
        <is>
          <t>TC-RS-VAL-023</t>
        </is>
      </c>
      <c r="C273" s="9" t="inlineStr">
        <is>
          <t>constant</t>
        </is>
      </c>
      <c r="D273" s="9" t="inlineStr">
        <is>
          <t>NOT RUN</t>
        </is>
      </c>
      <c r="E273" s="9"/>
      <c r="F273" s="9"/>
      <c r="G273" s="9"/>
      <c r="H273" s="9"/>
      <c r="I273" s="9"/>
      <c r="J273" s="9"/>
      <c r="K273" s="9"/>
      <c r="L273" s="9"/>
      <c r="M273" s="9"/>
    </row>
    <row r="274">
      <c r="A274" s="9" t="inlineStr">
        <is>
          <t>RUN-TC-RS-VAL-023-integer-overflow</t>
        </is>
      </c>
      <c r="B274" s="9" t="inlineStr">
        <is>
          <t>TC-RS-VAL-023</t>
        </is>
      </c>
      <c r="C274" s="9" t="inlineStr">
        <is>
          <t>integer-overflow</t>
        </is>
      </c>
      <c r="D274" s="9" t="inlineStr">
        <is>
          <t>NOT RUN</t>
        </is>
      </c>
      <c r="E274" s="9"/>
      <c r="F274" s="9"/>
      <c r="G274" s="9"/>
      <c r="H274" s="9"/>
      <c r="I274" s="9"/>
      <c r="J274" s="9"/>
      <c r="K274" s="9"/>
      <c r="L274" s="9"/>
      <c r="M274" s="9"/>
    </row>
    <row r="275">
      <c r="A275" s="9" t="inlineStr">
        <is>
          <t>RUN-TC-RS-VAL-023-fraction-overflow</t>
        </is>
      </c>
      <c r="B275" s="9" t="inlineStr">
        <is>
          <t>TC-RS-VAL-023</t>
        </is>
      </c>
      <c r="C275" s="9" t="inlineStr">
        <is>
          <t>fraction-overflow</t>
        </is>
      </c>
      <c r="D275" s="9" t="inlineStr">
        <is>
          <t>NOT RUN</t>
        </is>
      </c>
      <c r="E275" s="9"/>
      <c r="F275" s="9"/>
      <c r="G275" s="9"/>
      <c r="H275" s="9"/>
      <c r="I275" s="9"/>
      <c r="J275" s="9"/>
      <c r="K275" s="9"/>
      <c r="L275" s="9"/>
      <c r="M275" s="9"/>
    </row>
    <row r="276">
      <c r="A276" s="9" t="inlineStr">
        <is>
          <t>RUN-TC-RS-VAL-024-condition-period</t>
        </is>
      </c>
      <c r="B276" s="9" t="inlineStr">
        <is>
          <t>TC-RS-VAL-024</t>
        </is>
      </c>
      <c r="C276" s="9" t="inlineStr">
        <is>
          <t>condition-period</t>
        </is>
      </c>
      <c r="D276" s="9" t="inlineStr">
        <is>
          <t>NOT RUN</t>
        </is>
      </c>
      <c r="E276" s="9"/>
      <c r="F276" s="9"/>
      <c r="G276" s="9"/>
      <c r="H276" s="9"/>
      <c r="I276" s="9"/>
      <c r="J276" s="9"/>
      <c r="K276" s="9"/>
      <c r="L276" s="9"/>
      <c r="M276" s="9"/>
    </row>
    <row r="277">
      <c r="A277" s="9" t="inlineStr">
        <is>
          <t>RUN-TC-RS-VAL-024-condition-setting</t>
        </is>
      </c>
      <c r="B277" s="9" t="inlineStr">
        <is>
          <t>TC-RS-VAL-024</t>
        </is>
      </c>
      <c r="C277" s="9" t="inlineStr">
        <is>
          <t>condition-setting</t>
        </is>
      </c>
      <c r="D277" s="9" t="inlineStr">
        <is>
          <t>NOT RUN</t>
        </is>
      </c>
      <c r="E277" s="9"/>
      <c r="F277" s="9"/>
      <c r="G277" s="9"/>
      <c r="H277" s="9"/>
      <c r="I277" s="9"/>
      <c r="J277" s="9"/>
      <c r="K277" s="9"/>
      <c r="L277" s="9"/>
      <c r="M277" s="9"/>
    </row>
    <row r="278">
      <c r="A278" s="9" t="inlineStr">
        <is>
          <t>RUN-TC-RS-VAL-024-condition-group</t>
        </is>
      </c>
      <c r="B278" s="9" t="inlineStr">
        <is>
          <t>TC-RS-VAL-024</t>
        </is>
      </c>
      <c r="C278" s="9" t="inlineStr">
        <is>
          <t>condition-group</t>
        </is>
      </c>
      <c r="D278" s="9" t="inlineStr">
        <is>
          <t>NOT RUN</t>
        </is>
      </c>
      <c r="E278" s="9"/>
      <c r="F278" s="9"/>
      <c r="G278" s="9"/>
      <c r="H278" s="9"/>
      <c r="I278" s="9"/>
      <c r="J278" s="9"/>
      <c r="K278" s="9"/>
      <c r="L278" s="9"/>
      <c r="M278" s="9"/>
    </row>
    <row r="279">
      <c r="A279" s="9" t="inlineStr">
        <is>
          <t>RUN-TC-RS-VAL-024-condition-all</t>
        </is>
      </c>
      <c r="B279" s="9" t="inlineStr">
        <is>
          <t>TC-RS-VAL-024</t>
        </is>
      </c>
      <c r="C279" s="9" t="inlineStr">
        <is>
          <t>condition-all</t>
        </is>
      </c>
      <c r="D279" s="9" t="inlineStr">
        <is>
          <t>NOT RUN</t>
        </is>
      </c>
      <c r="E279" s="9"/>
      <c r="F279" s="9"/>
      <c r="G279" s="9"/>
      <c r="H279" s="9"/>
      <c r="I279" s="9"/>
      <c r="J279" s="9"/>
      <c r="K279" s="9"/>
      <c r="L279" s="9"/>
      <c r="M279" s="9"/>
    </row>
    <row r="280">
      <c r="A280" s="9" t="inlineStr">
        <is>
          <t>RUN-TC-RS-VAL-024-ratio-all</t>
        </is>
      </c>
      <c r="B280" s="9" t="inlineStr">
        <is>
          <t>TC-RS-VAL-024</t>
        </is>
      </c>
      <c r="C280" s="9" t="inlineStr">
        <is>
          <t>ratio-all</t>
        </is>
      </c>
      <c r="D280" s="9" t="inlineStr">
        <is>
          <t>NOT RUN</t>
        </is>
      </c>
      <c r="E280" s="9"/>
      <c r="F280" s="9"/>
      <c r="G280" s="9"/>
      <c r="H280" s="9"/>
      <c r="I280" s="9"/>
      <c r="J280" s="9"/>
      <c r="K280" s="9"/>
      <c r="L280" s="9"/>
      <c r="M280" s="9"/>
    </row>
    <row r="281">
      <c r="A281" s="9" t="inlineStr">
        <is>
          <t>RUN-TC-RS-VAL-024-formula-all</t>
        </is>
      </c>
      <c r="B281" s="9" t="inlineStr">
        <is>
          <t>TC-RS-VAL-024</t>
        </is>
      </c>
      <c r="C281" s="9" t="inlineStr">
        <is>
          <t>formula-all</t>
        </is>
      </c>
      <c r="D281" s="9" t="inlineStr">
        <is>
          <t>NOT RUN</t>
        </is>
      </c>
      <c r="E281" s="9"/>
      <c r="F281" s="9"/>
      <c r="G281" s="9"/>
      <c r="H281" s="9"/>
      <c r="I281" s="9"/>
      <c r="J281" s="9"/>
      <c r="K281" s="9"/>
      <c r="L281" s="9"/>
      <c r="M281" s="9"/>
    </row>
    <row r="282">
      <c r="A282" s="9" t="inlineStr">
        <is>
          <t>RUN-TC-RS-VAL-025-condition-disabled</t>
        </is>
      </c>
      <c r="B282" s="9" t="inlineStr">
        <is>
          <t>TC-RS-VAL-025</t>
        </is>
      </c>
      <c r="C282" s="9" t="inlineStr">
        <is>
          <t>condition-disabled</t>
        </is>
      </c>
      <c r="D282" s="9" t="inlineStr">
        <is>
          <t>NOT RUN</t>
        </is>
      </c>
      <c r="E282" s="9"/>
      <c r="F282" s="9"/>
      <c r="G282" s="9"/>
      <c r="H282" s="9"/>
      <c r="I282" s="9"/>
      <c r="J282" s="9"/>
      <c r="K282" s="9"/>
      <c r="L282" s="9"/>
      <c r="M282" s="9"/>
    </row>
    <row r="283">
      <c r="A283" s="9" t="inlineStr">
        <is>
          <t>RUN-TC-RS-VAL-025-condition-school</t>
        </is>
      </c>
      <c r="B283" s="9" t="inlineStr">
        <is>
          <t>TC-RS-VAL-025</t>
        </is>
      </c>
      <c r="C283" s="9" t="inlineStr">
        <is>
          <t>condition-school</t>
        </is>
      </c>
      <c r="D283" s="9" t="inlineStr">
        <is>
          <t>NOT RUN</t>
        </is>
      </c>
      <c r="E283" s="9"/>
      <c r="F283" s="9"/>
      <c r="G283" s="9"/>
      <c r="H283" s="9"/>
      <c r="I283" s="9"/>
      <c r="J283" s="9"/>
      <c r="K283" s="9"/>
      <c r="L283" s="9"/>
      <c r="M283" s="9"/>
    </row>
    <row r="284">
      <c r="A284" s="9" t="inlineStr">
        <is>
          <t>RUN-TC-RS-VAL-025-condition-year</t>
        </is>
      </c>
      <c r="B284" s="9" t="inlineStr">
        <is>
          <t>TC-RS-VAL-025</t>
        </is>
      </c>
      <c r="C284" s="9" t="inlineStr">
        <is>
          <t>condition-year</t>
        </is>
      </c>
      <c r="D284" s="9" t="inlineStr">
        <is>
          <t>NOT RUN</t>
        </is>
      </c>
      <c r="E284" s="9"/>
      <c r="F284" s="9"/>
      <c r="G284" s="9"/>
      <c r="H284" s="9"/>
      <c r="I284" s="9"/>
      <c r="J284" s="9"/>
      <c r="K284" s="9"/>
      <c r="L284" s="9"/>
      <c r="M284" s="9"/>
    </row>
    <row r="285">
      <c r="A285" s="9" t="inlineStr">
        <is>
          <t>RUN-TC-RS-VAL-025-condition-missing</t>
        </is>
      </c>
      <c r="B285" s="9" t="inlineStr">
        <is>
          <t>TC-RS-VAL-025</t>
        </is>
      </c>
      <c r="C285" s="9" t="inlineStr">
        <is>
          <t>condition-missing</t>
        </is>
      </c>
      <c r="D285" s="9" t="inlineStr">
        <is>
          <t>NOT RUN</t>
        </is>
      </c>
      <c r="E285" s="9"/>
      <c r="F285" s="9"/>
      <c r="G285" s="9"/>
      <c r="H285" s="9"/>
      <c r="I285" s="9"/>
      <c r="J285" s="9"/>
      <c r="K285" s="9"/>
      <c r="L285" s="9"/>
      <c r="M285" s="9"/>
    </row>
    <row r="286">
      <c r="A286" s="9" t="inlineStr">
        <is>
          <t>RUN-TC-RS-VAL-025-formula-disabled</t>
        </is>
      </c>
      <c r="B286" s="9" t="inlineStr">
        <is>
          <t>TC-RS-VAL-025</t>
        </is>
      </c>
      <c r="C286" s="9" t="inlineStr">
        <is>
          <t>formula-disabled</t>
        </is>
      </c>
      <c r="D286" s="9" t="inlineStr">
        <is>
          <t>NOT RUN</t>
        </is>
      </c>
      <c r="E286" s="9"/>
      <c r="F286" s="9"/>
      <c r="G286" s="9"/>
      <c r="H286" s="9"/>
      <c r="I286" s="9"/>
      <c r="J286" s="9"/>
      <c r="K286" s="9"/>
      <c r="L286" s="9"/>
      <c r="M286" s="9"/>
    </row>
    <row r="287">
      <c r="A287" s="9" t="inlineStr">
        <is>
          <t>RUN-TC-RS-VAL-025-formula-school</t>
        </is>
      </c>
      <c r="B287" s="9" t="inlineStr">
        <is>
          <t>TC-RS-VAL-025</t>
        </is>
      </c>
      <c r="C287" s="9" t="inlineStr">
        <is>
          <t>formula-school</t>
        </is>
      </c>
      <c r="D287" s="9" t="inlineStr">
        <is>
          <t>NOT RUN</t>
        </is>
      </c>
      <c r="E287" s="9"/>
      <c r="F287" s="9"/>
      <c r="G287" s="9"/>
      <c r="H287" s="9"/>
      <c r="I287" s="9"/>
      <c r="J287" s="9"/>
      <c r="K287" s="9"/>
      <c r="L287" s="9"/>
      <c r="M287" s="9"/>
    </row>
    <row r="288">
      <c r="A288" s="9" t="inlineStr">
        <is>
          <t>RUN-TC-RS-VAL-025-formula-year</t>
        </is>
      </c>
      <c r="B288" s="9" t="inlineStr">
        <is>
          <t>TC-RS-VAL-025</t>
        </is>
      </c>
      <c r="C288" s="9" t="inlineStr">
        <is>
          <t>formula-year</t>
        </is>
      </c>
      <c r="D288" s="9" t="inlineStr">
        <is>
          <t>NOT RUN</t>
        </is>
      </c>
      <c r="E288" s="9"/>
      <c r="F288" s="9"/>
      <c r="G288" s="9"/>
      <c r="H288" s="9"/>
      <c r="I288" s="9"/>
      <c r="J288" s="9"/>
      <c r="K288" s="9"/>
      <c r="L288" s="9"/>
      <c r="M288" s="9"/>
    </row>
    <row r="289">
      <c r="A289" s="9" t="inlineStr">
        <is>
          <t>RUN-TC-RS-VAL-025-formula-missing</t>
        </is>
      </c>
      <c r="B289" s="9" t="inlineStr">
        <is>
          <t>TC-RS-VAL-025</t>
        </is>
      </c>
      <c r="C289" s="9" t="inlineStr">
        <is>
          <t>formula-missing</t>
        </is>
      </c>
      <c r="D289" s="9" t="inlineStr">
        <is>
          <t>NOT RUN</t>
        </is>
      </c>
      <c r="E289" s="9"/>
      <c r="F289" s="9"/>
      <c r="G289" s="9"/>
      <c r="H289" s="9"/>
      <c r="I289" s="9"/>
      <c r="J289" s="9"/>
      <c r="K289" s="9"/>
      <c r="L289" s="9"/>
      <c r="M289" s="9"/>
    </row>
    <row r="290">
      <c r="A290" s="9" t="inlineStr">
        <is>
          <t>RUN-TC-RS-DATA-001-fixed</t>
        </is>
      </c>
      <c r="B290" s="9" t="inlineStr">
        <is>
          <t>TC-RS-DATA-001</t>
        </is>
      </c>
      <c r="C290" s="9" t="inlineStr">
        <is>
          <t>fixed</t>
        </is>
      </c>
      <c r="D290" s="9" t="inlineStr">
        <is>
          <t>NOT RUN</t>
        </is>
      </c>
      <c r="E290" s="9"/>
      <c r="F290" s="9"/>
      <c r="G290" s="9"/>
      <c r="H290" s="9"/>
      <c r="I290" s="9"/>
      <c r="J290" s="9"/>
      <c r="K290" s="9"/>
      <c r="L290" s="9"/>
      <c r="M290" s="9"/>
    </row>
    <row r="291">
      <c r="A291" s="9" t="inlineStr">
        <is>
          <t>RUN-TC-RS-DATA-001-ratio</t>
        </is>
      </c>
      <c r="B291" s="9" t="inlineStr">
        <is>
          <t>TC-RS-DATA-001</t>
        </is>
      </c>
      <c r="C291" s="9" t="inlineStr">
        <is>
          <t>ratio</t>
        </is>
      </c>
      <c r="D291" s="9" t="inlineStr">
        <is>
          <t>NOT RUN</t>
        </is>
      </c>
      <c r="E291" s="9"/>
      <c r="F291" s="9"/>
      <c r="G291" s="9"/>
      <c r="H291" s="9"/>
      <c r="I291" s="9"/>
      <c r="J291" s="9"/>
      <c r="K291" s="9"/>
      <c r="L291" s="9"/>
      <c r="M291" s="9"/>
    </row>
    <row r="292">
      <c r="A292" s="9" t="inlineStr">
        <is>
          <t>RUN-TC-RS-DATA-001-formula</t>
        </is>
      </c>
      <c r="B292" s="9" t="inlineStr">
        <is>
          <t>TC-RS-DATA-001</t>
        </is>
      </c>
      <c r="C292" s="9" t="inlineStr">
        <is>
          <t>formula</t>
        </is>
      </c>
      <c r="D292" s="9" t="inlineStr">
        <is>
          <t>NOT RUN</t>
        </is>
      </c>
      <c r="E292" s="9"/>
      <c r="F292" s="9"/>
      <c r="G292" s="9"/>
      <c r="H292" s="9"/>
      <c r="I292" s="9"/>
      <c r="J292" s="9"/>
      <c r="K292" s="9"/>
      <c r="L292" s="9"/>
      <c r="M292" s="9"/>
    </row>
    <row r="293">
      <c r="A293" s="9" t="inlineStr">
        <is>
          <t>RUN-TC-RS-DATA-001-filter</t>
        </is>
      </c>
      <c r="B293" s="9" t="inlineStr">
        <is>
          <t>TC-RS-DATA-001</t>
        </is>
      </c>
      <c r="C293" s="9" t="inlineStr">
        <is>
          <t>filter</t>
        </is>
      </c>
      <c r="D293" s="9" t="inlineStr">
        <is>
          <t>NOT RUN</t>
        </is>
      </c>
      <c r="E293" s="9"/>
      <c r="F293" s="9"/>
      <c r="G293" s="9"/>
      <c r="H293" s="9"/>
      <c r="I293" s="9"/>
      <c r="J293" s="9"/>
      <c r="K293" s="9"/>
      <c r="L293" s="9"/>
      <c r="M293" s="9"/>
    </row>
    <row r="294">
      <c r="A294" s="9" t="inlineStr">
        <is>
          <t>RUN-TC-RS-DATA-002-Base</t>
        </is>
      </c>
      <c r="B294" s="9" t="inlineStr">
        <is>
          <t>TC-RS-DATA-002</t>
        </is>
      </c>
      <c r="C294" s="9" t="inlineStr">
        <is>
          <t>Base</t>
        </is>
      </c>
      <c r="D294" s="9" t="inlineStr">
        <is>
          <t>NOT RUN</t>
        </is>
      </c>
      <c r="E294" s="9"/>
      <c r="F294" s="9"/>
      <c r="G294" s="9"/>
      <c r="H294" s="9"/>
      <c r="I294" s="9"/>
      <c r="J294" s="9"/>
      <c r="K294" s="9"/>
      <c r="L294" s="9"/>
      <c r="M294" s="9"/>
    </row>
    <row r="295">
      <c r="A295" s="9" t="inlineStr">
        <is>
          <t>RUN-TC-RS-DATA-003-Base</t>
        </is>
      </c>
      <c r="B295" s="9" t="inlineStr">
        <is>
          <t>TC-RS-DATA-003</t>
        </is>
      </c>
      <c r="C295" s="9" t="inlineStr">
        <is>
          <t>Base</t>
        </is>
      </c>
      <c r="D295" s="9" t="inlineStr">
        <is>
          <t>NOT RUN</t>
        </is>
      </c>
      <c r="E295" s="9"/>
      <c r="F295" s="9"/>
      <c r="G295" s="9"/>
      <c r="H295" s="9"/>
      <c r="I295" s="9"/>
      <c r="J295" s="9"/>
      <c r="K295" s="9"/>
      <c r="L295" s="9"/>
      <c r="M295" s="9"/>
    </row>
    <row r="296">
      <c r="A296" s="9" t="inlineStr">
        <is>
          <t>RUN-TC-RS-DATA-004-Base</t>
        </is>
      </c>
      <c r="B296" s="9" t="inlineStr">
        <is>
          <t>TC-RS-DATA-004</t>
        </is>
      </c>
      <c r="C296" s="9" t="inlineStr">
        <is>
          <t>Base</t>
        </is>
      </c>
      <c r="D296" s="9" t="inlineStr">
        <is>
          <t>NOT RUN</t>
        </is>
      </c>
      <c r="E296" s="9"/>
      <c r="F296" s="9"/>
      <c r="G296" s="9"/>
      <c r="H296" s="9"/>
      <c r="I296" s="9"/>
      <c r="J296" s="9"/>
      <c r="K296" s="9"/>
      <c r="L296" s="9"/>
      <c r="M296" s="9"/>
    </row>
    <row r="297">
      <c r="A297" s="9" t="inlineStr">
        <is>
          <t>RUN-TC-RS-DATA-005-Base</t>
        </is>
      </c>
      <c r="B297" s="9" t="inlineStr">
        <is>
          <t>TC-RS-DATA-005</t>
        </is>
      </c>
      <c r="C297" s="9" t="inlineStr">
        <is>
          <t>Base</t>
        </is>
      </c>
      <c r="D297" s="9" t="inlineStr">
        <is>
          <t>NOT RUN</t>
        </is>
      </c>
      <c r="E297" s="9"/>
      <c r="F297" s="9"/>
      <c r="G297" s="9"/>
      <c r="H297" s="9"/>
      <c r="I297" s="9"/>
      <c r="J297" s="9"/>
      <c r="K297" s="9"/>
      <c r="L297" s="9"/>
      <c r="M297" s="9"/>
    </row>
    <row r="298">
      <c r="A298" s="9" t="inlineStr">
        <is>
          <t>RUN-TC-RS-DATA-007-extract</t>
        </is>
      </c>
      <c r="B298" s="9" t="inlineStr">
        <is>
          <t>TC-RS-DATA-007</t>
        </is>
      </c>
      <c r="C298" s="9" t="inlineStr">
        <is>
          <t>extract</t>
        </is>
      </c>
      <c r="D298" s="9" t="inlineStr">
        <is>
          <t>NOT RUN</t>
        </is>
      </c>
      <c r="E298" s="9"/>
      <c r="F298" s="9"/>
      <c r="G298" s="9"/>
      <c r="H298" s="9"/>
      <c r="I298" s="9"/>
      <c r="J298" s="9"/>
      <c r="K298" s="9"/>
      <c r="L298" s="9"/>
      <c r="M298" s="9"/>
    </row>
    <row r="299">
      <c r="A299" s="9" t="inlineStr">
        <is>
          <t>RUN-TC-RS-DATA-007-publish</t>
        </is>
      </c>
      <c r="B299" s="9" t="inlineStr">
        <is>
          <t>TC-RS-DATA-007</t>
        </is>
      </c>
      <c r="C299" s="9" t="inlineStr">
        <is>
          <t>publish</t>
        </is>
      </c>
      <c r="D299" s="9" t="inlineStr">
        <is>
          <t>NOT RUN</t>
        </is>
      </c>
      <c r="E299" s="9"/>
      <c r="F299" s="9"/>
      <c r="G299" s="9"/>
      <c r="H299" s="9"/>
      <c r="I299" s="9"/>
      <c r="J299" s="9"/>
      <c r="K299" s="9"/>
      <c r="L299" s="9"/>
      <c r="M299" s="9"/>
    </row>
    <row r="300">
      <c r="A300" s="9" t="inlineStr">
        <is>
          <t>RUN-TC-RS-DATA-007-report</t>
        </is>
      </c>
      <c r="B300" s="9" t="inlineStr">
        <is>
          <t>TC-RS-DATA-007</t>
        </is>
      </c>
      <c r="C300" s="9" t="inlineStr">
        <is>
          <t>report</t>
        </is>
      </c>
      <c r="D300" s="9" t="inlineStr">
        <is>
          <t>NOT RUN</t>
        </is>
      </c>
      <c r="E300" s="9"/>
      <c r="F300" s="9"/>
      <c r="G300" s="9"/>
      <c r="H300" s="9"/>
      <c r="I300" s="9"/>
      <c r="J300" s="9"/>
      <c r="K300" s="9"/>
      <c r="L300" s="9"/>
      <c r="M300" s="9"/>
    </row>
    <row r="301">
      <c r="A301" s="9" t="inlineStr">
        <is>
          <t>RUN-TC-RS-DATA-008-Base</t>
        </is>
      </c>
      <c r="B301" s="9" t="inlineStr">
        <is>
          <t>TC-RS-DATA-008</t>
        </is>
      </c>
      <c r="C301" s="9" t="inlineStr">
        <is>
          <t>Base</t>
        </is>
      </c>
      <c r="D301" s="9" t="inlineStr">
        <is>
          <t>NOT RUN</t>
        </is>
      </c>
      <c r="E301" s="9"/>
      <c r="F301" s="9"/>
      <c r="G301" s="9"/>
      <c r="H301" s="9"/>
      <c r="I301" s="9"/>
      <c r="J301" s="9"/>
      <c r="K301" s="9"/>
      <c r="L301" s="9"/>
      <c r="M301" s="9"/>
    </row>
    <row r="302">
      <c r="A302" s="9" t="inlineStr">
        <is>
          <t>RUN-TC-RS-DATA-010-template-a</t>
        </is>
      </c>
      <c r="B302" s="9" t="inlineStr">
        <is>
          <t>TC-RS-DATA-010</t>
        </is>
      </c>
      <c r="C302" s="9" t="inlineStr">
        <is>
          <t>template-a</t>
        </is>
      </c>
      <c r="D302" s="9" t="inlineStr">
        <is>
          <t>NOT RUN</t>
        </is>
      </c>
      <c r="E302" s="9"/>
      <c r="F302" s="9"/>
      <c r="G302" s="9"/>
      <c r="H302" s="9"/>
      <c r="I302" s="9"/>
      <c r="J302" s="9"/>
      <c r="K302" s="9"/>
      <c r="L302" s="9"/>
      <c r="M302" s="9"/>
    </row>
    <row r="303">
      <c r="A303" s="9" t="inlineStr">
        <is>
          <t>RUN-TC-RS-DATA-010-template-b</t>
        </is>
      </c>
      <c r="B303" s="9" t="inlineStr">
        <is>
          <t>TC-RS-DATA-010</t>
        </is>
      </c>
      <c r="C303" s="9" t="inlineStr">
        <is>
          <t>template-b</t>
        </is>
      </c>
      <c r="D303" s="9" t="inlineStr">
        <is>
          <t>NOT RUN</t>
        </is>
      </c>
      <c r="E303" s="9"/>
      <c r="F303" s="9"/>
      <c r="G303" s="9"/>
      <c r="H303" s="9"/>
      <c r="I303" s="9"/>
      <c r="J303" s="9"/>
      <c r="K303" s="9"/>
      <c r="L303" s="9"/>
      <c r="M303" s="9"/>
    </row>
    <row r="304">
      <c r="A304" s="9" t="inlineStr">
        <is>
          <t>RUN-TC-RS-DATA-011-Base</t>
        </is>
      </c>
      <c r="B304" s="9" t="inlineStr">
        <is>
          <t>TC-RS-DATA-011</t>
        </is>
      </c>
      <c r="C304" s="9" t="inlineStr">
        <is>
          <t>Base</t>
        </is>
      </c>
      <c r="D304" s="9" t="inlineStr">
        <is>
          <t>NOT RUN</t>
        </is>
      </c>
      <c r="E304" s="9"/>
      <c r="F304" s="9"/>
      <c r="G304" s="9"/>
      <c r="H304" s="9"/>
      <c r="I304" s="9"/>
      <c r="J304" s="9"/>
      <c r="K304" s="9"/>
      <c r="L304" s="9"/>
      <c r="M304" s="9"/>
    </row>
    <row r="305">
      <c r="A305" s="9" t="inlineStr">
        <is>
          <t>RUN-TC-RS-DATA-012-read-copy</t>
        </is>
      </c>
      <c r="B305" s="9" t="inlineStr">
        <is>
          <t>TC-RS-DATA-012</t>
        </is>
      </c>
      <c r="C305" s="9" t="inlineStr">
        <is>
          <t>read-copy</t>
        </is>
      </c>
      <c r="D305" s="9" t="inlineStr">
        <is>
          <t>NOT RUN</t>
        </is>
      </c>
      <c r="E305" s="9"/>
      <c r="F305" s="9"/>
      <c r="G305" s="9"/>
      <c r="H305" s="9"/>
      <c r="I305" s="9"/>
      <c r="J305" s="9"/>
      <c r="K305" s="9"/>
      <c r="L305" s="9"/>
      <c r="M305" s="9"/>
    </row>
    <row r="306">
      <c r="A306" s="9" t="inlineStr">
        <is>
          <t>RUN-TC-RS-DATA-012-invalid-enum</t>
        </is>
      </c>
      <c r="B306" s="9" t="inlineStr">
        <is>
          <t>TC-RS-DATA-012</t>
        </is>
      </c>
      <c r="C306" s="9" t="inlineStr">
        <is>
          <t>invalid-enum</t>
        </is>
      </c>
      <c r="D306" s="9" t="inlineStr">
        <is>
          <t>NOT RUN</t>
        </is>
      </c>
      <c r="E306" s="9"/>
      <c r="F306" s="9"/>
      <c r="G306" s="9"/>
      <c r="H306" s="9"/>
      <c r="I306" s="9"/>
      <c r="J306" s="9"/>
      <c r="K306" s="9"/>
      <c r="L306" s="9"/>
      <c r="M306" s="9"/>
    </row>
    <row r="307">
      <c r="A307" s="9" t="inlineStr">
        <is>
          <t>RUN-TC-RS-DATA-012-foreign-school</t>
        </is>
      </c>
      <c r="B307" s="9" t="inlineStr">
        <is>
          <t>TC-RS-DATA-012</t>
        </is>
      </c>
      <c r="C307" s="9" t="inlineStr">
        <is>
          <t>foreign-school</t>
        </is>
      </c>
      <c r="D307" s="9" t="inlineStr">
        <is>
          <t>NOT RUN</t>
        </is>
      </c>
      <c r="E307" s="9"/>
      <c r="F307" s="9"/>
      <c r="G307" s="9"/>
      <c r="H307" s="9"/>
      <c r="I307" s="9"/>
      <c r="J307" s="9"/>
      <c r="K307" s="9"/>
      <c r="L307" s="9"/>
      <c r="M307" s="9"/>
    </row>
    <row r="308">
      <c r="A308" s="9" t="inlineStr">
        <is>
          <t>RUN-TC-RS-DATA-013-revision</t>
        </is>
      </c>
      <c r="B308" s="9" t="inlineStr">
        <is>
          <t>TC-RS-DATA-013</t>
        </is>
      </c>
      <c r="C308" s="9" t="inlineStr">
        <is>
          <t>revision</t>
        </is>
      </c>
      <c r="D308" s="9" t="inlineStr">
        <is>
          <t>NOT RUN</t>
        </is>
      </c>
      <c r="E308" s="9"/>
      <c r="F308" s="9"/>
      <c r="G308" s="9"/>
      <c r="H308" s="9"/>
      <c r="I308" s="9"/>
      <c r="J308" s="9"/>
      <c r="K308" s="9"/>
      <c r="L308" s="9"/>
      <c r="M308" s="9"/>
    </row>
    <row r="309">
      <c r="A309" s="9" t="inlineStr">
        <is>
          <t>RUN-TC-RS-DATA-013-delete-last-rule</t>
        </is>
      </c>
      <c r="B309" s="9" t="inlineStr">
        <is>
          <t>TC-RS-DATA-013</t>
        </is>
      </c>
      <c r="C309" s="9" t="inlineStr">
        <is>
          <t>delete-last-rule</t>
        </is>
      </c>
      <c r="D309" s="9" t="inlineStr">
        <is>
          <t>NOT RUN</t>
        </is>
      </c>
      <c r="E309" s="9"/>
      <c r="F309" s="9"/>
      <c r="G309" s="9"/>
      <c r="H309" s="9"/>
      <c r="I309" s="9"/>
      <c r="J309" s="9"/>
      <c r="K309" s="9"/>
      <c r="L309" s="9"/>
      <c r="M309" s="9"/>
    </row>
    <row r="310">
      <c r="A310" s="9" t="inlineStr">
        <is>
          <t>RUN-TC-RS-DATA-013-reservation</t>
        </is>
      </c>
      <c r="B310" s="9" t="inlineStr">
        <is>
          <t>TC-RS-DATA-013</t>
        </is>
      </c>
      <c r="C310" s="9" t="inlineStr">
        <is>
          <t>reservation</t>
        </is>
      </c>
      <c r="D310" s="9" t="inlineStr">
        <is>
          <t>NOT RUN</t>
        </is>
      </c>
      <c r="E310" s="9"/>
      <c r="F310" s="9"/>
      <c r="G310" s="9"/>
      <c r="H310" s="9"/>
      <c r="I310" s="9"/>
      <c r="J310" s="9"/>
      <c r="K310" s="9"/>
      <c r="L310" s="9"/>
      <c r="M310" s="9"/>
    </row>
    <row r="311">
      <c r="A311" s="9" t="inlineStr">
        <is>
          <t>RUN-TC-RS-DATA-013-cell-generation</t>
        </is>
      </c>
      <c r="B311" s="9" t="inlineStr">
        <is>
          <t>TC-RS-DATA-013</t>
        </is>
      </c>
      <c r="C311" s="9" t="inlineStr">
        <is>
          <t>cell-generation</t>
        </is>
      </c>
      <c r="D311" s="9" t="inlineStr">
        <is>
          <t>NOT RUN</t>
        </is>
      </c>
      <c r="E311" s="9"/>
      <c r="F311" s="9"/>
      <c r="G311" s="9"/>
      <c r="H311" s="9"/>
      <c r="I311" s="9"/>
      <c r="J311" s="9"/>
      <c r="K311" s="9"/>
      <c r="L311" s="9"/>
      <c r="M311" s="9"/>
    </row>
    <row r="312">
      <c r="A312" s="9" t="inlineStr">
        <is>
          <t>RUN-TC-RS-CALC-001-lt</t>
        </is>
      </c>
      <c r="B312" s="9" t="inlineStr">
        <is>
          <t>TC-RS-CALC-001</t>
        </is>
      </c>
      <c r="C312" s="9" t="inlineStr">
        <is>
          <t>lt</t>
        </is>
      </c>
      <c r="D312" s="9" t="inlineStr">
        <is>
          <t>NOT RUN</t>
        </is>
      </c>
      <c r="E312" s="9"/>
      <c r="F312" s="9"/>
      <c r="G312" s="9"/>
      <c r="H312" s="9"/>
      <c r="I312" s="9"/>
      <c r="J312" s="9"/>
      <c r="K312" s="9"/>
      <c r="L312" s="9"/>
      <c r="M312" s="9"/>
    </row>
    <row r="313">
      <c r="A313" s="9" t="inlineStr">
        <is>
          <t>RUN-TC-RS-CALC-001-le</t>
        </is>
      </c>
      <c r="B313" s="9" t="inlineStr">
        <is>
          <t>TC-RS-CALC-001</t>
        </is>
      </c>
      <c r="C313" s="9" t="inlineStr">
        <is>
          <t>le</t>
        </is>
      </c>
      <c r="D313" s="9" t="inlineStr">
        <is>
          <t>NOT RUN</t>
        </is>
      </c>
      <c r="E313" s="9"/>
      <c r="F313" s="9"/>
      <c r="G313" s="9"/>
      <c r="H313" s="9"/>
      <c r="I313" s="9"/>
      <c r="J313" s="9"/>
      <c r="K313" s="9"/>
      <c r="L313" s="9"/>
      <c r="M313" s="9"/>
    </row>
    <row r="314">
      <c r="A314" s="9" t="inlineStr">
        <is>
          <t>RUN-TC-RS-CALC-002-zero-lt</t>
        </is>
      </c>
      <c r="B314" s="9" t="inlineStr">
        <is>
          <t>TC-RS-CALC-002</t>
        </is>
      </c>
      <c r="C314" s="9" t="inlineStr">
        <is>
          <t>zero-lt</t>
        </is>
      </c>
      <c r="D314" s="9" t="inlineStr">
        <is>
          <t>NOT RUN</t>
        </is>
      </c>
      <c r="E314" s="9"/>
      <c r="F314" s="9"/>
      <c r="G314" s="9"/>
      <c r="H314" s="9"/>
      <c r="I314" s="9"/>
      <c r="J314" s="9"/>
      <c r="K314" s="9"/>
      <c r="L314" s="9"/>
      <c r="M314" s="9"/>
    </row>
    <row r="315">
      <c r="A315" s="9" t="inlineStr">
        <is>
          <t>RUN-TC-RS-CALC-002-zero-le</t>
        </is>
      </c>
      <c r="B315" s="9" t="inlineStr">
        <is>
          <t>TC-RS-CALC-002</t>
        </is>
      </c>
      <c r="C315" s="9" t="inlineStr">
        <is>
          <t>zero-le</t>
        </is>
      </c>
      <c r="D315" s="9" t="inlineStr">
        <is>
          <t>NOT RUN</t>
        </is>
      </c>
      <c r="E315" s="9"/>
      <c r="F315" s="9"/>
      <c r="G315" s="9"/>
      <c r="H315" s="9"/>
      <c r="I315" s="9"/>
      <c r="J315" s="9"/>
      <c r="K315" s="9"/>
      <c r="L315" s="9"/>
      <c r="M315" s="9"/>
    </row>
    <row r="316">
      <c r="A316" s="9" t="inlineStr">
        <is>
          <t>RUN-TC-RS-CALC-002-thirty-lt</t>
        </is>
      </c>
      <c r="B316" s="9" t="inlineStr">
        <is>
          <t>TC-RS-CALC-002</t>
        </is>
      </c>
      <c r="C316" s="9" t="inlineStr">
        <is>
          <t>thirty-lt</t>
        </is>
      </c>
      <c r="D316" s="9" t="inlineStr">
        <is>
          <t>NOT RUN</t>
        </is>
      </c>
      <c r="E316" s="9"/>
      <c r="F316" s="9"/>
      <c r="G316" s="9"/>
      <c r="H316" s="9"/>
      <c r="I316" s="9"/>
      <c r="J316" s="9"/>
      <c r="K316" s="9"/>
      <c r="L316" s="9"/>
      <c r="M316" s="9"/>
    </row>
    <row r="317">
      <c r="A317" s="9" t="inlineStr">
        <is>
          <t>RUN-TC-RS-CALC-003-lt</t>
        </is>
      </c>
      <c r="B317" s="9" t="inlineStr">
        <is>
          <t>TC-RS-CALC-003</t>
        </is>
      </c>
      <c r="C317" s="9" t="inlineStr">
        <is>
          <t>lt</t>
        </is>
      </c>
      <c r="D317" s="9" t="inlineStr">
        <is>
          <t>NOT RUN</t>
        </is>
      </c>
      <c r="E317" s="9"/>
      <c r="F317" s="9"/>
      <c r="G317" s="9"/>
      <c r="H317" s="9"/>
      <c r="I317" s="9"/>
      <c r="J317" s="9"/>
      <c r="K317" s="9"/>
      <c r="L317" s="9"/>
      <c r="M317" s="9"/>
    </row>
    <row r="318">
      <c r="A318" s="9" t="inlineStr">
        <is>
          <t>RUN-TC-RS-CALC-003-le</t>
        </is>
      </c>
      <c r="B318" s="9" t="inlineStr">
        <is>
          <t>TC-RS-CALC-003</t>
        </is>
      </c>
      <c r="C318" s="9" t="inlineStr">
        <is>
          <t>le</t>
        </is>
      </c>
      <c r="D318" s="9" t="inlineStr">
        <is>
          <t>NOT RUN</t>
        </is>
      </c>
      <c r="E318" s="9"/>
      <c r="F318" s="9"/>
      <c r="G318" s="9"/>
      <c r="H318" s="9"/>
      <c r="I318" s="9"/>
      <c r="J318" s="9"/>
      <c r="K318" s="9"/>
      <c r="L318" s="9"/>
      <c r="M318" s="9"/>
    </row>
    <row r="319">
      <c r="A319" s="9" t="inlineStr">
        <is>
          <t>RUN-TC-RS-CALC-004-Base</t>
        </is>
      </c>
      <c r="B319" s="9" t="inlineStr">
        <is>
          <t>TC-RS-CALC-004</t>
        </is>
      </c>
      <c r="C319" s="9" t="inlineStr">
        <is>
          <t>Base</t>
        </is>
      </c>
      <c r="D319" s="9" t="inlineStr">
        <is>
          <t>NOT RUN</t>
        </is>
      </c>
      <c r="E319" s="9"/>
      <c r="F319" s="9"/>
      <c r="G319" s="9"/>
      <c r="H319" s="9"/>
      <c r="I319" s="9"/>
      <c r="J319" s="9"/>
      <c r="K319" s="9"/>
      <c r="L319" s="9"/>
      <c r="M319" s="9"/>
    </row>
    <row r="320">
      <c r="A320" s="9" t="inlineStr">
        <is>
          <t>RUN-TC-RS-CALC-005-lt</t>
        </is>
      </c>
      <c r="B320" s="9" t="inlineStr">
        <is>
          <t>TC-RS-CALC-005</t>
        </is>
      </c>
      <c r="C320" s="9" t="inlineStr">
        <is>
          <t>lt</t>
        </is>
      </c>
      <c r="D320" s="9" t="inlineStr">
        <is>
          <t>NOT RUN</t>
        </is>
      </c>
      <c r="E320" s="9"/>
      <c r="F320" s="9"/>
      <c r="G320" s="9"/>
      <c r="H320" s="9"/>
      <c r="I320" s="9"/>
      <c r="J320" s="9"/>
      <c r="K320" s="9"/>
      <c r="L320" s="9"/>
      <c r="M320" s="9"/>
    </row>
    <row r="321">
      <c r="A321" s="9" t="inlineStr">
        <is>
          <t>RUN-TC-RS-CALC-005-le</t>
        </is>
      </c>
      <c r="B321" s="9" t="inlineStr">
        <is>
          <t>TC-RS-CALC-005</t>
        </is>
      </c>
      <c r="C321" s="9" t="inlineStr">
        <is>
          <t>le</t>
        </is>
      </c>
      <c r="D321" s="9" t="inlineStr">
        <is>
          <t>NOT RUN</t>
        </is>
      </c>
      <c r="E321" s="9"/>
      <c r="F321" s="9"/>
      <c r="G321" s="9"/>
      <c r="H321" s="9"/>
      <c r="I321" s="9"/>
      <c r="J321" s="9"/>
      <c r="K321" s="9"/>
      <c r="L321" s="9"/>
      <c r="M321" s="9"/>
    </row>
    <row r="322">
      <c r="A322" s="9" t="inlineStr">
        <is>
          <t>RUN-TC-RS-CALC-006-lt</t>
        </is>
      </c>
      <c r="B322" s="9" t="inlineStr">
        <is>
          <t>TC-RS-CALC-006</t>
        </is>
      </c>
      <c r="C322" s="9" t="inlineStr">
        <is>
          <t>lt</t>
        </is>
      </c>
      <c r="D322" s="9" t="inlineStr">
        <is>
          <t>NOT RUN</t>
        </is>
      </c>
      <c r="E322" s="9"/>
      <c r="F322" s="9"/>
      <c r="G322" s="9"/>
      <c r="H322" s="9"/>
      <c r="I322" s="9"/>
      <c r="J322" s="9"/>
      <c r="K322" s="9"/>
      <c r="L322" s="9"/>
      <c r="M322" s="9"/>
    </row>
    <row r="323">
      <c r="A323" s="9" t="inlineStr">
        <is>
          <t>RUN-TC-RS-CALC-006-le</t>
        </is>
      </c>
      <c r="B323" s="9" t="inlineStr">
        <is>
          <t>TC-RS-CALC-006</t>
        </is>
      </c>
      <c r="C323" s="9" t="inlineStr">
        <is>
          <t>le</t>
        </is>
      </c>
      <c r="D323" s="9" t="inlineStr">
        <is>
          <t>NOT RUN</t>
        </is>
      </c>
      <c r="E323" s="9"/>
      <c r="F323" s="9"/>
      <c r="G323" s="9"/>
      <c r="H323" s="9"/>
      <c r="I323" s="9"/>
      <c r="J323" s="9"/>
      <c r="K323" s="9"/>
      <c r="L323" s="9"/>
      <c r="M323" s="9"/>
    </row>
    <row r="324">
      <c r="A324" s="9" t="inlineStr">
        <is>
          <t>RUN-TC-RS-CALC-007-m45-none</t>
        </is>
      </c>
      <c r="B324" s="9" t="inlineStr">
        <is>
          <t>TC-RS-CALC-007</t>
        </is>
      </c>
      <c r="C324" s="9" t="inlineStr">
        <is>
          <t>m45-none</t>
        </is>
      </c>
      <c r="D324" s="9" t="inlineStr">
        <is>
          <t>NOT RUN</t>
        </is>
      </c>
      <c r="E324" s="9"/>
      <c r="F324" s="9"/>
      <c r="G324" s="9"/>
      <c r="H324" s="9"/>
      <c r="I324" s="9"/>
      <c r="J324" s="9"/>
      <c r="K324" s="9"/>
      <c r="L324" s="9"/>
      <c r="M324" s="9"/>
    </row>
    <row r="325">
      <c r="A325" s="9" t="inlineStr">
        <is>
          <t>RUN-TC-RS-CALC-007-m45-down</t>
        </is>
      </c>
      <c r="B325" s="9" t="inlineStr">
        <is>
          <t>TC-RS-CALC-007</t>
        </is>
      </c>
      <c r="C325" s="9" t="inlineStr">
        <is>
          <t>m45-down</t>
        </is>
      </c>
      <c r="D325" s="9" t="inlineStr">
        <is>
          <t>NOT RUN</t>
        </is>
      </c>
      <c r="E325" s="9"/>
      <c r="F325" s="9"/>
      <c r="G325" s="9"/>
      <c r="H325" s="9"/>
      <c r="I325" s="9"/>
      <c r="J325" s="9"/>
      <c r="K325" s="9"/>
      <c r="L325" s="9"/>
      <c r="M325" s="9"/>
    </row>
    <row r="326">
      <c r="A326" s="9" t="inlineStr">
        <is>
          <t>RUN-TC-RS-CALC-007-m45-nearest</t>
        </is>
      </c>
      <c r="B326" s="9" t="inlineStr">
        <is>
          <t>TC-RS-CALC-007</t>
        </is>
      </c>
      <c r="C326" s="9" t="inlineStr">
        <is>
          <t>m45-nearest</t>
        </is>
      </c>
      <c r="D326" s="9" t="inlineStr">
        <is>
          <t>NOT RUN</t>
        </is>
      </c>
      <c r="E326" s="9"/>
      <c r="F326" s="9"/>
      <c r="G326" s="9"/>
      <c r="H326" s="9"/>
      <c r="I326" s="9"/>
      <c r="J326" s="9"/>
      <c r="K326" s="9"/>
      <c r="L326" s="9"/>
      <c r="M326" s="9"/>
    </row>
    <row r="327">
      <c r="A327" s="9" t="inlineStr">
        <is>
          <t>RUN-TC-RS-CALC-007-m45-up</t>
        </is>
      </c>
      <c r="B327" s="9" t="inlineStr">
        <is>
          <t>TC-RS-CALC-007</t>
        </is>
      </c>
      <c r="C327" s="9" t="inlineStr">
        <is>
          <t>m45-up</t>
        </is>
      </c>
      <c r="D327" s="9" t="inlineStr">
        <is>
          <t>NOT RUN</t>
        </is>
      </c>
      <c r="E327" s="9"/>
      <c r="F327" s="9"/>
      <c r="G327" s="9"/>
      <c r="H327" s="9"/>
      <c r="I327" s="9"/>
      <c r="J327" s="9"/>
      <c r="K327" s="9"/>
      <c r="L327" s="9"/>
      <c r="M327" s="9"/>
    </row>
    <row r="328">
      <c r="A328" s="9" t="inlineStr">
        <is>
          <t>RUN-TC-RS-CALC-007-m47-none</t>
        </is>
      </c>
      <c r="B328" s="9" t="inlineStr">
        <is>
          <t>TC-RS-CALC-007</t>
        </is>
      </c>
      <c r="C328" s="9" t="inlineStr">
        <is>
          <t>m47-none</t>
        </is>
      </c>
      <c r="D328" s="9" t="inlineStr">
        <is>
          <t>NOT RUN</t>
        </is>
      </c>
      <c r="E328" s="9"/>
      <c r="F328" s="9"/>
      <c r="G328" s="9"/>
      <c r="H328" s="9"/>
      <c r="I328" s="9"/>
      <c r="J328" s="9"/>
      <c r="K328" s="9"/>
      <c r="L328" s="9"/>
      <c r="M328" s="9"/>
    </row>
    <row r="329">
      <c r="A329" s="9" t="inlineStr">
        <is>
          <t>RUN-TC-RS-CALC-007-m47-down</t>
        </is>
      </c>
      <c r="B329" s="9" t="inlineStr">
        <is>
          <t>TC-RS-CALC-007</t>
        </is>
      </c>
      <c r="C329" s="9" t="inlineStr">
        <is>
          <t>m47-down</t>
        </is>
      </c>
      <c r="D329" s="9" t="inlineStr">
        <is>
          <t>NOT RUN</t>
        </is>
      </c>
      <c r="E329" s="9"/>
      <c r="F329" s="9"/>
      <c r="G329" s="9"/>
      <c r="H329" s="9"/>
      <c r="I329" s="9"/>
      <c r="J329" s="9"/>
      <c r="K329" s="9"/>
      <c r="L329" s="9"/>
      <c r="M329" s="9"/>
    </row>
    <row r="330">
      <c r="A330" s="9" t="inlineStr">
        <is>
          <t>RUN-TC-RS-CALC-007-m47-nearest</t>
        </is>
      </c>
      <c r="B330" s="9" t="inlineStr">
        <is>
          <t>TC-RS-CALC-007</t>
        </is>
      </c>
      <c r="C330" s="9" t="inlineStr">
        <is>
          <t>m47-nearest</t>
        </is>
      </c>
      <c r="D330" s="9" t="inlineStr">
        <is>
          <t>NOT RUN</t>
        </is>
      </c>
      <c r="E330" s="9"/>
      <c r="F330" s="9"/>
      <c r="G330" s="9"/>
      <c r="H330" s="9"/>
      <c r="I330" s="9"/>
      <c r="J330" s="9"/>
      <c r="K330" s="9"/>
      <c r="L330" s="9"/>
      <c r="M330" s="9"/>
    </row>
    <row r="331">
      <c r="A331" s="9" t="inlineStr">
        <is>
          <t>RUN-TC-RS-CALC-007-m47-up</t>
        </is>
      </c>
      <c r="B331" s="9" t="inlineStr">
        <is>
          <t>TC-RS-CALC-007</t>
        </is>
      </c>
      <c r="C331" s="9" t="inlineStr">
        <is>
          <t>m47-up</t>
        </is>
      </c>
      <c r="D331" s="9" t="inlineStr">
        <is>
          <t>NOT RUN</t>
        </is>
      </c>
      <c r="E331" s="9"/>
      <c r="F331" s="9"/>
      <c r="G331" s="9"/>
      <c r="H331" s="9"/>
      <c r="I331" s="9"/>
      <c r="J331" s="9"/>
      <c r="K331" s="9"/>
      <c r="L331" s="9"/>
      <c r="M331" s="9"/>
    </row>
    <row r="332">
      <c r="A332" s="9" t="inlineStr">
        <is>
          <t>RUN-TC-RS-CALC-008-none</t>
        </is>
      </c>
      <c r="B332" s="9" t="inlineStr">
        <is>
          <t>TC-RS-CALC-008</t>
        </is>
      </c>
      <c r="C332" s="9" t="inlineStr">
        <is>
          <t>none</t>
        </is>
      </c>
      <c r="D332" s="9" t="inlineStr">
        <is>
          <t>NOT RUN</t>
        </is>
      </c>
      <c r="E332" s="9"/>
      <c r="F332" s="9"/>
      <c r="G332" s="9"/>
      <c r="H332" s="9"/>
      <c r="I332" s="9"/>
      <c r="J332" s="9"/>
      <c r="K332" s="9"/>
      <c r="L332" s="9"/>
      <c r="M332" s="9"/>
    </row>
    <row r="333">
      <c r="A333" s="9" t="inlineStr">
        <is>
          <t>RUN-TC-RS-CALC-008-down</t>
        </is>
      </c>
      <c r="B333" s="9" t="inlineStr">
        <is>
          <t>TC-RS-CALC-008</t>
        </is>
      </c>
      <c r="C333" s="9" t="inlineStr">
        <is>
          <t>down</t>
        </is>
      </c>
      <c r="D333" s="9" t="inlineStr">
        <is>
          <t>NOT RUN</t>
        </is>
      </c>
      <c r="E333" s="9"/>
      <c r="F333" s="9"/>
      <c r="G333" s="9"/>
      <c r="H333" s="9"/>
      <c r="I333" s="9"/>
      <c r="J333" s="9"/>
      <c r="K333" s="9"/>
      <c r="L333" s="9"/>
      <c r="M333" s="9"/>
    </row>
    <row r="334">
      <c r="A334" s="9" t="inlineStr">
        <is>
          <t>RUN-TC-RS-CALC-009-zero-lt</t>
        </is>
      </c>
      <c r="B334" s="9" t="inlineStr">
        <is>
          <t>TC-RS-CALC-009</t>
        </is>
      </c>
      <c r="C334" s="9" t="inlineStr">
        <is>
          <t>zero-lt</t>
        </is>
      </c>
      <c r="D334" s="9" t="inlineStr">
        <is>
          <t>NOT RUN</t>
        </is>
      </c>
      <c r="E334" s="9"/>
      <c r="F334" s="9"/>
      <c r="G334" s="9"/>
      <c r="H334" s="9"/>
      <c r="I334" s="9"/>
      <c r="J334" s="9"/>
      <c r="K334" s="9"/>
      <c r="L334" s="9"/>
      <c r="M334" s="9"/>
    </row>
    <row r="335">
      <c r="A335" s="9" t="inlineStr">
        <is>
          <t>RUN-TC-RS-CALC-009-zero-le</t>
        </is>
      </c>
      <c r="B335" s="9" t="inlineStr">
        <is>
          <t>TC-RS-CALC-009</t>
        </is>
      </c>
      <c r="C335" s="9" t="inlineStr">
        <is>
          <t>zero-le</t>
        </is>
      </c>
      <c r="D335" s="9" t="inlineStr">
        <is>
          <t>NOT RUN</t>
        </is>
      </c>
      <c r="E335" s="9"/>
      <c r="F335" s="9"/>
      <c r="G335" s="9"/>
      <c r="H335" s="9"/>
      <c r="I335" s="9"/>
      <c r="J335" s="9"/>
      <c r="K335" s="9"/>
      <c r="L335" s="9"/>
      <c r="M335" s="9"/>
    </row>
    <row r="336">
      <c r="A336" s="9" t="inlineStr">
        <is>
          <t>RUN-TC-RS-CALC-009-hundred-lt</t>
        </is>
      </c>
      <c r="B336" s="9" t="inlineStr">
        <is>
          <t>TC-RS-CALC-009</t>
        </is>
      </c>
      <c r="C336" s="9" t="inlineStr">
        <is>
          <t>hundred-lt</t>
        </is>
      </c>
      <c r="D336" s="9" t="inlineStr">
        <is>
          <t>NOT RUN</t>
        </is>
      </c>
      <c r="E336" s="9"/>
      <c r="F336" s="9"/>
      <c r="G336" s="9"/>
      <c r="H336" s="9"/>
      <c r="I336" s="9"/>
      <c r="J336" s="9"/>
      <c r="K336" s="9"/>
      <c r="L336" s="9"/>
      <c r="M336" s="9"/>
    </row>
    <row r="337">
      <c r="A337" s="9" t="inlineStr">
        <is>
          <t>RUN-TC-RS-CALC-009-hundred-le</t>
        </is>
      </c>
      <c r="B337" s="9" t="inlineStr">
        <is>
          <t>TC-RS-CALC-009</t>
        </is>
      </c>
      <c r="C337" s="9" t="inlineStr">
        <is>
          <t>hundred-le</t>
        </is>
      </c>
      <c r="D337" s="9" t="inlineStr">
        <is>
          <t>NOT RUN</t>
        </is>
      </c>
      <c r="E337" s="9"/>
      <c r="F337" s="9"/>
      <c r="G337" s="9"/>
      <c r="H337" s="9"/>
      <c r="I337" s="9"/>
      <c r="J337" s="9"/>
      <c r="K337" s="9"/>
      <c r="L337" s="9"/>
      <c r="M337" s="9"/>
    </row>
    <row r="338">
      <c r="A338" s="9" t="inlineStr">
        <is>
          <t>RUN-TC-RS-CALC-010-ratio-zero</t>
        </is>
      </c>
      <c r="B338" s="9" t="inlineStr">
        <is>
          <t>TC-RS-CALC-010</t>
        </is>
      </c>
      <c r="C338" s="9" t="inlineStr">
        <is>
          <t>ratio-zero</t>
        </is>
      </c>
      <c r="D338" s="9" t="inlineStr">
        <is>
          <t>NOT RUN</t>
        </is>
      </c>
      <c r="E338" s="9"/>
      <c r="F338" s="9"/>
      <c r="G338" s="9"/>
      <c r="H338" s="9"/>
      <c r="I338" s="9"/>
      <c r="J338" s="9"/>
      <c r="K338" s="9"/>
      <c r="L338" s="9"/>
      <c r="M338" s="9"/>
    </row>
    <row r="339">
      <c r="A339" s="9" t="inlineStr">
        <is>
          <t>RUN-TC-RS-CALC-010-ratio-negative</t>
        </is>
      </c>
      <c r="B339" s="9" t="inlineStr">
        <is>
          <t>TC-RS-CALC-010</t>
        </is>
      </c>
      <c r="C339" s="9" t="inlineStr">
        <is>
          <t>ratio-negative</t>
        </is>
      </c>
      <c r="D339" s="9" t="inlineStr">
        <is>
          <t>NOT RUN</t>
        </is>
      </c>
      <c r="E339" s="9"/>
      <c r="F339" s="9"/>
      <c r="G339" s="9"/>
      <c r="H339" s="9"/>
      <c r="I339" s="9"/>
      <c r="J339" s="9"/>
      <c r="K339" s="9"/>
      <c r="L339" s="9"/>
      <c r="M339" s="9"/>
    </row>
    <row r="340">
      <c r="A340" s="9" t="inlineStr">
        <is>
          <t>RUN-TC-RS-CALC-010-ratio-missing</t>
        </is>
      </c>
      <c r="B340" s="9" t="inlineStr">
        <is>
          <t>TC-RS-CALC-010</t>
        </is>
      </c>
      <c r="C340" s="9" t="inlineStr">
        <is>
          <t>ratio-missing</t>
        </is>
      </c>
      <c r="D340" s="9" t="inlineStr">
        <is>
          <t>NOT RUN</t>
        </is>
      </c>
      <c r="E340" s="9"/>
      <c r="F340" s="9"/>
      <c r="G340" s="9"/>
      <c r="H340" s="9"/>
      <c r="I340" s="9"/>
      <c r="J340" s="9"/>
      <c r="K340" s="9"/>
      <c r="L340" s="9"/>
      <c r="M340" s="9"/>
    </row>
    <row r="341">
      <c r="A341" s="9" t="inlineStr">
        <is>
          <t>RUN-TC-RS-CALC-010-fixed-zero</t>
        </is>
      </c>
      <c r="B341" s="9" t="inlineStr">
        <is>
          <t>TC-RS-CALC-010</t>
        </is>
      </c>
      <c r="C341" s="9" t="inlineStr">
        <is>
          <t>fixed-zero</t>
        </is>
      </c>
      <c r="D341" s="9" t="inlineStr">
        <is>
          <t>NOT RUN</t>
        </is>
      </c>
      <c r="E341" s="9"/>
      <c r="F341" s="9"/>
      <c r="G341" s="9"/>
      <c r="H341" s="9"/>
      <c r="I341" s="9"/>
      <c r="J341" s="9"/>
      <c r="K341" s="9"/>
      <c r="L341" s="9"/>
      <c r="M341" s="9"/>
    </row>
    <row r="342">
      <c r="A342" s="9" t="inlineStr">
        <is>
          <t>RUN-TC-RS-CALC-011-resolution</t>
        </is>
      </c>
      <c r="B342" s="9" t="inlineStr">
        <is>
          <t>TC-RS-CALC-011</t>
        </is>
      </c>
      <c r="C342" s="9" t="inlineStr">
        <is>
          <t>resolution</t>
        </is>
      </c>
      <c r="D342" s="9" t="inlineStr">
        <is>
          <t>NOT RUN</t>
        </is>
      </c>
      <c r="E342" s="9"/>
      <c r="F342" s="9"/>
      <c r="G342" s="9"/>
      <c r="H342" s="9"/>
      <c r="I342" s="9"/>
      <c r="J342" s="9"/>
      <c r="K342" s="9"/>
      <c r="L342" s="9"/>
      <c r="M342" s="9"/>
    </row>
    <row r="343">
      <c r="A343" s="9" t="inlineStr">
        <is>
          <t>RUN-TC-RS-CALC-011-unassigned</t>
        </is>
      </c>
      <c r="B343" s="9" t="inlineStr">
        <is>
          <t>TC-RS-CALC-011</t>
        </is>
      </c>
      <c r="C343" s="9" t="inlineStr">
        <is>
          <t>unassigned</t>
        </is>
      </c>
      <c r="D343" s="9" t="inlineStr">
        <is>
          <t>NOT RUN</t>
        </is>
      </c>
      <c r="E343" s="9"/>
      <c r="F343" s="9"/>
      <c r="G343" s="9"/>
      <c r="H343" s="9"/>
      <c r="I343" s="9"/>
      <c r="J343" s="9"/>
      <c r="K343" s="9"/>
      <c r="L343" s="9"/>
      <c r="M343" s="9"/>
    </row>
    <row r="344">
      <c r="A344" s="9" t="inlineStr">
        <is>
          <t>RUN-TC-RS-CALC-011-actual80</t>
        </is>
      </c>
      <c r="B344" s="9" t="inlineStr">
        <is>
          <t>TC-RS-CALC-011</t>
        </is>
      </c>
      <c r="C344" s="9" t="inlineStr">
        <is>
          <t>actual80</t>
        </is>
      </c>
      <c r="D344" s="9" t="inlineStr">
        <is>
          <t>NOT RUN</t>
        </is>
      </c>
      <c r="E344" s="9"/>
      <c r="F344" s="9"/>
      <c r="G344" s="9"/>
      <c r="H344" s="9"/>
      <c r="I344" s="9"/>
      <c r="J344" s="9"/>
      <c r="K344" s="9"/>
      <c r="L344" s="9"/>
      <c r="M344" s="9"/>
    </row>
    <row r="345">
      <c r="A345" s="9" t="inlineStr">
        <is>
          <t>RUN-TC-RS-CALC-012-Base</t>
        </is>
      </c>
      <c r="B345" s="9" t="inlineStr">
        <is>
          <t>TC-RS-CALC-012</t>
        </is>
      </c>
      <c r="C345" s="9" t="inlineStr">
        <is>
          <t>Base</t>
        </is>
      </c>
      <c r="D345" s="9" t="inlineStr">
        <is>
          <t>NOT RUN</t>
        </is>
      </c>
      <c r="E345" s="9"/>
      <c r="F345" s="9"/>
      <c r="G345" s="9"/>
      <c r="H345" s="9"/>
      <c r="I345" s="9"/>
      <c r="J345" s="9"/>
      <c r="K345" s="9"/>
      <c r="L345" s="9"/>
      <c r="M345" s="9"/>
    </row>
    <row r="346">
      <c r="A346" s="9" t="inlineStr">
        <is>
          <t>RUN-TC-RS-CALC-013-multiply</t>
        </is>
      </c>
      <c r="B346" s="9" t="inlineStr">
        <is>
          <t>TC-RS-CALC-013</t>
        </is>
      </c>
      <c r="C346" s="9" t="inlineStr">
        <is>
          <t>multiply</t>
        </is>
      </c>
      <c r="D346" s="9" t="inlineStr">
        <is>
          <t>NOT RUN</t>
        </is>
      </c>
      <c r="E346" s="9"/>
      <c r="F346" s="9"/>
      <c r="G346" s="9"/>
      <c r="H346" s="9"/>
      <c r="I346" s="9"/>
      <c r="J346" s="9"/>
      <c r="K346" s="9"/>
      <c r="L346" s="9"/>
      <c r="M346" s="9"/>
    </row>
    <row r="347">
      <c r="A347" s="9" t="inlineStr">
        <is>
          <t>RUN-TC-RS-CALC-013-subtract</t>
        </is>
      </c>
      <c r="B347" s="9" t="inlineStr">
        <is>
          <t>TC-RS-CALC-013</t>
        </is>
      </c>
      <c r="C347" s="9" t="inlineStr">
        <is>
          <t>subtract</t>
        </is>
      </c>
      <c r="D347" s="9" t="inlineStr">
        <is>
          <t>NOT RUN</t>
        </is>
      </c>
      <c r="E347" s="9"/>
      <c r="F347" s="9"/>
      <c r="G347" s="9"/>
      <c r="H347" s="9"/>
      <c r="I347" s="9"/>
      <c r="J347" s="9"/>
      <c r="K347" s="9"/>
      <c r="L347" s="9"/>
      <c r="M347" s="9"/>
    </row>
    <row r="348">
      <c r="A348" s="9" t="inlineStr">
        <is>
          <t>RUN-TC-RS-CALC-013-add</t>
        </is>
      </c>
      <c r="B348" s="9" t="inlineStr">
        <is>
          <t>TC-RS-CALC-013</t>
        </is>
      </c>
      <c r="C348" s="9" t="inlineStr">
        <is>
          <t>add</t>
        </is>
      </c>
      <c r="D348" s="9" t="inlineStr">
        <is>
          <t>NOT RUN</t>
        </is>
      </c>
      <c r="E348" s="9"/>
      <c r="F348" s="9"/>
      <c r="G348" s="9"/>
      <c r="H348" s="9"/>
      <c r="I348" s="9"/>
      <c r="J348" s="9"/>
      <c r="K348" s="9"/>
      <c r="L348" s="9"/>
      <c r="M348" s="9"/>
    </row>
    <row r="349">
      <c r="A349" s="9" t="inlineStr">
        <is>
          <t>RUN-TC-RS-CALC-014-Base</t>
        </is>
      </c>
      <c r="B349" s="9" t="inlineStr">
        <is>
          <t>TC-RS-CALC-014</t>
        </is>
      </c>
      <c r="C349" s="9" t="inlineStr">
        <is>
          <t>Base</t>
        </is>
      </c>
      <c r="D349" s="9" t="inlineStr">
        <is>
          <t>NOT RUN</t>
        </is>
      </c>
      <c r="E349" s="9"/>
      <c r="F349" s="9"/>
      <c r="G349" s="9"/>
      <c r="H349" s="9"/>
      <c r="I349" s="9"/>
      <c r="J349" s="9"/>
      <c r="K349" s="9"/>
      <c r="L349" s="9"/>
      <c r="M349" s="9"/>
    </row>
    <row r="350">
      <c r="A350" s="9" t="inlineStr">
        <is>
          <t>RUN-TC-RS-CALC-015-less-than</t>
        </is>
      </c>
      <c r="B350" s="9" t="inlineStr">
        <is>
          <t>TC-RS-CALC-015</t>
        </is>
      </c>
      <c r="C350" s="9" t="inlineStr">
        <is>
          <t>less-than</t>
        </is>
      </c>
      <c r="D350" s="9" t="inlineStr">
        <is>
          <t>NOT RUN</t>
        </is>
      </c>
      <c r="E350" s="9"/>
      <c r="F350" s="9"/>
      <c r="G350" s="9"/>
      <c r="H350" s="9"/>
      <c r="I350" s="9"/>
      <c r="J350" s="9"/>
      <c r="K350" s="9"/>
      <c r="L350" s="9"/>
      <c r="M350" s="9"/>
    </row>
    <row r="351">
      <c r="A351" s="9" t="inlineStr">
        <is>
          <t>RUN-TC-RS-CALC-015-less-or-equal</t>
        </is>
      </c>
      <c r="B351" s="9" t="inlineStr">
        <is>
          <t>TC-RS-CALC-015</t>
        </is>
      </c>
      <c r="C351" s="9" t="inlineStr">
        <is>
          <t>less-or-equal</t>
        </is>
      </c>
      <c r="D351" s="9" t="inlineStr">
        <is>
          <t>NOT RUN</t>
        </is>
      </c>
      <c r="E351" s="9"/>
      <c r="F351" s="9"/>
      <c r="G351" s="9"/>
      <c r="H351" s="9"/>
      <c r="I351" s="9"/>
      <c r="J351" s="9"/>
      <c r="K351" s="9"/>
      <c r="L351" s="9"/>
      <c r="M351" s="9"/>
    </row>
    <row r="352">
      <c r="A352" s="9" t="inlineStr">
        <is>
          <t>RUN-TC-RS-CALC-015-reopen-summary</t>
        </is>
      </c>
      <c r="B352" s="9" t="inlineStr">
        <is>
          <t>TC-RS-CALC-015</t>
        </is>
      </c>
      <c r="C352" s="9" t="inlineStr">
        <is>
          <t>reopen-summary</t>
        </is>
      </c>
      <c r="D352" s="9" t="inlineStr">
        <is>
          <t>NOT RUN</t>
        </is>
      </c>
      <c r="E352" s="9"/>
      <c r="F352" s="9"/>
      <c r="G352" s="9"/>
      <c r="H352" s="9"/>
      <c r="I352" s="9"/>
      <c r="J352" s="9"/>
      <c r="K352" s="9"/>
      <c r="L352" s="9"/>
      <c r="M352" s="9"/>
    </row>
    <row r="353">
      <c r="A353" s="9" t="inlineStr">
        <is>
          <t>RUN-TC-RS-CALC-016-zero-lt</t>
        </is>
      </c>
      <c r="B353" s="9" t="inlineStr">
        <is>
          <t>TC-RS-CALC-016</t>
        </is>
      </c>
      <c r="C353" s="9" t="inlineStr">
        <is>
          <t>zero-lt</t>
        </is>
      </c>
      <c r="D353" s="9" t="inlineStr">
        <is>
          <t>NOT RUN</t>
        </is>
      </c>
      <c r="E353" s="9"/>
      <c r="F353" s="9"/>
      <c r="G353" s="9"/>
      <c r="H353" s="9"/>
      <c r="I353" s="9"/>
      <c r="J353" s="9"/>
      <c r="K353" s="9"/>
      <c r="L353" s="9"/>
      <c r="M353" s="9"/>
    </row>
    <row r="354">
      <c r="A354" s="9" t="inlineStr">
        <is>
          <t>RUN-TC-RS-CALC-016-zero-le</t>
        </is>
      </c>
      <c r="B354" s="9" t="inlineStr">
        <is>
          <t>TC-RS-CALC-016</t>
        </is>
      </c>
      <c r="C354" s="9" t="inlineStr">
        <is>
          <t>zero-le</t>
        </is>
      </c>
      <c r="D354" s="9" t="inlineStr">
        <is>
          <t>NOT RUN</t>
        </is>
      </c>
      <c r="E354" s="9"/>
      <c r="F354" s="9"/>
      <c r="G354" s="9"/>
      <c r="H354" s="9"/>
      <c r="I354" s="9"/>
      <c r="J354" s="9"/>
      <c r="K354" s="9"/>
      <c r="L354" s="9"/>
      <c r="M354" s="9"/>
    </row>
    <row r="355">
      <c r="A355" s="9" t="inlineStr">
        <is>
          <t>RUN-TC-RS-CALC-016-negative-lt</t>
        </is>
      </c>
      <c r="B355" s="9" t="inlineStr">
        <is>
          <t>TC-RS-CALC-016</t>
        </is>
      </c>
      <c r="C355" s="9" t="inlineStr">
        <is>
          <t>negative-lt</t>
        </is>
      </c>
      <c r="D355" s="9" t="inlineStr">
        <is>
          <t>NOT RUN</t>
        </is>
      </c>
      <c r="E355" s="9"/>
      <c r="F355" s="9"/>
      <c r="G355" s="9"/>
      <c r="H355" s="9"/>
      <c r="I355" s="9"/>
      <c r="J355" s="9"/>
      <c r="K355" s="9"/>
      <c r="L355" s="9"/>
      <c r="M355" s="9"/>
    </row>
    <row r="356">
      <c r="A356" s="9" t="inlineStr">
        <is>
          <t>RUN-TC-RS-CALC-016-negative-le</t>
        </is>
      </c>
      <c r="B356" s="9" t="inlineStr">
        <is>
          <t>TC-RS-CALC-016</t>
        </is>
      </c>
      <c r="C356" s="9" t="inlineStr">
        <is>
          <t>negative-le</t>
        </is>
      </c>
      <c r="D356" s="9" t="inlineStr">
        <is>
          <t>NOT RUN</t>
        </is>
      </c>
      <c r="E356" s="9"/>
      <c r="F356" s="9"/>
      <c r="G356" s="9"/>
      <c r="H356" s="9"/>
      <c r="I356" s="9"/>
      <c r="J356" s="9"/>
      <c r="K356" s="9"/>
      <c r="L356" s="9"/>
      <c r="M356" s="9"/>
    </row>
    <row r="357">
      <c r="A357" s="9" t="inlineStr">
        <is>
          <t>RUN-TC-RS-CALC-017-Base</t>
        </is>
      </c>
      <c r="B357" s="9" t="inlineStr">
        <is>
          <t>TC-RS-CALC-017</t>
        </is>
      </c>
      <c r="C357" s="9" t="inlineStr">
        <is>
          <t>Base</t>
        </is>
      </c>
      <c r="D357" s="9" t="inlineStr">
        <is>
          <t>NOT RUN</t>
        </is>
      </c>
      <c r="E357" s="9"/>
      <c r="F357" s="9"/>
      <c r="G357" s="9"/>
      <c r="H357" s="9"/>
      <c r="I357" s="9"/>
      <c r="J357" s="9"/>
      <c r="K357" s="9"/>
      <c r="L357" s="9"/>
      <c r="M357" s="9"/>
    </row>
    <row r="358">
      <c r="A358" s="9" t="inlineStr">
        <is>
          <t>RUN-TC-RS-CALC-018-Base</t>
        </is>
      </c>
      <c r="B358" s="9" t="inlineStr">
        <is>
          <t>TC-RS-CALC-018</t>
        </is>
      </c>
      <c r="C358" s="9" t="inlineStr">
        <is>
          <t>Base</t>
        </is>
      </c>
      <c r="D358" s="9" t="inlineStr">
        <is>
          <t>NOT RUN</t>
        </is>
      </c>
      <c r="E358" s="9"/>
      <c r="F358" s="9"/>
      <c r="G358" s="9"/>
      <c r="H358" s="9"/>
      <c r="I358" s="9"/>
      <c r="J358" s="9"/>
      <c r="K358" s="9"/>
      <c r="L358" s="9"/>
      <c r="M358" s="9"/>
    </row>
    <row r="359">
      <c r="A359" s="9" t="inlineStr">
        <is>
          <t>RUN-TC-RS-CALC-019-positive-none</t>
        </is>
      </c>
      <c r="B359" s="9" t="inlineStr">
        <is>
          <t>TC-RS-CALC-019</t>
        </is>
      </c>
      <c r="C359" s="9" t="inlineStr">
        <is>
          <t>positive-none</t>
        </is>
      </c>
      <c r="D359" s="9" t="inlineStr">
        <is>
          <t>NOT RUN</t>
        </is>
      </c>
      <c r="E359" s="9"/>
      <c r="F359" s="9"/>
      <c r="G359" s="9"/>
      <c r="H359" s="9"/>
      <c r="I359" s="9"/>
      <c r="J359" s="9"/>
      <c r="K359" s="9"/>
      <c r="L359" s="9"/>
      <c r="M359" s="9"/>
    </row>
    <row r="360">
      <c r="A360" s="9" t="inlineStr">
        <is>
          <t>RUN-TC-RS-CALC-019-positive-down</t>
        </is>
      </c>
      <c r="B360" s="9" t="inlineStr">
        <is>
          <t>TC-RS-CALC-019</t>
        </is>
      </c>
      <c r="C360" s="9" t="inlineStr">
        <is>
          <t>positive-down</t>
        </is>
      </c>
      <c r="D360" s="9" t="inlineStr">
        <is>
          <t>NOT RUN</t>
        </is>
      </c>
      <c r="E360" s="9"/>
      <c r="F360" s="9"/>
      <c r="G360" s="9"/>
      <c r="H360" s="9"/>
      <c r="I360" s="9"/>
      <c r="J360" s="9"/>
      <c r="K360" s="9"/>
      <c r="L360" s="9"/>
      <c r="M360" s="9"/>
    </row>
    <row r="361">
      <c r="A361" s="9" t="inlineStr">
        <is>
          <t>RUN-TC-RS-CALC-019-positive-nearest</t>
        </is>
      </c>
      <c r="B361" s="9" t="inlineStr">
        <is>
          <t>TC-RS-CALC-019</t>
        </is>
      </c>
      <c r="C361" s="9" t="inlineStr">
        <is>
          <t>positive-nearest</t>
        </is>
      </c>
      <c r="D361" s="9" t="inlineStr">
        <is>
          <t>NOT RUN</t>
        </is>
      </c>
      <c r="E361" s="9"/>
      <c r="F361" s="9"/>
      <c r="G361" s="9"/>
      <c r="H361" s="9"/>
      <c r="I361" s="9"/>
      <c r="J361" s="9"/>
      <c r="K361" s="9"/>
      <c r="L361" s="9"/>
      <c r="M361" s="9"/>
    </row>
    <row r="362">
      <c r="A362" s="9" t="inlineStr">
        <is>
          <t>RUN-TC-RS-CALC-019-negative-up</t>
        </is>
      </c>
      <c r="B362" s="9" t="inlineStr">
        <is>
          <t>TC-RS-CALC-019</t>
        </is>
      </c>
      <c r="C362" s="9" t="inlineStr">
        <is>
          <t>negative-up</t>
        </is>
      </c>
      <c r="D362" s="9" t="inlineStr">
        <is>
          <t>NOT RUN</t>
        </is>
      </c>
      <c r="E362" s="9"/>
      <c r="F362" s="9"/>
      <c r="G362" s="9"/>
      <c r="H362" s="9"/>
      <c r="I362" s="9"/>
      <c r="J362" s="9"/>
      <c r="K362" s="9"/>
      <c r="L362" s="9"/>
      <c r="M362" s="9"/>
    </row>
    <row r="363">
      <c r="A363" s="9" t="inlineStr">
        <is>
          <t>RUN-TC-RS-CALC-019-negative-down</t>
        </is>
      </c>
      <c r="B363" s="9" t="inlineStr">
        <is>
          <t>TC-RS-CALC-019</t>
        </is>
      </c>
      <c r="C363" s="9" t="inlineStr">
        <is>
          <t>negative-down</t>
        </is>
      </c>
      <c r="D363" s="9" t="inlineStr">
        <is>
          <t>NOT RUN</t>
        </is>
      </c>
      <c r="E363" s="9"/>
      <c r="F363" s="9"/>
      <c r="G363" s="9"/>
      <c r="H363" s="9"/>
      <c r="I363" s="9"/>
      <c r="J363" s="9"/>
      <c r="K363" s="9"/>
      <c r="L363" s="9"/>
      <c r="M363" s="9"/>
    </row>
    <row r="364">
      <c r="A364" s="9" t="inlineStr">
        <is>
          <t>RUN-TC-RS-CALC-019-negative-nearest</t>
        </is>
      </c>
      <c r="B364" s="9" t="inlineStr">
        <is>
          <t>TC-RS-CALC-019</t>
        </is>
      </c>
      <c r="C364" s="9" t="inlineStr">
        <is>
          <t>negative-nearest</t>
        </is>
      </c>
      <c r="D364" s="9" t="inlineStr">
        <is>
          <t>NOT RUN</t>
        </is>
      </c>
      <c r="E364" s="9"/>
      <c r="F364" s="9"/>
      <c r="G364" s="9"/>
      <c r="H364" s="9"/>
      <c r="I364" s="9"/>
      <c r="J364" s="9"/>
      <c r="K364" s="9"/>
      <c r="L364" s="9"/>
      <c r="M364" s="9"/>
    </row>
    <row r="365">
      <c r="A365" s="9" t="inlineStr">
        <is>
          <t>RUN-TC-RS-CALC-019-half-positive</t>
        </is>
      </c>
      <c r="B365" s="9" t="inlineStr">
        <is>
          <t>TC-RS-CALC-019</t>
        </is>
      </c>
      <c r="C365" s="9" t="inlineStr">
        <is>
          <t>half-positive</t>
        </is>
      </c>
      <c r="D365" s="9" t="inlineStr">
        <is>
          <t>NOT RUN</t>
        </is>
      </c>
      <c r="E365" s="9"/>
      <c r="F365" s="9"/>
      <c r="G365" s="9"/>
      <c r="H365" s="9"/>
      <c r="I365" s="9"/>
      <c r="J365" s="9"/>
      <c r="K365" s="9"/>
      <c r="L365" s="9"/>
      <c r="M365" s="9"/>
    </row>
    <row r="366">
      <c r="A366" s="9" t="inlineStr">
        <is>
          <t>RUN-TC-RS-CALC-019-half-negative</t>
        </is>
      </c>
      <c r="B366" s="9" t="inlineStr">
        <is>
          <t>TC-RS-CALC-019</t>
        </is>
      </c>
      <c r="C366" s="9" t="inlineStr">
        <is>
          <t>half-negative</t>
        </is>
      </c>
      <c r="D366" s="9" t="inlineStr">
        <is>
          <t>NOT RUN</t>
        </is>
      </c>
      <c r="E366" s="9"/>
      <c r="F366" s="9"/>
      <c r="G366" s="9"/>
      <c r="H366" s="9"/>
      <c r="I366" s="9"/>
      <c r="J366" s="9"/>
      <c r="K366" s="9"/>
      <c r="L366" s="9"/>
      <c r="M366" s="9"/>
    </row>
    <row r="367">
      <c r="A367" s="9" t="inlineStr">
        <is>
          <t>RUN-TC-RS-CALC-019-half-up</t>
        </is>
      </c>
      <c r="B367" s="9" t="inlineStr">
        <is>
          <t>TC-RS-CALC-019</t>
        </is>
      </c>
      <c r="C367" s="9" t="inlineStr">
        <is>
          <t>half-up</t>
        </is>
      </c>
      <c r="D367" s="9" t="inlineStr">
        <is>
          <t>NOT RUN</t>
        </is>
      </c>
      <c r="E367" s="9"/>
      <c r="F367" s="9"/>
      <c r="G367" s="9"/>
      <c r="H367" s="9"/>
      <c r="I367" s="9"/>
      <c r="J367" s="9"/>
      <c r="K367" s="9"/>
      <c r="L367" s="9"/>
      <c r="M367" s="9"/>
    </row>
    <row r="368">
      <c r="A368" s="9" t="inlineStr">
        <is>
          <t>RUN-TC-RS-CALC-019-half-down</t>
        </is>
      </c>
      <c r="B368" s="9" t="inlineStr">
        <is>
          <t>TC-RS-CALC-019</t>
        </is>
      </c>
      <c r="C368" s="9" t="inlineStr">
        <is>
          <t>half-down</t>
        </is>
      </c>
      <c r="D368" s="9" t="inlineStr">
        <is>
          <t>NOT RUN</t>
        </is>
      </c>
      <c r="E368" s="9"/>
      <c r="F368" s="9"/>
      <c r="G368" s="9"/>
      <c r="H368" s="9"/>
      <c r="I368" s="9"/>
      <c r="J368" s="9"/>
      <c r="K368" s="9"/>
      <c r="L368" s="9"/>
      <c r="M368" s="9"/>
    </row>
    <row r="369">
      <c r="A369" s="9" t="inlineStr">
        <is>
          <t>RUN-TC-RS-CALC-019-decimal-nearest</t>
        </is>
      </c>
      <c r="B369" s="9" t="inlineStr">
        <is>
          <t>TC-RS-CALC-019</t>
        </is>
      </c>
      <c r="C369" s="9" t="inlineStr">
        <is>
          <t>decimal-nearest</t>
        </is>
      </c>
      <c r="D369" s="9" t="inlineStr">
        <is>
          <t>NOT RUN</t>
        </is>
      </c>
      <c r="E369" s="9"/>
      <c r="F369" s="9"/>
      <c r="G369" s="9"/>
      <c r="H369" s="9"/>
      <c r="I369" s="9"/>
      <c r="J369" s="9"/>
      <c r="K369" s="9"/>
      <c r="L369" s="9"/>
      <c r="M369" s="9"/>
    </row>
    <row r="370">
      <c r="A370" s="9" t="inlineStr">
        <is>
          <t>RUN-TC-RS-CALC-019-decimal-up</t>
        </is>
      </c>
      <c r="B370" s="9" t="inlineStr">
        <is>
          <t>TC-RS-CALC-019</t>
        </is>
      </c>
      <c r="C370" s="9" t="inlineStr">
        <is>
          <t>decimal-up</t>
        </is>
      </c>
      <c r="D370" s="9" t="inlineStr">
        <is>
          <t>NOT RUN</t>
        </is>
      </c>
      <c r="E370" s="9"/>
      <c r="F370" s="9"/>
      <c r="G370" s="9"/>
      <c r="H370" s="9"/>
      <c r="I370" s="9"/>
      <c r="J370" s="9"/>
      <c r="K370" s="9"/>
      <c r="L370" s="9"/>
      <c r="M370" s="9"/>
    </row>
    <row r="371">
      <c r="A371" s="9" t="inlineStr">
        <is>
          <t>RUN-TC-RS-CALC-019-p3</t>
        </is>
      </c>
      <c r="B371" s="9" t="inlineStr">
        <is>
          <t>TC-RS-CALC-019</t>
        </is>
      </c>
      <c r="C371" s="9" t="inlineStr">
        <is>
          <t>p3</t>
        </is>
      </c>
      <c r="D371" s="9" t="inlineStr">
        <is>
          <t>NOT RUN</t>
        </is>
      </c>
      <c r="E371" s="9"/>
      <c r="F371" s="9"/>
      <c r="G371" s="9"/>
      <c r="H371" s="9"/>
      <c r="I371" s="9"/>
      <c r="J371" s="9"/>
      <c r="K371" s="9"/>
      <c r="L371" s="9"/>
      <c r="M371" s="9"/>
    </row>
    <row r="372">
      <c r="A372" s="9" t="inlineStr">
        <is>
          <t>RUN-TC-RS-CALC-019-p9-nearest</t>
        </is>
      </c>
      <c r="B372" s="9" t="inlineStr">
        <is>
          <t>TC-RS-CALC-019</t>
        </is>
      </c>
      <c r="C372" s="9" t="inlineStr">
        <is>
          <t>p9-nearest</t>
        </is>
      </c>
      <c r="D372" s="9" t="inlineStr">
        <is>
          <t>NOT RUN</t>
        </is>
      </c>
      <c r="E372" s="9"/>
      <c r="F372" s="9"/>
      <c r="G372" s="9"/>
      <c r="H372" s="9"/>
      <c r="I372" s="9"/>
      <c r="J372" s="9"/>
      <c r="K372" s="9"/>
      <c r="L372" s="9"/>
      <c r="M372" s="9"/>
    </row>
    <row r="373">
      <c r="A373" s="9" t="inlineStr">
        <is>
          <t>RUN-TC-RS-CALC-019-p9-down</t>
        </is>
      </c>
      <c r="B373" s="9" t="inlineStr">
        <is>
          <t>TC-RS-CALC-019</t>
        </is>
      </c>
      <c r="C373" s="9" t="inlineStr">
        <is>
          <t>p9-down</t>
        </is>
      </c>
      <c r="D373" s="9" t="inlineStr">
        <is>
          <t>NOT RUN</t>
        </is>
      </c>
      <c r="E373" s="9"/>
      <c r="F373" s="9"/>
      <c r="G373" s="9"/>
      <c r="H373" s="9"/>
      <c r="I373" s="9"/>
      <c r="J373" s="9"/>
      <c r="K373" s="9"/>
      <c r="L373" s="9"/>
      <c r="M373" s="9"/>
    </row>
    <row r="374">
      <c r="A374" s="9" t="inlineStr">
        <is>
          <t>RUN-TC-RS-CALC-020-down</t>
        </is>
      </c>
      <c r="B374" s="9" t="inlineStr">
        <is>
          <t>TC-RS-CALC-020</t>
        </is>
      </c>
      <c r="C374" s="9" t="inlineStr">
        <is>
          <t>down</t>
        </is>
      </c>
      <c r="D374" s="9" t="inlineStr">
        <is>
          <t>NOT RUN</t>
        </is>
      </c>
      <c r="E374" s="9"/>
      <c r="F374" s="9"/>
      <c r="G374" s="9"/>
      <c r="H374" s="9"/>
      <c r="I374" s="9"/>
      <c r="J374" s="9"/>
      <c r="K374" s="9"/>
      <c r="L374" s="9"/>
      <c r="M374" s="9"/>
    </row>
    <row r="375">
      <c r="A375" s="9" t="inlineStr">
        <is>
          <t>RUN-TC-RS-CALC-020-nearest</t>
        </is>
      </c>
      <c r="B375" s="9" t="inlineStr">
        <is>
          <t>TC-RS-CALC-020</t>
        </is>
      </c>
      <c r="C375" s="9" t="inlineStr">
        <is>
          <t>nearest</t>
        </is>
      </c>
      <c r="D375" s="9" t="inlineStr">
        <is>
          <t>NOT RUN</t>
        </is>
      </c>
      <c r="E375" s="9"/>
      <c r="F375" s="9"/>
      <c r="G375" s="9"/>
      <c r="H375" s="9"/>
      <c r="I375" s="9"/>
      <c r="J375" s="9"/>
      <c r="K375" s="9"/>
      <c r="L375" s="9"/>
      <c r="M375" s="9"/>
    </row>
    <row r="376">
      <c r="A376" s="9" t="inlineStr">
        <is>
          <t>RUN-TC-RS-CALC-021-a0</t>
        </is>
      </c>
      <c r="B376" s="9" t="inlineStr">
        <is>
          <t>TC-RS-CALC-021</t>
        </is>
      </c>
      <c r="C376" s="9" t="inlineStr">
        <is>
          <t>a0</t>
        </is>
      </c>
      <c r="D376" s="9" t="inlineStr">
        <is>
          <t>NOT RUN</t>
        </is>
      </c>
      <c r="E376" s="9"/>
      <c r="F376" s="9"/>
      <c r="G376" s="9"/>
      <c r="H376" s="9"/>
      <c r="I376" s="9"/>
      <c r="J376" s="9"/>
      <c r="K376" s="9"/>
      <c r="L376" s="9"/>
      <c r="M376" s="9"/>
    </row>
    <row r="377">
      <c r="A377" s="9" t="inlineStr">
        <is>
          <t>RUN-TC-RS-CALC-021-a4</t>
        </is>
      </c>
      <c r="B377" s="9" t="inlineStr">
        <is>
          <t>TC-RS-CALC-021</t>
        </is>
      </c>
      <c r="C377" s="9" t="inlineStr">
        <is>
          <t>a4</t>
        </is>
      </c>
      <c r="D377" s="9" t="inlineStr">
        <is>
          <t>NOT RUN</t>
        </is>
      </c>
      <c r="E377" s="9"/>
      <c r="F377" s="9"/>
      <c r="G377" s="9"/>
      <c r="H377" s="9"/>
      <c r="I377" s="9"/>
      <c r="J377" s="9"/>
      <c r="K377" s="9"/>
      <c r="L377" s="9"/>
      <c r="M377" s="9"/>
    </row>
    <row r="378">
      <c r="A378" s="9" t="inlineStr">
        <is>
          <t>RUN-TC-RS-CALC-021-a3</t>
        </is>
      </c>
      <c r="B378" s="9" t="inlineStr">
        <is>
          <t>TC-RS-CALC-021</t>
        </is>
      </c>
      <c r="C378" s="9" t="inlineStr">
        <is>
          <t>a3</t>
        </is>
      </c>
      <c r="D378" s="9" t="inlineStr">
        <is>
          <t>NOT RUN</t>
        </is>
      </c>
      <c r="E378" s="9"/>
      <c r="F378" s="9"/>
      <c r="G378" s="9"/>
      <c r="H378" s="9"/>
      <c r="I378" s="9"/>
      <c r="J378" s="9"/>
      <c r="K378" s="9"/>
      <c r="L378" s="9"/>
      <c r="M378" s="9"/>
    </row>
    <row r="379">
      <c r="A379" s="9" t="inlineStr">
        <is>
          <t>RUN-TC-RS-CALC-022-a40</t>
        </is>
      </c>
      <c r="B379" s="9" t="inlineStr">
        <is>
          <t>TC-RS-CALC-022</t>
        </is>
      </c>
      <c r="C379" s="9" t="inlineStr">
        <is>
          <t>a40</t>
        </is>
      </c>
      <c r="D379" s="9" t="inlineStr">
        <is>
          <t>NOT RUN</t>
        </is>
      </c>
      <c r="E379" s="9"/>
      <c r="F379" s="9"/>
      <c r="G379" s="9"/>
      <c r="H379" s="9"/>
      <c r="I379" s="9"/>
      <c r="J379" s="9"/>
      <c r="K379" s="9"/>
      <c r="L379" s="9"/>
      <c r="M379" s="9"/>
    </row>
    <row r="380">
      <c r="A380" s="9" t="inlineStr">
        <is>
          <t>RUN-TC-RS-CALC-022-a50</t>
        </is>
      </c>
      <c r="B380" s="9" t="inlineStr">
        <is>
          <t>TC-RS-CALC-022</t>
        </is>
      </c>
      <c r="C380" s="9" t="inlineStr">
        <is>
          <t>a50</t>
        </is>
      </c>
      <c r="D380" s="9" t="inlineStr">
        <is>
          <t>NOT RUN</t>
        </is>
      </c>
      <c r="E380" s="9"/>
      <c r="F380" s="9"/>
      <c r="G380" s="9"/>
      <c r="H380" s="9"/>
      <c r="I380" s="9"/>
      <c r="J380" s="9"/>
      <c r="K380" s="9"/>
      <c r="L380" s="9"/>
      <c r="M380" s="9"/>
    </row>
    <row r="381">
      <c r="A381" s="9" t="inlineStr">
        <is>
          <t>RUN-TC-RS-CALC-022-a4999-none</t>
        </is>
      </c>
      <c r="B381" s="9" t="inlineStr">
        <is>
          <t>TC-RS-CALC-022</t>
        </is>
      </c>
      <c r="C381" s="9" t="inlineStr">
        <is>
          <t>a4999-none</t>
        </is>
      </c>
      <c r="D381" s="9" t="inlineStr">
        <is>
          <t>NOT RUN</t>
        </is>
      </c>
      <c r="E381" s="9"/>
      <c r="F381" s="9"/>
      <c r="G381" s="9"/>
      <c r="H381" s="9"/>
      <c r="I381" s="9"/>
      <c r="J381" s="9"/>
      <c r="K381" s="9"/>
      <c r="L381" s="9"/>
      <c r="M381" s="9"/>
    </row>
    <row r="382">
      <c r="A382" s="9" t="inlineStr">
        <is>
          <t>RUN-TC-RS-CALC-022-a4999-round</t>
        </is>
      </c>
      <c r="B382" s="9" t="inlineStr">
        <is>
          <t>TC-RS-CALC-022</t>
        </is>
      </c>
      <c r="C382" s="9" t="inlineStr">
        <is>
          <t>a4999-round</t>
        </is>
      </c>
      <c r="D382" s="9" t="inlineStr">
        <is>
          <t>NOT RUN</t>
        </is>
      </c>
      <c r="E382" s="9"/>
      <c r="F382" s="9"/>
      <c r="G382" s="9"/>
      <c r="H382" s="9"/>
      <c r="I382" s="9"/>
      <c r="J382" s="9"/>
      <c r="K382" s="9"/>
      <c r="L382" s="9"/>
      <c r="M382" s="9"/>
    </row>
    <row r="383">
      <c r="A383" s="9" t="inlineStr">
        <is>
          <t>RUN-TC-RS-CALC-023-a60</t>
        </is>
      </c>
      <c r="B383" s="9" t="inlineStr">
        <is>
          <t>TC-RS-CALC-023</t>
        </is>
      </c>
      <c r="C383" s="9" t="inlineStr">
        <is>
          <t>a60</t>
        </is>
      </c>
      <c r="D383" s="9" t="inlineStr">
        <is>
          <t>NOT RUN</t>
        </is>
      </c>
      <c r="E383" s="9"/>
      <c r="F383" s="9"/>
      <c r="G383" s="9"/>
      <c r="H383" s="9"/>
      <c r="I383" s="9"/>
      <c r="J383" s="9"/>
      <c r="K383" s="9"/>
      <c r="L383" s="9"/>
      <c r="M383" s="9"/>
    </row>
    <row r="384">
      <c r="A384" s="9" t="inlineStr">
        <is>
          <t>RUN-TC-RS-CALC-023-a5996</t>
        </is>
      </c>
      <c r="B384" s="9" t="inlineStr">
        <is>
          <t>TC-RS-CALC-023</t>
        </is>
      </c>
      <c r="C384" s="9" t="inlineStr">
        <is>
          <t>a5996</t>
        </is>
      </c>
      <c r="D384" s="9" t="inlineStr">
        <is>
          <t>NOT RUN</t>
        </is>
      </c>
      <c r="E384" s="9"/>
      <c r="F384" s="9"/>
      <c r="G384" s="9"/>
      <c r="H384" s="9"/>
      <c r="I384" s="9"/>
      <c r="J384" s="9"/>
      <c r="K384" s="9"/>
      <c r="L384" s="9"/>
      <c r="M384" s="9"/>
    </row>
    <row r="385">
      <c r="A385" s="9" t="inlineStr">
        <is>
          <t>RUN-TC-RS-CALC-024-r70</t>
        </is>
      </c>
      <c r="B385" s="9" t="inlineStr">
        <is>
          <t>TC-RS-CALC-024</t>
        </is>
      </c>
      <c r="C385" s="9" t="inlineStr">
        <is>
          <t>r70</t>
        </is>
      </c>
      <c r="D385" s="9" t="inlineStr">
        <is>
          <t>NOT RUN</t>
        </is>
      </c>
      <c r="E385" s="9"/>
      <c r="F385" s="9"/>
      <c r="G385" s="9"/>
      <c r="H385" s="9"/>
      <c r="I385" s="9"/>
      <c r="J385" s="9"/>
      <c r="K385" s="9"/>
      <c r="L385" s="9"/>
      <c r="M385" s="9"/>
    </row>
    <row r="386">
      <c r="A386" s="9" t="inlineStr">
        <is>
          <t>RUN-TC-RS-CALC-024-r60</t>
        </is>
      </c>
      <c r="B386" s="9" t="inlineStr">
        <is>
          <t>TC-RS-CALC-024</t>
        </is>
      </c>
      <c r="C386" s="9" t="inlineStr">
        <is>
          <t>r60</t>
        </is>
      </c>
      <c r="D386" s="9" t="inlineStr">
        <is>
          <t>NOT RUN</t>
        </is>
      </c>
      <c r="E386" s="9"/>
      <c r="F386" s="9"/>
      <c r="G386" s="9"/>
      <c r="H386" s="9"/>
      <c r="I386" s="9"/>
      <c r="J386" s="9"/>
      <c r="K386" s="9"/>
      <c r="L386" s="9"/>
      <c r="M386" s="9"/>
    </row>
    <row r="387">
      <c r="A387" s="9" t="inlineStr">
        <is>
          <t>RUN-TC-RS-CALC-025-r6499</t>
        </is>
      </c>
      <c r="B387" s="9" t="inlineStr">
        <is>
          <t>TC-RS-CALC-025</t>
        </is>
      </c>
      <c r="C387" s="9" t="inlineStr">
        <is>
          <t>r6499</t>
        </is>
      </c>
      <c r="D387" s="9" t="inlineStr">
        <is>
          <t>NOT RUN</t>
        </is>
      </c>
      <c r="E387" s="9"/>
      <c r="F387" s="9"/>
      <c r="G387" s="9"/>
      <c r="H387" s="9"/>
      <c r="I387" s="9"/>
      <c r="J387" s="9"/>
      <c r="K387" s="9"/>
      <c r="L387" s="9"/>
      <c r="M387" s="9"/>
    </row>
    <row r="388">
      <c r="A388" s="9" t="inlineStr">
        <is>
          <t>RUN-TC-RS-CALC-025-r65</t>
        </is>
      </c>
      <c r="B388" s="9" t="inlineStr">
        <is>
          <t>TC-RS-CALC-025</t>
        </is>
      </c>
      <c r="C388" s="9" t="inlineStr">
        <is>
          <t>r65</t>
        </is>
      </c>
      <c r="D388" s="9" t="inlineStr">
        <is>
          <t>NOT RUN</t>
        </is>
      </c>
      <c r="E388" s="9"/>
      <c r="F388" s="9"/>
      <c r="G388" s="9"/>
      <c r="H388" s="9"/>
      <c r="I388" s="9"/>
      <c r="J388" s="9"/>
      <c r="K388" s="9"/>
      <c r="L388" s="9"/>
      <c r="M388" s="9"/>
    </row>
    <row r="389">
      <c r="A389" s="9" t="inlineStr">
        <is>
          <t>RUN-TC-RS-CALC-026-Base</t>
        </is>
      </c>
      <c r="B389" s="9" t="inlineStr">
        <is>
          <t>TC-RS-CALC-026</t>
        </is>
      </c>
      <c r="C389" s="9" t="inlineStr">
        <is>
          <t>Base</t>
        </is>
      </c>
      <c r="D389" s="9" t="inlineStr">
        <is>
          <t>NOT RUN</t>
        </is>
      </c>
      <c r="E389" s="9"/>
      <c r="F389" s="9"/>
      <c r="G389" s="9"/>
      <c r="H389" s="9"/>
      <c r="I389" s="9"/>
      <c r="J389" s="9"/>
      <c r="K389" s="9"/>
      <c r="L389" s="9"/>
      <c r="M389" s="9"/>
    </row>
    <row r="390">
      <c r="A390" s="9" t="inlineStr">
        <is>
          <t>RUN-TC-RS-CALC-027-Base</t>
        </is>
      </c>
      <c r="B390" s="9" t="inlineStr">
        <is>
          <t>TC-RS-CALC-027</t>
        </is>
      </c>
      <c r="C390" s="9" t="inlineStr">
        <is>
          <t>Base</t>
        </is>
      </c>
      <c r="D390" s="9" t="inlineStr">
        <is>
          <t>NOT RUN</t>
        </is>
      </c>
      <c r="E390" s="9"/>
      <c r="F390" s="9"/>
      <c r="G390" s="9"/>
      <c r="H390" s="9"/>
      <c r="I390" s="9"/>
      <c r="J390" s="9"/>
      <c r="K390" s="9"/>
      <c r="L390" s="9"/>
      <c r="M390" s="9"/>
    </row>
    <row r="391">
      <c r="A391" s="9" t="inlineStr">
        <is>
          <t>RUN-TC-RS-CALC-028-multiply-lt</t>
        </is>
      </c>
      <c r="B391" s="9" t="inlineStr">
        <is>
          <t>TC-RS-CALC-028</t>
        </is>
      </c>
      <c r="C391" s="9" t="inlineStr">
        <is>
          <t>multiply-lt</t>
        </is>
      </c>
      <c r="D391" s="9" t="inlineStr">
        <is>
          <t>NOT RUN</t>
        </is>
      </c>
      <c r="E391" s="9"/>
      <c r="F391" s="9"/>
      <c r="G391" s="9"/>
      <c r="H391" s="9"/>
      <c r="I391" s="9"/>
      <c r="J391" s="9"/>
      <c r="K391" s="9"/>
      <c r="L391" s="9"/>
      <c r="M391" s="9"/>
    </row>
    <row r="392">
      <c r="A392" s="9" t="inlineStr">
        <is>
          <t>RUN-TC-RS-CALC-028-multiply-le</t>
        </is>
      </c>
      <c r="B392" s="9" t="inlineStr">
        <is>
          <t>TC-RS-CALC-028</t>
        </is>
      </c>
      <c r="C392" s="9" t="inlineStr">
        <is>
          <t>multiply-le</t>
        </is>
      </c>
      <c r="D392" s="9" t="inlineStr">
        <is>
          <t>NOT RUN</t>
        </is>
      </c>
      <c r="E392" s="9"/>
      <c r="F392" s="9"/>
      <c r="G392" s="9"/>
      <c r="H392" s="9"/>
      <c r="I392" s="9"/>
      <c r="J392" s="9"/>
      <c r="K392" s="9"/>
      <c r="L392" s="9"/>
      <c r="M392" s="9"/>
    </row>
    <row r="393">
      <c r="A393" s="9" t="inlineStr">
        <is>
          <t>RUN-TC-RS-CALC-028-add-lt</t>
        </is>
      </c>
      <c r="B393" s="9" t="inlineStr">
        <is>
          <t>TC-RS-CALC-028</t>
        </is>
      </c>
      <c r="C393" s="9" t="inlineStr">
        <is>
          <t>add-lt</t>
        </is>
      </c>
      <c r="D393" s="9" t="inlineStr">
        <is>
          <t>NOT RUN</t>
        </is>
      </c>
      <c r="E393" s="9"/>
      <c r="F393" s="9"/>
      <c r="G393" s="9"/>
      <c r="H393" s="9"/>
      <c r="I393" s="9"/>
      <c r="J393" s="9"/>
      <c r="K393" s="9"/>
      <c r="L393" s="9"/>
      <c r="M393" s="9"/>
    </row>
    <row r="394">
      <c r="A394" s="9" t="inlineStr">
        <is>
          <t>RUN-TC-RS-CALC-028-add-le</t>
        </is>
      </c>
      <c r="B394" s="9" t="inlineStr">
        <is>
          <t>TC-RS-CALC-028</t>
        </is>
      </c>
      <c r="C394" s="9" t="inlineStr">
        <is>
          <t>add-le</t>
        </is>
      </c>
      <c r="D394" s="9" t="inlineStr">
        <is>
          <t>NOT RUN</t>
        </is>
      </c>
      <c r="E394" s="9"/>
      <c r="F394" s="9"/>
      <c r="G394" s="9"/>
      <c r="H394" s="9"/>
      <c r="I394" s="9"/>
      <c r="J394" s="9"/>
      <c r="K394" s="9"/>
      <c r="L394" s="9"/>
      <c r="M394" s="9"/>
    </row>
    <row r="395">
      <c r="A395" s="9" t="inlineStr">
        <is>
          <t>RUN-TC-RS-CALC-029-constant</t>
        </is>
      </c>
      <c r="B395" s="9" t="inlineStr">
        <is>
          <t>TC-RS-CALC-029</t>
        </is>
      </c>
      <c r="C395" s="9" t="inlineStr">
        <is>
          <t>constant</t>
        </is>
      </c>
      <c r="D395" s="9" t="inlineStr">
        <is>
          <t>NOT RUN</t>
        </is>
      </c>
      <c r="E395" s="9"/>
      <c r="F395" s="9"/>
      <c r="G395" s="9"/>
      <c r="H395" s="9"/>
      <c r="I395" s="9"/>
      <c r="J395" s="9"/>
      <c r="K395" s="9"/>
      <c r="L395" s="9"/>
      <c r="M395" s="9"/>
    </row>
    <row r="396">
      <c r="A396" s="9" t="inlineStr">
        <is>
          <t>RUN-TC-RS-CALC-029-divisor</t>
        </is>
      </c>
      <c r="B396" s="9" t="inlineStr">
        <is>
          <t>TC-RS-CALC-029</t>
        </is>
      </c>
      <c r="C396" s="9" t="inlineStr">
        <is>
          <t>divisor</t>
        </is>
      </c>
      <c r="D396" s="9" t="inlineStr">
        <is>
          <t>NOT RUN</t>
        </is>
      </c>
      <c r="E396" s="9"/>
      <c r="F396" s="9"/>
      <c r="G396" s="9"/>
      <c r="H396" s="9"/>
      <c r="I396" s="9"/>
      <c r="J396" s="9"/>
      <c r="K396" s="9"/>
      <c r="L396" s="9"/>
      <c r="M396" s="9"/>
    </row>
    <row r="397">
      <c r="A397" s="9" t="inlineStr">
        <is>
          <t>RUN-TC-RS-CALC-029-overflow</t>
        </is>
      </c>
      <c r="B397" s="9" t="inlineStr">
        <is>
          <t>TC-RS-CALC-029</t>
        </is>
      </c>
      <c r="C397" s="9" t="inlineStr">
        <is>
          <t>overflow</t>
        </is>
      </c>
      <c r="D397" s="9" t="inlineStr">
        <is>
          <t>NOT RUN</t>
        </is>
      </c>
      <c r="E397" s="9"/>
      <c r="F397" s="9"/>
      <c r="G397" s="9"/>
      <c r="H397" s="9"/>
      <c r="I397" s="9"/>
      <c r="J397" s="9"/>
      <c r="K397" s="9"/>
      <c r="L397" s="9"/>
      <c r="M397" s="9"/>
    </row>
    <row r="398">
      <c r="A398" s="9" t="inlineStr">
        <is>
          <t>RUN-TC-RS-CALC-030-lt</t>
        </is>
      </c>
      <c r="B398" s="9" t="inlineStr">
        <is>
          <t>TC-RS-CALC-030</t>
        </is>
      </c>
      <c r="C398" s="9" t="inlineStr">
        <is>
          <t>lt</t>
        </is>
      </c>
      <c r="D398" s="9" t="inlineStr">
        <is>
          <t>NOT RUN</t>
        </is>
      </c>
      <c r="E398" s="9"/>
      <c r="F398" s="9"/>
      <c r="G398" s="9"/>
      <c r="H398" s="9"/>
      <c r="I398" s="9"/>
      <c r="J398" s="9"/>
      <c r="K398" s="9"/>
      <c r="L398" s="9"/>
      <c r="M398" s="9"/>
    </row>
    <row r="399">
      <c r="A399" s="9" t="inlineStr">
        <is>
          <t>RUN-TC-RS-CALC-030-le</t>
        </is>
      </c>
      <c r="B399" s="9" t="inlineStr">
        <is>
          <t>TC-RS-CALC-030</t>
        </is>
      </c>
      <c r="C399" s="9" t="inlineStr">
        <is>
          <t>le</t>
        </is>
      </c>
      <c r="D399" s="9" t="inlineStr">
        <is>
          <t>NOT RUN</t>
        </is>
      </c>
      <c r="E399" s="9"/>
      <c r="F399" s="9"/>
      <c r="G399" s="9"/>
      <c r="H399" s="9"/>
      <c r="I399" s="9"/>
      <c r="J399" s="9"/>
      <c r="K399" s="9"/>
      <c r="L399" s="9"/>
      <c r="M399" s="9"/>
    </row>
    <row r="400">
      <c r="A400" s="9" t="inlineStr">
        <is>
          <t>RUN-TC-RS-CALC-031-zero-maximum</t>
        </is>
      </c>
      <c r="B400" s="9" t="inlineStr">
        <is>
          <t>TC-RS-CALC-031</t>
        </is>
      </c>
      <c r="C400" s="9" t="inlineStr">
        <is>
          <t>zero-maximum</t>
        </is>
      </c>
      <c r="D400" s="9" t="inlineStr">
        <is>
          <t>NOT RUN</t>
        </is>
      </c>
      <c r="E400" s="9"/>
      <c r="F400" s="9"/>
      <c r="G400" s="9"/>
      <c r="H400" s="9"/>
      <c r="I400" s="9"/>
      <c r="J400" s="9"/>
      <c r="K400" s="9"/>
      <c r="L400" s="9"/>
      <c r="M400" s="9"/>
    </row>
    <row r="401">
      <c r="A401" s="9" t="inlineStr">
        <is>
          <t>RUN-TC-RS-CALC-031-zero-count</t>
        </is>
      </c>
      <c r="B401" s="9" t="inlineStr">
        <is>
          <t>TC-RS-CALC-031</t>
        </is>
      </c>
      <c r="C401" s="9" t="inlineStr">
        <is>
          <t>zero-count</t>
        </is>
      </c>
      <c r="D401" s="9" t="inlineStr">
        <is>
          <t>NOT RUN</t>
        </is>
      </c>
      <c r="E401" s="9"/>
      <c r="F401" s="9"/>
      <c r="G401" s="9"/>
      <c r="H401" s="9"/>
      <c r="I401" s="9"/>
      <c r="J401" s="9"/>
      <c r="K401" s="9"/>
      <c r="L401" s="9"/>
      <c r="M401" s="9"/>
    </row>
    <row r="402">
      <c r="A402" s="9" t="inlineStr">
        <is>
          <t>RUN-TC-RS-CALC-032-Base</t>
        </is>
      </c>
      <c r="B402" s="9" t="inlineStr">
        <is>
          <t>TC-RS-CALC-032</t>
        </is>
      </c>
      <c r="C402" s="9" t="inlineStr">
        <is>
          <t>Base</t>
        </is>
      </c>
      <c r="D402" s="9" t="inlineStr">
        <is>
          <t>NOT RUN</t>
        </is>
      </c>
      <c r="E402" s="9"/>
      <c r="F402" s="9"/>
      <c r="G402" s="9"/>
      <c r="H402" s="9"/>
      <c r="I402" s="9"/>
      <c r="J402" s="9"/>
      <c r="K402" s="9"/>
      <c r="L402" s="9"/>
      <c r="M402" s="9"/>
    </row>
    <row r="403">
      <c r="A403" s="9" t="inlineStr">
        <is>
          <t>RUN-TC-RS-UI-001-Base</t>
        </is>
      </c>
      <c r="B403" s="9" t="inlineStr">
        <is>
          <t>TC-RS-UI-001</t>
        </is>
      </c>
      <c r="C403" s="9" t="inlineStr">
        <is>
          <t>Base</t>
        </is>
      </c>
      <c r="D403" s="9" t="inlineStr">
        <is>
          <t>NOT RUN</t>
        </is>
      </c>
      <c r="E403" s="9"/>
      <c r="F403" s="9"/>
      <c r="G403" s="9"/>
      <c r="H403" s="9"/>
      <c r="I403" s="9"/>
      <c r="J403" s="9"/>
      <c r="K403" s="9"/>
      <c r="L403" s="9"/>
      <c r="M403" s="9"/>
    </row>
    <row r="404">
      <c r="A404" s="9" t="inlineStr">
        <is>
          <t>RUN-TC-RS-UI-002-Base</t>
        </is>
      </c>
      <c r="B404" s="9" t="inlineStr">
        <is>
          <t>TC-RS-UI-002</t>
        </is>
      </c>
      <c r="C404" s="9" t="inlineStr">
        <is>
          <t>Base</t>
        </is>
      </c>
      <c r="D404" s="9" t="inlineStr">
        <is>
          <t>NOT RUN</t>
        </is>
      </c>
      <c r="E404" s="9"/>
      <c r="F404" s="9"/>
      <c r="G404" s="9"/>
      <c r="H404" s="9"/>
      <c r="I404" s="9"/>
      <c r="J404" s="9"/>
      <c r="K404" s="9"/>
      <c r="L404" s="9"/>
      <c r="M404" s="9"/>
    </row>
    <row r="405">
      <c r="A405" s="9" t="inlineStr">
        <is>
          <t>RUN-TC-RS-UI-003-Base</t>
        </is>
      </c>
      <c r="B405" s="9" t="inlineStr">
        <is>
          <t>TC-RS-UI-003</t>
        </is>
      </c>
      <c r="C405" s="9" t="inlineStr">
        <is>
          <t>Base</t>
        </is>
      </c>
      <c r="D405" s="9" t="inlineStr">
        <is>
          <t>NOT RUN</t>
        </is>
      </c>
      <c r="E405" s="9"/>
      <c r="F405" s="9"/>
      <c r="G405" s="9"/>
      <c r="H405" s="9"/>
      <c r="I405" s="9"/>
      <c r="J405" s="9"/>
      <c r="K405" s="9"/>
      <c r="L405" s="9"/>
      <c r="M405" s="9"/>
    </row>
    <row r="406">
      <c r="A406" s="9" t="inlineStr">
        <is>
          <t>RUN-TC-RS-UI-004-Base</t>
        </is>
      </c>
      <c r="B406" s="9" t="inlineStr">
        <is>
          <t>TC-RS-UI-004</t>
        </is>
      </c>
      <c r="C406" s="9" t="inlineStr">
        <is>
          <t>Base</t>
        </is>
      </c>
      <c r="D406" s="9" t="inlineStr">
        <is>
          <t>NOT RUN</t>
        </is>
      </c>
      <c r="E406" s="9"/>
      <c r="F406" s="9"/>
      <c r="G406" s="9"/>
      <c r="H406" s="9"/>
      <c r="I406" s="9"/>
      <c r="J406" s="9"/>
      <c r="K406" s="9"/>
      <c r="L406" s="9"/>
      <c r="M406" s="9"/>
    </row>
    <row r="407">
      <c r="A407" s="9" t="inlineStr">
        <is>
          <t>RUN-TC-RS-UI-005-Base</t>
        </is>
      </c>
      <c r="B407" s="9" t="inlineStr">
        <is>
          <t>TC-RS-UI-005</t>
        </is>
      </c>
      <c r="C407" s="9" t="inlineStr">
        <is>
          <t>Base</t>
        </is>
      </c>
      <c r="D407" s="9" t="inlineStr">
        <is>
          <t>NOT RUN</t>
        </is>
      </c>
      <c r="E407" s="9"/>
      <c r="F407" s="9"/>
      <c r="G407" s="9"/>
      <c r="H407" s="9"/>
      <c r="I407" s="9"/>
      <c r="J407" s="9"/>
      <c r="K407" s="9"/>
      <c r="L407" s="9"/>
      <c r="M407" s="9"/>
    </row>
    <row r="408">
      <c r="A408" s="9" t="inlineStr">
        <is>
          <t>RUN-TC-RS-UI-006-Base</t>
        </is>
      </c>
      <c r="B408" s="9" t="inlineStr">
        <is>
          <t>TC-RS-UI-006</t>
        </is>
      </c>
      <c r="C408" s="9" t="inlineStr">
        <is>
          <t>Base</t>
        </is>
      </c>
      <c r="D408" s="9" t="inlineStr">
        <is>
          <t>NOT RUN</t>
        </is>
      </c>
      <c r="E408" s="9"/>
      <c r="F408" s="9"/>
      <c r="G408" s="9"/>
      <c r="H408" s="9"/>
      <c r="I408" s="9"/>
      <c r="J408" s="9"/>
      <c r="K408" s="9"/>
      <c r="L408" s="9"/>
      <c r="M408" s="9"/>
    </row>
    <row r="409">
      <c r="A409" s="9" t="inlineStr">
        <is>
          <t>RUN-TC-RS-UI-007-incomplete-row</t>
        </is>
      </c>
      <c r="B409" s="9" t="inlineStr">
        <is>
          <t>TC-RS-UI-007</t>
        </is>
      </c>
      <c r="C409" s="9" t="inlineStr">
        <is>
          <t>incomplete-row</t>
        </is>
      </c>
      <c r="D409" s="9" t="inlineStr">
        <is>
          <t>NOT RUN</t>
        </is>
      </c>
      <c r="E409" s="9"/>
      <c r="F409" s="9"/>
      <c r="G409" s="9"/>
      <c r="H409" s="9"/>
      <c r="I409" s="9"/>
      <c r="J409" s="9"/>
      <c r="K409" s="9"/>
      <c r="L409" s="9"/>
      <c r="M409" s="9"/>
    </row>
    <row r="410">
      <c r="A410" s="9" t="inlineStr">
        <is>
          <t>RUN-TC-RS-UI-007-incomplete-deleted-stale</t>
        </is>
      </c>
      <c r="B410" s="9" t="inlineStr">
        <is>
          <t>TC-RS-UI-007</t>
        </is>
      </c>
      <c r="C410" s="9" t="inlineStr">
        <is>
          <t>incomplete-deleted-stale</t>
        </is>
      </c>
      <c r="D410" s="9" t="inlineStr">
        <is>
          <t>NOT RUN</t>
        </is>
      </c>
      <c r="E410" s="9"/>
      <c r="F410" s="9"/>
      <c r="G410" s="9"/>
      <c r="H410" s="9"/>
      <c r="I410" s="9"/>
      <c r="J410" s="9"/>
      <c r="K410" s="9"/>
      <c r="L410" s="9"/>
      <c r="M410" s="9"/>
    </row>
    <row r="411">
      <c r="A411" s="9" t="inlineStr">
        <is>
          <t>RUN-TC-RS-UI-008-Base</t>
        </is>
      </c>
      <c r="B411" s="9" t="inlineStr">
        <is>
          <t>TC-RS-UI-008</t>
        </is>
      </c>
      <c r="C411" s="9" t="inlineStr">
        <is>
          <t>Base</t>
        </is>
      </c>
      <c r="D411" s="9" t="inlineStr">
        <is>
          <t>NOT RUN</t>
        </is>
      </c>
      <c r="E411" s="9"/>
      <c r="F411" s="9"/>
      <c r="G411" s="9"/>
      <c r="H411" s="9"/>
      <c r="I411" s="9"/>
      <c r="J411" s="9"/>
      <c r="K411" s="9"/>
      <c r="L411" s="9"/>
      <c r="M411" s="9"/>
    </row>
    <row r="412">
      <c r="A412" s="9" t="inlineStr">
        <is>
          <t>RUN-TC-RS-UI-009-Base</t>
        </is>
      </c>
      <c r="B412" s="9" t="inlineStr">
        <is>
          <t>TC-RS-UI-009</t>
        </is>
      </c>
      <c r="C412" s="9" t="inlineStr">
        <is>
          <t>Base</t>
        </is>
      </c>
      <c r="D412" s="9" t="inlineStr">
        <is>
          <t>NOT RUN</t>
        </is>
      </c>
      <c r="E412" s="9"/>
      <c r="F412" s="9"/>
      <c r="G412" s="9"/>
      <c r="H412" s="9"/>
      <c r="I412" s="9"/>
      <c r="J412" s="9"/>
      <c r="K412" s="9"/>
      <c r="L412" s="9"/>
      <c r="M412" s="9"/>
    </row>
    <row r="413">
      <c r="A413" s="9" t="inlineStr">
        <is>
          <t>RUN-TC-RS-UI-010-Base</t>
        </is>
      </c>
      <c r="B413" s="9" t="inlineStr">
        <is>
          <t>TC-RS-UI-010</t>
        </is>
      </c>
      <c r="C413" s="9" t="inlineStr">
        <is>
          <t>Base</t>
        </is>
      </c>
      <c r="D413" s="9" t="inlineStr">
        <is>
          <t>NOT RUN</t>
        </is>
      </c>
      <c r="E413" s="9"/>
      <c r="F413" s="9"/>
      <c r="G413" s="9"/>
      <c r="H413" s="9"/>
      <c r="I413" s="9"/>
      <c r="J413" s="9"/>
      <c r="K413" s="9"/>
      <c r="L413" s="9"/>
      <c r="M413" s="9"/>
    </row>
    <row r="414">
      <c r="A414" s="9" t="inlineStr">
        <is>
          <t>RUN-TC-RS-UI-011-lt</t>
        </is>
      </c>
      <c r="B414" s="9" t="inlineStr">
        <is>
          <t>TC-RS-UI-011</t>
        </is>
      </c>
      <c r="C414" s="9" t="inlineStr">
        <is>
          <t>lt</t>
        </is>
      </c>
      <c r="D414" s="9" t="inlineStr">
        <is>
          <t>NOT RUN</t>
        </is>
      </c>
      <c r="E414" s="9"/>
      <c r="F414" s="9"/>
      <c r="G414" s="9"/>
      <c r="H414" s="9"/>
      <c r="I414" s="9"/>
      <c r="J414" s="9"/>
      <c r="K414" s="9"/>
      <c r="L414" s="9"/>
      <c r="M414" s="9"/>
    </row>
    <row r="415">
      <c r="A415" s="9" t="inlineStr">
        <is>
          <t>RUN-TC-RS-UI-011-le</t>
        </is>
      </c>
      <c r="B415" s="9" t="inlineStr">
        <is>
          <t>TC-RS-UI-011</t>
        </is>
      </c>
      <c r="C415" s="9" t="inlineStr">
        <is>
          <t>le</t>
        </is>
      </c>
      <c r="D415" s="9" t="inlineStr">
        <is>
          <t>NOT RUN</t>
        </is>
      </c>
      <c r="E415" s="9"/>
      <c r="F415" s="9"/>
      <c r="G415" s="9"/>
      <c r="H415" s="9"/>
      <c r="I415" s="9"/>
      <c r="J415" s="9"/>
      <c r="K415" s="9"/>
      <c r="L415" s="9"/>
      <c r="M415" s="9"/>
    </row>
    <row r="416">
      <c r="A416" s="9" t="inlineStr">
        <is>
          <t>RUN-TC-RS-UI-012-Base</t>
        </is>
      </c>
      <c r="B416" s="9" t="inlineStr">
        <is>
          <t>TC-RS-UI-012</t>
        </is>
      </c>
      <c r="C416" s="9" t="inlineStr">
        <is>
          <t>Base</t>
        </is>
      </c>
      <c r="D416" s="9" t="inlineStr">
        <is>
          <t>NOT RUN</t>
        </is>
      </c>
      <c r="E416" s="9"/>
      <c r="F416" s="9"/>
      <c r="G416" s="9"/>
      <c r="H416" s="9"/>
      <c r="I416" s="9"/>
      <c r="J416" s="9"/>
      <c r="K416" s="9"/>
      <c r="L416" s="9"/>
      <c r="M416" s="9"/>
    </row>
    <row r="417">
      <c r="A417" s="9" t="inlineStr">
        <is>
          <t>RUN-TC-RS-UI-013-Base</t>
        </is>
      </c>
      <c r="B417" s="9" t="inlineStr">
        <is>
          <t>TC-RS-UI-013</t>
        </is>
      </c>
      <c r="C417" s="9" t="inlineStr">
        <is>
          <t>Base</t>
        </is>
      </c>
      <c r="D417" s="9" t="inlineStr">
        <is>
          <t>NOT RUN</t>
        </is>
      </c>
      <c r="E417" s="9"/>
      <c r="F417" s="9"/>
      <c r="G417" s="9"/>
      <c r="H417" s="9"/>
      <c r="I417" s="9"/>
      <c r="J417" s="9"/>
      <c r="K417" s="9"/>
      <c r="L417" s="9"/>
      <c r="M417" s="9"/>
    </row>
    <row r="418">
      <c r="A418" s="9" t="inlineStr">
        <is>
          <t>RUN-TC-RS-UI-014-Base</t>
        </is>
      </c>
      <c r="B418" s="9" t="inlineStr">
        <is>
          <t>TC-RS-UI-014</t>
        </is>
      </c>
      <c r="C418" s="9" t="inlineStr">
        <is>
          <t>Base</t>
        </is>
      </c>
      <c r="D418" s="9" t="inlineStr">
        <is>
          <t>NOT RUN</t>
        </is>
      </c>
      <c r="E418" s="9"/>
      <c r="F418" s="9"/>
      <c r="G418" s="9"/>
      <c r="H418" s="9"/>
      <c r="I418" s="9"/>
      <c r="J418" s="9"/>
      <c r="K418" s="9"/>
      <c r="L418" s="9"/>
      <c r="M418" s="9"/>
    </row>
    <row r="419">
      <c r="A419" s="9" t="inlineStr">
        <is>
          <t>RUN-TC-RS-UI-015-Base</t>
        </is>
      </c>
      <c r="B419" s="9" t="inlineStr">
        <is>
          <t>TC-RS-UI-015</t>
        </is>
      </c>
      <c r="C419" s="9" t="inlineStr">
        <is>
          <t>Base</t>
        </is>
      </c>
      <c r="D419" s="9" t="inlineStr">
        <is>
          <t>NOT RUN</t>
        </is>
      </c>
      <c r="E419" s="9"/>
      <c r="F419" s="9"/>
      <c r="G419" s="9"/>
      <c r="H419" s="9"/>
      <c r="I419" s="9"/>
      <c r="J419" s="9"/>
      <c r="K419" s="9"/>
      <c r="L419" s="9"/>
      <c r="M419" s="9"/>
    </row>
    <row r="420">
      <c r="A420" s="9" t="inlineStr">
        <is>
          <t>RUN-TC-RS-UI-016-Base</t>
        </is>
      </c>
      <c r="B420" s="9" t="inlineStr">
        <is>
          <t>TC-RS-UI-016</t>
        </is>
      </c>
      <c r="C420" s="9" t="inlineStr">
        <is>
          <t>Base</t>
        </is>
      </c>
      <c r="D420" s="9" t="inlineStr">
        <is>
          <t>NOT RUN</t>
        </is>
      </c>
      <c r="E420" s="9"/>
      <c r="F420" s="9"/>
      <c r="G420" s="9"/>
      <c r="H420" s="9"/>
      <c r="I420" s="9"/>
      <c r="J420" s="9"/>
      <c r="K420" s="9"/>
      <c r="L420" s="9"/>
      <c r="M420" s="9"/>
    </row>
    <row r="421">
      <c r="A421" s="9" t="inlineStr">
        <is>
          <t>RUN-TC-RS-UI-017-maximum</t>
        </is>
      </c>
      <c r="B421" s="9" t="inlineStr">
        <is>
          <t>TC-RS-UI-017</t>
        </is>
      </c>
      <c r="C421" s="9" t="inlineStr">
        <is>
          <t>maximum</t>
        </is>
      </c>
      <c r="D421" s="9" t="inlineStr">
        <is>
          <t>NOT RUN</t>
        </is>
      </c>
      <c r="E421" s="9"/>
      <c r="F421" s="9"/>
      <c r="G421" s="9"/>
      <c r="H421" s="9"/>
      <c r="I421" s="9"/>
      <c r="J421" s="9"/>
      <c r="K421" s="9"/>
      <c r="L421" s="9"/>
      <c r="M421" s="9"/>
    </row>
    <row r="422">
      <c r="A422" s="9" t="inlineStr">
        <is>
          <t>RUN-TC-RS-UI-017-divide-zero</t>
        </is>
      </c>
      <c r="B422" s="9" t="inlineStr">
        <is>
          <t>TC-RS-UI-017</t>
        </is>
      </c>
      <c r="C422" s="9" t="inlineStr">
        <is>
          <t>divide-zero</t>
        </is>
      </c>
      <c r="D422" s="9" t="inlineStr">
        <is>
          <t>NOT RUN</t>
        </is>
      </c>
      <c r="E422" s="9"/>
      <c r="F422" s="9"/>
      <c r="G422" s="9"/>
      <c r="H422" s="9"/>
      <c r="I422" s="9"/>
      <c r="J422" s="9"/>
      <c r="K422" s="9"/>
      <c r="L422" s="9"/>
      <c r="M422" s="9"/>
    </row>
    <row r="423">
      <c r="A423" s="9" t="inlineStr">
        <is>
          <t>RUN-TC-RS-UI-018-Base</t>
        </is>
      </c>
      <c r="B423" s="9" t="inlineStr">
        <is>
          <t>TC-RS-UI-018</t>
        </is>
      </c>
      <c r="C423" s="9" t="inlineStr">
        <is>
          <t>Base</t>
        </is>
      </c>
      <c r="D423" s="9" t="inlineStr">
        <is>
          <t>NOT RUN</t>
        </is>
      </c>
      <c r="E423" s="9"/>
      <c r="F423" s="9"/>
      <c r="G423" s="9"/>
      <c r="H423" s="9"/>
      <c r="I423" s="9"/>
      <c r="J423" s="9"/>
      <c r="K423" s="9"/>
      <c r="L423" s="9"/>
      <c r="M423" s="9"/>
    </row>
    <row r="424">
      <c r="A424" s="9" t="inlineStr">
        <is>
          <t>RUN-TC-RS-UI-019-missing</t>
        </is>
      </c>
      <c r="B424" s="9" t="inlineStr">
        <is>
          <t>TC-RS-UI-019</t>
        </is>
      </c>
      <c r="C424" s="9" t="inlineStr">
        <is>
          <t>missing</t>
        </is>
      </c>
      <c r="D424" s="9" t="inlineStr">
        <is>
          <t>NOT RUN</t>
        </is>
      </c>
      <c r="E424" s="9"/>
      <c r="F424" s="9"/>
      <c r="G424" s="9"/>
      <c r="H424" s="9"/>
      <c r="I424" s="9"/>
      <c r="J424" s="9"/>
      <c r="K424" s="9"/>
      <c r="L424" s="9"/>
      <c r="M424" s="9"/>
    </row>
    <row r="425">
      <c r="A425" s="9" t="inlineStr">
        <is>
          <t>RUN-TC-RS-UI-019-partial</t>
        </is>
      </c>
      <c r="B425" s="9" t="inlineStr">
        <is>
          <t>TC-RS-UI-019</t>
        </is>
      </c>
      <c r="C425" s="9" t="inlineStr">
        <is>
          <t>partial</t>
        </is>
      </c>
      <c r="D425" s="9" t="inlineStr">
        <is>
          <t>NOT RUN</t>
        </is>
      </c>
      <c r="E425" s="9"/>
      <c r="F425" s="9"/>
      <c r="G425" s="9"/>
      <c r="H425" s="9"/>
      <c r="I425" s="9"/>
      <c r="J425" s="9"/>
      <c r="K425" s="9"/>
      <c r="L425" s="9"/>
      <c r="M425" s="9"/>
    </row>
    <row r="426">
      <c r="A426" s="9" t="inlineStr">
        <is>
          <t>RUN-TC-RS-UI-020-Base</t>
        </is>
      </c>
      <c r="B426" s="9" t="inlineStr">
        <is>
          <t>TC-RS-UI-020</t>
        </is>
      </c>
      <c r="C426" s="9" t="inlineStr">
        <is>
          <t>Base</t>
        </is>
      </c>
      <c r="D426" s="9" t="inlineStr">
        <is>
          <t>NOT RUN</t>
        </is>
      </c>
      <c r="E426" s="9"/>
      <c r="F426" s="9"/>
      <c r="G426" s="9"/>
      <c r="H426" s="9"/>
      <c r="I426" s="9"/>
      <c r="J426" s="9"/>
      <c r="K426" s="9"/>
      <c r="L426" s="9"/>
      <c r="M426" s="9"/>
    </row>
    <row r="427">
      <c r="A427" s="9" t="inlineStr">
        <is>
          <t>RUN-TC-RS-UI-021-empty</t>
        </is>
      </c>
      <c r="B427" s="9" t="inlineStr">
        <is>
          <t>TC-RS-UI-021</t>
        </is>
      </c>
      <c r="C427" s="9" t="inlineStr">
        <is>
          <t>empty</t>
        </is>
      </c>
      <c r="D427" s="9" t="inlineStr">
        <is>
          <t>NOT RUN</t>
        </is>
      </c>
      <c r="E427" s="9"/>
      <c r="F427" s="9"/>
      <c r="G427" s="9"/>
      <c r="H427" s="9"/>
      <c r="I427" s="9"/>
      <c r="J427" s="9"/>
      <c r="K427" s="9"/>
      <c r="L427" s="9"/>
      <c r="M427" s="9"/>
    </row>
    <row r="428">
      <c r="A428" s="9" t="inlineStr">
        <is>
          <t>RUN-TC-RS-UI-021-decimal</t>
        </is>
      </c>
      <c r="B428" s="9" t="inlineStr">
        <is>
          <t>TC-RS-UI-021</t>
        </is>
      </c>
      <c r="C428" s="9" t="inlineStr">
        <is>
          <t>decimal</t>
        </is>
      </c>
      <c r="D428" s="9" t="inlineStr">
        <is>
          <t>NOT RUN</t>
        </is>
      </c>
      <c r="E428" s="9"/>
      <c r="F428" s="9"/>
      <c r="G428" s="9"/>
      <c r="H428" s="9"/>
      <c r="I428" s="9"/>
      <c r="J428" s="9"/>
      <c r="K428" s="9"/>
      <c r="L428" s="9"/>
      <c r="M428" s="9"/>
    </row>
    <row r="429">
      <c r="A429" s="9" t="inlineStr">
        <is>
          <t>RUN-TC-RS-UI-022-Base</t>
        </is>
      </c>
      <c r="B429" s="9" t="inlineStr">
        <is>
          <t>TC-RS-UI-022</t>
        </is>
      </c>
      <c r="C429" s="9" t="inlineStr">
        <is>
          <t>Base</t>
        </is>
      </c>
      <c r="D429" s="9" t="inlineStr">
        <is>
          <t>NOT RUN</t>
        </is>
      </c>
      <c r="E429" s="9"/>
      <c r="F429" s="9"/>
      <c r="G429" s="9"/>
      <c r="H429" s="9"/>
      <c r="I429" s="9"/>
      <c r="J429" s="9"/>
      <c r="K429" s="9"/>
      <c r="L429" s="9"/>
      <c r="M429" s="9"/>
    </row>
    <row r="430">
      <c r="A430" s="9" t="inlineStr">
        <is>
          <t>RUN-TC-RS-UI-023-Base</t>
        </is>
      </c>
      <c r="B430" s="9" t="inlineStr">
        <is>
          <t>TC-RS-UI-023</t>
        </is>
      </c>
      <c r="C430" s="9" t="inlineStr">
        <is>
          <t>Base</t>
        </is>
      </c>
      <c r="D430" s="9" t="inlineStr">
        <is>
          <t>NOT RUN</t>
        </is>
      </c>
      <c r="E430" s="9"/>
      <c r="F430" s="9"/>
      <c r="G430" s="9"/>
      <c r="H430" s="9"/>
      <c r="I430" s="9"/>
      <c r="J430" s="9"/>
      <c r="K430" s="9"/>
      <c r="L430" s="9"/>
      <c r="M430" s="9"/>
    </row>
    <row r="431">
      <c r="A431" s="9" t="inlineStr">
        <is>
          <t>RUN-TC-RS-UI-024-Base</t>
        </is>
      </c>
      <c r="B431" s="9" t="inlineStr">
        <is>
          <t>TC-RS-UI-024</t>
        </is>
      </c>
      <c r="C431" s="9" t="inlineStr">
        <is>
          <t>Base</t>
        </is>
      </c>
      <c r="D431" s="9" t="inlineStr">
        <is>
          <t>NOT RUN</t>
        </is>
      </c>
      <c r="E431" s="9"/>
      <c r="F431" s="9"/>
      <c r="G431" s="9"/>
      <c r="H431" s="9"/>
      <c r="I431" s="9"/>
      <c r="J431" s="9"/>
      <c r="K431" s="9"/>
      <c r="L431" s="9"/>
      <c r="M431" s="9"/>
    </row>
    <row r="432">
      <c r="A432" s="9" t="inlineStr">
        <is>
          <t>RUN-TC-RS-UI-026-Base</t>
        </is>
      </c>
      <c r="B432" s="9" t="inlineStr">
        <is>
          <t>TC-RS-UI-026</t>
        </is>
      </c>
      <c r="C432" s="9" t="inlineStr">
        <is>
          <t>Base</t>
        </is>
      </c>
      <c r="D432" s="9" t="inlineStr">
        <is>
          <t>NOT RUN</t>
        </is>
      </c>
      <c r="E432" s="9"/>
      <c r="F432" s="9"/>
      <c r="G432" s="9"/>
      <c r="H432" s="9"/>
      <c r="I432" s="9"/>
      <c r="J432" s="9"/>
      <c r="K432" s="9"/>
      <c r="L432" s="9"/>
      <c r="M432" s="9"/>
    </row>
    <row r="433">
      <c r="A433" s="9" t="inlineStr">
        <is>
          <t>RUN-TC-RS-UI-025-Base</t>
        </is>
      </c>
      <c r="B433" s="9" t="inlineStr">
        <is>
          <t>TC-RS-UI-025</t>
        </is>
      </c>
      <c r="C433" s="9" t="inlineStr">
        <is>
          <t>Base</t>
        </is>
      </c>
      <c r="D433" s="9" t="inlineStr">
        <is>
          <t>NOT RUN</t>
        </is>
      </c>
      <c r="E433" s="9"/>
      <c r="F433" s="9"/>
      <c r="G433" s="9"/>
      <c r="H433" s="9"/>
      <c r="I433" s="9"/>
      <c r="J433" s="9"/>
      <c r="K433" s="9"/>
      <c r="L433" s="9"/>
      <c r="M433" s="9"/>
    </row>
    <row r="434">
      <c r="A434" s="9" t="inlineStr">
        <is>
          <t>RUN-TC-RS-ERR-001-extract</t>
        </is>
      </c>
      <c r="B434" s="9" t="inlineStr">
        <is>
          <t>TC-RS-ERR-001</t>
        </is>
      </c>
      <c r="C434" s="9" t="inlineStr">
        <is>
          <t>extract</t>
        </is>
      </c>
      <c r="D434" s="9" t="inlineStr">
        <is>
          <t>NOT RUN</t>
        </is>
      </c>
      <c r="E434" s="9"/>
      <c r="F434" s="9"/>
      <c r="G434" s="9"/>
      <c r="H434" s="9"/>
      <c r="I434" s="9"/>
      <c r="J434" s="9"/>
      <c r="K434" s="9"/>
      <c r="L434" s="9"/>
      <c r="M434" s="9"/>
    </row>
    <row r="435">
      <c r="A435" s="9" t="inlineStr">
        <is>
          <t>RUN-TC-RS-ERR-001-publish</t>
        </is>
      </c>
      <c r="B435" s="9" t="inlineStr">
        <is>
          <t>TC-RS-ERR-001</t>
        </is>
      </c>
      <c r="C435" s="9" t="inlineStr">
        <is>
          <t>publish</t>
        </is>
      </c>
      <c r="D435" s="9" t="inlineStr">
        <is>
          <t>NOT RUN</t>
        </is>
      </c>
      <c r="E435" s="9"/>
      <c r="F435" s="9"/>
      <c r="G435" s="9"/>
      <c r="H435" s="9"/>
      <c r="I435" s="9"/>
      <c r="J435" s="9"/>
      <c r="K435" s="9"/>
      <c r="L435" s="9"/>
      <c r="M435" s="9"/>
    </row>
    <row r="436">
      <c r="A436" s="9" t="inlineStr">
        <is>
          <t>RUN-TC-RS-ERR-001-report</t>
        </is>
      </c>
      <c r="B436" s="9" t="inlineStr">
        <is>
          <t>TC-RS-ERR-001</t>
        </is>
      </c>
      <c r="C436" s="9" t="inlineStr">
        <is>
          <t>report</t>
        </is>
      </c>
      <c r="D436" s="9" t="inlineStr">
        <is>
          <t>NOT RUN</t>
        </is>
      </c>
      <c r="E436" s="9"/>
      <c r="F436" s="9"/>
      <c r="G436" s="9"/>
      <c r="H436" s="9"/>
      <c r="I436" s="9"/>
      <c r="J436" s="9"/>
      <c r="K436" s="9"/>
      <c r="L436" s="9"/>
      <c r="M436" s="9"/>
    </row>
    <row r="437">
      <c r="A437" s="9" t="inlineStr">
        <is>
          <t>RUN-TC-RS-ERR-002-direct-success-delete</t>
        </is>
      </c>
      <c r="B437" s="9" t="inlineStr">
        <is>
          <t>TC-RS-ERR-002</t>
        </is>
      </c>
      <c r="C437" s="9" t="inlineStr">
        <is>
          <t>direct-success-delete</t>
        </is>
      </c>
      <c r="D437" s="9" t="inlineStr">
        <is>
          <t>NOT RUN</t>
        </is>
      </c>
      <c r="E437" s="9"/>
      <c r="F437" s="9"/>
      <c r="G437" s="9"/>
      <c r="H437" s="9"/>
      <c r="I437" s="9"/>
      <c r="J437" s="9"/>
      <c r="K437" s="9"/>
      <c r="L437" s="9"/>
      <c r="M437" s="9"/>
    </row>
    <row r="438">
      <c r="A438" s="9" t="inlineStr">
        <is>
          <t>RUN-TC-RS-ERR-002-csv-success-delete</t>
        </is>
      </c>
      <c r="B438" s="9" t="inlineStr">
        <is>
          <t>TC-RS-ERR-002</t>
        </is>
      </c>
      <c r="C438" s="9" t="inlineStr">
        <is>
          <t>csv-success-delete</t>
        </is>
      </c>
      <c r="D438" s="9" t="inlineStr">
        <is>
          <t>NOT RUN</t>
        </is>
      </c>
      <c r="E438" s="9"/>
      <c r="F438" s="9"/>
      <c r="G438" s="9"/>
      <c r="H438" s="9"/>
      <c r="I438" s="9"/>
      <c r="J438" s="9"/>
      <c r="K438" s="9"/>
      <c r="L438" s="9"/>
      <c r="M438" s="9"/>
    </row>
    <row r="439">
      <c r="A439" s="9" t="inlineStr">
        <is>
          <t>RUN-TC-RS-ERR-002-linked-success-delete</t>
        </is>
      </c>
      <c r="B439" s="9" t="inlineStr">
        <is>
          <t>TC-RS-ERR-002</t>
        </is>
      </c>
      <c r="C439" s="9" t="inlineStr">
        <is>
          <t>linked-success-delete</t>
        </is>
      </c>
      <c r="D439" s="9" t="inlineStr">
        <is>
          <t>NOT RUN</t>
        </is>
      </c>
      <c r="E439" s="9"/>
      <c r="F439" s="9"/>
      <c r="G439" s="9"/>
      <c r="H439" s="9"/>
      <c r="I439" s="9"/>
      <c r="J439" s="9"/>
      <c r="K439" s="9"/>
      <c r="L439" s="9"/>
      <c r="M439" s="9"/>
    </row>
    <row r="440">
      <c r="A440" s="9" t="inlineStr">
        <is>
          <t>RUN-TC-RS-ERR-002-direct-delete-save-failure</t>
        </is>
      </c>
      <c r="B440" s="9" t="inlineStr">
        <is>
          <t>TC-RS-ERR-002</t>
        </is>
      </c>
      <c r="C440" s="9" t="inlineStr">
        <is>
          <t>direct-delete-save-failure</t>
        </is>
      </c>
      <c r="D440" s="9" t="inlineStr">
        <is>
          <t>NOT RUN</t>
        </is>
      </c>
      <c r="E440" s="9"/>
      <c r="F440" s="9"/>
      <c r="G440" s="9"/>
      <c r="H440" s="9"/>
      <c r="I440" s="9"/>
      <c r="J440" s="9"/>
      <c r="K440" s="9"/>
      <c r="L440" s="9"/>
      <c r="M440" s="9"/>
    </row>
    <row r="441">
      <c r="A441" s="9" t="inlineStr">
        <is>
          <t>RUN-TC-RS-ERR-002-csv-delete-save-failure</t>
        </is>
      </c>
      <c r="B441" s="9" t="inlineStr">
        <is>
          <t>TC-RS-ERR-002</t>
        </is>
      </c>
      <c r="C441" s="9" t="inlineStr">
        <is>
          <t>csv-delete-save-failure</t>
        </is>
      </c>
      <c r="D441" s="9" t="inlineStr">
        <is>
          <t>NOT RUN</t>
        </is>
      </c>
      <c r="E441" s="9"/>
      <c r="F441" s="9"/>
      <c r="G441" s="9"/>
      <c r="H441" s="9"/>
      <c r="I441" s="9"/>
      <c r="J441" s="9"/>
      <c r="K441" s="9"/>
      <c r="L441" s="9"/>
      <c r="M441" s="9"/>
    </row>
    <row r="442">
      <c r="A442" s="9" t="inlineStr">
        <is>
          <t>RUN-TC-RS-ERR-002-linked-delete-save-failure</t>
        </is>
      </c>
      <c r="B442" s="9" t="inlineStr">
        <is>
          <t>TC-RS-ERR-002</t>
        </is>
      </c>
      <c r="C442" s="9" t="inlineStr">
        <is>
          <t>linked-delete-save-failure</t>
        </is>
      </c>
      <c r="D442" s="9" t="inlineStr">
        <is>
          <t>NOT RUN</t>
        </is>
      </c>
      <c r="E442" s="9"/>
      <c r="F442" s="9"/>
      <c r="G442" s="9"/>
      <c r="H442" s="9"/>
      <c r="I442" s="9"/>
      <c r="J442" s="9"/>
      <c r="K442" s="9"/>
      <c r="L442" s="9"/>
      <c r="M442" s="9"/>
    </row>
    <row r="443">
      <c r="A443" s="9" t="inlineStr">
        <is>
          <t>RUN-TC-RS-ERR-002-direct-delete-result-write-failure</t>
        </is>
      </c>
      <c r="B443" s="9" t="inlineStr">
        <is>
          <t>TC-RS-ERR-002</t>
        </is>
      </c>
      <c r="C443" s="9" t="inlineStr">
        <is>
          <t>direct-delete-result-write-failure</t>
        </is>
      </c>
      <c r="D443" s="9" t="inlineStr">
        <is>
          <t>NOT RUN</t>
        </is>
      </c>
      <c r="E443" s="9"/>
      <c r="F443" s="9"/>
      <c r="G443" s="9"/>
      <c r="H443" s="9"/>
      <c r="I443" s="9"/>
      <c r="J443" s="9"/>
      <c r="K443" s="9"/>
      <c r="L443" s="9"/>
      <c r="M443" s="9"/>
    </row>
    <row r="444">
      <c r="A444" s="9" t="inlineStr">
        <is>
          <t>RUN-TC-RS-ERR-002-csv-delete-result-write-failure</t>
        </is>
      </c>
      <c r="B444" s="9" t="inlineStr">
        <is>
          <t>TC-RS-ERR-002</t>
        </is>
      </c>
      <c r="C444" s="9" t="inlineStr">
        <is>
          <t>csv-delete-result-write-failure</t>
        </is>
      </c>
      <c r="D444" s="9" t="inlineStr">
        <is>
          <t>NOT RUN</t>
        </is>
      </c>
      <c r="E444" s="9"/>
      <c r="F444" s="9"/>
      <c r="G444" s="9"/>
      <c r="H444" s="9"/>
      <c r="I444" s="9"/>
      <c r="J444" s="9"/>
      <c r="K444" s="9"/>
      <c r="L444" s="9"/>
      <c r="M444" s="9"/>
    </row>
    <row r="445">
      <c r="A445" s="9" t="inlineStr">
        <is>
          <t>RUN-TC-RS-ERR-002-linked-delete-result-write-failure</t>
        </is>
      </c>
      <c r="B445" s="9" t="inlineStr">
        <is>
          <t>TC-RS-ERR-002</t>
        </is>
      </c>
      <c r="C445" s="9" t="inlineStr">
        <is>
          <t>linked-delete-result-write-failure</t>
        </is>
      </c>
      <c r="D445" s="9" t="inlineStr">
        <is>
          <t>NOT RUN</t>
        </is>
      </c>
      <c r="E445" s="9"/>
      <c r="F445" s="9"/>
      <c r="G445" s="9"/>
      <c r="H445" s="9"/>
      <c r="I445" s="9"/>
      <c r="J445" s="9"/>
      <c r="K445" s="9"/>
      <c r="L445" s="9"/>
      <c r="M445" s="9"/>
    </row>
    <row r="446">
      <c r="A446" s="9" t="inlineStr">
        <is>
          <t>RUN-TC-RS-ERR-002-direct-edit-save-failure</t>
        </is>
      </c>
      <c r="B446" s="9" t="inlineStr">
        <is>
          <t>TC-RS-ERR-002</t>
        </is>
      </c>
      <c r="C446" s="9" t="inlineStr">
        <is>
          <t>direct-edit-save-failure</t>
        </is>
      </c>
      <c r="D446" s="9" t="inlineStr">
        <is>
          <t>NOT RUN</t>
        </is>
      </c>
      <c r="E446" s="9"/>
      <c r="F446" s="9"/>
      <c r="G446" s="9"/>
      <c r="H446" s="9"/>
      <c r="I446" s="9"/>
      <c r="J446" s="9"/>
      <c r="K446" s="9"/>
      <c r="L446" s="9"/>
      <c r="M446" s="9"/>
    </row>
    <row r="447">
      <c r="A447" s="9" t="inlineStr">
        <is>
          <t>RUN-TC-RS-ERR-002-csv-edit-save-failure</t>
        </is>
      </c>
      <c r="B447" s="9" t="inlineStr">
        <is>
          <t>TC-RS-ERR-002</t>
        </is>
      </c>
      <c r="C447" s="9" t="inlineStr">
        <is>
          <t>csv-edit-save-failure</t>
        </is>
      </c>
      <c r="D447" s="9" t="inlineStr">
        <is>
          <t>NOT RUN</t>
        </is>
      </c>
      <c r="E447" s="9"/>
      <c r="F447" s="9"/>
      <c r="G447" s="9"/>
      <c r="H447" s="9"/>
      <c r="I447" s="9"/>
      <c r="J447" s="9"/>
      <c r="K447" s="9"/>
      <c r="L447" s="9"/>
      <c r="M447" s="9"/>
    </row>
    <row r="448">
      <c r="A448" s="9" t="inlineStr">
        <is>
          <t>RUN-TC-RS-ERR-002-linked-edit-save-failure</t>
        </is>
      </c>
      <c r="B448" s="9" t="inlineStr">
        <is>
          <t>TC-RS-ERR-002</t>
        </is>
      </c>
      <c r="C448" s="9" t="inlineStr">
        <is>
          <t>linked-edit-save-failure</t>
        </is>
      </c>
      <c r="D448" s="9" t="inlineStr">
        <is>
          <t>NOT RUN</t>
        </is>
      </c>
      <c r="E448" s="9"/>
      <c r="F448" s="9"/>
      <c r="G448" s="9"/>
      <c r="H448" s="9"/>
      <c r="I448" s="9"/>
      <c r="J448" s="9"/>
      <c r="K448" s="9"/>
      <c r="L448" s="9"/>
      <c r="M448" s="9"/>
    </row>
    <row r="449">
      <c r="A449" s="9" t="inlineStr">
        <is>
          <t>RUN-TC-RS-ERR-002-direct-edit-result-write-failure</t>
        </is>
      </c>
      <c r="B449" s="9" t="inlineStr">
        <is>
          <t>TC-RS-ERR-002</t>
        </is>
      </c>
      <c r="C449" s="9" t="inlineStr">
        <is>
          <t>direct-edit-result-write-failure</t>
        </is>
      </c>
      <c r="D449" s="9" t="inlineStr">
        <is>
          <t>NOT RUN</t>
        </is>
      </c>
      <c r="E449" s="9"/>
      <c r="F449" s="9"/>
      <c r="G449" s="9"/>
      <c r="H449" s="9"/>
      <c r="I449" s="9"/>
      <c r="J449" s="9"/>
      <c r="K449" s="9"/>
      <c r="L449" s="9"/>
      <c r="M449" s="9"/>
    </row>
    <row r="450">
      <c r="A450" s="9" t="inlineStr">
        <is>
          <t>RUN-TC-RS-ERR-002-csv-edit-result-write-failure</t>
        </is>
      </c>
      <c r="B450" s="9" t="inlineStr">
        <is>
          <t>TC-RS-ERR-002</t>
        </is>
      </c>
      <c r="C450" s="9" t="inlineStr">
        <is>
          <t>csv-edit-result-write-failure</t>
        </is>
      </c>
      <c r="D450" s="9" t="inlineStr">
        <is>
          <t>NOT RUN</t>
        </is>
      </c>
      <c r="E450" s="9"/>
      <c r="F450" s="9"/>
      <c r="G450" s="9"/>
      <c r="H450" s="9"/>
      <c r="I450" s="9"/>
      <c r="J450" s="9"/>
      <c r="K450" s="9"/>
      <c r="L450" s="9"/>
      <c r="M450" s="9"/>
    </row>
    <row r="451">
      <c r="A451" s="9" t="inlineStr">
        <is>
          <t>RUN-TC-RS-ERR-002-linked-edit-result-write-failure</t>
        </is>
      </c>
      <c r="B451" s="9" t="inlineStr">
        <is>
          <t>TC-RS-ERR-002</t>
        </is>
      </c>
      <c r="C451" s="9" t="inlineStr">
        <is>
          <t>linked-edit-result-write-failure</t>
        </is>
      </c>
      <c r="D451" s="9" t="inlineStr">
        <is>
          <t>NOT RUN</t>
        </is>
      </c>
      <c r="E451" s="9"/>
      <c r="F451" s="9"/>
      <c r="G451" s="9"/>
      <c r="H451" s="9"/>
      <c r="I451" s="9"/>
      <c r="J451" s="9"/>
      <c r="K451" s="9"/>
      <c r="L451" s="9"/>
      <c r="M451" s="9"/>
    </row>
    <row r="452">
      <c r="A452" s="9" t="inlineStr">
        <is>
          <t>RUN-TC-RS-ERR-003-partial-G-A2-failure</t>
        </is>
      </c>
      <c r="B452" s="9" t="inlineStr">
        <is>
          <t>TC-RS-ERR-003</t>
        </is>
      </c>
      <c r="C452" s="9" t="inlineStr">
        <is>
          <t>partial-G-A2-failure</t>
        </is>
      </c>
      <c r="D452" s="9" t="inlineStr">
        <is>
          <t>NOT RUN</t>
        </is>
      </c>
      <c r="E452" s="9"/>
      <c r="F452" s="9"/>
      <c r="G452" s="9"/>
      <c r="H452" s="9"/>
      <c r="I452" s="9"/>
      <c r="J452" s="9"/>
      <c r="K452" s="9"/>
      <c r="L452" s="9"/>
      <c r="M452" s="9"/>
    </row>
    <row r="453">
      <c r="A453" s="9" t="inlineStr">
        <is>
          <t>RUN-TC-RS-ERR-003-retry-G-A2-only</t>
        </is>
      </c>
      <c r="B453" s="9" t="inlineStr">
        <is>
          <t>TC-RS-ERR-003</t>
        </is>
      </c>
      <c r="C453" s="9" t="inlineStr">
        <is>
          <t>retry-G-A2-only</t>
        </is>
      </c>
      <c r="D453" s="9" t="inlineStr">
        <is>
          <t>NOT RUN</t>
        </is>
      </c>
      <c r="E453" s="9"/>
      <c r="F453" s="9"/>
      <c r="G453" s="9"/>
      <c r="H453" s="9"/>
      <c r="I453" s="9"/>
      <c r="J453" s="9"/>
      <c r="K453" s="9"/>
      <c r="L453" s="9"/>
      <c r="M453" s="9"/>
    </row>
    <row r="454">
      <c r="A454" s="9" t="inlineStr">
        <is>
          <t>RUN-TC-RS-ERR-003-concurrent-score-write</t>
        </is>
      </c>
      <c r="B454" s="9" t="inlineStr">
        <is>
          <t>TC-RS-ERR-003</t>
        </is>
      </c>
      <c r="C454" s="9" t="inlineStr">
        <is>
          <t>concurrent-score-write</t>
        </is>
      </c>
      <c r="D454" s="9" t="inlineStr">
        <is>
          <t>NOT RUN</t>
        </is>
      </c>
      <c r="E454" s="9"/>
      <c r="F454" s="9"/>
      <c r="G454" s="9"/>
      <c r="H454" s="9"/>
      <c r="I454" s="9"/>
      <c r="J454" s="9"/>
      <c r="K454" s="9"/>
      <c r="L454" s="9"/>
      <c r="M454" s="9"/>
    </row>
    <row r="455">
      <c r="A455" s="9" t="inlineStr">
        <is>
          <t>RUN-TC-RS-ERR-004-Base</t>
        </is>
      </c>
      <c r="B455" s="9" t="inlineStr">
        <is>
          <t>TC-RS-ERR-004</t>
        </is>
      </c>
      <c r="C455" s="9" t="inlineStr">
        <is>
          <t>Base</t>
        </is>
      </c>
      <c r="D455" s="9" t="inlineStr">
        <is>
          <t>NOT RUN</t>
        </is>
      </c>
      <c r="E455" s="9"/>
      <c r="F455" s="9"/>
      <c r="G455" s="9"/>
      <c r="H455" s="9"/>
      <c r="I455" s="9"/>
      <c r="J455" s="9"/>
      <c r="K455" s="9"/>
      <c r="L455" s="9"/>
      <c r="M455" s="9"/>
    </row>
    <row r="456">
      <c r="A456" s="9" t="inlineStr">
        <is>
          <t>RUN-TC-RS-ERR-005-save-error</t>
        </is>
      </c>
      <c r="B456" s="9" t="inlineStr">
        <is>
          <t>TC-RS-ERR-005</t>
        </is>
      </c>
      <c r="C456" s="9" t="inlineStr">
        <is>
          <t>save-error</t>
        </is>
      </c>
      <c r="D456" s="9" t="inlineStr">
        <is>
          <t>NOT RUN</t>
        </is>
      </c>
      <c r="E456" s="9"/>
      <c r="F456" s="9"/>
      <c r="G456" s="9"/>
      <c r="H456" s="9"/>
      <c r="I456" s="9"/>
      <c r="J456" s="9"/>
      <c r="K456" s="9"/>
      <c r="L456" s="9"/>
      <c r="M456" s="9"/>
    </row>
    <row r="457">
      <c r="A457" s="9" t="inlineStr">
        <is>
          <t>RUN-TC-RS-ERR-005-batch-error</t>
        </is>
      </c>
      <c r="B457" s="9" t="inlineStr">
        <is>
          <t>TC-RS-ERR-005</t>
        </is>
      </c>
      <c r="C457" s="9" t="inlineStr">
        <is>
          <t>batch-error</t>
        </is>
      </c>
      <c r="D457" s="9" t="inlineStr">
        <is>
          <t>NOT RUN</t>
        </is>
      </c>
      <c r="E457" s="9"/>
      <c r="F457" s="9"/>
      <c r="G457" s="9"/>
      <c r="H457" s="9"/>
      <c r="I457" s="9"/>
      <c r="J457" s="9"/>
      <c r="K457" s="9"/>
      <c r="L457" s="9"/>
      <c r="M457" s="9"/>
    </row>
    <row r="458">
      <c r="A458" s="9" t="inlineStr">
        <is>
          <t>RUN-TC-RS-ERR-005-permission-error</t>
        </is>
      </c>
      <c r="B458" s="9" t="inlineStr">
        <is>
          <t>TC-RS-ERR-005</t>
        </is>
      </c>
      <c r="C458" s="9" t="inlineStr">
        <is>
          <t>permission-error</t>
        </is>
      </c>
      <c r="D458" s="9" t="inlineStr">
        <is>
          <t>NOT RUN</t>
        </is>
      </c>
      <c r="E458" s="9"/>
      <c r="F458" s="9"/>
      <c r="G458" s="9"/>
      <c r="H458" s="9"/>
      <c r="I458" s="9"/>
      <c r="J458" s="9"/>
      <c r="K458" s="9"/>
      <c r="L458" s="9"/>
      <c r="M458" s="9"/>
    </row>
    <row r="459">
      <c r="A459" s="9" t="inlineStr">
        <is>
          <t>RUN-TC-RS-ERR-005-input-error</t>
        </is>
      </c>
      <c r="B459" s="9" t="inlineStr">
        <is>
          <t>TC-RS-ERR-005</t>
        </is>
      </c>
      <c r="C459" s="9" t="inlineStr">
        <is>
          <t>input-error</t>
        </is>
      </c>
      <c r="D459" s="9" t="inlineStr">
        <is>
          <t>NOT RUN</t>
        </is>
      </c>
      <c r="E459" s="9"/>
      <c r="F459" s="9"/>
      <c r="G459" s="9"/>
      <c r="H459" s="9"/>
      <c r="I459" s="9"/>
      <c r="J459" s="9"/>
      <c r="K459" s="9"/>
      <c r="L459" s="9"/>
      <c r="M459" s="9"/>
    </row>
    <row r="460">
      <c r="A460" s="9" t="inlineStr">
        <is>
          <t>RUN-TC-RS-ERR-006-save</t>
        </is>
      </c>
      <c r="B460" s="9" t="inlineStr">
        <is>
          <t>TC-RS-ERR-006</t>
        </is>
      </c>
      <c r="C460" s="9" t="inlineStr">
        <is>
          <t>save</t>
        </is>
      </c>
      <c r="D460" s="9" t="inlineStr">
        <is>
          <t>NOT RUN</t>
        </is>
      </c>
      <c r="E460" s="9"/>
      <c r="F460" s="9"/>
      <c r="G460" s="9"/>
      <c r="H460" s="9"/>
      <c r="I460" s="9"/>
      <c r="J460" s="9"/>
      <c r="K460" s="9"/>
      <c r="L460" s="9"/>
      <c r="M460" s="9"/>
    </row>
    <row r="461">
      <c r="A461" s="9" t="inlineStr">
        <is>
          <t>RUN-TC-RS-ERR-006-delete</t>
        </is>
      </c>
      <c r="B461" s="9" t="inlineStr">
        <is>
          <t>TC-RS-ERR-006</t>
        </is>
      </c>
      <c r="C461" s="9" t="inlineStr">
        <is>
          <t>delete</t>
        </is>
      </c>
      <c r="D461" s="9" t="inlineStr">
        <is>
          <t>NOT RUN</t>
        </is>
      </c>
      <c r="E461" s="9"/>
      <c r="F461" s="9"/>
      <c r="G461" s="9"/>
      <c r="H461" s="9"/>
      <c r="I461" s="9"/>
      <c r="J461" s="9"/>
      <c r="K461" s="9"/>
      <c r="L461" s="9"/>
      <c r="M461" s="9"/>
    </row>
    <row r="462">
      <c r="A462" s="9" t="inlineStr">
        <is>
          <t>RUN-TC-RS-ERR-006-reorder</t>
        </is>
      </c>
      <c r="B462" s="9" t="inlineStr">
        <is>
          <t>TC-RS-ERR-006</t>
        </is>
      </c>
      <c r="C462" s="9" t="inlineStr">
        <is>
          <t>reorder</t>
        </is>
      </c>
      <c r="D462" s="9" t="inlineStr">
        <is>
          <t>NOT RUN</t>
        </is>
      </c>
      <c r="E462" s="9"/>
      <c r="F462" s="9"/>
      <c r="G462" s="9"/>
      <c r="H462" s="9"/>
      <c r="I462" s="9"/>
      <c r="J462" s="9"/>
      <c r="K462" s="9"/>
      <c r="L462" s="9"/>
      <c r="M462" s="9"/>
    </row>
    <row r="463">
      <c r="A463" s="9" t="inlineStr">
        <is>
          <t>RUN-TC-RS-ERR-007-read-school</t>
        </is>
      </c>
      <c r="B463" s="9" t="inlineStr">
        <is>
          <t>TC-RS-ERR-007</t>
        </is>
      </c>
      <c r="C463" s="9" t="inlineStr">
        <is>
          <t>read-school</t>
        </is>
      </c>
      <c r="D463" s="9" t="inlineStr">
        <is>
          <t>NOT RUN</t>
        </is>
      </c>
      <c r="E463" s="9"/>
      <c r="F463" s="9"/>
      <c r="G463" s="9"/>
      <c r="H463" s="9"/>
      <c r="I463" s="9"/>
      <c r="J463" s="9"/>
      <c r="K463" s="9"/>
      <c r="L463" s="9"/>
      <c r="M463" s="9"/>
    </row>
    <row r="464">
      <c r="A464" s="9" t="inlineStr">
        <is>
          <t>RUN-TC-RS-ERR-007-save-school</t>
        </is>
      </c>
      <c r="B464" s="9" t="inlineStr">
        <is>
          <t>TC-RS-ERR-007</t>
        </is>
      </c>
      <c r="C464" s="9" t="inlineStr">
        <is>
          <t>save-school</t>
        </is>
      </c>
      <c r="D464" s="9" t="inlineStr">
        <is>
          <t>NOT RUN</t>
        </is>
      </c>
      <c r="E464" s="9"/>
      <c r="F464" s="9"/>
      <c r="G464" s="9"/>
      <c r="H464" s="9"/>
      <c r="I464" s="9"/>
      <c r="J464" s="9"/>
      <c r="K464" s="9"/>
      <c r="L464" s="9"/>
      <c r="M464" s="9"/>
    </row>
    <row r="465">
      <c r="A465" s="9" t="inlineStr">
        <is>
          <t>RUN-TC-RS-ERR-007-delete-school</t>
        </is>
      </c>
      <c r="B465" s="9" t="inlineStr">
        <is>
          <t>TC-RS-ERR-007</t>
        </is>
      </c>
      <c r="C465" s="9" t="inlineStr">
        <is>
          <t>delete-school</t>
        </is>
      </c>
      <c r="D465" s="9" t="inlineStr">
        <is>
          <t>NOT RUN</t>
        </is>
      </c>
      <c r="E465" s="9"/>
      <c r="F465" s="9"/>
      <c r="G465" s="9"/>
      <c r="H465" s="9"/>
      <c r="I465" s="9"/>
      <c r="J465" s="9"/>
      <c r="K465" s="9"/>
      <c r="L465" s="9"/>
      <c r="M465" s="9"/>
    </row>
    <row r="466">
      <c r="A466" s="9" t="inlineStr">
        <is>
          <t>RUN-TC-RS-ERR-007-source-school</t>
        </is>
      </c>
      <c r="B466" s="9" t="inlineStr">
        <is>
          <t>TC-RS-ERR-007</t>
        </is>
      </c>
      <c r="C466" s="9" t="inlineStr">
        <is>
          <t>source-school</t>
        </is>
      </c>
      <c r="D466" s="9" t="inlineStr">
        <is>
          <t>NOT RUN</t>
        </is>
      </c>
      <c r="E466" s="9"/>
      <c r="F466" s="9"/>
      <c r="G466" s="9"/>
      <c r="H466" s="9"/>
      <c r="I466" s="9"/>
      <c r="J466" s="9"/>
      <c r="K466" s="9"/>
      <c r="L466" s="9"/>
      <c r="M466" s="9"/>
    </row>
    <row r="467">
      <c r="A467" s="9" t="inlineStr">
        <is>
          <t>RUN-TC-RS-ERR-007-source-year</t>
        </is>
      </c>
      <c r="B467" s="9" t="inlineStr">
        <is>
          <t>TC-RS-ERR-007</t>
        </is>
      </c>
      <c r="C467" s="9" t="inlineStr">
        <is>
          <t>source-year</t>
        </is>
      </c>
      <c r="D467" s="9" t="inlineStr">
        <is>
          <t>NOT RUN</t>
        </is>
      </c>
      <c r="E467" s="9"/>
      <c r="F467" s="9"/>
      <c r="G467" s="9"/>
      <c r="H467" s="9"/>
      <c r="I467" s="9"/>
      <c r="J467" s="9"/>
      <c r="K467" s="9"/>
      <c r="L467" s="9"/>
      <c r="M467" s="9"/>
    </row>
    <row r="468">
      <c r="A468" s="9" t="inlineStr">
        <is>
          <t>RUN-TC-RS-ERR-007-class-school</t>
        </is>
      </c>
      <c r="B468" s="9" t="inlineStr">
        <is>
          <t>TC-RS-ERR-007</t>
        </is>
      </c>
      <c r="C468" s="9" t="inlineStr">
        <is>
          <t>class-school</t>
        </is>
      </c>
      <c r="D468" s="9" t="inlineStr">
        <is>
          <t>NOT RUN</t>
        </is>
      </c>
      <c r="E468" s="9"/>
      <c r="F468" s="9"/>
      <c r="G468" s="9"/>
      <c r="H468" s="9"/>
      <c r="I468" s="9"/>
      <c r="J468" s="9"/>
      <c r="K468" s="9"/>
      <c r="L468" s="9"/>
      <c r="M468" s="9"/>
    </row>
    <row r="469">
      <c r="A469" s="9" t="inlineStr">
        <is>
          <t>RUN-TC-RS-ERR-007-class-year</t>
        </is>
      </c>
      <c r="B469" s="9" t="inlineStr">
        <is>
          <t>TC-RS-ERR-007</t>
        </is>
      </c>
      <c r="C469" s="9" t="inlineStr">
        <is>
          <t>class-year</t>
        </is>
      </c>
      <c r="D469" s="9" t="inlineStr">
        <is>
          <t>NOT RUN</t>
        </is>
      </c>
      <c r="E469" s="9"/>
      <c r="F469" s="9"/>
      <c r="G469" s="9"/>
      <c r="H469" s="9"/>
      <c r="I469" s="9"/>
      <c r="J469" s="9"/>
      <c r="K469" s="9"/>
      <c r="L469" s="9"/>
      <c r="M469" s="9"/>
    </row>
    <row r="470">
      <c r="A470" s="9" t="inlineStr">
        <is>
          <t>RUN-TC-RS-ERR-007-group-school</t>
        </is>
      </c>
      <c r="B470" s="9" t="inlineStr">
        <is>
          <t>TC-RS-ERR-007</t>
        </is>
      </c>
      <c r="C470" s="9" t="inlineStr">
        <is>
          <t>group-school</t>
        </is>
      </c>
      <c r="D470" s="9" t="inlineStr">
        <is>
          <t>NOT RUN</t>
        </is>
      </c>
      <c r="E470" s="9"/>
      <c r="F470" s="9"/>
      <c r="G470" s="9"/>
      <c r="H470" s="9"/>
      <c r="I470" s="9"/>
      <c r="J470" s="9"/>
      <c r="K470" s="9"/>
      <c r="L470" s="9"/>
      <c r="M470" s="9"/>
    </row>
    <row r="471">
      <c r="A471" s="9" t="inlineStr">
        <is>
          <t>RUN-TC-RS-ERR-007-group-year</t>
        </is>
      </c>
      <c r="B471" s="9" t="inlineStr">
        <is>
          <t>TC-RS-ERR-007</t>
        </is>
      </c>
      <c r="C471" s="9" t="inlineStr">
        <is>
          <t>group-year</t>
        </is>
      </c>
      <c r="D471" s="9" t="inlineStr">
        <is>
          <t>NOT RUN</t>
        </is>
      </c>
      <c r="E471" s="9"/>
      <c r="F471" s="9"/>
      <c r="G471" s="9"/>
      <c r="H471" s="9"/>
      <c r="I471" s="9"/>
      <c r="J471" s="9"/>
      <c r="K471" s="9"/>
      <c r="L471" s="9"/>
      <c r="M471" s="9"/>
    </row>
    <row r="472">
      <c r="A472" s="9" t="inlineStr">
        <is>
          <t>RUN-TC-RS-ERR-007-unit-school</t>
        </is>
      </c>
      <c r="B472" s="9" t="inlineStr">
        <is>
          <t>TC-RS-ERR-007</t>
        </is>
      </c>
      <c r="C472" s="9" t="inlineStr">
        <is>
          <t>unit-school</t>
        </is>
      </c>
      <c r="D472" s="9" t="inlineStr">
        <is>
          <t>NOT RUN</t>
        </is>
      </c>
      <c r="E472" s="9"/>
      <c r="F472" s="9"/>
      <c r="G472" s="9"/>
      <c r="H472" s="9"/>
      <c r="I472" s="9"/>
      <c r="J472" s="9"/>
      <c r="K472" s="9"/>
      <c r="L472" s="9"/>
      <c r="M472" s="9"/>
    </row>
    <row r="473">
      <c r="A473" s="9" t="inlineStr">
        <is>
          <t>RUN-TC-RS-ERR-007-unit-year</t>
        </is>
      </c>
      <c r="B473" s="9" t="inlineStr">
        <is>
          <t>TC-RS-ERR-007</t>
        </is>
      </c>
      <c r="C473" s="9" t="inlineStr">
        <is>
          <t>unit-year</t>
        </is>
      </c>
      <c r="D473" s="9" t="inlineStr">
        <is>
          <t>NOT RUN</t>
        </is>
      </c>
      <c r="E473" s="9"/>
      <c r="F473" s="9"/>
      <c r="G473" s="9"/>
      <c r="H473" s="9"/>
      <c r="I473" s="9"/>
      <c r="J473" s="9"/>
      <c r="K473" s="9"/>
      <c r="L473" s="9"/>
      <c r="M473" s="9"/>
    </row>
    <row r="474">
      <c r="A474" s="9" t="inlineStr">
        <is>
          <t>RUN-TC-RS-ERR-008-Base</t>
        </is>
      </c>
      <c r="B474" s="9" t="inlineStr">
        <is>
          <t>TC-RS-ERR-008</t>
        </is>
      </c>
      <c r="C474" s="9" t="inlineStr">
        <is>
          <t>Base</t>
        </is>
      </c>
      <c r="D474" s="9" t="inlineStr">
        <is>
          <t>NOT RUN</t>
        </is>
      </c>
      <c r="E474" s="9"/>
      <c r="F474" s="9"/>
      <c r="G474" s="9"/>
      <c r="H474" s="9"/>
      <c r="I474" s="9"/>
      <c r="J474" s="9"/>
      <c r="K474" s="9"/>
      <c r="L474" s="9"/>
      <c r="M474" s="9"/>
    </row>
    <row r="475">
      <c r="A475" s="9" t="inlineStr">
        <is>
          <t>RUN-TC-RS-ERR-009-above</t>
        </is>
      </c>
      <c r="B475" s="9" t="inlineStr">
        <is>
          <t>TC-RS-ERR-009</t>
        </is>
      </c>
      <c r="C475" s="9" t="inlineStr">
        <is>
          <t>above</t>
        </is>
      </c>
      <c r="D475" s="9" t="inlineStr">
        <is>
          <t>NOT RUN</t>
        </is>
      </c>
      <c r="E475" s="9"/>
      <c r="F475" s="9"/>
      <c r="G475" s="9"/>
      <c r="H475" s="9"/>
      <c r="I475" s="9"/>
      <c r="J475" s="9"/>
      <c r="K475" s="9"/>
      <c r="L475" s="9"/>
      <c r="M475" s="9"/>
    </row>
    <row r="476">
      <c r="A476" s="9" t="inlineStr">
        <is>
          <t>RUN-TC-RS-ERR-009-negative</t>
        </is>
      </c>
      <c r="B476" s="9" t="inlineStr">
        <is>
          <t>TC-RS-ERR-009</t>
        </is>
      </c>
      <c r="C476" s="9" t="inlineStr">
        <is>
          <t>negative</t>
        </is>
      </c>
      <c r="D476" s="9" t="inlineStr">
        <is>
          <t>NOT RUN</t>
        </is>
      </c>
      <c r="E476" s="9"/>
      <c r="F476" s="9"/>
      <c r="G476" s="9"/>
      <c r="H476" s="9"/>
      <c r="I476" s="9"/>
      <c r="J476" s="9"/>
      <c r="K476" s="9"/>
      <c r="L476" s="9"/>
      <c r="M476" s="9"/>
    </row>
    <row r="477">
      <c r="A477" s="9" t="inlineStr">
        <is>
          <t>RUN-TC-RS-ERR-009-ratio-above</t>
        </is>
      </c>
      <c r="B477" s="9" t="inlineStr">
        <is>
          <t>TC-RS-ERR-009</t>
        </is>
      </c>
      <c r="C477" s="9" t="inlineStr">
        <is>
          <t>ratio-above</t>
        </is>
      </c>
      <c r="D477" s="9" t="inlineStr">
        <is>
          <t>NOT RUN</t>
        </is>
      </c>
      <c r="E477" s="9"/>
      <c r="F477" s="9"/>
      <c r="G477" s="9"/>
      <c r="H477" s="9"/>
      <c r="I477" s="9"/>
      <c r="J477" s="9"/>
      <c r="K477" s="9"/>
      <c r="L477" s="9"/>
      <c r="M477" s="9"/>
    </row>
    <row r="478">
      <c r="A478" s="9" t="inlineStr">
        <is>
          <t>RUN-TC-RS-ERR-009-divide-zero</t>
        </is>
      </c>
      <c r="B478" s="9" t="inlineStr">
        <is>
          <t>TC-RS-ERR-009</t>
        </is>
      </c>
      <c r="C478" s="9" t="inlineStr">
        <is>
          <t>divide-zero</t>
        </is>
      </c>
      <c r="D478" s="9" t="inlineStr">
        <is>
          <t>NOT RUN</t>
        </is>
      </c>
      <c r="E478" s="9"/>
      <c r="F478" s="9"/>
      <c r="G478" s="9"/>
      <c r="H478" s="9"/>
      <c r="I478" s="9"/>
      <c r="J478" s="9"/>
      <c r="K478" s="9"/>
      <c r="L478" s="9"/>
      <c r="M478" s="9"/>
    </row>
    <row r="479">
      <c r="A479" s="9" t="inlineStr">
        <is>
          <t>RUN-TC-RS-ERR-009-nan</t>
        </is>
      </c>
      <c r="B479" s="9" t="inlineStr">
        <is>
          <t>TC-RS-ERR-009</t>
        </is>
      </c>
      <c r="C479" s="9" t="inlineStr">
        <is>
          <t>nan</t>
        </is>
      </c>
      <c r="D479" s="9" t="inlineStr">
        <is>
          <t>NOT RUN</t>
        </is>
      </c>
      <c r="E479" s="9"/>
      <c r="F479" s="9"/>
      <c r="G479" s="9"/>
      <c r="H479" s="9"/>
      <c r="I479" s="9"/>
      <c r="J479" s="9"/>
      <c r="K479" s="9"/>
      <c r="L479" s="9"/>
      <c r="M479" s="9"/>
    </row>
    <row r="480">
      <c r="A480" s="9" t="inlineStr">
        <is>
          <t>RUN-TC-RS-ERR-009-infinity</t>
        </is>
      </c>
      <c r="B480" s="9" t="inlineStr">
        <is>
          <t>TC-RS-ERR-009</t>
        </is>
      </c>
      <c r="C480" s="9" t="inlineStr">
        <is>
          <t>infinity</t>
        </is>
      </c>
      <c r="D480" s="9" t="inlineStr">
        <is>
          <t>NOT RUN</t>
        </is>
      </c>
      <c r="E480" s="9"/>
      <c r="F480" s="9"/>
      <c r="G480" s="9"/>
      <c r="H480" s="9"/>
      <c r="I480" s="9"/>
      <c r="J480" s="9"/>
      <c r="K480" s="9"/>
      <c r="L480" s="9"/>
      <c r="M480" s="9"/>
    </row>
    <row r="481">
      <c r="A481" s="9" t="inlineStr">
        <is>
          <t>RUN-TC-RS-ERR-009-exponent</t>
        </is>
      </c>
      <c r="B481" s="9" t="inlineStr">
        <is>
          <t>TC-RS-ERR-009</t>
        </is>
      </c>
      <c r="C481" s="9" t="inlineStr">
        <is>
          <t>exponent</t>
        </is>
      </c>
      <c r="D481" s="9" t="inlineStr">
        <is>
          <t>NOT RUN</t>
        </is>
      </c>
      <c r="E481" s="9"/>
      <c r="F481" s="9"/>
      <c r="G481" s="9"/>
      <c r="H481" s="9"/>
      <c r="I481" s="9"/>
      <c r="J481" s="9"/>
      <c r="K481" s="9"/>
      <c r="L481" s="9"/>
      <c r="M481" s="9"/>
    </row>
    <row r="482">
      <c r="A482" s="9" t="inlineStr">
        <is>
          <t>RUN-TC-RS-ERR-009-empty</t>
        </is>
      </c>
      <c r="B482" s="9" t="inlineStr">
        <is>
          <t>TC-RS-ERR-009</t>
        </is>
      </c>
      <c r="C482" s="9" t="inlineStr">
        <is>
          <t>empty</t>
        </is>
      </c>
      <c r="D482" s="9" t="inlineStr">
        <is>
          <t>NOT RUN</t>
        </is>
      </c>
      <c r="E482" s="9"/>
      <c r="F482" s="9"/>
      <c r="G482" s="9"/>
      <c r="H482" s="9"/>
      <c r="I482" s="9"/>
      <c r="J482" s="9"/>
      <c r="K482" s="9"/>
      <c r="L482" s="9"/>
      <c r="M482" s="9"/>
    </row>
    <row r="483">
      <c r="A483" s="9" t="inlineStr">
        <is>
          <t>RUN-TC-RS-ERR-009-power</t>
        </is>
      </c>
      <c r="B483" s="9" t="inlineStr">
        <is>
          <t>TC-RS-ERR-009</t>
        </is>
      </c>
      <c r="C483" s="9" t="inlineStr">
        <is>
          <t>power</t>
        </is>
      </c>
      <c r="D483" s="9" t="inlineStr">
        <is>
          <t>NOT RUN</t>
        </is>
      </c>
      <c r="E483" s="9"/>
      <c r="F483" s="9"/>
      <c r="G483" s="9"/>
      <c r="H483" s="9"/>
      <c r="I483" s="9"/>
      <c r="J483" s="9"/>
      <c r="K483" s="9"/>
      <c r="L483" s="9"/>
      <c r="M483" s="9"/>
    </row>
    <row r="484">
      <c r="A484" s="9" t="inlineStr">
        <is>
          <t>RUN-TC-RS-ERR-009-max</t>
        </is>
      </c>
      <c r="B484" s="9" t="inlineStr">
        <is>
          <t>TC-RS-ERR-009</t>
        </is>
      </c>
      <c r="C484" s="9" t="inlineStr">
        <is>
          <t>max</t>
        </is>
      </c>
      <c r="D484" s="9" t="inlineStr">
        <is>
          <t>NOT RUN</t>
        </is>
      </c>
      <c r="E484" s="9"/>
      <c r="F484" s="9"/>
      <c r="G484" s="9"/>
      <c r="H484" s="9"/>
      <c r="I484" s="9"/>
      <c r="J484" s="9"/>
      <c r="K484" s="9"/>
      <c r="L484" s="9"/>
      <c r="M484" s="9"/>
    </row>
    <row r="485">
      <c r="A485" s="9" t="inlineStr">
        <is>
          <t>RUN-TC-RS-ERR-009-expression</t>
        </is>
      </c>
      <c r="B485" s="9" t="inlineStr">
        <is>
          <t>TC-RS-ERR-009</t>
        </is>
      </c>
      <c r="C485" s="9" t="inlineStr">
        <is>
          <t>expression</t>
        </is>
      </c>
      <c r="D485" s="9" t="inlineStr">
        <is>
          <t>NOT RUN</t>
        </is>
      </c>
      <c r="E485" s="9"/>
      <c r="F485" s="9"/>
      <c r="G485" s="9"/>
      <c r="H485" s="9"/>
      <c r="I485" s="9"/>
      <c r="J485" s="9"/>
      <c r="K485" s="9"/>
      <c r="L485" s="9"/>
      <c r="M485" s="9"/>
    </row>
    <row r="486">
      <c r="A486" s="9" t="inlineStr">
        <is>
          <t>RUN-TC-RS-ERR-009-null</t>
        </is>
      </c>
      <c r="B486" s="9" t="inlineStr">
        <is>
          <t>TC-RS-ERR-009</t>
        </is>
      </c>
      <c r="C486" s="9" t="inlineStr">
        <is>
          <t>null</t>
        </is>
      </c>
      <c r="D486" s="9" t="inlineStr">
        <is>
          <t>NOT RUN</t>
        </is>
      </c>
      <c r="E486" s="9"/>
      <c r="F486" s="9"/>
      <c r="G486" s="9"/>
      <c r="H486" s="9"/>
      <c r="I486" s="9"/>
      <c r="J486" s="9"/>
      <c r="K486" s="9"/>
      <c r="L486" s="9"/>
      <c r="M486" s="9"/>
    </row>
    <row r="487">
      <c r="A487" s="9" t="inlineStr">
        <is>
          <t>RUN-TC-RS-ERR-009-empty-string</t>
        </is>
      </c>
      <c r="B487" s="9" t="inlineStr">
        <is>
          <t>TC-RS-ERR-009</t>
        </is>
      </c>
      <c r="C487" s="9" t="inlineStr">
        <is>
          <t>empty-string</t>
        </is>
      </c>
      <c r="D487" s="9" t="inlineStr">
        <is>
          <t>NOT RUN</t>
        </is>
      </c>
      <c r="E487" s="9"/>
      <c r="F487" s="9"/>
      <c r="G487" s="9"/>
      <c r="H487" s="9"/>
      <c r="I487" s="9"/>
      <c r="J487" s="9"/>
      <c r="K487" s="9"/>
      <c r="L487" s="9"/>
      <c r="M487" s="9"/>
    </row>
    <row r="488">
      <c r="A488" s="9" t="inlineStr">
        <is>
          <t>RUN-TC-RS-ERR-009-object</t>
        </is>
      </c>
      <c r="B488" s="9" t="inlineStr">
        <is>
          <t>TC-RS-ERR-009</t>
        </is>
      </c>
      <c r="C488" s="9" t="inlineStr">
        <is>
          <t>object</t>
        </is>
      </c>
      <c r="D488" s="9" t="inlineStr">
        <is>
          <t>NOT RUN</t>
        </is>
      </c>
      <c r="E488" s="9"/>
      <c r="F488" s="9"/>
      <c r="G488" s="9"/>
      <c r="H488" s="9"/>
      <c r="I488" s="9"/>
      <c r="J488" s="9"/>
      <c r="K488" s="9"/>
      <c r="L488" s="9"/>
      <c r="M488" s="9"/>
    </row>
    <row r="489">
      <c r="A489" s="9" t="inlineStr">
        <is>
          <t>RUN-TC-RS-ERR-009-unknown-key</t>
        </is>
      </c>
      <c r="B489" s="9" t="inlineStr">
        <is>
          <t>TC-RS-ERR-009</t>
        </is>
      </c>
      <c r="C489" s="9" t="inlineStr">
        <is>
          <t>unknown-key</t>
        </is>
      </c>
      <c r="D489" s="9" t="inlineStr">
        <is>
          <t>NOT RUN</t>
        </is>
      </c>
      <c r="E489" s="9"/>
      <c r="F489" s="9"/>
      <c r="G489" s="9"/>
      <c r="H489" s="9"/>
      <c r="I489" s="9"/>
      <c r="J489" s="9"/>
      <c r="K489" s="9"/>
      <c r="L489" s="9"/>
      <c r="M489" s="9"/>
    </row>
    <row r="490">
      <c r="A490" s="9" t="inlineStr">
        <is>
          <t>RUN-TC-RS-ERR-009-arrays</t>
        </is>
      </c>
      <c r="B490" s="9" t="inlineStr">
        <is>
          <t>TC-RS-ERR-009</t>
        </is>
      </c>
      <c r="C490" s="9" t="inlineStr">
        <is>
          <t>arrays</t>
        </is>
      </c>
      <c r="D490" s="9" t="inlineStr">
        <is>
          <t>NOT RUN</t>
        </is>
      </c>
      <c r="E490" s="9"/>
      <c r="F490" s="9"/>
      <c r="G490" s="9"/>
      <c r="H490" s="9"/>
      <c r="I490" s="9"/>
      <c r="J490" s="9"/>
      <c r="K490" s="9"/>
      <c r="L490" s="9"/>
      <c r="M490" s="9"/>
    </row>
    <row r="491">
      <c r="A491" s="9" t="inlineStr">
        <is>
          <t>RUN-TC-RS-ERR-010-forged-red-flag</t>
        </is>
      </c>
      <c r="B491" s="9" t="inlineStr">
        <is>
          <t>TC-RS-ERR-010</t>
        </is>
      </c>
      <c r="C491" s="9" t="inlineStr">
        <is>
          <t>forged-red-flag</t>
        </is>
      </c>
      <c r="D491" s="9" t="inlineStr">
        <is>
          <t>NOT RUN</t>
        </is>
      </c>
      <c r="E491" s="9"/>
      <c r="F491" s="9"/>
      <c r="G491" s="9"/>
      <c r="H491" s="9"/>
      <c r="I491" s="9"/>
      <c r="J491" s="9"/>
      <c r="K491" s="9"/>
      <c r="L491" s="9"/>
      <c r="M491" s="9"/>
    </row>
    <row r="492">
      <c r="A492" s="9" t="inlineStr">
        <is>
          <t>RUN-TC-RS-ERR-010-forged-prefix</t>
        </is>
      </c>
      <c r="B492" s="9" t="inlineStr">
        <is>
          <t>TC-RS-ERR-010</t>
        </is>
      </c>
      <c r="C492" s="9" t="inlineStr">
        <is>
          <t>forged-prefix</t>
        </is>
      </c>
      <c r="D492" s="9" t="inlineStr">
        <is>
          <t>NOT RUN</t>
        </is>
      </c>
      <c r="E492" s="9"/>
      <c r="F492" s="9"/>
      <c r="G492" s="9"/>
      <c r="H492" s="9"/>
      <c r="I492" s="9"/>
      <c r="J492" s="9"/>
      <c r="K492" s="9"/>
      <c r="L492" s="9"/>
      <c r="M492" s="9"/>
    </row>
    <row r="493">
      <c r="A493" s="9" t="inlineStr">
        <is>
          <t>RUN-TC-RS-ERR-010-forged-color</t>
        </is>
      </c>
      <c r="B493" s="9" t="inlineStr">
        <is>
          <t>TC-RS-ERR-010</t>
        </is>
      </c>
      <c r="C493" s="9" t="inlineStr">
        <is>
          <t>forged-color</t>
        </is>
      </c>
      <c r="D493" s="9" t="inlineStr">
        <is>
          <t>NOT RUN</t>
        </is>
      </c>
      <c r="E493" s="9"/>
      <c r="F493" s="9"/>
      <c r="G493" s="9"/>
      <c r="H493" s="9"/>
      <c r="I493" s="9"/>
      <c r="J493" s="9"/>
      <c r="K493" s="9"/>
      <c r="L493" s="9"/>
      <c r="M493" s="9"/>
    </row>
    <row r="494">
      <c r="A494" s="9" t="inlineStr">
        <is>
          <t>RUN-TC-RS-ERR-010-forged-score</t>
        </is>
      </c>
      <c r="B494" s="9" t="inlineStr">
        <is>
          <t>TC-RS-ERR-010</t>
        </is>
      </c>
      <c r="C494" s="9" t="inlineStr">
        <is>
          <t>forged-score</t>
        </is>
      </c>
      <c r="D494" s="9" t="inlineStr">
        <is>
          <t>NOT RUN</t>
        </is>
      </c>
      <c r="E494" s="9"/>
      <c r="F494" s="9"/>
      <c r="G494" s="9"/>
      <c r="H494" s="9"/>
      <c r="I494" s="9"/>
      <c r="J494" s="9"/>
      <c r="K494" s="9"/>
      <c r="L494" s="9"/>
      <c r="M494" s="9"/>
    </row>
    <row r="495">
      <c r="A495" s="9" t="inlineStr">
        <is>
          <t>RUN-TC-RS-ERR-010-forged-threshold</t>
        </is>
      </c>
      <c r="B495" s="9" t="inlineStr">
        <is>
          <t>TC-RS-ERR-010</t>
        </is>
      </c>
      <c r="C495" s="9" t="inlineStr">
        <is>
          <t>forged-threshold</t>
        </is>
      </c>
      <c r="D495" s="9" t="inlineStr">
        <is>
          <t>NOT RUN</t>
        </is>
      </c>
      <c r="E495" s="9"/>
      <c r="F495" s="9"/>
      <c r="G495" s="9"/>
      <c r="H495" s="9"/>
      <c r="I495" s="9"/>
      <c r="J495" s="9"/>
      <c r="K495" s="9"/>
      <c r="L495" s="9"/>
      <c r="M495" s="9"/>
    </row>
    <row r="496">
      <c r="A496" s="9" t="inlineStr">
        <is>
          <t>RUN-TC-RS-ERR-010-out-of-scope-student</t>
        </is>
      </c>
      <c r="B496" s="9" t="inlineStr">
        <is>
          <t>TC-RS-ERR-010</t>
        </is>
      </c>
      <c r="C496" s="9" t="inlineStr">
        <is>
          <t>out-of-scope-student</t>
        </is>
      </c>
      <c r="D496" s="9" t="inlineStr">
        <is>
          <t>NOT RUN</t>
        </is>
      </c>
      <c r="E496" s="9"/>
      <c r="F496" s="9"/>
      <c r="G496" s="9"/>
      <c r="H496" s="9"/>
      <c r="I496" s="9"/>
      <c r="J496" s="9"/>
      <c r="K496" s="9"/>
      <c r="L496" s="9"/>
      <c r="M496" s="9"/>
    </row>
    <row r="497">
      <c r="A497" s="9" t="inlineStr">
        <is>
          <t>RUN-TC-RS-ERR-010-out-of-scope-school</t>
        </is>
      </c>
      <c r="B497" s="9" t="inlineStr">
        <is>
          <t>TC-RS-ERR-010</t>
        </is>
      </c>
      <c r="C497" s="9" t="inlineStr">
        <is>
          <t>out-of-scope-school</t>
        </is>
      </c>
      <c r="D497" s="9" t="inlineStr">
        <is>
          <t>NOT RUN</t>
        </is>
      </c>
      <c r="E497" s="9"/>
      <c r="F497" s="9"/>
      <c r="G497" s="9"/>
      <c r="H497" s="9"/>
      <c r="I497" s="9"/>
      <c r="J497" s="9"/>
      <c r="K497" s="9"/>
      <c r="L497" s="9"/>
      <c r="M497" s="9"/>
    </row>
    <row r="498">
      <c r="A498" s="9" t="inlineStr">
        <is>
          <t>RUN-TC-RS-ERR-010-out-of-scope-year</t>
        </is>
      </c>
      <c r="B498" s="9" t="inlineStr">
        <is>
          <t>TC-RS-ERR-010</t>
        </is>
      </c>
      <c r="C498" s="9" t="inlineStr">
        <is>
          <t>out-of-scope-year</t>
        </is>
      </c>
      <c r="D498" s="9" t="inlineStr">
        <is>
          <t>NOT RUN</t>
        </is>
      </c>
      <c r="E498" s="9"/>
      <c r="F498" s="9"/>
      <c r="G498" s="9"/>
      <c r="H498" s="9"/>
      <c r="I498" s="9"/>
      <c r="J498" s="9"/>
      <c r="K498" s="9"/>
      <c r="L498" s="9"/>
      <c r="M498" s="9"/>
    </row>
    <row r="499">
      <c r="A499" s="9" t="inlineStr">
        <is>
          <t>RUN-TC-RS-ERR-011-score-update</t>
        </is>
      </c>
      <c r="B499" s="9" t="inlineStr">
        <is>
          <t>TC-RS-ERR-011</t>
        </is>
      </c>
      <c r="C499" s="9" t="inlineStr">
        <is>
          <t>score-update</t>
        </is>
      </c>
      <c r="D499" s="9" t="inlineStr">
        <is>
          <t>NOT RUN</t>
        </is>
      </c>
      <c r="E499" s="9"/>
      <c r="F499" s="9"/>
      <c r="G499" s="9"/>
      <c r="H499" s="9"/>
      <c r="I499" s="9"/>
      <c r="J499" s="9"/>
      <c r="K499" s="9"/>
      <c r="L499" s="9"/>
      <c r="M499" s="9"/>
    </row>
    <row r="500">
      <c r="A500" s="9" t="inlineStr">
        <is>
          <t>RUN-TC-RS-ERR-011-rule-update</t>
        </is>
      </c>
      <c r="B500" s="9" t="inlineStr">
        <is>
          <t>TC-RS-ERR-011</t>
        </is>
      </c>
      <c r="C500" s="9" t="inlineStr">
        <is>
          <t>rule-update</t>
        </is>
      </c>
      <c r="D500" s="9" t="inlineStr">
        <is>
          <t>NOT RUN</t>
        </is>
      </c>
      <c r="E500" s="9"/>
      <c r="F500" s="9"/>
      <c r="G500" s="9"/>
      <c r="H500" s="9"/>
      <c r="I500" s="9"/>
      <c r="J500" s="9"/>
      <c r="K500" s="9"/>
      <c r="L500" s="9"/>
      <c r="M500" s="9"/>
    </row>
    <row r="501">
      <c r="A501" s="9" t="inlineStr">
        <is>
          <t>RUN-TC-RS-ERR-011-aggregation-snapshot-update</t>
        </is>
      </c>
      <c r="B501" s="9" t="inlineStr">
        <is>
          <t>TC-RS-ERR-011</t>
        </is>
      </c>
      <c r="C501" s="9" t="inlineStr">
        <is>
          <t>aggregation-snapshot-update</t>
        </is>
      </c>
      <c r="D501" s="9" t="inlineStr">
        <is>
          <t>NOT RUN</t>
        </is>
      </c>
      <c r="E501" s="9"/>
      <c r="F501" s="9"/>
      <c r="G501" s="9"/>
      <c r="H501" s="9"/>
      <c r="I501" s="9"/>
      <c r="J501" s="9"/>
      <c r="K501" s="9"/>
      <c r="L501" s="9"/>
      <c r="M501" s="9"/>
    </row>
    <row r="502">
      <c r="A502" s="9" t="inlineStr">
        <is>
          <t>RUN-TC-RS-ERR-011-edit-away-and-back</t>
        </is>
      </c>
      <c r="B502" s="9" t="inlineStr">
        <is>
          <t>TC-RS-ERR-011</t>
        </is>
      </c>
      <c r="C502" s="9" t="inlineStr">
        <is>
          <t>edit-away-and-back</t>
        </is>
      </c>
      <c r="D502" s="9" t="inlineStr">
        <is>
          <t>NOT RUN</t>
        </is>
      </c>
      <c r="E502" s="9"/>
      <c r="F502" s="9"/>
      <c r="G502" s="9"/>
      <c r="H502" s="9"/>
      <c r="I502" s="9"/>
      <c r="J502" s="9"/>
      <c r="K502" s="9"/>
      <c r="L502" s="9"/>
      <c r="M502" s="9"/>
    </row>
    <row r="503">
      <c r="A503" s="9" t="inlineStr">
        <is>
          <t>RUN-TC-RS-ERR-011-delete-and-recreate</t>
        </is>
      </c>
      <c r="B503" s="9" t="inlineStr">
        <is>
          <t>TC-RS-ERR-011</t>
        </is>
      </c>
      <c r="C503" s="9" t="inlineStr">
        <is>
          <t>delete-and-recreate</t>
        </is>
      </c>
      <c r="D503" s="9" t="inlineStr">
        <is>
          <t>NOT RUN</t>
        </is>
      </c>
      <c r="E503" s="9"/>
      <c r="F503" s="9"/>
      <c r="G503" s="9"/>
      <c r="H503" s="9"/>
      <c r="I503" s="9"/>
      <c r="J503" s="9"/>
      <c r="K503" s="9"/>
      <c r="L503" s="9"/>
      <c r="M503" s="9"/>
    </row>
    <row r="504">
      <c r="A504" s="9" t="inlineStr">
        <is>
          <t>RUN-TC-RS-ERR-011-rule-update-without-score-write</t>
        </is>
      </c>
      <c r="B504" s="9" t="inlineStr">
        <is>
          <t>TC-RS-ERR-011</t>
        </is>
      </c>
      <c r="C504" s="9" t="inlineStr">
        <is>
          <t>rule-update-without-score-write</t>
        </is>
      </c>
      <c r="D504" s="9" t="inlineStr">
        <is>
          <t>NOT RUN</t>
        </is>
      </c>
      <c r="E504" s="9"/>
      <c r="F504" s="9"/>
      <c r="G504" s="9"/>
      <c r="H504" s="9"/>
      <c r="I504" s="9"/>
      <c r="J504" s="9"/>
      <c r="K504" s="9"/>
      <c r="L504" s="9"/>
      <c r="M504" s="9"/>
    </row>
    <row r="505">
      <c r="A505" s="9" t="inlineStr">
        <is>
          <t>RUN-TC-RS-ERR-012-Base</t>
        </is>
      </c>
      <c r="B505" s="9" t="inlineStr">
        <is>
          <t>TC-RS-ERR-012</t>
        </is>
      </c>
      <c r="C505" s="9" t="inlineStr">
        <is>
          <t>Base</t>
        </is>
      </c>
      <c r="D505" s="9" t="inlineStr">
        <is>
          <t>NOT RUN</t>
        </is>
      </c>
      <c r="E505" s="9"/>
      <c r="F505" s="9"/>
      <c r="G505" s="9"/>
      <c r="H505" s="9"/>
      <c r="I505" s="9"/>
      <c r="J505" s="9"/>
      <c r="K505" s="9"/>
      <c r="L505" s="9"/>
      <c r="M505" s="9"/>
    </row>
    <row r="506">
      <c r="A506" s="9" t="inlineStr">
        <is>
          <t>RUN-TC-RS-ERR-013-Base</t>
        </is>
      </c>
      <c r="B506" s="9" t="inlineStr">
        <is>
          <t>TC-RS-ERR-013</t>
        </is>
      </c>
      <c r="C506" s="9" t="inlineStr">
        <is>
          <t>Base</t>
        </is>
      </c>
      <c r="D506" s="9" t="inlineStr">
        <is>
          <t>NOT RUN</t>
        </is>
      </c>
      <c r="E506" s="9"/>
      <c r="F506" s="9"/>
      <c r="G506" s="9"/>
      <c r="H506" s="9"/>
      <c r="I506" s="9"/>
      <c r="J506" s="9"/>
      <c r="K506" s="9"/>
      <c r="L506" s="9"/>
      <c r="M506" s="9"/>
    </row>
    <row r="507">
      <c r="A507" s="9" t="inlineStr">
        <is>
          <t>RUN-TC-RS-ERR-014-extract</t>
        </is>
      </c>
      <c r="B507" s="9" t="inlineStr">
        <is>
          <t>TC-RS-ERR-014</t>
        </is>
      </c>
      <c r="C507" s="9" t="inlineStr">
        <is>
          <t>extract</t>
        </is>
      </c>
      <c r="D507" s="9" t="inlineStr">
        <is>
          <t>NOT RUN</t>
        </is>
      </c>
      <c r="E507" s="9"/>
      <c r="F507" s="9"/>
      <c r="G507" s="9"/>
      <c r="H507" s="9"/>
      <c r="I507" s="9"/>
      <c r="J507" s="9"/>
      <c r="K507" s="9"/>
      <c r="L507" s="9"/>
      <c r="M507" s="9"/>
    </row>
    <row r="508">
      <c r="A508" s="9" t="inlineStr">
        <is>
          <t>RUN-TC-RS-ERR-014-publish</t>
        </is>
      </c>
      <c r="B508" s="9" t="inlineStr">
        <is>
          <t>TC-RS-ERR-014</t>
        </is>
      </c>
      <c r="C508" s="9" t="inlineStr">
        <is>
          <t>publish</t>
        </is>
      </c>
      <c r="D508" s="9" t="inlineStr">
        <is>
          <t>NOT RUN</t>
        </is>
      </c>
      <c r="E508" s="9"/>
      <c r="F508" s="9"/>
      <c r="G508" s="9"/>
      <c r="H508" s="9"/>
      <c r="I508" s="9"/>
      <c r="J508" s="9"/>
      <c r="K508" s="9"/>
      <c r="L508" s="9"/>
      <c r="M508" s="9"/>
    </row>
    <row r="509">
      <c r="A509" s="9" t="inlineStr">
        <is>
          <t>RUN-TC-RS-ERR-014-report</t>
        </is>
      </c>
      <c r="B509" s="9" t="inlineStr">
        <is>
          <t>TC-RS-ERR-014</t>
        </is>
      </c>
      <c r="C509" s="9" t="inlineStr">
        <is>
          <t>report</t>
        </is>
      </c>
      <c r="D509" s="9" t="inlineStr">
        <is>
          <t>NOT RUN</t>
        </is>
      </c>
      <c r="E509" s="9"/>
      <c r="F509" s="9"/>
      <c r="G509" s="9"/>
      <c r="H509" s="9"/>
      <c r="I509" s="9"/>
      <c r="J509" s="9"/>
      <c r="K509" s="9"/>
      <c r="L509" s="9"/>
      <c r="M509" s="9"/>
    </row>
    <row r="510">
      <c r="A510" s="9" t="inlineStr">
        <is>
          <t>RUN-TC-RS-ERR-015-recreate35</t>
        </is>
      </c>
      <c r="B510" s="9" t="inlineStr">
        <is>
          <t>TC-RS-ERR-015</t>
        </is>
      </c>
      <c r="C510" s="9" t="inlineStr">
        <is>
          <t>recreate35</t>
        </is>
      </c>
      <c r="D510" s="9" t="inlineStr">
        <is>
          <t>NOT RUN</t>
        </is>
      </c>
      <c r="E510" s="9"/>
      <c r="F510" s="9"/>
      <c r="G510" s="9"/>
      <c r="H510" s="9"/>
      <c r="I510" s="9"/>
      <c r="J510" s="9"/>
      <c r="K510" s="9"/>
      <c r="L510" s="9"/>
      <c r="M510" s="9"/>
    </row>
    <row r="511">
      <c r="A511" s="9" t="inlineStr">
        <is>
          <t>RUN-TC-RS-ERR-015-same29</t>
        </is>
      </c>
      <c r="B511" s="9" t="inlineStr">
        <is>
          <t>TC-RS-ERR-015</t>
        </is>
      </c>
      <c r="C511" s="9" t="inlineStr">
        <is>
          <t>same29</t>
        </is>
      </c>
      <c r="D511" s="9" t="inlineStr">
        <is>
          <t>NOT RUN</t>
        </is>
      </c>
      <c r="E511" s="9"/>
      <c r="F511" s="9"/>
      <c r="G511" s="9"/>
      <c r="H511" s="9"/>
      <c r="I511" s="9"/>
      <c r="J511" s="9"/>
      <c r="K511" s="9"/>
      <c r="L511" s="9"/>
      <c r="M511" s="9"/>
    </row>
    <row r="512">
      <c r="A512" s="9" t="inlineStr">
        <is>
          <t>RUN-TC-RS-ERR-015-old-batch</t>
        </is>
      </c>
      <c r="B512" s="9" t="inlineStr">
        <is>
          <t>TC-RS-ERR-015</t>
        </is>
      </c>
      <c r="C512" s="9" t="inlineStr">
        <is>
          <t>old-batch</t>
        </is>
      </c>
      <c r="D512" s="9" t="inlineStr">
        <is>
          <t>NOT RUN</t>
        </is>
      </c>
      <c r="E512" s="9"/>
      <c r="F512" s="9"/>
      <c r="G512" s="9"/>
      <c r="H512" s="9"/>
      <c r="I512" s="9"/>
      <c r="J512" s="9"/>
      <c r="K512" s="9"/>
      <c r="L512" s="9"/>
      <c r="M512" s="9"/>
    </row>
    <row r="513">
      <c r="A513" s="9" t="inlineStr">
        <is>
          <t>RUN-TC-RS-ERR-016-Base</t>
        </is>
      </c>
      <c r="B513" s="9" t="inlineStr">
        <is>
          <t>TC-RS-ERR-016</t>
        </is>
      </c>
      <c r="C513" s="9" t="inlineStr">
        <is>
          <t>Base</t>
        </is>
      </c>
      <c r="D513" s="9" t="inlineStr">
        <is>
          <t>NOT RUN</t>
        </is>
      </c>
      <c r="E513" s="9"/>
      <c r="F513" s="9"/>
      <c r="G513" s="9"/>
      <c r="H513" s="9"/>
      <c r="I513" s="9"/>
      <c r="J513" s="9"/>
      <c r="K513" s="9"/>
      <c r="L513" s="9"/>
      <c r="M513" s="9"/>
    </row>
    <row r="514">
      <c r="A514" s="9" t="inlineStr">
        <is>
          <t>RUN-TC-RS-ERR-017-rule-name</t>
        </is>
      </c>
      <c r="B514" s="9" t="inlineStr">
        <is>
          <t>TC-RS-ERR-017</t>
        </is>
      </c>
      <c r="C514" s="9" t="inlineStr">
        <is>
          <t>rule-name</t>
        </is>
      </c>
      <c r="D514" s="9" t="inlineStr">
        <is>
          <t>NOT RUN</t>
        </is>
      </c>
      <c r="E514" s="9"/>
      <c r="F514" s="9"/>
      <c r="G514" s="9"/>
      <c r="H514" s="9"/>
      <c r="I514" s="9"/>
      <c r="J514" s="9"/>
      <c r="K514" s="9"/>
      <c r="L514" s="9"/>
      <c r="M514" s="9"/>
    </row>
    <row r="515">
      <c r="A515" s="9" t="inlineStr">
        <is>
          <t>RUN-TC-RS-ERR-017-extract</t>
        </is>
      </c>
      <c r="B515" s="9" t="inlineStr">
        <is>
          <t>TC-RS-ERR-017</t>
        </is>
      </c>
      <c r="C515" s="9" t="inlineStr">
        <is>
          <t>extract</t>
        </is>
      </c>
      <c r="D515" s="9" t="inlineStr">
        <is>
          <t>NOT RUN</t>
        </is>
      </c>
      <c r="E515" s="9"/>
      <c r="F515" s="9"/>
      <c r="G515" s="9"/>
      <c r="H515" s="9"/>
      <c r="I515" s="9"/>
      <c r="J515" s="9"/>
      <c r="K515" s="9"/>
      <c r="L515" s="9"/>
      <c r="M515" s="9"/>
    </row>
    <row r="516">
      <c r="A516" s="9" t="inlineStr">
        <is>
          <t>RUN-TC-RS-ERR-017-report</t>
        </is>
      </c>
      <c r="B516" s="9" t="inlineStr">
        <is>
          <t>TC-RS-ERR-017</t>
        </is>
      </c>
      <c r="C516" s="9" t="inlineStr">
        <is>
          <t>report</t>
        </is>
      </c>
      <c r="D516" s="9" t="inlineStr">
        <is>
          <t>NOT RUN</t>
        </is>
      </c>
      <c r="E516" s="9"/>
      <c r="F516" s="9"/>
      <c r="G516" s="9"/>
      <c r="H516" s="9"/>
      <c r="I516" s="9"/>
      <c r="J516" s="9"/>
      <c r="K516" s="9"/>
      <c r="L516" s="9"/>
      <c r="M516" s="9"/>
    </row>
    <row r="517">
      <c r="A517" s="9" t="inlineStr">
        <is>
          <t>RUN-TC-RS-ERR-018-concurrent</t>
        </is>
      </c>
      <c r="B517" s="9" t="inlineStr">
        <is>
          <t>TC-RS-ERR-018</t>
        </is>
      </c>
      <c r="C517" s="9" t="inlineStr">
        <is>
          <t>concurrent</t>
        </is>
      </c>
      <c r="D517" s="9" t="inlineStr">
        <is>
          <t>NOT RUN</t>
        </is>
      </c>
      <c r="E517" s="9"/>
      <c r="F517" s="9"/>
      <c r="G517" s="9"/>
      <c r="H517" s="9"/>
      <c r="I517" s="9"/>
      <c r="J517" s="9"/>
      <c r="K517" s="9"/>
      <c r="L517" s="9"/>
      <c r="M517" s="9"/>
    </row>
    <row r="518">
      <c r="A518" s="9" t="inlineStr">
        <is>
          <t>RUN-TC-RS-ERR-018-replay-form</t>
        </is>
      </c>
      <c r="B518" s="9" t="inlineStr">
        <is>
          <t>TC-RS-ERR-018</t>
        </is>
      </c>
      <c r="C518" s="9" t="inlineStr">
        <is>
          <t>replay-form</t>
        </is>
      </c>
      <c r="D518" s="9" t="inlineStr">
        <is>
          <t>NOT RUN</t>
        </is>
      </c>
      <c r="E518" s="9"/>
      <c r="F518" s="9"/>
      <c r="G518" s="9"/>
      <c r="H518" s="9"/>
      <c r="I518" s="9"/>
      <c r="J518" s="9"/>
      <c r="K518" s="9"/>
      <c r="L518" s="9"/>
      <c r="M518" s="9"/>
    </row>
    <row r="519">
      <c r="A519" s="9" t="inlineStr">
        <is>
          <t>RUN-TC-RS-ERR-018-replay-job</t>
        </is>
      </c>
      <c r="B519" s="9" t="inlineStr">
        <is>
          <t>TC-RS-ERR-018</t>
        </is>
      </c>
      <c r="C519" s="9" t="inlineStr">
        <is>
          <t>replay-job</t>
        </is>
      </c>
      <c r="D519" s="9" t="inlineStr">
        <is>
          <t>NOT RUN</t>
        </is>
      </c>
      <c r="E519" s="9"/>
      <c r="F519" s="9"/>
      <c r="G519" s="9"/>
      <c r="H519" s="9"/>
      <c r="I519" s="9"/>
      <c r="J519" s="9"/>
      <c r="K519" s="9"/>
      <c r="L519" s="9"/>
      <c r="M519" s="9"/>
    </row>
    <row r="520">
      <c r="A520" s="9" t="inlineStr">
        <is>
          <t>RUN-TC-RS-ERR-019-Base</t>
        </is>
      </c>
      <c r="B520" s="9" t="inlineStr">
        <is>
          <t>TC-RS-ERR-019</t>
        </is>
      </c>
      <c r="C520" s="9" t="inlineStr">
        <is>
          <t>Base</t>
        </is>
      </c>
      <c r="D520" s="9" t="inlineStr">
        <is>
          <t>NOT RUN</t>
        </is>
      </c>
      <c r="E520" s="9"/>
      <c r="F520" s="9"/>
      <c r="G520" s="9"/>
      <c r="H520" s="9"/>
      <c r="I520" s="9"/>
      <c r="J520" s="9"/>
      <c r="K520" s="9"/>
      <c r="L520" s="9"/>
      <c r="M520" s="9"/>
    </row>
    <row r="521">
      <c r="A521" s="9" t="inlineStr">
        <is>
          <t>RUN-TC-RS-REG-001-Base</t>
        </is>
      </c>
      <c r="B521" s="9" t="inlineStr">
        <is>
          <t>TC-RS-REG-001</t>
        </is>
      </c>
      <c r="C521" s="9" t="inlineStr">
        <is>
          <t>Base</t>
        </is>
      </c>
      <c r="D521" s="9" t="inlineStr">
        <is>
          <t>NOT RUN</t>
        </is>
      </c>
      <c r="E521" s="9"/>
      <c r="F521" s="9"/>
      <c r="G521" s="9"/>
      <c r="H521" s="9"/>
      <c r="I521" s="9"/>
      <c r="J521" s="9"/>
      <c r="K521" s="9"/>
      <c r="L521" s="9"/>
      <c r="M521" s="9"/>
    </row>
    <row r="522">
      <c r="A522" s="9" t="inlineStr">
        <is>
          <t>RUN-TC-RS-REG-002-Base</t>
        </is>
      </c>
      <c r="B522" s="9" t="inlineStr">
        <is>
          <t>TC-RS-REG-002</t>
        </is>
      </c>
      <c r="C522" s="9" t="inlineStr">
        <is>
          <t>Base</t>
        </is>
      </c>
      <c r="D522" s="9" t="inlineStr">
        <is>
          <t>NOT RUN</t>
        </is>
      </c>
      <c r="E522" s="9"/>
      <c r="F522" s="9"/>
      <c r="G522" s="9"/>
      <c r="H522" s="9"/>
      <c r="I522" s="9"/>
      <c r="J522" s="9"/>
      <c r="K522" s="9"/>
      <c r="L522" s="9"/>
      <c r="M522" s="9"/>
    </row>
    <row r="523">
      <c r="A523" s="9" t="inlineStr">
        <is>
          <t>RUN-TC-RS-REG-003-Base</t>
        </is>
      </c>
      <c r="B523" s="9" t="inlineStr">
        <is>
          <t>TC-RS-REG-003</t>
        </is>
      </c>
      <c r="C523" s="9" t="inlineStr">
        <is>
          <t>Base</t>
        </is>
      </c>
      <c r="D523" s="9" t="inlineStr">
        <is>
          <t>NOT RUN</t>
        </is>
      </c>
      <c r="E523" s="9"/>
      <c r="F523" s="9"/>
      <c r="G523" s="9"/>
      <c r="H523" s="9"/>
      <c r="I523" s="9"/>
      <c r="J523" s="9"/>
      <c r="K523" s="9"/>
      <c r="L523" s="9"/>
      <c r="M523" s="9"/>
    </row>
    <row r="524">
      <c r="A524" s="9" t="inlineStr">
        <is>
          <t>RUN-TC-RS-REG-004-orange</t>
        </is>
      </c>
      <c r="B524" s="9" t="inlineStr">
        <is>
          <t>TC-RS-REG-004</t>
        </is>
      </c>
      <c r="C524" s="9" t="inlineStr">
        <is>
          <t>orange</t>
        </is>
      </c>
      <c r="D524" s="9" t="inlineStr">
        <is>
          <t>NOT RUN</t>
        </is>
      </c>
      <c r="E524" s="9"/>
      <c r="F524" s="9"/>
      <c r="G524" s="9"/>
      <c r="H524" s="9"/>
      <c r="I524" s="9"/>
      <c r="J524" s="9"/>
      <c r="K524" s="9"/>
      <c r="L524" s="9"/>
      <c r="M524" s="9"/>
    </row>
    <row r="525">
      <c r="A525" s="9" t="inlineStr">
        <is>
          <t>RUN-TC-RS-REG-004-green</t>
        </is>
      </c>
      <c r="B525" s="9" t="inlineStr">
        <is>
          <t>TC-RS-REG-004</t>
        </is>
      </c>
      <c r="C525" s="9" t="inlineStr">
        <is>
          <t>green</t>
        </is>
      </c>
      <c r="D525" s="9" t="inlineStr">
        <is>
          <t>NOT RUN</t>
        </is>
      </c>
      <c r="E525" s="9"/>
      <c r="F525" s="9"/>
      <c r="G525" s="9"/>
      <c r="H525" s="9"/>
      <c r="I525" s="9"/>
      <c r="J525" s="9"/>
      <c r="K525" s="9"/>
      <c r="L525" s="9"/>
      <c r="M525" s="9"/>
    </row>
    <row r="526">
      <c r="A526" s="9" t="inlineStr">
        <is>
          <t>RUN-TC-RS-REG-005-Base</t>
        </is>
      </c>
      <c r="B526" s="9" t="inlineStr">
        <is>
          <t>TC-RS-REG-005</t>
        </is>
      </c>
      <c r="C526" s="9" t="inlineStr">
        <is>
          <t>Base</t>
        </is>
      </c>
      <c r="D526" s="9" t="inlineStr">
        <is>
          <t>NOT RUN</t>
        </is>
      </c>
      <c r="E526" s="9"/>
      <c r="F526" s="9"/>
      <c r="G526" s="9"/>
      <c r="H526" s="9"/>
      <c r="I526" s="9"/>
      <c r="J526" s="9"/>
      <c r="K526" s="9"/>
      <c r="L526" s="9"/>
      <c r="M526" s="9"/>
    </row>
    <row r="527">
      <c r="A527" s="9" t="inlineStr">
        <is>
          <t>RUN-TC-RS-REG-006-color</t>
        </is>
      </c>
      <c r="B527" s="9" t="inlineStr">
        <is>
          <t>TC-RS-REG-006</t>
        </is>
      </c>
      <c r="C527" s="9" t="inlineStr">
        <is>
          <t>color</t>
        </is>
      </c>
      <c r="D527" s="9" t="inlineStr">
        <is>
          <t>NOT RUN</t>
        </is>
      </c>
      <c r="E527" s="9"/>
      <c r="F527" s="9"/>
      <c r="G527" s="9"/>
      <c r="H527" s="9"/>
      <c r="I527" s="9"/>
      <c r="J527" s="9"/>
      <c r="K527" s="9"/>
      <c r="L527" s="9"/>
      <c r="M527" s="9"/>
    </row>
    <row r="528">
      <c r="A528" s="9" t="inlineStr">
        <is>
          <t>RUN-TC-RS-REG-006-filter</t>
        </is>
      </c>
      <c r="B528" s="9" t="inlineStr">
        <is>
          <t>TC-RS-REG-006</t>
        </is>
      </c>
      <c r="C528" s="9" t="inlineStr">
        <is>
          <t>filter</t>
        </is>
      </c>
      <c r="D528" s="9" t="inlineStr">
        <is>
          <t>NOT RUN</t>
        </is>
      </c>
      <c r="E528" s="9"/>
      <c r="F528" s="9"/>
      <c r="G528" s="9"/>
      <c r="H528" s="9"/>
      <c r="I528" s="9"/>
      <c r="J528" s="9"/>
      <c r="K528" s="9"/>
      <c r="L528" s="9"/>
      <c r="M528" s="9"/>
    </row>
    <row r="529">
      <c r="A529" s="9" t="inlineStr">
        <is>
          <t>RUN-TC-RS-REG-006-symbol</t>
        </is>
      </c>
      <c r="B529" s="9" t="inlineStr">
        <is>
          <t>TC-RS-REG-006</t>
        </is>
      </c>
      <c r="C529" s="9" t="inlineStr">
        <is>
          <t>symbol</t>
        </is>
      </c>
      <c r="D529" s="9" t="inlineStr">
        <is>
          <t>NOT RUN</t>
        </is>
      </c>
      <c r="E529" s="9"/>
      <c r="F529" s="9"/>
      <c r="G529" s="9"/>
      <c r="H529" s="9"/>
      <c r="I529" s="9"/>
      <c r="J529" s="9"/>
      <c r="K529" s="9"/>
      <c r="L529" s="9"/>
      <c r="M529" s="9"/>
    </row>
    <row r="530">
      <c r="A530" s="9" t="inlineStr">
        <is>
          <t>RUN-TC-RS-REG-006-defaults</t>
        </is>
      </c>
      <c r="B530" s="9" t="inlineStr">
        <is>
          <t>TC-RS-REG-006</t>
        </is>
      </c>
      <c r="C530" s="9" t="inlineStr">
        <is>
          <t>defaults</t>
        </is>
      </c>
      <c r="D530" s="9" t="inlineStr">
        <is>
          <t>NOT RUN</t>
        </is>
      </c>
      <c r="E530" s="9"/>
      <c r="F530" s="9"/>
      <c r="G530" s="9"/>
      <c r="H530" s="9"/>
      <c r="I530" s="9"/>
      <c r="J530" s="9"/>
      <c r="K530" s="9"/>
      <c r="L530" s="9"/>
      <c r="M530" s="9"/>
    </row>
    <row r="531">
      <c r="A531" s="9" t="inlineStr">
        <is>
          <t>RUN-TC-RS-REG-007-Base</t>
        </is>
      </c>
      <c r="B531" s="9" t="inlineStr">
        <is>
          <t>TC-RS-REG-007</t>
        </is>
      </c>
      <c r="C531" s="9" t="inlineStr">
        <is>
          <t>Base</t>
        </is>
      </c>
      <c r="D531" s="9" t="inlineStr">
        <is>
          <t>NOT RUN</t>
        </is>
      </c>
      <c r="E531" s="9"/>
      <c r="F531" s="9"/>
      <c r="G531" s="9"/>
      <c r="H531" s="9"/>
      <c r="I531" s="9"/>
      <c r="J531" s="9"/>
      <c r="K531" s="9"/>
      <c r="L531" s="9"/>
      <c r="M531" s="9"/>
    </row>
    <row r="532">
      <c r="A532" s="9" t="inlineStr">
        <is>
          <t>RUN-TC-RS-REG-008-web-open</t>
        </is>
      </c>
      <c r="B532" s="9" t="inlineStr">
        <is>
          <t>TC-RS-REG-008</t>
        </is>
      </c>
      <c r="C532" s="9" t="inlineStr">
        <is>
          <t>web-open</t>
        </is>
      </c>
      <c r="D532" s="9" t="inlineStr">
        <is>
          <t>NOT RUN</t>
        </is>
      </c>
      <c r="E532" s="9"/>
      <c r="F532" s="9"/>
      <c r="G532" s="9"/>
      <c r="H532" s="9"/>
      <c r="I532" s="9"/>
      <c r="J532" s="9"/>
      <c r="K532" s="9"/>
      <c r="L532" s="9"/>
      <c r="M532" s="9"/>
    </row>
    <row r="533">
      <c r="A533" s="9" t="inlineStr">
        <is>
          <t>RUN-TC-RS-REG-008-api-open</t>
        </is>
      </c>
      <c r="B533" s="9" t="inlineStr">
        <is>
          <t>TC-RS-REG-008</t>
        </is>
      </c>
      <c r="C533" s="9" t="inlineStr">
        <is>
          <t>api-open</t>
        </is>
      </c>
      <c r="D533" s="9" t="inlineStr">
        <is>
          <t>NOT RUN</t>
        </is>
      </c>
      <c r="E533" s="9"/>
      <c r="F533" s="9"/>
      <c r="G533" s="9"/>
      <c r="H533" s="9"/>
      <c r="I533" s="9"/>
      <c r="J533" s="9"/>
      <c r="K533" s="9"/>
      <c r="L533" s="9"/>
      <c r="M533" s="9"/>
    </row>
    <row r="534">
      <c r="A534" s="9" t="inlineStr">
        <is>
          <t>RUN-TC-RS-REG-008-pdf-open</t>
        </is>
      </c>
      <c r="B534" s="9" t="inlineStr">
        <is>
          <t>TC-RS-REG-008</t>
        </is>
      </c>
      <c r="C534" s="9" t="inlineStr">
        <is>
          <t>pdf-open</t>
        </is>
      </c>
      <c r="D534" s="9" t="inlineStr">
        <is>
          <t>NOT RUN</t>
        </is>
      </c>
      <c r="E534" s="9"/>
      <c r="F534" s="9"/>
      <c r="G534" s="9"/>
      <c r="H534" s="9"/>
      <c r="I534" s="9"/>
      <c r="J534" s="9"/>
      <c r="K534" s="9"/>
      <c r="L534" s="9"/>
      <c r="M534" s="9"/>
    </row>
    <row r="535">
      <c r="A535" s="9" t="inlineStr">
        <is>
          <t>RUN-TC-RS-REG-008-web-closed</t>
        </is>
      </c>
      <c r="B535" s="9" t="inlineStr">
        <is>
          <t>TC-RS-REG-008</t>
        </is>
      </c>
      <c r="C535" s="9" t="inlineStr">
        <is>
          <t>web-closed</t>
        </is>
      </c>
      <c r="D535" s="9" t="inlineStr">
        <is>
          <t>NOT RUN</t>
        </is>
      </c>
      <c r="E535" s="9"/>
      <c r="F535" s="9"/>
      <c r="G535" s="9"/>
      <c r="H535" s="9"/>
      <c r="I535" s="9"/>
      <c r="J535" s="9"/>
      <c r="K535" s="9"/>
      <c r="L535" s="9"/>
      <c r="M535" s="9"/>
    </row>
    <row r="536">
      <c r="A536" s="9" t="inlineStr">
        <is>
          <t>RUN-TC-RS-REG-008-api-closed</t>
        </is>
      </c>
      <c r="B536" s="9" t="inlineStr">
        <is>
          <t>TC-RS-REG-008</t>
        </is>
      </c>
      <c r="C536" s="9" t="inlineStr">
        <is>
          <t>api-closed</t>
        </is>
      </c>
      <c r="D536" s="9" t="inlineStr">
        <is>
          <t>NOT RUN</t>
        </is>
      </c>
      <c r="E536" s="9"/>
      <c r="F536" s="9"/>
      <c r="G536" s="9"/>
      <c r="H536" s="9"/>
      <c r="I536" s="9"/>
      <c r="J536" s="9"/>
      <c r="K536" s="9"/>
      <c r="L536" s="9"/>
      <c r="M536" s="9"/>
    </row>
    <row r="537">
      <c r="A537" s="9" t="inlineStr">
        <is>
          <t>RUN-TC-RS-REG-008-pdf-closed</t>
        </is>
      </c>
      <c r="B537" s="9" t="inlineStr">
        <is>
          <t>TC-RS-REG-008</t>
        </is>
      </c>
      <c r="C537" s="9" t="inlineStr">
        <is>
          <t>pdf-closed</t>
        </is>
      </c>
      <c r="D537" s="9" t="inlineStr">
        <is>
          <t>NOT RUN</t>
        </is>
      </c>
      <c r="E537" s="9"/>
      <c r="F537" s="9"/>
      <c r="G537" s="9"/>
      <c r="H537" s="9"/>
      <c r="I537" s="9"/>
      <c r="J537" s="9"/>
      <c r="K537" s="9"/>
      <c r="L537" s="9"/>
      <c r="M537" s="9"/>
    </row>
    <row r="538">
      <c r="A538" s="9" t="inlineStr">
        <is>
          <t>RUN-TC-RS-REG-009-subject-empty</t>
        </is>
      </c>
      <c r="B538" s="9" t="inlineStr">
        <is>
          <t>TC-RS-REG-009</t>
        </is>
      </c>
      <c r="C538" s="9" t="inlineStr">
        <is>
          <t>subject-empty</t>
        </is>
      </c>
      <c r="D538" s="9" t="inlineStr">
        <is>
          <t>NOT RUN</t>
        </is>
      </c>
      <c r="E538" s="9"/>
      <c r="F538" s="9"/>
      <c r="G538" s="9"/>
      <c r="H538" s="9"/>
      <c r="I538" s="9"/>
      <c r="J538" s="9"/>
      <c r="K538" s="9"/>
      <c r="L538" s="9"/>
      <c r="M538" s="9"/>
    </row>
    <row r="539">
      <c r="A539" s="9" t="inlineStr">
        <is>
          <t>RUN-TC-RS-REG-009-notexam-hidden</t>
        </is>
      </c>
      <c r="B539" s="9" t="inlineStr">
        <is>
          <t>TC-RS-REG-009</t>
        </is>
      </c>
      <c r="C539" s="9" t="inlineStr">
        <is>
          <t>notexam-hidden</t>
        </is>
      </c>
      <c r="D539" s="9" t="inlineStr">
        <is>
          <t>NOT RUN</t>
        </is>
      </c>
      <c r="E539" s="9"/>
      <c r="F539" s="9"/>
      <c r="G539" s="9"/>
      <c r="H539" s="9"/>
      <c r="I539" s="9"/>
      <c r="J539" s="9"/>
      <c r="K539" s="9"/>
      <c r="L539" s="9"/>
      <c r="M539" s="9"/>
    </row>
    <row r="540">
      <c r="A540" s="9" t="inlineStr">
        <is>
          <t>RUN-TC-RS-REG-010-Base</t>
        </is>
      </c>
      <c r="B540" s="9" t="inlineStr">
        <is>
          <t>TC-RS-REG-010</t>
        </is>
      </c>
      <c r="C540" s="9" t="inlineStr">
        <is>
          <t>Base</t>
        </is>
      </c>
      <c r="D540" s="9" t="inlineStr">
        <is>
          <t>NOT RUN</t>
        </is>
      </c>
      <c r="E540" s="9"/>
      <c r="F540" s="9"/>
      <c r="G540" s="9"/>
      <c r="H540" s="9"/>
      <c r="I540" s="9"/>
      <c r="J540" s="9"/>
      <c r="K540" s="9"/>
      <c r="L540" s="9"/>
      <c r="M540" s="9"/>
    </row>
    <row r="541">
      <c r="A541" s="9" t="inlineStr">
        <is>
          <t>RUN-TC-RS-REG-013-definition</t>
        </is>
      </c>
      <c r="B541" s="9" t="inlineStr">
        <is>
          <t>TC-RS-REG-013</t>
        </is>
      </c>
      <c r="C541" s="9" t="inlineStr">
        <is>
          <t>definition</t>
        </is>
      </c>
      <c r="D541" s="9" t="inlineStr">
        <is>
          <t>NOT RUN</t>
        </is>
      </c>
      <c r="E541" s="9"/>
      <c r="F541" s="9"/>
      <c r="G541" s="9"/>
      <c r="H541" s="9"/>
      <c r="I541" s="9"/>
      <c r="J541" s="9"/>
      <c r="K541" s="9"/>
      <c r="L541" s="9"/>
      <c r="M541" s="9"/>
    </row>
    <row r="542">
      <c r="A542" s="9" t="inlineStr">
        <is>
          <t>RUN-TC-RS-REG-013-maximum</t>
        </is>
      </c>
      <c r="B542" s="9" t="inlineStr">
        <is>
          <t>TC-RS-REG-013</t>
        </is>
      </c>
      <c r="C542" s="9" t="inlineStr">
        <is>
          <t>maximum</t>
        </is>
      </c>
      <c r="D542" s="9" t="inlineStr">
        <is>
          <t>NOT RUN</t>
        </is>
      </c>
      <c r="E542" s="9"/>
      <c r="F542" s="9"/>
      <c r="G542" s="9"/>
      <c r="H542" s="9"/>
      <c r="I542" s="9"/>
      <c r="J542" s="9"/>
      <c r="K542" s="9"/>
      <c r="L542" s="9"/>
      <c r="M542" s="9"/>
    </row>
    <row r="543">
      <c r="A543" s="9" t="inlineStr">
        <is>
          <t>RUN-TC-RS-REG-013-batch</t>
        </is>
      </c>
      <c r="B543" s="9" t="inlineStr">
        <is>
          <t>TC-RS-REG-013</t>
        </is>
      </c>
      <c r="C543" s="9" t="inlineStr">
        <is>
          <t>batch</t>
        </is>
      </c>
      <c r="D543" s="9" t="inlineStr">
        <is>
          <t>NOT RUN</t>
        </is>
      </c>
      <c r="E543" s="9"/>
      <c r="F543" s="9"/>
      <c r="G543" s="9"/>
      <c r="H543" s="9"/>
      <c r="I543" s="9"/>
      <c r="J543" s="9"/>
      <c r="K543" s="9"/>
      <c r="L543" s="9"/>
      <c r="M543" s="9"/>
    </row>
    <row r="544">
      <c r="A544" s="9" t="inlineStr">
        <is>
          <t>RUN-TC-RS-REG-014-size10</t>
        </is>
      </c>
      <c r="B544" s="9" t="inlineStr">
        <is>
          <t>TC-RS-REG-014</t>
        </is>
      </c>
      <c r="C544" s="9" t="inlineStr">
        <is>
          <t>size10</t>
        </is>
      </c>
      <c r="D544" s="9" t="inlineStr">
        <is>
          <t>NOT RUN</t>
        </is>
      </c>
      <c r="E544" s="9"/>
      <c r="F544" s="9"/>
      <c r="G544" s="9"/>
      <c r="H544" s="9"/>
      <c r="I544" s="9"/>
      <c r="J544" s="9"/>
      <c r="K544" s="9"/>
      <c r="L544" s="9"/>
      <c r="M544" s="9"/>
    </row>
    <row r="545">
      <c r="A545" s="9" t="inlineStr">
        <is>
          <t>RUN-TC-RS-REG-014-size100</t>
        </is>
      </c>
      <c r="B545" s="9" t="inlineStr">
        <is>
          <t>TC-RS-REG-014</t>
        </is>
      </c>
      <c r="C545" s="9" t="inlineStr">
        <is>
          <t>size100</t>
        </is>
      </c>
      <c r="D545" s="9" t="inlineStr">
        <is>
          <t>NOT RUN</t>
        </is>
      </c>
      <c r="E545" s="9"/>
      <c r="F545" s="9"/>
      <c r="G545" s="9"/>
      <c r="H545" s="9"/>
      <c r="I545" s="9"/>
      <c r="J545" s="9"/>
      <c r="K545" s="9"/>
      <c r="L545" s="9"/>
      <c r="M545" s="9"/>
    </row>
    <row r="546">
      <c r="A546" s="9" t="inlineStr">
        <is>
          <t>RUN-TC-RS-REG-015-student</t>
        </is>
      </c>
      <c r="B546" s="9" t="inlineStr">
        <is>
          <t>TC-RS-REG-015</t>
        </is>
      </c>
      <c r="C546" s="9" t="inlineStr">
        <is>
          <t>student</t>
        </is>
      </c>
      <c r="D546" s="9" t="inlineStr">
        <is>
          <t>NOT RUN</t>
        </is>
      </c>
      <c r="E546" s="9"/>
      <c r="F546" s="9"/>
      <c r="G546" s="9"/>
      <c r="H546" s="9"/>
      <c r="I546" s="9"/>
      <c r="J546" s="9"/>
      <c r="K546" s="9"/>
      <c r="L546" s="9"/>
      <c r="M546" s="9"/>
    </row>
    <row r="547">
      <c r="A547" s="9" t="inlineStr">
        <is>
          <t>RUN-TC-RS-REG-015-parent</t>
        </is>
      </c>
      <c r="B547" s="9" t="inlineStr">
        <is>
          <t>TC-RS-REG-015</t>
        </is>
      </c>
      <c r="C547" s="9" t="inlineStr">
        <is>
          <t>parent</t>
        </is>
      </c>
      <c r="D547" s="9" t="inlineStr">
        <is>
          <t>NOT RUN</t>
        </is>
      </c>
      <c r="E547" s="9"/>
      <c r="F547" s="9"/>
      <c r="G547" s="9"/>
      <c r="H547" s="9"/>
      <c r="I547" s="9"/>
      <c r="J547" s="9"/>
      <c r="K547" s="9"/>
      <c r="L547" s="9"/>
      <c r="M547" s="9"/>
    </row>
    <row r="548">
      <c r="A548" s="9" t="inlineStr">
        <is>
          <t>RUN-TC-RS-REG-016-direct</t>
        </is>
      </c>
      <c r="B548" s="9" t="inlineStr">
        <is>
          <t>TC-RS-REG-016</t>
        </is>
      </c>
      <c r="C548" s="9" t="inlineStr">
        <is>
          <t>direct</t>
        </is>
      </c>
      <c r="D548" s="9" t="inlineStr">
        <is>
          <t>NOT RUN</t>
        </is>
      </c>
      <c r="E548" s="9"/>
      <c r="F548" s="9"/>
      <c r="G548" s="9"/>
      <c r="H548" s="9"/>
      <c r="I548" s="9"/>
      <c r="J548" s="9"/>
      <c r="K548" s="9"/>
      <c r="L548" s="9"/>
      <c r="M548" s="9"/>
    </row>
    <row r="549">
      <c r="A549" s="9" t="inlineStr">
        <is>
          <t>RUN-TC-RS-REG-016-csv</t>
        </is>
      </c>
      <c r="B549" s="9" t="inlineStr">
        <is>
          <t>TC-RS-REG-016</t>
        </is>
      </c>
      <c r="C549" s="9" t="inlineStr">
        <is>
          <t>csv</t>
        </is>
      </c>
      <c r="D549" s="9" t="inlineStr">
        <is>
          <t>NOT RUN</t>
        </is>
      </c>
      <c r="E549" s="9"/>
      <c r="F549" s="9"/>
      <c r="G549" s="9"/>
      <c r="H549" s="9"/>
      <c r="I549" s="9"/>
      <c r="J549" s="9"/>
      <c r="K549" s="9"/>
      <c r="L549" s="9"/>
      <c r="M549" s="9"/>
    </row>
    <row r="550">
      <c r="A550" s="9" t="inlineStr">
        <is>
          <t>RUN-TC-RS-REG-016-hr-csv</t>
        </is>
      </c>
      <c r="B550" s="9" t="inlineStr">
        <is>
          <t>TC-RS-REG-016</t>
        </is>
      </c>
      <c r="C550" s="9" t="inlineStr">
        <is>
          <t>hr-csv</t>
        </is>
      </c>
      <c r="D550" s="9" t="inlineStr">
        <is>
          <t>NOT RUN</t>
        </is>
      </c>
      <c r="E550" s="9"/>
      <c r="F550" s="9"/>
      <c r="G550" s="9"/>
      <c r="H550" s="9"/>
      <c r="I550" s="9"/>
      <c r="J550" s="9"/>
      <c r="K550" s="9"/>
      <c r="L550" s="9"/>
      <c r="M550" s="9"/>
    </row>
    <row r="551">
      <c r="A551" s="9" t="inlineStr">
        <is>
          <t>RUN-TC-RS-REG-017-Base</t>
        </is>
      </c>
      <c r="B551" s="9" t="inlineStr">
        <is>
          <t>TC-RS-REG-017</t>
        </is>
      </c>
      <c r="C551" s="9" t="inlineStr">
        <is>
          <t>Base</t>
        </is>
      </c>
      <c r="D551" s="9" t="inlineStr">
        <is>
          <t>NOT RUN</t>
        </is>
      </c>
      <c r="E551" s="9"/>
      <c r="F551" s="9"/>
      <c r="G551" s="9"/>
      <c r="H551" s="9"/>
      <c r="I551" s="9"/>
      <c r="J551" s="9"/>
      <c r="K551" s="9"/>
      <c r="L551" s="9"/>
      <c r="M551" s="9"/>
    </row>
    <row r="552">
      <c r="A552" s="9" t="inlineStr">
        <is>
          <t>RUN-TC-RS-DATA-014-Base</t>
        </is>
      </c>
      <c r="B552" s="9" t="inlineStr">
        <is>
          <t>TC-RS-DATA-014</t>
        </is>
      </c>
      <c r="C552" s="9" t="inlineStr">
        <is>
          <t>Base</t>
        </is>
      </c>
      <c r="D552" s="9" t="inlineStr">
        <is>
          <t>NOT RUN</t>
        </is>
      </c>
      <c r="E552" s="9"/>
      <c r="F552" s="9"/>
      <c r="G552" s="9"/>
      <c r="H552" s="9"/>
      <c r="I552" s="9"/>
      <c r="J552" s="9"/>
      <c r="K552" s="9"/>
      <c r="L552" s="9"/>
      <c r="M552" s="9"/>
    </row>
    <row r="553">
      <c r="A553" s="9" t="inlineStr">
        <is>
          <t>RUN-TC-RS-DATA-015-Base</t>
        </is>
      </c>
      <c r="B553" s="9" t="inlineStr">
        <is>
          <t>TC-RS-DATA-015</t>
        </is>
      </c>
      <c r="C553" s="9" t="inlineStr">
        <is>
          <t>Base</t>
        </is>
      </c>
      <c r="D553" s="9" t="inlineStr">
        <is>
          <t>NOT RUN</t>
        </is>
      </c>
      <c r="E553" s="9"/>
      <c r="F553" s="9"/>
      <c r="G553" s="9"/>
      <c r="H553" s="9"/>
      <c r="I553" s="9"/>
      <c r="J553" s="9"/>
      <c r="K553" s="9"/>
      <c r="L553" s="9"/>
      <c r="M553" s="9"/>
    </row>
    <row r="554">
      <c r="A554" s="9" t="inlineStr">
        <is>
          <t>RUN-TC-RS-DATA-016-Base</t>
        </is>
      </c>
      <c r="B554" s="9" t="inlineStr">
        <is>
          <t>TC-RS-DATA-016</t>
        </is>
      </c>
      <c r="C554" s="9" t="inlineStr">
        <is>
          <t>Base</t>
        </is>
      </c>
      <c r="D554" s="9" t="inlineStr">
        <is>
          <t>NOT RUN</t>
        </is>
      </c>
      <c r="E554" s="9"/>
      <c r="F554" s="9"/>
      <c r="G554" s="9"/>
      <c r="H554" s="9"/>
      <c r="I554" s="9"/>
      <c r="J554" s="9"/>
      <c r="K554" s="9"/>
      <c r="L554" s="9"/>
      <c r="M554" s="9"/>
    </row>
    <row r="555">
      <c r="A555" s="9" t="inlineStr">
        <is>
          <t>RUN-TC-RS-DATA-017-Base</t>
        </is>
      </c>
      <c r="B555" s="9" t="inlineStr">
        <is>
          <t>TC-RS-DATA-017</t>
        </is>
      </c>
      <c r="C555" s="9" t="inlineStr">
        <is>
          <t>Base</t>
        </is>
      </c>
      <c r="D555" s="9" t="inlineStr">
        <is>
          <t>NOT RUN</t>
        </is>
      </c>
      <c r="E555" s="9"/>
      <c r="F555" s="9"/>
      <c r="G555" s="9"/>
      <c r="H555" s="9"/>
      <c r="I555" s="9"/>
      <c r="J555" s="9"/>
      <c r="K555" s="9"/>
      <c r="L555" s="9"/>
      <c r="M555" s="9"/>
    </row>
    <row r="556">
      <c r="A556" s="9" t="inlineStr">
        <is>
          <t>RUN-TC-RS-DATA-018-Base</t>
        </is>
      </c>
      <c r="B556" s="9" t="inlineStr">
        <is>
          <t>TC-RS-DATA-018</t>
        </is>
      </c>
      <c r="C556" s="9" t="inlineStr">
        <is>
          <t>Base</t>
        </is>
      </c>
      <c r="D556" s="9" t="inlineStr">
        <is>
          <t>NOT RUN</t>
        </is>
      </c>
      <c r="E556" s="9"/>
      <c r="F556" s="9"/>
      <c r="G556" s="9"/>
      <c r="H556" s="9"/>
      <c r="I556" s="9"/>
      <c r="J556" s="9"/>
      <c r="K556" s="9"/>
      <c r="L556" s="9"/>
      <c r="M556" s="9"/>
    </row>
    <row r="557">
      <c r="A557" s="9" t="inlineStr">
        <is>
          <t>RUN-TC-RS-DATA-019-Base</t>
        </is>
      </c>
      <c r="B557" s="9" t="inlineStr">
        <is>
          <t>TC-RS-DATA-019</t>
        </is>
      </c>
      <c r="C557" s="9" t="inlineStr">
        <is>
          <t>Base</t>
        </is>
      </c>
      <c r="D557" s="9" t="inlineStr">
        <is>
          <t>NOT RUN</t>
        </is>
      </c>
      <c r="E557" s="9"/>
      <c r="F557" s="9"/>
      <c r="G557" s="9"/>
      <c r="H557" s="9"/>
      <c r="I557" s="9"/>
      <c r="J557" s="9"/>
      <c r="K557" s="9"/>
      <c r="L557" s="9"/>
      <c r="M557" s="9"/>
    </row>
    <row r="558">
      <c r="A558" s="9" t="inlineStr">
        <is>
          <t>RUN-TC-RS-FUNC-003-Base</t>
        </is>
      </c>
      <c r="B558" s="9" t="inlineStr">
        <is>
          <t>TC-RS-FUNC-003</t>
        </is>
      </c>
      <c r="C558" s="9" t="inlineStr">
        <is>
          <t>Base</t>
        </is>
      </c>
      <c r="D558" s="9" t="inlineStr">
        <is>
          <t>NOT RUN</t>
        </is>
      </c>
      <c r="E558" s="9"/>
      <c r="F558" s="9"/>
      <c r="G558" s="9"/>
      <c r="H558" s="9"/>
      <c r="I558" s="9"/>
      <c r="J558" s="9"/>
      <c r="K558" s="9"/>
      <c r="L558" s="9"/>
      <c r="M558" s="9"/>
    </row>
    <row r="559">
      <c r="A559" s="9" t="inlineStr">
        <is>
          <t>RUN-TC-RS-BR-026-no-match</t>
        </is>
      </c>
      <c r="B559" s="9" t="inlineStr">
        <is>
          <t>TC-RS-BR-026</t>
        </is>
      </c>
      <c r="C559" s="9" t="inlineStr">
        <is>
          <t>no-match</t>
        </is>
      </c>
      <c r="D559" s="9" t="inlineStr">
        <is>
          <t>NOT RUN</t>
        </is>
      </c>
      <c r="E559" s="9"/>
      <c r="F559" s="9"/>
      <c r="G559" s="9"/>
      <c r="H559" s="9"/>
      <c r="I559" s="9"/>
      <c r="J559" s="9"/>
      <c r="K559" s="9"/>
      <c r="L559" s="9"/>
      <c r="M559" s="9"/>
    </row>
    <row r="560">
      <c r="A560" s="9" t="inlineStr">
        <is>
          <t>RUN-TC-RS-BR-026-missing-input</t>
        </is>
      </c>
      <c r="B560" s="9" t="inlineStr">
        <is>
          <t>TC-RS-BR-026</t>
        </is>
      </c>
      <c r="C560" s="9" t="inlineStr">
        <is>
          <t>missing-input</t>
        </is>
      </c>
      <c r="D560" s="9" t="inlineStr">
        <is>
          <t>NOT RUN</t>
        </is>
      </c>
      <c r="E560" s="9"/>
      <c r="F560" s="9"/>
      <c r="G560" s="9"/>
      <c r="H560" s="9"/>
      <c r="I560" s="9"/>
      <c r="J560" s="9"/>
      <c r="K560" s="9"/>
      <c r="L560" s="9"/>
      <c r="M560" s="9"/>
    </row>
    <row r="561">
      <c r="A561" s="9" t="inlineStr">
        <is>
          <t>RUN-TC-RS-DATA-006-Base</t>
        </is>
      </c>
      <c r="B561" s="9" t="inlineStr">
        <is>
          <t>TC-RS-DATA-006</t>
        </is>
      </c>
      <c r="C561" s="9" t="inlineStr">
        <is>
          <t>Base</t>
        </is>
      </c>
      <c r="D561" s="9" t="inlineStr">
        <is>
          <t>NOT RUN</t>
        </is>
      </c>
      <c r="E561" s="9"/>
      <c r="F561" s="9"/>
      <c r="G561" s="9"/>
      <c r="H561" s="9"/>
      <c r="I561" s="9"/>
      <c r="J561" s="9"/>
      <c r="K561" s="9"/>
      <c r="L561" s="9"/>
      <c r="M561" s="9"/>
    </row>
    <row r="562">
      <c r="A562" s="9" t="inlineStr">
        <is>
          <t>RUN-TC-RS-REG-011-Base</t>
        </is>
      </c>
      <c r="B562" s="9" t="inlineStr">
        <is>
          <t>TC-RS-REG-011</t>
        </is>
      </c>
      <c r="C562" s="9" t="inlineStr">
        <is>
          <t>Base</t>
        </is>
      </c>
      <c r="D562" s="9" t="inlineStr">
        <is>
          <t>NOT RUN</t>
        </is>
      </c>
      <c r="E562" s="9"/>
      <c r="F562" s="9"/>
      <c r="G562" s="9"/>
      <c r="H562" s="9"/>
      <c r="I562" s="9"/>
      <c r="J562" s="9"/>
      <c r="K562" s="9"/>
      <c r="L562" s="9"/>
      <c r="M562" s="9"/>
    </row>
    <row r="563">
      <c r="A563" s="9" t="inlineStr">
        <is>
          <t>RUN-TC-RS-DATA-009-copy</t>
        </is>
      </c>
      <c r="B563" s="9" t="inlineStr">
        <is>
          <t>TC-RS-DATA-009</t>
        </is>
      </c>
      <c r="C563" s="9" t="inlineStr">
        <is>
          <t>copy</t>
        </is>
      </c>
      <c r="D563" s="9" t="inlineStr">
        <is>
          <t>NOT RUN</t>
        </is>
      </c>
      <c r="E563" s="9"/>
      <c r="F563" s="9"/>
      <c r="G563" s="9"/>
      <c r="H563" s="9"/>
      <c r="I563" s="9"/>
      <c r="J563" s="9"/>
      <c r="K563" s="9"/>
      <c r="L563" s="9"/>
      <c r="M563" s="9"/>
    </row>
    <row r="564">
      <c r="A564" s="9" t="inlineStr">
        <is>
          <t>RUN-TC-RS-DATA-009-year</t>
        </is>
      </c>
      <c r="B564" s="9" t="inlineStr">
        <is>
          <t>TC-RS-DATA-009</t>
        </is>
      </c>
      <c r="C564" s="9" t="inlineStr">
        <is>
          <t>year</t>
        </is>
      </c>
      <c r="D564" s="9" t="inlineStr">
        <is>
          <t>NOT RUN</t>
        </is>
      </c>
      <c r="E564" s="9"/>
      <c r="F564" s="9"/>
      <c r="G564" s="9"/>
      <c r="H564" s="9"/>
      <c r="I564" s="9"/>
      <c r="J564" s="9"/>
      <c r="K564" s="9"/>
      <c r="L564" s="9"/>
      <c r="M564" s="9"/>
    </row>
    <row r="565">
      <c r="A565" s="9" t="inlineStr">
        <is>
          <t>RUN-TC-RS-DATA-009-import-export</t>
        </is>
      </c>
      <c r="B565" s="9" t="inlineStr">
        <is>
          <t>TC-RS-DATA-009</t>
        </is>
      </c>
      <c r="C565" s="9" t="inlineStr">
        <is>
          <t>import-export</t>
        </is>
      </c>
      <c r="D565" s="9" t="inlineStr">
        <is>
          <t>NOT RUN</t>
        </is>
      </c>
      <c r="E565" s="9"/>
      <c r="F565" s="9"/>
      <c r="G565" s="9"/>
      <c r="H565" s="9"/>
      <c r="I565" s="9"/>
      <c r="J565" s="9"/>
      <c r="K565" s="9"/>
      <c r="L565" s="9"/>
      <c r="M565" s="9"/>
    </row>
    <row r="566">
      <c r="A566" s="9" t="inlineStr">
        <is>
          <t>RUN-TC-RS-DATA-009-sync</t>
        </is>
      </c>
      <c r="B566" s="9" t="inlineStr">
        <is>
          <t>TC-RS-DATA-009</t>
        </is>
      </c>
      <c r="C566" s="9" t="inlineStr">
        <is>
          <t>sync</t>
        </is>
      </c>
      <c r="D566" s="9" t="inlineStr">
        <is>
          <t>NOT RUN</t>
        </is>
      </c>
      <c r="E566" s="9"/>
      <c r="F566" s="9"/>
      <c r="G566" s="9"/>
      <c r="H566" s="9"/>
      <c r="I566" s="9"/>
      <c r="J566" s="9"/>
      <c r="K566" s="9"/>
      <c r="L566" s="9"/>
      <c r="M566" s="9"/>
    </row>
    <row r="567">
      <c r="A567" s="9" t="inlineStr">
        <is>
          <t>RUN-TC-RS-REG-012-copy</t>
        </is>
      </c>
      <c r="B567" s="9" t="inlineStr">
        <is>
          <t>TC-RS-REG-012</t>
        </is>
      </c>
      <c r="C567" s="9" t="inlineStr">
        <is>
          <t>copy</t>
        </is>
      </c>
      <c r="D567" s="9" t="inlineStr">
        <is>
          <t>NOT RUN</t>
        </is>
      </c>
      <c r="E567" s="9"/>
      <c r="F567" s="9"/>
      <c r="G567" s="9"/>
      <c r="H567" s="9"/>
      <c r="I567" s="9"/>
      <c r="J567" s="9"/>
      <c r="K567" s="9"/>
      <c r="L567" s="9"/>
      <c r="M567" s="9"/>
    </row>
    <row r="568">
      <c r="A568" s="9" t="inlineStr">
        <is>
          <t>RUN-TC-RS-REG-012-year</t>
        </is>
      </c>
      <c r="B568" s="9" t="inlineStr">
        <is>
          <t>TC-RS-REG-012</t>
        </is>
      </c>
      <c r="C568" s="9" t="inlineStr">
        <is>
          <t>year</t>
        </is>
      </c>
      <c r="D568" s="9" t="inlineStr">
        <is>
          <t>NOT RUN</t>
        </is>
      </c>
      <c r="E568" s="9"/>
      <c r="F568" s="9"/>
      <c r="G568" s="9"/>
      <c r="H568" s="9"/>
      <c r="I568" s="9"/>
      <c r="J568" s="9"/>
      <c r="K568" s="9"/>
      <c r="L568" s="9"/>
      <c r="M568" s="9"/>
    </row>
    <row r="569">
      <c r="A569" s="9" t="inlineStr">
        <is>
          <t>RUN-TC-RS-REG-012-import</t>
        </is>
      </c>
      <c r="B569" s="9" t="inlineStr">
        <is>
          <t>TC-RS-REG-012</t>
        </is>
      </c>
      <c r="C569" s="9" t="inlineStr">
        <is>
          <t>import</t>
        </is>
      </c>
      <c r="D569" s="9" t="inlineStr">
        <is>
          <t>NOT RUN</t>
        </is>
      </c>
      <c r="E569" s="9"/>
      <c r="F569" s="9"/>
      <c r="G569" s="9"/>
      <c r="H569" s="9"/>
      <c r="I569" s="9"/>
      <c r="J569" s="9"/>
      <c r="K569" s="9"/>
      <c r="L569" s="9"/>
      <c r="M569" s="9"/>
    </row>
    <row r="570">
      <c r="A570" s="9" t="inlineStr">
        <is>
          <t>RUN-TC-RS-REG-012-sync</t>
        </is>
      </c>
      <c r="B570" s="9" t="inlineStr">
        <is>
          <t>TC-RS-REG-012</t>
        </is>
      </c>
      <c r="C570" s="9" t="inlineStr">
        <is>
          <t>sync</t>
        </is>
      </c>
      <c r="D570" s="9" t="inlineStr">
        <is>
          <t>NOT RUN</t>
        </is>
      </c>
      <c r="E570" s="9"/>
      <c r="F570" s="9"/>
      <c r="G570" s="9"/>
      <c r="H570" s="9"/>
      <c r="I570" s="9"/>
      <c r="J570" s="9"/>
      <c r="K570" s="9"/>
      <c r="L570" s="9"/>
      <c r="M570" s="9"/>
    </row>
  </sheetData>
  <autoFilter ref="A1:M570"/>
  <dataValidations count="1">
    <dataValidation showErrorMessage="1" type="list" allowBlank="0" sqref="D2:D570" errorStyle="stop" showDropDown="0">
      <formula1>"NOT RUN,PASS,FAIL,BLOCKED,SKIPPED"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F484"/>
  <sheetViews>
    <sheetView showGridLines="0" workbookViewId="0">
      <pane xSplit="4" ySplit="2" topLeftCell="E3" activePane="bottomRight" state="frozen"/>
      <selection pane="topRight"/>
      <selection pane="bottomLeft"/>
      <selection pane="bottomRight" activeCell="A1" sqref="A1"/>
    </sheetView>
  </sheetViews>
  <sheetFormatPr baseColWidth="8" defaultRowHeight="15"/>
  <cols>
    <col width="3.13" customWidth="1" min="1" max="1"/>
    <col width="24" customWidth="1" min="3" max="3"/>
    <col width="24" customWidth="1" min="4" max="4"/>
    <col width="95" customWidth="1" min="5" max="5"/>
    <col width="28" customWidth="1" min="6" max="6"/>
  </cols>
  <sheetData>
    <row r="1" customHeight="1" ht="4">
      <c r="A1" s="2" t="n">
      </c>
      <c r="B1" s="2" t="n">
      </c>
      <c r="C1" s="2" t="n">
      </c>
      <c r="D1" s="2" t="n">
      </c>
      <c r="E1" s="2" t="n">
      </c>
      <c r="F1" s="2" t="n">
      </c>
    </row>
    <row r="2" customHeight="1" ht="28">
      <c r="A2" s="2" t="n">
      </c>
      <c r="B2" s="2" t="n">
      </c>
      <c r="C2" s="11" t="inlineStr">
        <is>
          <t>A. Functional：</t>
        </is>
      </c>
      <c r="D2" s="2" t="n">
      </c>
      <c r="E2" s="2" t="n">
      </c>
      <c r="F2" s="9" t="inlineStr">
        <is>
          <t>Nguồn test-cases.vi.md • Nhập kết quả/evidence khi chạy.</t>
        </is>
      </c>
    </row>
    <row r="3" customHeight="1" ht="4">
      <c r="A3" s="2" t="n">
      </c>
      <c r="B3" s="2" t="n">
      </c>
      <c r="C3" s="2" t="n">
      </c>
      <c r="D3" s="2" t="n">
      </c>
      <c r="E3" s="2" t="n">
      </c>
      <c r="F3" s="2" t="n">
      </c>
    </row>
    <row r="4">
      <c r="C4" s="9" t="inlineStr">
        <is>
          <t>TC-RS-FUNC-001 — Hàng Thiết lập điểm đỏ（赤点設定） xuất hiện trong Thiết lập ô nhập（入力欄設定） cho mục điểm số</t>
        </is>
      </c>
    </row>
    <row r="5">
      <c r="D5" s="10" t="inlineStr">
        <is>
          <t>Priority: TBD ｜ Status: PROPOSED ｜ Readiness: UNASSESSED ｜ Requirement ID: đặc tả v2 mục 4.1 “Điểm vào và trạng thái trống”; AC-G02 chỉ xác nhận loại điểm được hỗ trợ</t>
        </is>
      </c>
    </row>
    <row r="6">
      <c r="D6" s="8" t="inlineStr">
        <is>
          <t>前提条件（Điều kiện trước）</t>
        </is>
      </c>
    </row>
    <row r="7">
      <c r="E7" s="9" t="inlineStr">
        <is>
          <t>- Điều kiện: Đăng nhập tài khoản giáo viên có quyền sửa mục. Chưa có quy tắc đỏ cho mục số nguyên (M=100); mục số thập phân (M=100) có ít nhất một quy tắc.
- Dữ liệu test: môi trường test (trường A, năm học 2026), tài khoản giáo viên có quyền sửa mục, mục số nguyên (M=100), mục số thập phân (M=100), mục điểm đơn vị (đơn vị U1 có M riêng 40)</t>
        </is>
      </c>
    </row>
    <row r="8">
      <c r="D8" s="8" t="inlineStr">
        <is>
          <t>操作（Thao tác）</t>
        </is>
      </c>
    </row>
    <row r="9">
      <c r="E9" s="9" t="inlineStr">
        <is>
          <t>1. Mở Thiết lập nhập điểm（成績入力設定）→ Thiết lập ô nhập（入力欄設定） của kỳ 1学期期末 (cuối kỳ học kỳ 1).
2. Tìm hàng Thiết lập điểm đỏ（赤点設定） ở bảng mục nhập.
3. Bấm link của hàng này ở cột mục số nguyên (M=100), mục số thập phân (M=100), mục điểm đơn vị (đơn vị U1 có M riêng 40).
Phạm vi từng lượt chạy:
- integer: Mục số nguyên
- decimal: Mục thập phân
- unit: Mục đơn vị</t>
        </is>
      </c>
    </row>
    <row r="10">
      <c r="D10" s="8" t="inlineStr">
        <is>
          <t>期待結果（Kết quả mong đợi）</t>
        </is>
      </c>
    </row>
    <row r="11">
      <c r="E11" s="9" t="inlineStr">
        <is>
          <t>1. Theo Figma MW, hàng Thiết lập điểm đỏ（赤点設定） được đặt giữa hàng Tính tự động（自動計算） và hàng Thiết lập ẩn mục nhập（入力項目の非表示設定）. Đây là oracle UI PROPOSED; nếu bố cục khác, ghi Notes để đối chiếu, không mở bug từ riêng vị trí.
2. Có thao tác mở thiết lập cho mục số nguyên, số thập phân và điểm đơn vị.
3. Bấm link chuyển sang màn danh sách Thiết lập điểm đỏ（赤点設定） của đúng mục.</t>
        </is>
      </c>
    </row>
    <row r="12">
      <c r="D12" s="8" t="inlineStr">
        <is>
          <t>証跡（Bằng chứng）</t>
        </is>
      </c>
    </row>
    <row r="13">
      <c r="E13" s="9" t="inlineStr">
        <is>
          <t>
          </t>
        </is>
      </c>
    </row>
    <row r="14">
      <c r="D14" s="8" t="inlineStr">
        <is>
          <t>リセット（Đặt lại）</t>
        </is>
      </c>
    </row>
    <row r="15">
      <c r="E15" s="9" t="inlineStr">
        <is>
          <t>
          </t>
        </is>
      </c>
    </row>
    <row r="16">
      <c r="D16" s="9" t="inlineStr">
        <is>
          <t>
          </t>
        </is>
      </c>
    </row>
    <row r="17">
      <c r="C17" s="9" t="inlineStr">
        <is>
          <t>TC-RS-FUNC-002 — Mục kiểu lựa chọn và Đạt/không đạt（合否） không có thao tác tạo quy tắc đỏ có hiệu lực</t>
        </is>
      </c>
    </row>
    <row r="18">
      <c r="D18" s="10" t="inlineStr">
        <is>
          <t>Priority: TBD ｜ Status: CONFIRMED ｜ Readiness: BLOCKED ｜ Requirement ID: tiêu chí nghiệm thu “Kiểu điểm được hỗ trợ” (AC-G02 «Kiểu điểm được hỗ trợ»); tiêu chí nghiệm thu “Phạm vi từng đợt” (AC-G40 «Phạm vi từng đợt»)</t>
        </is>
      </c>
    </row>
    <row r="19">
      <c r="D19" s="8" t="inlineStr">
        <is>
          <t>前提条件（Điều kiện trước）</t>
        </is>
      </c>
    </row>
    <row r="20">
      <c r="E20" s="9" t="inlineStr">
        <is>
          <t>- Điều kiện: Đăng nhập tài khoản giáo viên có quyền sửa mục.
- Dữ liệu test: mục kiểu lựa chọn A/B/C, mục Đạt/không đạt（合否）</t>
        </is>
      </c>
    </row>
    <row r="21">
      <c r="D21" s="8" t="inlineStr">
        <is>
          <t>操作（Thao tác）</t>
        </is>
      </c>
    </row>
    <row r="22">
      <c r="E22" s="9" t="inlineStr">
        <is>
          <t>1. Mở Thiết lập ô nhập（入力欄設定）.
2. Xem hàng Thiết lập điểm đỏ（赤点設定） ở cột mục kiểu lựa chọn A/B/C, mục Đạt/không đạt（合否）.
3. Thử mở URL màn danh sách điểm đỏ của mục kiểu lựa chọn A/B/C bằng ID mục (nếu biết URL).
Phạm vi từng lượt chạy:
- choice: Mục lựa chọn, gồm thử URL trực tiếp ở bước 3
- passfail: Mục Đạt/không đạt ở bước 1–2</t>
        </is>
      </c>
    </row>
    <row r="23">
      <c r="D23" s="8" t="inlineStr">
        <is>
          <t>期待結果（Kết quả mong đợi）</t>
        </is>
      </c>
    </row>
    <row r="24">
      <c r="E24" s="9" t="inlineStr">
        <is>
          <t>1. Không có thao tác tạo quy tắc đỏ có hiệu lực cho hai mục này.
2. Nếu có endpoint truy cập trực tiếp, server vẫn từ chối tạo/lưu quy tắc cho mục không thuộc loại số; không dùng việc URL không hiển thị làm bằng chứng duy nhất.</t>
        </is>
      </c>
    </row>
    <row r="25">
      <c r="D25" s="8" t="inlineStr">
        <is>
          <t>証跡（Bằng chứng）</t>
        </is>
      </c>
    </row>
    <row r="26">
      <c r="E26" s="9" t="inlineStr">
        <is>
          <t>
          </t>
        </is>
      </c>
    </row>
    <row r="27">
      <c r="D27" s="8" t="inlineStr">
        <is>
          <t>リセット（Đặt lại）</t>
        </is>
      </c>
    </row>
    <row r="28">
      <c r="E28" s="9" t="inlineStr">
        <is>
          <t>
          </t>
        </is>
      </c>
    </row>
    <row r="29">
      <c r="D29" s="9" t="inlineStr">
        <is>
          <t>
          </t>
        </is>
      </c>
    </row>
    <row r="30">
      <c r="C30" s="9" t="inlineStr">
        <is>
          <t>TC-RS-FUNC-004 — Thêm quy tắc qua Điều kiện áp dụng（適用条件） và Ngưỡng（基準設定） rồi quay lại danh sách</t>
        </is>
      </c>
    </row>
    <row r="31">
      <c r="D31" s="10" t="inlineStr">
        <is>
          <t>Priority: TBD ｜ Status: CONFIRMED ｜ Readiness: UNASSESSED ｜ Requirement ID: tiêu chí nghiệm thu “Lưu và mở lại nhiều thiết lập” (AC-G04 «Lưu và mở lại nhiều thiết lập»)</t>
        </is>
      </c>
    </row>
    <row r="32">
      <c r="D32" s="8" t="inlineStr">
        <is>
          <t>前提条件（Điều kiện trước）</t>
        </is>
      </c>
    </row>
    <row r="33">
      <c r="E33" s="9" t="inlineStr">
        <is>
          <t>- Điều kiện: mục số nguyên (M=100) đã có cặp quy tắc cùng áp dụng (dưới 20 và dưới 30) (2 quy tắc). Đăng nhập tài khoản giáo viên có quyền sửa mục.
- Dữ liệu test: mục số nguyên (M=100), cặp quy tắc cùng áp dụng (dưới 20 và dưới 30); quy tắc “Cố định 30” (dưới 30)</t>
        </is>
      </c>
    </row>
    <row r="34">
      <c r="D34" s="8" t="inlineStr">
        <is>
          <t>操作（Thao tác）</t>
        </is>
      </c>
    </row>
    <row r="35">
      <c r="E35" s="9" t="inlineStr">
        <is>
          <t>1. Ở danh sách, bấm Thêm thiết lập chi tiết（詳細設定の追加）.
2. Nhập Tên thiết lập（設定名称） "Cố định 30", chọn Toàn bộ đối tượng（全員が対象）, bấm Cập nhật（更新する）.
3. Mở Ngưỡng, chọn Điểm cố định（固定点数）, nhập 30, chọn Nhỏ hơn（未満）, bấm Cập nhật（更新する）.
4. Xem danh sách.
Phạm vi từng lượt chạy:
- Base: Toàn bộ thủ tục theo đúng thứ tự; các đối chứng cùng fixture được kiểm trong cùng lượt, không bỏ bước</t>
        </is>
      </c>
    </row>
    <row r="36">
      <c r="D36" s="8" t="inlineStr">
        <is>
          <t>期待結果（Kết quả mong đợi）</t>
        </is>
      </c>
    </row>
    <row r="37">
      <c r="E37" s="9" t="inlineStr">
        <is>
          <t>1. Sau mỗi lần cập nhật, màn quay về danh sách.
2. Dòng mới hiện tên, tóm tắt điều kiện "toàn bộ" và ngưỡng "Điểm cố định: 30 điểm, Nhỏ hơn" đúng với dữ liệu đã lưu.
3. **PROPOSED (đặc tả v2 mục 4.4 “Lưu, đổi thứ tự và xóa”):** dòng mới nằm sau các quy tắc đã có.</t>
        </is>
      </c>
    </row>
    <row r="38">
      <c r="D38" s="8" t="inlineStr">
        <is>
          <t>証跡（Bằng chứng）</t>
        </is>
      </c>
    </row>
    <row r="39">
      <c r="E39" s="9" t="inlineStr">
        <is>
          <t>
          </t>
        </is>
      </c>
    </row>
    <row r="40">
      <c r="D40" s="8" t="inlineStr">
        <is>
          <t>リセット（Đặt lại）</t>
        </is>
      </c>
    </row>
    <row r="41">
      <c r="E41" s="9" t="inlineStr">
        <is>
          <t>
          </t>
        </is>
      </c>
    </row>
    <row r="42">
      <c r="D42" s="9" t="inlineStr">
        <is>
          <t>
          </t>
        </is>
      </c>
    </row>
    <row r="43">
      <c r="C43" s="9" t="inlineStr">
        <is>
          <t>TC-RS-FUNC-005 — Nhiều quy tắc hiển thị theo ưu tiên; đổi thứ tự bằng ▲▼ được lưu</t>
        </is>
      </c>
    </row>
    <row r="44">
      <c r="D44" s="10" t="inlineStr">
        <is>
          <t>Priority: Cao ｜ Status: CONFIRMED ｜ Readiness: UNASSESSED ｜ Requirement ID: tiêu chí nghiệm thu “Lưu và mở lại nhiều thiết lập” (AC-G04 «Lưu và mở lại nhiều thiết lập»)</t>
        </is>
      </c>
    </row>
    <row r="45">
      <c r="D45" s="8" t="inlineStr">
        <is>
          <t>前提条件（Điều kiện trước）</t>
        </is>
      </c>
    </row>
    <row r="46">
      <c r="E46" s="9" t="inlineStr">
        <is>
          <t>- Điều kiện: mục số nguyên (M=100) có 3 quy tắc tên quy tắc 1, quy tắc 2, quy tắc 3 (tên tạm trong case) theo thứ tự.
- Dữ liệu test: mục số nguyên (M=100); quy tắc “Cố định 30” (dưới 30), cặp quy tắc cùng áp dụng (dưới 20 và dưới 30)</t>
        </is>
      </c>
    </row>
    <row r="47">
      <c r="D47" s="8" t="inlineStr">
        <is>
          <t>操作（Thao tác）</t>
        </is>
      </c>
    </row>
    <row r="48">
      <c r="E48" s="9" t="inlineStr">
        <is>
          <t>1. Bấm ▼ ở quy tắc 1.
2. Tải lại trang.
3. Bấm ▲ ở quy tắc 3.
4. Đăng xuất, đăng nhập lại, mở danh sách.
Phạm vi từng lượt chạy:
- Base: Toàn bộ thủ tục theo đúng thứ tự; các đối chứng cùng fixture được kiểm trong cùng lượt, không bỏ bước</t>
        </is>
      </c>
    </row>
    <row r="49">
      <c r="D49" s="8" t="inlineStr">
        <is>
          <t>期待結果（Kết quả mong đợi）</t>
        </is>
      </c>
    </row>
    <row r="50">
      <c r="E50" s="9" t="inlineStr">
        <is>
          <t>1. Sau bước 1 thứ tự là quy tắc 2, quy tắc 1, quy tắc 3 và giữ nguyên sau khi tải lại.
2. Sau bước 3 thứ tự là quy tắc 2, quy tắc 3, quy tắc 1 và giữ nguyên khi mở lại.
3. Đổi thứ tự không làm thay kết quả đỏ hiện có (kiểm ở case “Lưu cấu hình không xét; kết quả trước giữ tới lần chạy lại”).</t>
        </is>
      </c>
    </row>
    <row r="51">
      <c r="D51" s="8" t="inlineStr">
        <is>
          <t>証跡（Bằng chứng）</t>
        </is>
      </c>
    </row>
    <row r="52">
      <c r="E52" s="9" t="inlineStr">
        <is>
          <t>
          </t>
        </is>
      </c>
    </row>
    <row r="53">
      <c r="D53" s="8" t="inlineStr">
        <is>
          <t>リセット（Đặt lại）</t>
        </is>
      </c>
    </row>
    <row r="54">
      <c r="E54" s="9" t="inlineStr">
        <is>
          <t>
          </t>
        </is>
      </c>
    </row>
    <row r="55">
      <c r="D55" s="9" t="inlineStr">
        <is>
          <t>
          </t>
        </is>
      </c>
    </row>
    <row r="56">
      <c r="C56" s="9" t="inlineStr">
        <is>
          <t>TC-RS-FUNC-006 — Xóa một quy tắc có xác nhận; Hủy（キャンセル） giữ nguyên</t>
        </is>
      </c>
    </row>
    <row r="57">
      <c r="D57" s="10" t="inlineStr">
        <is>
          <t>Priority: Cao ｜ Status: CONFIRMED ｜ Readiness: UNASSESSED ｜ Requirement ID: tiêu chí nghiệm thu “Lưu và mở lại nhiều thiết lập” (AC-G04 «Lưu và mở lại nhiều thiết lập»)</t>
        </is>
      </c>
    </row>
    <row r="58">
      <c r="D58" s="8" t="inlineStr">
        <is>
          <t>前提条件（Điều kiện trước）</t>
        </is>
      </c>
    </row>
    <row r="59">
      <c r="E59" s="9" t="inlineStr">
        <is>
          <t>- Điều kiện: mục số nguyên (M=100) có 2 quy tắc.
- Dữ liệu test: mục số nguyên (M=100); cặp quy tắc cùng áp dụng (dưới 20 và dưới 30)</t>
        </is>
      </c>
    </row>
    <row r="60">
      <c r="D60" s="8" t="inlineStr">
        <is>
          <t>操作（Thao tác）</t>
        </is>
      </c>
    </row>
    <row r="61">
      <c r="E61" s="9" t="inlineStr">
        <is>
          <t>1. Bấm Xóa（削除） ở quy tắc thứ 2, chọn Hủy（キャンセル）.
2. Bấm Xóa（削除） lại, chọn Xóa（削除する）.
Phạm vi từng lượt chạy:
- cancel: Hủy xóa
- delete: Xác nhận xóa, dựng lại baseline trước lượt này</t>
        </is>
      </c>
    </row>
    <row r="62">
      <c r="D62" s="8" t="inlineStr">
        <is>
          <t>期待結果（Kết quả mong đợi）</t>
        </is>
      </c>
    </row>
    <row r="63">
      <c r="E63" s="9" t="inlineStr">
        <is>
          <t>1. Hộp xác nhận nêu thiết lập sẽ bị xóa và kết quả học sinh chỉ cập nhật ở lần xét tiếp theo.
2. Hủy: danh sách giữ 2 quy tắc.
3. Xóa: danh sách còn 1 quy tắc; kết quả đỏ hiện có không đổi cho tới lần xét tiếp theo (case “Xóa quy tắc cuối: giữ kết quả tới lần chạy lại; chạy lại → Không áp dụng”).</t>
        </is>
      </c>
    </row>
    <row r="64">
      <c r="D64" s="8" t="inlineStr">
        <is>
          <t>証跡（Bằng chứng）</t>
        </is>
      </c>
    </row>
    <row r="65">
      <c r="E65" s="9" t="inlineStr">
        <is>
          <t>
          </t>
        </is>
      </c>
    </row>
    <row r="66">
      <c r="D66" s="8" t="inlineStr">
        <is>
          <t>リセット（Đặt lại）</t>
        </is>
      </c>
    </row>
    <row r="67">
      <c r="E67" s="9" t="inlineStr">
        <is>
          <t>
          </t>
        </is>
      </c>
    </row>
    <row r="68">
      <c r="D68" s="9" t="inlineStr">
        <is>
          <t>
          </t>
        </is>
      </c>
    </row>
    <row r="69">
      <c r="C69" s="9" t="inlineStr">
        <is>
          <t>TC-RS-FUNC-007 — Quay lại（戻る）/hủy chỉnh sửa không lưu dữ liệu đang nhập</t>
        </is>
      </c>
    </row>
    <row r="70">
      <c r="D70" s="10" t="inlineStr">
        <is>
          <t>Priority: TBD ｜ Status: CONFIRMED ｜ Readiness: UNASSESSED ｜ Requirement ID: tiêu chí nghiệm thu “Lưu và mở lại nhiều thiết lập” (AC-G04 «Lưu và mở lại nhiều thiết lập»)</t>
        </is>
      </c>
    </row>
    <row r="71">
      <c r="D71" s="8" t="inlineStr">
        <is>
          <t>前提条件（Điều kiện trước）</t>
        </is>
      </c>
    </row>
    <row r="72">
      <c r="E72" s="9" t="inlineStr">
        <is>
          <t>- Điều kiện: mục số nguyên (M=100) có quy tắc “Cố định 30” (dưới 30).
- Dữ liệu test: mục số nguyên (M=100); quy tắc “Cố định 30” (dưới 30)</t>
        </is>
      </c>
    </row>
    <row r="73">
      <c r="D73" s="8" t="inlineStr">
        <is>
          <t>操作（Thao tác）</t>
        </is>
      </c>
    </row>
    <row r="74">
      <c r="E74" s="9" t="inlineStr">
        <is>
          <t>1. Mở Ngưỡng của quy tắc “Cố định 30” (dưới 30), đổi 30 thành 35 và đổi sang Nhỏ hơn hoặc bằng（以下）.
2. Bấm Quay lại（戻る）.
3. Mở Điều kiện áp dụng, đổi tên, bấm Quay lại（戻る）.
4. Mở lại hai màn.
Phạm vi từng lượt chạy:
- back-threshold: Quay lại từ màn ngưỡng
- back-condition: Quay lại từ màn điều kiện</t>
        </is>
      </c>
    </row>
    <row r="75">
      <c r="D75" s="8" t="inlineStr">
        <is>
          <t>期待結果（Kết quả mong đợi）</t>
        </is>
      </c>
    </row>
    <row r="76">
      <c r="E76" s="9" t="inlineStr">
        <is>
          <t>Danh sách và hai màn vẫn hiện giá trị đã lưu trước đó (30, Nhỏ hơn, tên cũ).</t>
        </is>
      </c>
    </row>
    <row r="77">
      <c r="D77" s="8" t="inlineStr">
        <is>
          <t>証跡（Bằng chứng）</t>
        </is>
      </c>
    </row>
    <row r="78">
      <c r="E78" s="9" t="inlineStr">
        <is>
          <t>
          </t>
        </is>
      </c>
    </row>
    <row r="79">
      <c r="D79" s="8" t="inlineStr">
        <is>
          <t>リセット（Đặt lại）</t>
        </is>
      </c>
    </row>
    <row r="80">
      <c r="E80" s="9" t="inlineStr">
        <is>
          <t>
          </t>
        </is>
      </c>
    </row>
    <row r="81">
      <c r="D81" s="9" t="inlineStr">
        <is>
          <t>
          </t>
        </is>
      </c>
    </row>
    <row r="82">
      <c r="C82" s="9" t="inlineStr">
        <is>
          <t>TC-RS-FUNC-008 — Điều kiện áp dụng: Toàn bộ đối tượng hoặc giới hạn bằng bộ lọc kế thừa từ tính tự động</t>
        </is>
      </c>
    </row>
    <row r="83">
      <c r="D83" s="10" t="inlineStr">
        <is>
          <t>Priority: TBD ｜ Status: CONFIRMED ｜ Readiness: UNASSESSED ｜ Requirement ID: tiêu chí nghiệm thu “Đối tượng áp dụng và nhu cầu nguồn” (AC-G05 «Đối tượng áp dụng và nhu cầu nguồn»)</t>
        </is>
      </c>
    </row>
    <row r="84">
      <c r="D84" s="8" t="inlineStr">
        <is>
          <t>前提条件（Điều kiện trước）</t>
        </is>
      </c>
    </row>
    <row r="85">
      <c r="E85" s="9" t="inlineStr">
        <is>
          <t>- Điều kiện: Đăng nhập tài khoản giáo viên có quyền sửa mục.
- Dữ liệu test: các lớp học phần G-A, G-B, G-C, quy tắc có bộ lọc kết hợp (khối 1 hoặc 2, nhóm Nâng cao)</t>
        </is>
      </c>
    </row>
    <row r="86">
      <c r="D86" s="8" t="inlineStr">
        <is>
          <t>操作（Thao tác）</t>
        </is>
      </c>
    </row>
    <row r="87">
      <c r="E87" s="9" t="inlineStr">
        <is>
          <t>1. Mở Điều kiện áp dụng của một quy tắc mới.
2. Chọn Toàn bộ đối tượng（全員が対象）, lưu, mở lại.
3. Chọn Giới hạn bằng bộ lọc（特定条件で絞り込む）, bấm Thêm điều kiện lọc（絞り込み条件を追加）, liệt kê các loại lọc có trong danh sách.
4. Cấu hình như quy tắc có bộ lọc kết hợp (khối 1 hoặc 2, nhóm Nâng cao), lưu, mở lại.
Phạm vi từng lượt chạy:
- all: Toàn bộ đối tượng
- filter: Giới hạn bằng bộ lọc</t>
        </is>
      </c>
    </row>
    <row r="88">
      <c r="D88" s="8" t="inlineStr">
        <is>
          <t>期待結果（Kết quả mong đợi）</t>
        </is>
      </c>
    </row>
    <row r="89">
      <c r="E89" s="9" t="inlineStr">
        <is>
          <t>1. Hai lựa chọn đối tượng lưu và mở lại đúng.
2. Có các bộ lọc Môn/phân môn（教科・科目）, Khối（学年）, lớp/nhóm và các điều kiện lựa chọn đang được hỗ trợ (đặc tả v2 mục 5.1 “Đối tượng áp dụng”). Danh sách đề xuất (PROPOSED, thiết kế DB v2 mục 3.2 “`apply_condition`”): khối (`hr_grade`), môn (`subject`), phân môn (`sub_subject`), lớp học phần (`group`), lớp chủ nhiệm (`homeroom`), nhóm tổng hợp (`calc_group`), mã lựa chọn của mục (`choice`).
3. Không có trình soạn AND/OR lồng nhau.</t>
        </is>
      </c>
    </row>
    <row r="90">
      <c r="D90" s="8" t="inlineStr">
        <is>
          <t>証跡（Bằng chứng）</t>
        </is>
      </c>
    </row>
    <row r="91">
      <c r="E91" s="9" t="inlineStr">
        <is>
          <t>
          </t>
        </is>
      </c>
    </row>
    <row r="92">
      <c r="D92" s="8" t="inlineStr">
        <is>
          <t>リセット（Đặt lại）</t>
        </is>
      </c>
    </row>
    <row r="93">
      <c r="E93" s="9" t="inlineStr">
        <is>
          <t>
          </t>
        </is>
      </c>
    </row>
    <row r="94">
      <c r="D94" s="9" t="inlineStr">
        <is>
          <t>
          </t>
        </is>
      </c>
    </row>
    <row r="95">
      <c r="C95" s="9" t="inlineStr">
        <is>
          <t>TC-RS-FUNC-009 — Điều kiện phân nhánh theo Trung bình（平均点） được lưu cùng bộ nguồn</t>
        </is>
      </c>
    </row>
    <row r="96">
      <c r="D96" s="10" t="inlineStr">
        <is>
          <t>Priority: TBD ｜ Status: CONFIRMED ｜ Readiness: UNASSESSED ｜ Requirement ID: tiêu chí nghiệm thu “Đúng phạm vi tham chiếu” (AC-G12 «Đúng phạm vi tham chiếu»)</t>
        </is>
      </c>
    </row>
    <row r="97">
      <c r="D97" s="8" t="inlineStr">
        <is>
          <t>前提条件（Điều kiện trước）</t>
        </is>
      </c>
    </row>
    <row r="98">
      <c r="E98" s="9" t="inlineStr">
        <is>
          <t>- Điều kiện: Đăng nhập tài khoản giáo viên có quyền sửa mục. Có nguồn tổng hợp mặc định.
- Dữ liệu test: cặp quy tắc phân nhánh theo trung bình 60, bản tổng hợp mới nhất chưa chốt (trung bình 62)</t>
        </is>
      </c>
    </row>
    <row r="99">
      <c r="D99" s="8" t="inlineStr">
        <is>
          <t>操作（Thao tác）</t>
        </is>
      </c>
    </row>
    <row r="100">
      <c r="E100" s="9" t="inlineStr">
        <is>
          <t>1. Tạo quy tắc "Trung bình dưới 60": thêm bộ lọc Môn（教科・科目）= Toán（数学） và điều kiện Trung bình（平均点）.
2. Chọn Thời kỳ tổng hợp（集計対象時期）= 1学期期末 (cuối kỳ học kỳ 1), Thiết lập tổng hợp thứ hạng（順位集計設定）= 評点集計 (tổng hợp điểm đánh giá), Nhóm học sinh được tổng hợp — 集計対象（母集団）= ホームルーム (lớp chủ nhiệm; file Figma cũ ghi HR毎).
3. Nhập mốc 60, dấu Nhỏ hơn（未満）, lưu.
4. Tạo quy tắc thứ hai với mốc 60, dấu Từ mức này trở lên（以上）.
5. Mở lại cả hai.
Phạm vi từng lượt chạy:
- below60: Điều kiện dưới 60
- from60: Điều kiện từ 60</t>
        </is>
      </c>
    </row>
    <row r="101">
      <c r="D101" s="8" t="inlineStr">
        <is>
          <t>期待結果（Kết quả mong đợi）</t>
        </is>
      </c>
    </row>
    <row r="102">
      <c r="E102" s="9" t="inlineStr">
        <is>
          <t>1. Cả hai quy tắc lưu được, là hai dòng riêng trong danh sách (không phải một form hai nhánh).
2. Mở lại giữ đủ bộ nguồn, mốc, dấu.
3. Không có lựa chọn Kết quả tổng hợp dùng để tham chiếu（参照する集計結果） (đặc tả v2 mục 3 “Bản đồ màn hình và luồng thao tác”, mục 5.5 “Chọn bản nguồn”).</t>
        </is>
      </c>
    </row>
    <row r="103">
      <c r="D103" s="8" t="inlineStr">
        <is>
          <t>証跡（Bằng chứng）</t>
        </is>
      </c>
    </row>
    <row r="104">
      <c r="E104" s="9" t="inlineStr">
        <is>
          <t>
          </t>
        </is>
      </c>
    </row>
    <row r="105">
      <c r="D105" s="8" t="inlineStr">
        <is>
          <t>リセット（Đặt lại）</t>
        </is>
      </c>
    </row>
    <row r="106">
      <c r="E106" s="9" t="inlineStr">
        <is>
          <t>
          </t>
        </is>
      </c>
    </row>
    <row r="107">
      <c r="D107" s="9" t="inlineStr">
        <is>
          <t>
          </t>
        </is>
      </c>
    </row>
    <row r="108">
      <c r="C108" s="9" t="inlineStr">
        <is>
          <t>TC-RS-FUNC-010 — Điều kiện Tỷ lệ điểm của nhóm（集団の得点率） được lưu cùng bộ nguồn</t>
        </is>
      </c>
    </row>
    <row r="109">
      <c r="D109" s="10" t="inlineStr">
        <is>
          <t>Priority: TBD ｜ Status: CONFIRMED ｜ Readiness: UNASSESSED ｜ Requirement ID: tiêu chí nghiệm thu “Đúng phạm vi tham chiếu” (AC-G12 «Đúng phạm vi tham chiếu»)</t>
        </is>
      </c>
    </row>
    <row r="110">
      <c r="D110" s="8" t="inlineStr">
        <is>
          <t>前提条件（Điều kiện trước）</t>
        </is>
      </c>
    </row>
    <row r="111">
      <c r="E111" s="9" t="inlineStr">
        <is>
          <t>- Điều kiện: Đăng nhập tài khoản giáo viên có quyền sửa mục.
- Dữ liệu test: quy tắc theo tỷ lệ điểm của nhóm từ 65%</t>
        </is>
      </c>
    </row>
    <row r="112">
      <c r="D112" s="8" t="inlineStr">
        <is>
          <t>操作（Thao tác）</t>
        </is>
      </c>
    </row>
    <row r="113">
      <c r="E113" s="9" t="inlineStr">
        <is>
          <t>1. Tạo quy tắc với điều kiện Tỷ lệ điểm của nhóm（集団の得点率）, nguồn mặc định, mốc 65, dấu Từ mức này trở lên（以上）.
2. Lưu, mở lại.
Phạm vi từng lượt chạy:
- Base: Toàn bộ thủ tục theo đúng thứ tự; các đối chứng cùng fixture được kiểm trong cùng lượt, không bỏ bước</t>
        </is>
      </c>
    </row>
    <row r="114">
      <c r="D114" s="8" t="inlineStr">
        <is>
          <t>期待結果（Kết quả mong đợi）</t>
        </is>
      </c>
    </row>
    <row r="115">
      <c r="E115" s="9" t="inlineStr">
        <is>
          <t>Lưu và mở lại đúng loại điều kiện, nguồn, mốc 65 và dấu. Không có tùy chọn chọn cách tính A/B.</t>
        </is>
      </c>
    </row>
    <row r="116">
      <c r="D116" s="8" t="inlineStr">
        <is>
          <t>証跡（Bằng chứng）</t>
        </is>
      </c>
    </row>
    <row r="117">
      <c r="E117" s="9" t="inlineStr">
        <is>
          <t>
          </t>
        </is>
      </c>
    </row>
    <row r="118">
      <c r="D118" s="8" t="inlineStr">
        <is>
          <t>リセット（Đặt lại）</t>
        </is>
      </c>
    </row>
    <row r="119">
      <c r="E119" s="9" t="inlineStr">
        <is>
          <t>
          </t>
        </is>
      </c>
    </row>
    <row r="120">
      <c r="D120" s="9" t="inlineStr">
        <is>
          <t>
          </t>
        </is>
      </c>
    </row>
    <row r="121">
      <c r="C121" s="9" t="inlineStr">
        <is>
          <t>TC-RS-FUNC-011 — Chọn loại ngưỡng làm thay đổi vùng nhập</t>
        </is>
      </c>
    </row>
    <row r="122">
      <c r="D122" s="10" t="inlineStr">
        <is>
          <t>Priority: TBD ｜ Status: CONFIRMED ｜ Readiness: UNASSESSED ｜ Requirement ID: đặc tả v2 mục 5.6 “Khi nào không cần nguồn?”, mục 6.1 “Thành phần chung của màn ngưỡng”</t>
        </is>
      </c>
    </row>
    <row r="123">
      <c r="D123" s="8" t="inlineStr">
        <is>
          <t>前提条件（Điều kiện trước）</t>
        </is>
      </c>
    </row>
    <row r="124">
      <c r="E124" s="9" t="inlineStr">
        <is>
          <t>- Điều kiện: Mở Ngưỡng của một quy tắc.
- Dữ liệu test: —</t>
        </is>
      </c>
    </row>
    <row r="125">
      <c r="D125" s="8" t="inlineStr">
        <is>
          <t>操作（Thao tác）</t>
        </is>
      </c>
    </row>
    <row r="126">
      <c r="E126" s="9" t="inlineStr">
        <is>
          <t>1. Chọn Điểm cố định（固定点数）.
2. Chọn Tỷ lệ điểm tối đa（得点率）.
3. Chọn Công thức（計算式）.
Phạm vi từng lượt chạy:
- fixed: Chọn cố định
- ratio: Chọn tỷ lệ
- formula: Chọn công thức</t>
        </is>
      </c>
    </row>
    <row r="127">
      <c r="D127" s="8" t="inlineStr">
        <is>
          <t>期待結果（Kết quả mong đợi）</t>
        </is>
      </c>
    </row>
    <row r="128">
      <c r="E128" s="9" t="inlineStr">
        <is>
          <t>1. Cố định: có ô ngưỡng và dấu so sánh; không có vùng nguồn trung bình, không có xử lý phần lẻ.
2. Tỷ lệ: có ô %, xử lý phần lẻ, dấu so sánh; không có vùng nguồn trung bình.
3. Công thức: có vùng nguồn trung bình, bảng dòng công thức, dấu so sánh.</t>
        </is>
      </c>
    </row>
    <row r="129">
      <c r="D129" s="8" t="inlineStr">
        <is>
          <t>証跡（Bằng chứng）</t>
        </is>
      </c>
    </row>
    <row r="130">
      <c r="E130" s="9" t="inlineStr">
        <is>
          <t>
          </t>
        </is>
      </c>
    </row>
    <row r="131">
      <c r="D131" s="8" t="inlineStr">
        <is>
          <t>リセット（Đặt lại）</t>
        </is>
      </c>
    </row>
    <row r="132">
      <c r="E132" s="9" t="inlineStr">
        <is>
          <t>
          </t>
        </is>
      </c>
    </row>
    <row r="133">
      <c r="D133" s="9" t="inlineStr">
        <is>
          <t>
          </t>
        </is>
      </c>
    </row>
    <row r="134">
      <c r="C134" s="9" t="inlineStr">
        <is>
          <t>TC-RS-FUNC-012 — Công thức: thêm/xóa dòng, kết quả dòng cuối là ngưỡng</t>
        </is>
      </c>
    </row>
    <row r="135">
      <c r="D135" s="10" t="inlineStr">
        <is>
          <t>Priority: Cao ｜ Status: CONFIRMED ｜ Readiness: UNASSESSED ｜ Requirement ID: tiêu chí nghiệm thu “Công thức theo dòng và phần lẻ” (AC-G16 «Công thức theo dòng và phần lẻ»)</t>
        </is>
      </c>
    </row>
    <row r="136">
      <c r="D136" s="8" t="inlineStr">
        <is>
          <t>前提条件（Điều kiện trước）</t>
        </is>
      </c>
    </row>
    <row r="137">
      <c r="E137" s="9" t="inlineStr">
        <is>
          <t>- Điều kiện: Mở Ngưỡng loại Công thức（計算式）.
- Dữ liệu test: quy tắc công thức hai dòng (trung bình ÷ 2 × 0.8)</t>
        </is>
      </c>
    </row>
    <row r="138">
      <c r="D138" s="8" t="inlineStr">
        <is>
          <t>操作（Thao tác）</t>
        </is>
      </c>
    </row>
    <row r="139">
      <c r="E139" s="9" t="inlineStr">
        <is>
          <t>1. Cấu hình dòng 1 và dòng 2 như quy tắc công thức hai dòng (trung bình ÷ 2 × 0.8), lưu.
2. Mở lại; bấm Thêm công thức（計算式を追加） để có dòng 3, rồi xóa dòng 3, lưu.
3. Xem tóm tắt ở danh sách.
Phạm vi từng lượt chạy:
- Base: Toàn bộ thủ tục theo đúng thứ tự; các đối chứng cùng fixture được kiểm trong cùng lượt, không bỏ bước</t>
        </is>
      </c>
    </row>
    <row r="140">
      <c r="D140" s="8" t="inlineStr">
        <is>
          <t>期待結果（Kết quả mong đợi）</t>
        </is>
      </c>
    </row>
    <row r="141">
      <c r="E141" s="9" t="inlineStr">
        <is>
          <t>1. Lưu được 2 dòng; mở lại giữ vế trái, phép toán, vế phải và xử lý phần lẻ từng dòng (chi tiết form là PROPOSED theo thiết kế).
2. Danh sách tóm tắt đủ các dòng và dấu so sánh (PROPOSED; không dùng làm oracle nghiệp vụ nếu đặc tả chưa chốt bố cục tóm tắt).
3. Khi xét, `T` = kết quả dòng cuối; phép tính và xử lý phần lẻ phải tuân theo AC-G16 và case “Công thức hai dòng theo Figma: (A÷2)×0.8, dòng 1 làm tròn xuống”.</t>
        </is>
      </c>
    </row>
    <row r="142">
      <c r="D142" s="8" t="inlineStr">
        <is>
          <t>証跡（Bằng chứng）</t>
        </is>
      </c>
    </row>
    <row r="143">
      <c r="E143" s="9" t="inlineStr">
        <is>
          <t>
          </t>
        </is>
      </c>
    </row>
    <row r="144">
      <c r="D144" s="8" t="inlineStr">
        <is>
          <t>リセット（Đặt lại）</t>
        </is>
      </c>
    </row>
    <row r="145">
      <c r="E145" s="9" t="inlineStr">
        <is>
          <t>
          </t>
        </is>
      </c>
    </row>
    <row r="146">
      <c r="D146" s="9" t="inlineStr">
        <is>
          <t>
          </t>
        </is>
      </c>
    </row>
    <row r="147">
      <c r="C147" s="9" t="inlineStr">
        <is>
          <t>TC-RS-FUNC-013 — Dấu so sánh Nhỏ hơn（未満）/Nhỏ hơn hoặc bằng（以下） được lưu và hiển thị</t>
        </is>
      </c>
    </row>
    <row r="148">
      <c r="D148" s="10" t="inlineStr">
        <is>
          <t>Priority: TBD ｜ Status: CONFIRMED ｜ Readiness: UNASSESSED ｜ Requirement ID: đặc tả v2 mục 6.1 “Thành phần chung của màn ngưỡng”</t>
        </is>
      </c>
    </row>
    <row r="149">
      <c r="D149" s="8" t="inlineStr">
        <is>
          <t>前提条件（Điều kiện trước）</t>
        </is>
      </c>
    </row>
    <row r="150">
      <c r="E150" s="9" t="inlineStr">
        <is>
          <t>- Điều kiện: Có quy tắc “Cố định 30” (dưới 30).
- Dữ liệu test: quy tắc “Cố định 30” (dưới 30), quy tắc cố định 30 với Nhỏ hơn hoặc bằng（以下）</t>
        </is>
      </c>
    </row>
    <row r="151">
      <c r="D151" s="8" t="inlineStr">
        <is>
          <t>操作（Thao tác）</t>
        </is>
      </c>
    </row>
    <row r="152">
      <c r="E152" s="9" t="inlineStr">
        <is>
          <t>1. Đổi dấu của quy tắc “Cố định 30” (dưới 30) sang Nhỏ hơn hoặc bằng（以下）, lưu, mở lại.
2. Đổi lại Nhỏ hơn（未満）, lưu, mở lại.
Phạm vi từng lượt chạy:
- lt: Dấu nhỏ hơn
- le: Dấu nhỏ hơn hoặc bằng</t>
        </is>
      </c>
    </row>
    <row r="153">
      <c r="D153" s="8" t="inlineStr">
        <is>
          <t>期待結果（Kết quả mong đợi）</t>
        </is>
      </c>
    </row>
    <row r="154">
      <c r="E154" s="9" t="inlineStr">
        <is>
          <t>Dấu đã chọn được lưu, hiển thị đúng ở form và tóm tắt danh sách. Tác động lên kết quả: case “Ngưỡng cố định 30: S = 29 / 30 / 31 với `&lt;` và `≤`”.</t>
        </is>
      </c>
    </row>
    <row r="155">
      <c r="D155" s="8" t="inlineStr">
        <is>
          <t>証跡（Bằng chứng）</t>
        </is>
      </c>
    </row>
    <row r="156">
      <c r="E156" s="9" t="inlineStr">
        <is>
          <t>
          </t>
        </is>
      </c>
    </row>
    <row r="157">
      <c r="D157" s="8" t="inlineStr">
        <is>
          <t>リセット（Đặt lại）</t>
        </is>
      </c>
    </row>
    <row r="158">
      <c r="E158" s="9" t="inlineStr">
        <is>
          <t>
          </t>
        </is>
      </c>
    </row>
    <row r="159">
      <c r="D159" s="9" t="inlineStr">
        <is>
          <t>
          </t>
        </is>
      </c>
    </row>
    <row r="160">
      <c r="C160" s="9" t="inlineStr">
        <is>
          <t>TC-RS-FUNC-014 — Quy tắc mới chỉ có điều kiện, chưa có ngưỡng, không tham gia xét</t>
        </is>
      </c>
    </row>
    <row r="161">
      <c r="D161" s="10" t="inlineStr">
        <is>
          <t>Priority: Cao ｜ Status: CONFIRMED ｜ Readiness: BLOCKED ｜ Requirement ID: đặc tả v2 mục 4.4 “Lưu, đổi thứ tự và xóa”; tiêu chí nghiệm thu “Lưu và mở lại nhiều thiết lập” (AC-G04 «Lưu và mở lại nhiều thiết lập»)</t>
        </is>
      </c>
    </row>
    <row r="162">
      <c r="D162" s="8" t="inlineStr">
        <is>
          <t>前提条件（Điều kiện trước）</t>
        </is>
      </c>
    </row>
    <row r="163">
      <c r="E163" s="9" t="inlineStr">
        <is>
          <t>- Điều kiện chung: trường A/năm 2026, mục số nguyên TD-ITEM-01 (M=100), S01 có điểm 29; giáo viên có quyền sửa rule và chạy xét lại. Hai tab cùng phạm vi mục/kỳ. Mỗi biến thể có bản reset riêng, đúng hai rule Toàn bộ với dấu `&lt;`; ghi identity rule ưu tiên 1 và rule đối chứng ưu tiên 2. Phạm vi trích xuất chỉ gồm ô này để ô đỏ khác không ảnh hưởng bộ lọc.
- `incomplete-excluded`: rule ưu tiên 1 chỉ lưu điều kiện, chưa có ngưỡng; rule đối chứng ưu tiên 2 có T=30. Đây là fixture TD-RULE-13/TD-RULE-01.
- `complete-deleted-stale`: rule ưu tiên 1 hoàn chỉnh T=30, rule đối chứng ưu tiên 2 T=20; chạy baseline S01=29 → Đỏ theo rule ưu tiên 1.
- `incomplete-deleted-stale`: rule ưu tiên 1 chỉ có điều kiện, rule đối chứng ưu tiên 2 T=20; chạy baseline S01=29 → Không đỏ theo rule đối chứng. T=20 là cấu hình riêng của hai biến thể stale-form, không thay TD-RULE-01 dùng chung.</t>
        </is>
      </c>
    </row>
    <row r="164">
      <c r="D164" s="8" t="inlineStr">
        <is>
          <t>操作（Thao tác）</t>
        </is>
      </c>
    </row>
    <row r="165">
      <c r="E165" s="9" t="inlineStr">
        <is>
          <t>1. Với `incomplete-excluded`, dựng fixture riêng, xem dòng chưa hoàn chỉnh; đăng ký S01=29 và đọc kết quả, identity rule/ngưỡng đã dùng cùng đầu ra trích xuất.
2. Với `complete-deleted-stale`, reset và xác nhận baseline Đỏ/T=30. Mở form ngưỡng của rule ưu tiên 1 ở tab A. Xóa đúng rule đó ở tab B, rồi gửi lưu T=30 từ form cũ ở tab A. Reload danh sách và đọc trạng thái rule; trước khi chạy xét lại, đọc điểm/kết quả đã hoàn tất của S01.
3. Chạy xét lại thành công cho đúng ô của `complete-deleted-stale`; đọc identity rule/ngưỡng được chọn. Chạy trích xuất một lượt tắt lọc để thấy điểm và dấu, một lượt bật lọc đỏ để kiểm membership của S01.
4. Với `incomplete-deleted-stale`, reset và xác nhận baseline Không đỏ/T=20. Mở form ngưỡng của rule nhập dở ở tab A, nhập T=40 nhưng **chưa lưu**. Xóa đúng rule nhập dở ở tab B, rồi gửi T=40 từ form cũ ở tab A. Reload danh sách và đọc trạng thái rule.
5. Chạy xét lại thành công cho đúng ô của `incomplete-deleted-stale`; đọc identity rule/ngưỡng và thực hiện hai lượt trích xuất tắt/bật lọc như bước 3. Lưu bằng chứng riêng cho từng biến thể, không dùng kết quả của biến thể trước.
Phạm vi từng lượt chạy:
- incomplete-excluded: Nhánh incomplete-excluded trong thủ tục và Expected của case; thực hiện các bước chuẩn bị chung trước nhánh
- complete-deleted-stale: Nhánh complete-deleted-stale trong thủ tục và Expected của case; thực hiện các bước chuẩn bị chung trước nhánh
- incomplete-deleted-stale: Nhánh incomplete-deleted-stale trong thủ tục và Expected của case; thực hiện các bước chuẩn bị chung trước nhánh</t>
        </is>
      </c>
    </row>
    <row r="166">
      <c r="D166" s="8" t="inlineStr">
        <is>
          <t>期待結果（Kết quả mong đợi）</t>
        </is>
      </c>
    </row>
    <row r="167">
      <c r="E167" s="9" t="inlineStr">
        <is>
          <t>1. `incomplete-excluded`: dòng nhập dở hiện chưa thiết lập và cho mở ngưỡng; không tạo ngưỡng 0 ngầm. Bộ xét chọn đúng rule đối chứng T=30, S01=29 Đỏ; rule nhập dở không tham gia xét.
2. `complete-deleted-stale`: lưu form cũ không phục hồi rule đã xóa trong danh sách hoặc bộ xét. Trước lần xét lại, S01 vẫn giữ điểm 29 và kết quả Đỏ/T=30 đã hoàn tất. Sau lần xét lại, bộ xét chọn đúng identity rule đối chứng T=20 → **Không đỏ**; lượt tắt lọc hiện 29 không dấu đỏ, lượt bật lọc không có S01.
3. `incomplete-deleted-stale`: T=40 gửi từ form cũ không làm rule nhập dở đã xóa sống lại hoặc trở thành rule hoàn chỉnh. Sau lần xét lại, bộ xét vẫn chọn đúng rule đối chứng T=20 → **Không đỏ**, điểm 29 giữ nguyên; lượt tắt lọc không có dấu đỏ, lượt bật lọc không có S01. Nếu rule 40 bị phục hồi thì 29&lt;40 sẽ Đỏ, nên không được PASS trường hợp đó dù danh sách đã ẩn rule.
4. Rule đối chứng giữ nguyên cấu hình/identity ở cả hai biến thể stale-form. Nếu từ chối form cũ, thông báo an toàn; không áp đặt mã HTTP hoặc enum/schema chưa được xác nhận. Thiếu seam gửi form, chạy xét hoặc reader đáng tin thì ghi BLOCKED cho biến thể liên quan.</t>
        </is>
      </c>
    </row>
    <row r="168">
      <c r="D168" s="8" t="inlineStr">
        <is>
          <t>証跡（Bằng chứng）</t>
        </is>
      </c>
    </row>
    <row r="169">
      <c r="E169" s="9" t="inlineStr">
        <is>
          <t>
          </t>
        </is>
      </c>
    </row>
    <row r="170">
      <c r="D170" s="8" t="inlineStr">
        <is>
          <t>リセット（Đặt lại）</t>
        </is>
      </c>
    </row>
    <row r="171">
      <c r="E171" s="9" t="inlineStr">
        <is>
          <t>
          </t>
        </is>
      </c>
    </row>
    <row r="172">
      <c r="D172" s="9" t="inlineStr">
        <is>
          <t>
          </t>
        </is>
      </c>
    </row>
    <row r="173">
      <c r="C173" s="9" t="inlineStr">
        <is>
          <t>TC-RS-FUNC-015 — Quy trình vận hành dùng trung bình: tắt tự tổng hợp → nút xanh → nút cam</t>
        </is>
      </c>
    </row>
    <row r="174">
      <c r="D174" s="10" t="inlineStr">
        <is>
          <t>Priority: Cao ｜ Status: CONFIRMED ｜ Readiness: UNASSESSED ｜ Requirement ID: tiêu chí nghiệm thu “Thứ tự đánh giá tương đối” (AC-G25 «Thứ tự đánh giá tương đối»)</t>
        </is>
      </c>
    </row>
    <row r="175">
      <c r="D175" s="8" t="inlineStr">
        <is>
          <t>前提条件（Điều kiện trước）</t>
        </is>
      </c>
    </row>
    <row r="176">
      <c r="E176" s="9" t="inlineStr">
        <is>
          <t>- Điều kiện: mục số nguyên (M=100) có cặp quy tắc phân nhánh theo trung bình 60. Điểm của nhóm HR1 đã đầy đủ. Không có bản chốt cho nguồn mặc định. Đăng nhập tài khoản có quyền chạy hàng loạt.
- Dữ liệu test: mục số nguyên (M=100); cặp quy tắc phân nhánh theo trung bình 60, các lớp chủ nhiệm HR1, HR2, học sinh S01–S05</t>
        </is>
      </c>
    </row>
    <row r="177">
      <c r="D177" s="8" t="inlineStr">
        <is>
          <t>操作（Thao tác）</t>
        </is>
      </c>
    </row>
    <row r="178">
      <c r="E178" s="9" t="inlineStr">
        <is>
          <t>1. Thiết lập tổng hợp thứ hạng（順位集計設定）→ Thiết lập chi tiết（詳細設定）: đặt tự tổng hợp khi đăng ký điểm là Không thực hiện（実行しない）.
2. Ở Tổng hợp thành tích（成績集計）, chọn Khối 1, kỳ 1学期期末 (cuối kỳ học kỳ 1), bấm Thực hiện tổng hợp（集計実行）, chờ hoàn tất.
3. Bấm Thực hiện tính toán tự động（自動算出実行）, chờ hoàn tất.
4. Xem kết quả ở ba đầu ra.
5. Sau bước 3, xem lần chạy tổng hợp gần nhất hiển thị ở Tổng hợp thành tích（成績集計）.
Phạm vi từng lượt chạy:
- Base: Toàn bộ thủ tục theo đúng thứ tự; các đối chứng cùng fixture được kiểm trong cùng lượt, không bỏ bước</t>
        </is>
      </c>
    </row>
    <row r="179">
      <c r="D179" s="8" t="inlineStr">
        <is>
          <t>期待結果（Kết quả mong đợi）</t>
        </is>
      </c>
    </row>
    <row r="180">
      <c r="E180" s="9" t="inlineStr">
        <is>
          <t>1. Sau bước 2 (chỉ nút xanh), kết quả đỏ chưa thay đổi.
2. Sau bước 3, mỗi ô của S01–S05 có kết quả theo nhánh đúng với `A` của tổng hợp vừa chạy.
3. Ba đầu ra hiển thị cùng kết quả mới.
4. (Theo tiêu chí nghiệm thu “Thứ tự đánh giá tương đối”) Bước 3 không tự chạy lại Thực hiện tổng hợp（集計実行） hay thêm lượt xét thứ hai, kể cả khi tính tự động làm đổi điểm dùng cho trung bình: lần chạy tổng hợp gần nhất vẫn là lần ở bước 2. Muốn dùng trung bình mới thì người dùng chạy lại quy trình.</t>
        </is>
      </c>
    </row>
    <row r="181">
      <c r="D181" s="8" t="inlineStr">
        <is>
          <t>証跡（Bằng chứng）</t>
        </is>
      </c>
    </row>
    <row r="182">
      <c r="E182" s="9" t="inlineStr">
        <is>
          <t>
          </t>
        </is>
      </c>
    </row>
    <row r="183">
      <c r="D183" s="8" t="inlineStr">
        <is>
          <t>リセット（Đặt lại）</t>
        </is>
      </c>
    </row>
    <row r="184">
      <c r="E184" s="9" t="inlineStr">
        <is>
          <t>
          </t>
        </is>
      </c>
    </row>
    <row r="185">
      <c r="D185" s="9" t="inlineStr">
        <is>
          <t>
          </t>
        </is>
      </c>
    </row>
    <row r="186">
      <c r="C186" s="9" t="inlineStr">
        <is>
          <t>TC-RS-FUNC-016 — Đăng ký/sửa điểm trực tiếp ở màn lớp kích hoạt xét</t>
        </is>
      </c>
    </row>
    <row r="187">
      <c r="D187" s="10" t="inlineStr">
        <is>
          <t>Priority: Cao ｜ Status: CONFIRMED ｜ Readiness: UNASSESSED ｜ Requirement ID: tiêu chí nghiệm thu “Bao phủ đường đăng ký và chạy lại” (AC-G23 «Bao phủ đường đăng ký và chạy lại»)</t>
        </is>
      </c>
    </row>
    <row r="188">
      <c r="D188" s="8" t="inlineStr">
        <is>
          <t>前提条件（Điều kiện trước）</t>
        </is>
      </c>
    </row>
    <row r="189">
      <c r="E189" s="9" t="inlineStr">
        <is>
          <t>- Điều kiện: mục số nguyên (M=100) có quy tắc “Cố định 30” (dưới 30); mục số nguyên (M=100) không có quy tắc tính tự động.
- Dữ liệu test: mục số nguyên (M=100); quy tắc “Cố định 30” (dưới 30), học sinh S01 (điểm 29), học sinh S03 (điểm 31)</t>
        </is>
      </c>
    </row>
    <row r="190">
      <c r="D190" s="8" t="inlineStr">
        <is>
          <t>操作（Thao tác）</t>
        </is>
      </c>
    </row>
    <row r="191">
      <c r="E191" s="9" t="inlineStr">
        <is>
          <t>1. Ở màn đăng ký điểm của lớp G-A, nhập S01=29, S03=31, lưu.
2. Xem trích xuất.
Phạm vi từng lượt chạy:
- Base: Toàn bộ thủ tục theo đúng thứ tự; các đối chứng cùng fixture được kiểm trong cùng lượt, không bỏ bước</t>
        </is>
      </c>
    </row>
    <row r="192">
      <c r="D192" s="8" t="inlineStr">
        <is>
          <t>期待結果（Kết quả mong đợi）</t>
        </is>
      </c>
    </row>
    <row r="193">
      <c r="E193" s="9" t="inlineStr">
        <is>
          <t>Sau khi lưu thành công: S01 Đỏ, S03 Không đỏ. Đây là đường đăng ký trực tiếp với quy tắc cố định, nên không yêu cầu nguồn trung bình hoặc nút cam; không suy rộng kết luận này cho case dùng trung bình/tỷ lệ nhóm.</t>
        </is>
      </c>
    </row>
    <row r="194">
      <c r="D194" s="8" t="inlineStr">
        <is>
          <t>証跡（Bằng chứng）</t>
        </is>
      </c>
    </row>
    <row r="195">
      <c r="E195" s="9" t="inlineStr">
        <is>
          <t>
          </t>
        </is>
      </c>
    </row>
    <row r="196">
      <c r="D196" s="8" t="inlineStr">
        <is>
          <t>リセット（Đặt lại）</t>
        </is>
      </c>
    </row>
    <row r="197">
      <c r="E197" s="9" t="inlineStr">
        <is>
          <t>
          </t>
        </is>
      </c>
    </row>
    <row r="198">
      <c r="D198" s="9" t="inlineStr">
        <is>
          <t>
          </t>
        </is>
      </c>
    </row>
    <row r="199">
      <c r="C199" s="9" t="inlineStr">
        <is>
          <t>TC-RS-FUNC-017 — Nhập CSV điểm lớp học phần (NB) kích hoạt xét</t>
        </is>
      </c>
    </row>
    <row r="200">
      <c r="D200" s="10" t="inlineStr">
        <is>
          <t>Priority: Cao ｜ Status: CONFIRMED ｜ Readiness: UNASSESSED ｜ Requirement ID: tiêu chí nghiệm thu “Bao phủ đường đăng ký và chạy lại” (AC-G23 «Bao phủ đường đăng ký và chạy lại»)</t>
        </is>
      </c>
    </row>
    <row r="201">
      <c r="D201" s="8" t="inlineStr">
        <is>
          <t>前提条件（Điều kiện trước）</t>
        </is>
      </c>
    </row>
    <row r="202">
      <c r="E202" s="9" t="inlineStr">
        <is>
          <t>- Điều kiện: mục số nguyên (M=100) có quy tắc “Cố định 30” (dưới 30). Chạy hai lần: (a) trường có tính tự động, (b) trường không có tính tự động.
- Dữ liệu test: mục số nguyên (M=100); quy tắc “Cố định 30” (dưới 30), học sinh S01 (điểm 29)</t>
        </is>
      </c>
    </row>
    <row r="203">
      <c r="D203" s="8" t="inlineStr">
        <is>
          <t>操作（Thao tác）</t>
        </is>
      </c>
    </row>
    <row r="204">
      <c r="E204" s="9" t="inlineStr">
        <is>
          <t>1. Mở Đăng ký thành tích bằng CSV（成績CSV登録） của lớp G-A, nhập CSV với S01=29.
2. Xem kết quả ở trích xuất.
3. Nhập lại CSV với S01=31, xem kết quả.
Phạm vi từng lượt chạy:
- auto-on: Trường có tính tự động, thực hiện toàn bộ chuỗi CSV
- auto-off: Trường không có tính tự động, cùng chuỗi CSV</t>
        </is>
      </c>
    </row>
    <row r="205">
      <c r="D205" s="8" t="inlineStr">
        <is>
          <t>期待結果（Kết quả mong đợi）</t>
        </is>
      </c>
    </row>
    <row r="206">
      <c r="E206" s="9" t="inlineStr">
        <is>
          <t>1–2. Nhập thành công → S01 được xét: Đỏ, ở cả (a) và (b) (không phụ thuộc việc trường có tính tự động).
3. S01 Không đỏ; không còn dấu đỏ cũ.
Điểm và kết quả nhất quán theo ranh giới giao dịch hiện có (tiêu chí nghiệm thu “Lưu thành công và thông báo an toàn”).</t>
        </is>
      </c>
    </row>
    <row r="207">
      <c r="D207" s="8" t="inlineStr">
        <is>
          <t>証跡（Bằng chứng）</t>
        </is>
      </c>
    </row>
    <row r="208">
      <c r="E208" s="9" t="inlineStr">
        <is>
          <t>
          </t>
        </is>
      </c>
    </row>
    <row r="209">
      <c r="D209" s="8" t="inlineStr">
        <is>
          <t>リセット（Đặt lại）</t>
        </is>
      </c>
    </row>
    <row r="210">
      <c r="E210" s="9" t="inlineStr">
        <is>
          <t>
          </t>
        </is>
      </c>
    </row>
    <row r="211">
      <c r="D211" s="9" t="inlineStr">
        <is>
          <t>
          </t>
        </is>
      </c>
    </row>
    <row r="212">
      <c r="C212" s="9" t="inlineStr">
        <is>
          <t>TC-RS-FUNC-018 — Liên kết kết quả chấm bài thi kích hoạt xét</t>
        </is>
      </c>
    </row>
    <row r="213">
      <c r="D213" s="10" t="inlineStr">
        <is>
          <t>Priority: Cao ｜ Status: CONFIRMED ｜ Readiness: BLOCKED ｜ Requirement ID: tiêu chí nghiệm thu “Bao phủ đường đăng ký và chạy lại” (AC-G23 «Bao phủ đường đăng ký và chạy lại»)</t>
        </is>
      </c>
    </row>
    <row r="214">
      <c r="D214" s="8" t="inlineStr">
        <is>
          <t>前提条件（Điều kiện trước）</t>
        </is>
      </c>
    </row>
    <row r="215">
      <c r="E215" s="9" t="inlineStr">
        <is>
          <t>- Điều kiện: Có bài thi đã chấm liên kết tới mục số nguyên (M=100) cho lớp G-A và lớp G-C; quy tắc “Cố định 30” (dưới 30) trên mục số nguyên (M=100). G-A đủ thiết lập để AutoRating chạy. G-C được chuẩn bị để `createArgument` không trả lớp này (ví dụ chưa đăng ký thiết lập lớp học bắt buộc（入力必須の授業設定）), nên AutoRating bị bỏ qua.
- Dữ liệu test: mục số nguyên (M=100); quy tắc “Cố định 30” (dưới 30), các lớp học phần G-A, G-B, G-C, học sinh S01 (điểm 29)</t>
        </is>
      </c>
    </row>
    <row r="216">
      <c r="D216" s="8" t="inlineStr">
        <is>
          <t>操作（Thao tác）</t>
        </is>
      </c>
    </row>
    <row r="217">
      <c r="E217" s="9" t="inlineStr">
        <is>
          <t>1. Liên kết kết quả chấm của G-A với S01=29 (quy tắc cố định quy tắc “Cố định 30” (dưới 30)), gồm trường hợp lớp không có quy tắc tính tự động.
2. Liên kết kết quả chấm của G-C với một học sinh của G-C = 28.
3. Xem điểm đã ghi và kết quả đỏ của hai lớp.
4. (Tùy chọn) Lặp lại với quy tắc cần trung bình.
Phạm vi từng lượt chạy:
- linked: Liên kết điểm ở G-A
- auto-skipped: Nhánh AutoRating bỏ qua ở G-C</t>
        </is>
      </c>
    </row>
    <row r="218">
      <c r="D218" s="8" t="inlineStr">
        <is>
          <t>期待結果（Kết quả mong đợi）</t>
        </is>
      </c>
    </row>
    <row r="219">
      <c r="E219" s="9" t="inlineStr">
        <is>
          <t>1. S01 Đỏ.
2–3. Điểm 28 của G-C đã được ghi và ô đó được xét → Đỏ, dù AutoRating bị bỏ qua. Không có ô đã ghi nào ở G-C bị để lại không có kết quả.
4. Quy tắc cần trung bình: liên kết không chạy tổng hợp thứ hạng nên trung bình có thể cũ — việc chấp nhận trung bình cũ chưa chốt, phần này TBD, không đánh PASS/FAIL.</t>
        </is>
      </c>
    </row>
    <row r="220">
      <c r="D220" s="8" t="inlineStr">
        <is>
          <t>証跡（Bằng chứng）</t>
        </is>
      </c>
    </row>
    <row r="221">
      <c r="E221" s="9" t="inlineStr">
        <is>
          <t>
          </t>
        </is>
      </c>
    </row>
    <row r="222">
      <c r="D222" s="8" t="inlineStr">
        <is>
          <t>リセット（Đặt lại）</t>
        </is>
      </c>
    </row>
    <row r="223">
      <c r="E223" s="9" t="inlineStr">
        <is>
          <t>
          </t>
        </is>
      </c>
    </row>
    <row r="224">
      <c r="D224" s="9" t="inlineStr">
        <is>
          <t>
          </t>
        </is>
      </c>
    </row>
    <row r="225">
      <c r="C225" s="9" t="inlineStr">
        <is>
          <t>TC-RS-FUNC-019 — Lưu lựa chọn điểm tối đa của lớp khi đăng ký điểm kích hoạt xét</t>
        </is>
      </c>
    </row>
    <row r="226">
      <c r="D226" s="10" t="inlineStr">
        <is>
          <t>Priority: Cao ｜ Status: CONFIRMED ｜ Readiness: UNASSESSED ｜ Requirement ID: tiêu chí nghiệm thu “Trigger khi đổi điểm tối đa/đơn vị” (AC-G24 «Trigger khi đổi điểm tối đa/đơn vị»)</t>
        </is>
      </c>
    </row>
    <row r="227">
      <c r="D227" s="8" t="inlineStr">
        <is>
          <t>前提条件（Điều kiện trước）</t>
        </is>
      </c>
    </row>
    <row r="228">
      <c r="E228" s="9" t="inlineStr">
        <is>
          <t>- Điều kiện: mục điểm đơn vị (đơn vị U1 có M riêng 40) có quy tắc tỷ lệ 30% (30%). Lớp G-B chưa dùng lựa chọn lớp; S06 có điểm U1 = 14 (M=40 → T=12 → Không đỏ).
- Dữ liệu test: mục điểm đơn vị (đơn vị U1 có M riêng 40), quy tắc tỷ lệ 30%</t>
        </is>
      </c>
    </row>
    <row r="229">
      <c r="D229" s="8" t="inlineStr">
        <is>
          <t>操作（Thao tác）</t>
        </is>
      </c>
    </row>
    <row r="230">
      <c r="E230" s="9" t="inlineStr">
        <is>
          <t>1. Ở màn đăng ký điểm lớp G-B, chọn lựa chọn lớp M=50 cho U1, lưu.
2. Xem kết quả S06.
Phạm vi từng lượt chạy:
- Base: Toàn bộ thủ tục theo đúng thứ tự; các đối chứng cùng fixture được kiểm trong cùng lượt, không bỏ bước</t>
        </is>
      </c>
    </row>
    <row r="231">
      <c r="D231" s="8" t="inlineStr">
        <is>
          <t>期待結果（Kết quả mong đợi）</t>
        </is>
      </c>
    </row>
    <row r="232">
      <c r="E232" s="9" t="inlineStr">
        <is>
          <t>Sau khi lưu thành công: M=50 → T=15 → S06=14 Đỏ.</t>
        </is>
      </c>
    </row>
    <row r="233">
      <c r="D233" s="8" t="inlineStr">
        <is>
          <t>証跡（Bằng chứng）</t>
        </is>
      </c>
    </row>
    <row r="234">
      <c r="E234" s="9" t="inlineStr">
        <is>
          <t>
          </t>
        </is>
      </c>
    </row>
    <row r="235">
      <c r="D235" s="8" t="inlineStr">
        <is>
          <t>リセット（Đặt lại）</t>
        </is>
      </c>
    </row>
    <row r="236">
      <c r="E236" s="9" t="inlineStr">
        <is>
          <t>
          </t>
        </is>
      </c>
    </row>
    <row r="237">
      <c r="D237" s="9" t="inlineStr">
        <is>
          <t>
          </t>
        </is>
      </c>
    </row>
    <row r="238">
      <c r="C238" s="9" t="inlineStr">
        <is>
          <t>TC-RS-FUNC-020 — Lưu Thiết lập điểm tối đa hàng loạt（満点一括設定） xếp hàng tính toán rồi mới có kết quả mới</t>
        </is>
      </c>
    </row>
    <row r="239">
      <c r="D239" s="10" t="inlineStr">
        <is>
          <t>Priority: Cao ｜ Status: CONFIRMED ｜ Readiness: UNASSESSED ｜ Requirement ID: tiêu chí nghiệm thu “Trigger khi đổi điểm tối đa/đơn vị” (AC-G24 «Trigger khi đổi điểm tối đa/đơn vị»)</t>
        </is>
      </c>
    </row>
    <row r="240">
      <c r="D240" s="8" t="inlineStr">
        <is>
          <t>前提条件（Điều kiện trước）</t>
        </is>
      </c>
    </row>
    <row r="241">
      <c r="E241" s="9" t="inlineStr">
        <is>
          <t>- Điều kiện: Trường có chức năng Thiết lập điểm tối đa hàng loạt（満点一括設定） (`/admin/grade/lesson_group/setting?setting_type=change_max_score`); tài khoản có quyền chạy hàng loạt; quy tắc tỷ lệ 30% trên mục điểm đơn vị (đơn vị U1 có M riêng 40).
- Dữ liệu test: mục điểm đơn vị (đơn vị U1 có M riêng 40), quy tắc tỷ lệ 30%</t>
        </is>
      </c>
    </row>
    <row r="242">
      <c r="D242" s="8" t="inlineStr">
        <is>
          <t>操作（Thao tác）</t>
        </is>
      </c>
    </row>
    <row r="243">
      <c r="E243" s="9" t="inlineStr">
        <is>
          <t>1. Lưu M=50 cho các lớp/kỳ được phép.
2. Ngay sau khi lưu (trước khi batch xong), xem kết quả.
3. Chờ batch hoàn tất, xem lại.
Phạm vi từng lượt chạy:
- Base: Toàn bộ thủ tục theo đúng thứ tự; các đối chứng cùng fixture được kiểm trong cùng lượt, không bỏ bước</t>
        </is>
      </c>
    </row>
    <row r="244">
      <c r="D244" s="8" t="inlineStr">
        <is>
          <t>期待結果（Kết quả mong đợi）</t>
        </is>
      </c>
    </row>
    <row r="245">
      <c r="E245" s="9" t="inlineStr">
        <is>
          <t>1. Ngay sau khi lưu: kết quả cũ vẫn hiện; không báo "hoàn tất" khi mới xếp hàng.
2. Sau batch thành công: kết quả theo M=50.</t>
        </is>
      </c>
    </row>
    <row r="246">
      <c r="D246" s="8" t="inlineStr">
        <is>
          <t>証跡（Bằng chứng）</t>
        </is>
      </c>
    </row>
    <row r="247">
      <c r="E247" s="9" t="inlineStr">
        <is>
          <t>
          </t>
        </is>
      </c>
    </row>
    <row r="248">
      <c r="D248" s="8" t="inlineStr">
        <is>
          <t>リセット（Đặt lại）</t>
        </is>
      </c>
    </row>
    <row r="249">
      <c r="E249" s="9" t="inlineStr">
        <is>
          <t>
          </t>
        </is>
      </c>
    </row>
    <row r="250">
      <c r="D250" s="9" t="inlineStr">
        <is>
          <t>
          </t>
        </is>
      </c>
    </row>
    <row r="251">
      <c r="C251" s="9" t="inlineStr">
        <is>
          <t>TC-RS-FUNC-021 — Trường chỉ có quy tắc đỏ (không có tính tự động) vẫn có đường chạy hàng loạt</t>
        </is>
      </c>
    </row>
    <row r="252">
      <c r="D252" s="10" t="inlineStr">
        <is>
          <t>Priority: Cao ｜ Status: CONFIRMED ｜ Readiness: UNASSESSED ｜ Requirement ID: tiêu chí nghiệm thu “Bao phủ đường đăng ký và chạy lại” (AC-G23 «Bao phủ đường đăng ký và chạy lại»)</t>
        </is>
      </c>
    </row>
    <row r="253">
      <c r="D253" s="8" t="inlineStr">
        <is>
          <t>前提条件（Điều kiện trước）</t>
        </is>
      </c>
    </row>
    <row r="254">
      <c r="E254" s="9" t="inlineStr">
        <is>
          <t>- Điều kiện: Trường không có quy tắc tính tự động nào đang hoạt động; mục số nguyên (M=100) có quy tắc “Cố định 30” (dưới 30).
- Dữ liệu test: mục số nguyên (M=100); quy tắc “Cố định 30” (dưới 30), tài khoản có quyền chạy hàng loạt</t>
        </is>
      </c>
    </row>
    <row r="255">
      <c r="D255" s="8" t="inlineStr">
        <is>
          <t>操作（Thao tác）</t>
        </is>
      </c>
    </row>
    <row r="256">
      <c r="E256" s="9" t="inlineStr">
        <is>
          <t>1. Mở Tổng hợp thành tích（成績集計） (`/admin/grade/grade_setting_system/grade_calc`).
2. Tìm thao tác Thực hiện tính toán tự động（自動算出実行） cho Khối 1, kỳ 1学期期末 (cuối kỳ học kỳ 1).
3. Chạy, chờ hoàn tất, xem kết quả.
Phạm vi từng lượt chạy:
- Base: Toàn bộ thủ tục theo đúng thứ tự; các đối chứng cùng fixture được kiểm trong cùng lượt, không bỏ bước</t>
        </is>
      </c>
    </row>
    <row r="257">
      <c r="D257" s="8" t="inlineStr">
        <is>
          <t>期待結果（Kết quả mong đợi）</t>
        </is>
      </c>
    </row>
    <row r="258">
      <c r="E258" s="9" t="inlineStr">
        <is>
          <t>Chạy được bằng thao tác hàng loạt hiện có (không có chế độ xét đỏ riêng); sau khi chạy, các ô được xét theo quy tắc “Cố định 30” (dưới 30). Nhãn/cách hiện nút cho trường không có tính tự động chưa chốt — không đánh giá phần này.</t>
        </is>
      </c>
    </row>
    <row r="259">
      <c r="D259" s="8" t="inlineStr">
        <is>
          <t>証跡（Bằng chứng）</t>
        </is>
      </c>
    </row>
    <row r="260">
      <c r="E260" s="9" t="inlineStr">
        <is>
          <t>
          </t>
        </is>
      </c>
    </row>
    <row r="261">
      <c r="D261" s="8" t="inlineStr">
        <is>
          <t>リセット（Đặt lại）</t>
        </is>
      </c>
    </row>
    <row r="262">
      <c r="E262" s="9" t="inlineStr">
        <is>
          <t>
          </t>
        </is>
      </c>
    </row>
    <row r="263">
      <c r="D263" s="9" t="inlineStr">
        <is>
          <t>
          </t>
        </is>
      </c>
    </row>
    <row r="264">
      <c r="C264" s="9" t="inlineStr">
        <is>
          <t>TC-RS-FUNC-022 — Trích xuất thành tích（成績抽出）: các tùy chọn đỏ được lưu và mở lại đúng</t>
        </is>
      </c>
    </row>
    <row r="265">
      <c r="D265" s="10" t="inlineStr">
        <is>
          <t>Priority: Cao ｜ Status: CONFIRMED ｜ Readiness: UNASSESSED ｜ Requirement ID: tiêu chí nghiệm thu “Hiển thị ô trích xuất” (AC-G30 «Hiển thị ô trích xuất»)</t>
        </is>
      </c>
    </row>
    <row r="266">
      <c r="D266" s="8" t="inlineStr">
        <is>
          <t>前提条件（Điều kiện trước）</t>
        </is>
      </c>
    </row>
    <row r="267">
      <c r="E267" s="9" t="inlineStr">
        <is>
          <t>- Điều kiện: mục số nguyên (M=100) có quy tắc “Cố định 30” (dưới 30). Đăng nhập tài khoản phụ trách đầu ra (trích xuất, công khai, phiếu điểm).
- Dữ liệu test: mục số nguyên (M=100), quy tắc “Cố định 30” (dưới 30); cấu hình trích xuất: lọc, ký hiệu “*” phía trước, tô màu, cấu hình trích xuất chỉ ký hiệu (“※” trước, “!” sau)</t>
        </is>
      </c>
    </row>
    <row r="268">
      <c r="D268" s="8" t="inlineStr">
        <is>
          <t>操作（Thao tác）</t>
        </is>
      </c>
    </row>
    <row r="269">
      <c r="E269" s="9" t="inlineStr">
        <is>
          <t>1. Mở thiết lập hiển thị của trích xuất, khung Thiết lập chi tiết thông tin lớp học（授業情報の詳細設定）, phần điều kiện đỏ.
2. Cấu hình cấu hình trích xuất: lọc, ký hiệu “*” phía trước, tô màu, lưu, mở lại.
3. Cấu hình cấu hình trích xuất chỉ ký hiệu (“※” trước, “!” sau) (hai ký hiệu cùng bật), lưu, mở lại.
4. (PROPOSED) Chạy SELECT cột `extract_setting` của dòng `grade_extract_conf` tương ứng mẫu vừa lưu, lọc theo trường/năm test.
5. (PROPOSED) Nếu màn có chức năng sao chép thiết lập trích xuất hiện có: sao chép mẫu cấu hình trích xuất: lọc, ký hiệu “*” phía trước, tô màu, mở bản sao.
Phạm vi từng lượt chạy:
- filter-color: Cấu hình lọc và màu
- prefix-suffix: Cấu hình ký hiệu trước/sau
- copy: Sao chép cấu hình theo phần đề xuất</t>
        </is>
      </c>
    </row>
    <row r="270">
      <c r="D270" s="8" t="inlineStr">
        <is>
          <t>期待結果（Kết quả mong đợi）</t>
        </is>
      </c>
    </row>
    <row r="271">
      <c r="E271" s="9" t="inlineStr">
        <is>
          <t>1. Có bốn tùy chọn độc lập: lọc học sinh có điểm đỏ, ký hiệu phía trước, ký hiệu phía sau, tô màu ô.
2. Ký hiệu trước và sau cùng bật được.
3. Màu chỉ chọn từ bảng màu hiện có (không có bộ chọn màu tự do).
4. Mở lại giữ đúng giá trị.
5. (PROPOSED) JSON `extract_setting` chứa phần điều kiện đỏ với các khóa `use_target_extract`, `use_prefix_mark`, `prefix_mark`, `use_suffix_mark`, `suffix_mark`, `use_cell_coloring`, `cell_color` khớp giá trị trên màn; không có cột/bảng mới cho thiết lập này.
6. (PROPOSED) Bản sao giữ nguyên bốn tùy chọn, ký hiệu và màu.</t>
        </is>
      </c>
    </row>
    <row r="272">
      <c r="D272" s="8" t="inlineStr">
        <is>
          <t>証跡（Bằng chứng）</t>
        </is>
      </c>
    </row>
    <row r="273">
      <c r="E273" s="9" t="inlineStr">
        <is>
          <t>
          </t>
        </is>
      </c>
    </row>
    <row r="274">
      <c r="D274" s="8" t="inlineStr">
        <is>
          <t>リセット（Đặt lại）</t>
        </is>
      </c>
    </row>
    <row r="275">
      <c r="E275" s="9" t="inlineStr">
        <is>
          <t>
          </t>
        </is>
      </c>
    </row>
    <row r="276">
      <c r="D276" s="9" t="inlineStr">
        <is>
          <t>
          </t>
        </is>
      </c>
    </row>
    <row r="277">
      <c r="C277" s="9" t="inlineStr">
        <is>
          <t>TC-RS-FUNC-023 — Trích xuất: lọc giữ học sinh có ít nhất một ô đỏ trong phạm vi đang xét</t>
        </is>
      </c>
    </row>
    <row r="278">
      <c r="D278" s="10" t="inlineStr">
        <is>
          <t>Priority: Cao ｜ Status: CONFIRMED ｜ Readiness: UNASSESSED ｜ Requirement ID: tiêu chí nghiệm thu “Lọc khi trích xuất” (AC-G29 «Lọc khi trích xuất»)</t>
        </is>
      </c>
    </row>
    <row r="279">
      <c r="D279" s="8" t="inlineStr">
        <is>
          <t>前提条件（Điều kiện trước）</t>
        </is>
      </c>
    </row>
    <row r="280">
      <c r="E280" s="9" t="inlineStr">
        <is>
          <t>- Điều kiện: Kết quả đã xét: S10 Toán 24 Đỏ và Ngữ văn 20 Đỏ trong cùng phạm vi; S03 Không đỏ ở mọi môn. S10 có thêm ô Toán ở một thời điểm khác, Không đỏ. S06 có mục điểm đơn vị (đơn vị U1 có M riêng 40) U1 = 25 Đỏ, U2 = 35 Không đỏ.
- Dữ liệu test: học sinh S10 (học lớp G-B và G-C), học sinh S03 (điểm 31), học sinh S06 (điểm dự kiến 24), mục điểm đơn vị (đơn vị U1 có M riêng 40), quy tắc “Cố định 30” (dưới 30), cấu hình trích xuất: lọc, ký hiệu “*” phía trước, tô màu, cấu hình trích xuất chỉ ký hiệu (“※” trước, “!” sau)</t>
        </is>
      </c>
    </row>
    <row r="281">
      <c r="D281" s="8" t="inlineStr">
        <is>
          <t>操作（Thao tác）</t>
        </is>
      </c>
    </row>
    <row r="282">
      <c r="E282" s="9" t="inlineStr">
        <is>
          <t>1. Chạy trích xuất với cấu hình trích xuất: lọc, ký hiệu “*” phía trước, tô màu, phạm vi gồm Toán và Ngữ văn.
2. Chạy lại với phạm vi chỉ Ngữ văn.
3. Chạy với cấu hình trích xuất chỉ ký hiệu (“※” trước, “!” sau) (lọc tắt).
4. Với cấu hình trích xuất: lọc, ký hiệu “*” phía trước, tô màu, chọn thời điểm khác thời điểm có ô Toán Đỏ của S10 (ô Toán của thời điểm đó Không đỏ).
5. Với cấu hình trích xuất: lọc, ký hiệu “*” phía trước, tô màu và mục điểm đơn vị (đơn vị U1 có M riêng 40): S06 có U1 Đỏ, U2 Không đỏ; chọn phạm vi chỉ U2.
6. Xóa thành công ô Toán của S10, chạy lại lọc với cả Toán và Ngữ văn.
Phạm vi từng lượt chạy:
- multi-red-scope: Bước 1, S10 có hai ô đỏ trong phạm vi
- one-red-in-scope: Bước 2, S10 chỉ còn Ngữ văn trong phạm vi
- no-red-in-scope: Đối chứng S03 của bước 1, không ô nào đỏ
- filter-off: Bước 3, chỉ ký hiệu và tắt lọc
- another-period-only: Bước 4, ô đỏ nằm ở thời điểm khác
- other-unit-only: Bước 5, chỉ U2 Không đỏ
- after-delete: Bước 6 sau baseline bước 1, xóa Toán nhưng giữ Ngữ văn</t>
        </is>
      </c>
    </row>
    <row r="283">
      <c r="D283" s="8" t="inlineStr">
        <is>
          <t>期待結果（Kết quả mong đợi）</t>
        </is>
      </c>
    </row>
    <row r="284">
      <c r="E284" s="9" t="inlineStr">
        <is>
          <t>1. Bước 1: S10 có trong danh sách, S03 không.
2. Bước 2: S10 vẫn có trong danh sách nhờ Ngữ văn 20 Đỏ; không được loại S10 chỉ vì ô Toán ngoài phạm vi.
3. Bước 3: danh sách không bị lọc theo đỏ (chỉ bật ký hiệu không giới hạn học sinh).
4. Bước 4: S10 không có trong danh sách; ô đỏ ở thời điểm khác không giúp thỏa điều kiện.
5. Bước 5: S06 không có trong danh sách; ô đỏ của U1 ngoài phạm vi đơn vị.
6. S10 vẫn có trong danh sách nhờ Ngữ văn 20 Đỏ; ô Toán đã xóa không còn dấu đỏ.</t>
        </is>
      </c>
    </row>
    <row r="285">
      <c r="D285" s="8" t="inlineStr">
        <is>
          <t>証跡（Bằng chứng）</t>
        </is>
      </c>
    </row>
    <row r="286">
      <c r="E286" s="9" t="inlineStr">
        <is>
          <t>
          </t>
        </is>
      </c>
    </row>
    <row r="287">
      <c r="D287" s="8" t="inlineStr">
        <is>
          <t>リセット（Đặt lại）</t>
        </is>
      </c>
    </row>
    <row r="288">
      <c r="E288" s="9" t="inlineStr">
        <is>
          <t>
          </t>
        </is>
      </c>
    </row>
    <row r="289">
      <c r="D289" s="9" t="inlineStr">
        <is>
          <t>
          </t>
        </is>
      </c>
    </row>
    <row r="290">
      <c r="C290" s="9" t="inlineStr">
        <is>
          <t>TC-RS-FUNC-024 — Trích xuất: chỉ ô đỏ được thêm ký hiệu/tô màu</t>
        </is>
      </c>
    </row>
    <row r="291">
      <c r="D291" s="10" t="inlineStr">
        <is>
          <t>Priority: Cao ｜ Status: CONFIRMED ｜ Readiness: UNASSESSED ｜ Requirement ID: tiêu chí nghiệm thu “Hiển thị ô trích xuất” (AC-G30 «Hiển thị ô trích xuất»)</t>
        </is>
      </c>
    </row>
    <row r="292">
      <c r="D292" s="8" t="inlineStr">
        <is>
          <t>前提条件（Điều kiện trước）</t>
        </is>
      </c>
    </row>
    <row r="293">
      <c r="E293" s="9" t="inlineStr">
        <is>
          <t>- Điều kiện: fixture riêng S10, Toán=24 Đỏ và Ngữ văn=70 Không đỏ; ngưỡng cố định 30, dấu nhỏ hơn, M=100 ở cả hai mục. Không kế thừa Ngữ văn=20 của FUNC-023.
- Dữ liệu test: học sinh S10 (học lớp G-B và G-C), cấu hình trích xuất: lọc, ký hiệu “*” phía trước, tô màu, cấu hình trích xuất chỉ ký hiệu (“※” trước, “!” sau)</t>
        </is>
      </c>
    </row>
    <row r="294">
      <c r="D294" s="8" t="inlineStr">
        <is>
          <t>操作（Thao tác）</t>
        </is>
      </c>
    </row>
    <row r="295">
      <c r="E295" s="9" t="inlineStr">
        <is>
          <t>1. Chạy trích xuất cấu hình trích xuất: lọc, ký hiệu “*” phía trước, tô màu, xem dòng S10.
2. Chạy cấu hình trích xuất chỉ ký hiệu (“※” trước, “!” sau), xem dòng S10.
Phạm vi từng lượt chạy:
- prefix-color: Ký hiệu trước và màu
- prefix-suffix: Ký hiệu trước và sau</t>
        </is>
      </c>
    </row>
    <row r="296">
      <c r="D296" s="8" t="inlineStr">
        <is>
          <t>期待結果（Kết quả mong đợi）</t>
        </is>
      </c>
    </row>
    <row r="297">
      <c r="E297" s="9" t="inlineStr">
        <is>
          <t>1. cấu hình trích xuất: lọc, ký hiệu “*” phía trước, tô màu: ô Toán hiện `*24` với nền màu Đỏ（赤） của bảng màu; ô Ngữ văn `70` không ký hiệu, không màu; không tô cả dòng.
2. cấu hình trích xuất chỉ ký hiệu (“※” trước, “!” sau): ô Toán `※24!`; ô Ngữ văn `70`.</t>
        </is>
      </c>
    </row>
    <row r="298">
      <c r="D298" s="8" t="inlineStr">
        <is>
          <t>証跡（Bằng chứng）</t>
        </is>
      </c>
    </row>
    <row r="299">
      <c r="E299" s="9" t="inlineStr">
        <is>
          <t>
          </t>
        </is>
      </c>
    </row>
    <row r="300">
      <c r="D300" s="8" t="inlineStr">
        <is>
          <t>リセット（Đặt lại）</t>
        </is>
      </c>
    </row>
    <row r="301">
      <c r="E301" s="9" t="inlineStr">
        <is>
          <t>
          </t>
        </is>
      </c>
    </row>
    <row r="302">
      <c r="D302" s="9" t="inlineStr">
        <is>
          <t>
          </t>
        </is>
      </c>
    </row>
    <row r="303">
      <c r="C303" s="9" t="inlineStr">
        <is>
          <t>TC-RS-FUNC-025 — Trích xuất: file Excel khớp màn hình</t>
        </is>
      </c>
    </row>
    <row r="304">
      <c r="D304" s="10" t="inlineStr">
        <is>
          <t>Priority: Cao ｜ Status: CONFIRMED ｜ Readiness: UNASSESSED ｜ Requirement ID: tiêu chí nghiệm thu “Excel khớp và dùng kết luận server” (AC-G31 «Excel khớp và dùng kết luận server»)</t>
        </is>
      </c>
    </row>
    <row r="305">
      <c r="D305" s="8" t="inlineStr">
        <is>
          <t>前提条件（Điều kiện trước）</t>
        </is>
      </c>
    </row>
    <row r="306">
      <c r="E306" s="9" t="inlineStr">
        <is>
          <t>- Điều kiện: Như case “Trích xuất: chỉ ô đỏ được thêm ký hiệu/tô màu”; S05 có ô trống.
- Dữ liệu test: cấu hình trích xuất: lọc, ký hiệu “*” phía trước, tô màu, cấu hình trích xuất chỉ ký hiệu (“※” trước, “!” sau), học sinh S05 (ô trống), học sinh S10 (học lớp G-B và G-C)</t>
        </is>
      </c>
    </row>
    <row r="307">
      <c r="D307" s="8" t="inlineStr">
        <is>
          <t>操作（Thao tác）</t>
        </is>
      </c>
    </row>
    <row r="308">
      <c r="E308" s="9" t="inlineStr">
        <is>
          <t>1. Chạy trích xuất, chụp màn kết quả.
2. Xuất Excel, mở file.
3. Lặp bước 1–2 với: (a) cấu hình trích xuất chỉ ký hiệu (“※” trước, “!” sau) (lọc đỏ TẮT); (b) phạm vi không có ô đỏ nào (0 kết quả); (c) sau khi một ô Đỏ bị ngừng kết quả cũ (như case “Chưa có kết quả tổng hợp → Chưa xét được, không thay bằng 0 hay nhóm khác”, Chưa xét được); (d) mục có điểm bị ẩn theo thiết lập ẩn mục nhập (như case “Mục bị ẩn theo thiết lập ẩn mục nhập”).
Phạm vi từng lượt chạy:
- filter-on: Lượt ban đầu bật lọc
- filter-off: Nhánh a tắt lọc
- empty: Nhánh b không có ô đỏ
- stale: Nhánh c kết quả không còn hiệu lực
- hidden: Nhánh d điểm ẩn</t>
        </is>
      </c>
    </row>
    <row r="309">
      <c r="D309" s="8" t="inlineStr">
        <is>
          <t>期待結果（Kết quả mong đợi）</t>
        </is>
      </c>
    </row>
    <row r="310">
      <c r="E310" s="9" t="inlineStr">
        <is>
          <t>1–2. Danh sách học sinh trong Excel giống màn hình (lọc đỏ đang bật). Cùng ô: ký hiệu, màu nền, số liệu, ô trống trong Excel giống màn hình. Ô trống không hiện số 0. Tải Excel không kích hoạt xét.
3. Mỗi biến thể: file Excel khớp màn hình cùng lần — (a) đủ học sinh, chỉ ô đỏ có ký hiệu/màu; (b) Excel không có học sinh giống màn hình; (c) ô bị ngừng kết quả cũ không còn ký hiệu/màu; (d) điểm ẩn không hiện lại trong Excel.</t>
        </is>
      </c>
    </row>
    <row r="311">
      <c r="D311" s="8" t="inlineStr">
        <is>
          <t>証跡（Bằng chứng）</t>
        </is>
      </c>
    </row>
    <row r="312">
      <c r="E312" s="9" t="inlineStr">
        <is>
          <t>
          </t>
        </is>
      </c>
    </row>
    <row r="313">
      <c r="D313" s="8" t="inlineStr">
        <is>
          <t>リセット（Đặt lại）</t>
        </is>
      </c>
    </row>
    <row r="314">
      <c r="E314" s="9" t="inlineStr">
        <is>
          <t>
          </t>
        </is>
      </c>
    </row>
    <row r="315">
      <c r="D315" s="9" t="inlineStr">
        <is>
          <t>
          </t>
        </is>
      </c>
    </row>
    <row r="316">
      <c r="C316" s="9" t="inlineStr">
        <is>
          <t>TC-RS-FUNC-026 — Công khai thành tích（成績公開）: ba hiệu ứng đỏ hiển thị đúng ở màn học sinh</t>
        </is>
      </c>
    </row>
    <row r="317">
      <c r="D317" s="10" t="inlineStr">
        <is>
          <t>Priority: Cao ｜ Status: CONFIRMED ｜ Readiness: UNASSESSED ｜ Requirement ID: tiêu chí nghiệm thu “Cấu hình công khai và ẩn điểm” (AC-G32 «Cấu hình công khai và ẩn điểm»)</t>
        </is>
      </c>
    </row>
    <row r="318">
      <c r="D318" s="8" t="inlineStr">
        <is>
          <t>前提条件（Điều kiện trước）</t>
        </is>
      </c>
    </row>
    <row r="319">
      <c r="E319" s="9" t="inlineStr">
        <is>
          <t>- Điều kiện: S01 Đỏ (29), không phải điểm dự kiến. Lịch công khai đang mở.
- Dữ liệu test: mục số nguyên (M=100); mục điểm đơn vị (đơn vị U1 có M riêng 40); học sinh S01 (điểm 29), học sinh S06 (điểm dự kiến 24), tài khoản học sinh S01, tài khoản phụ trách đầu ra (trích xuất, công khai, phiếu điểm)</t>
        </is>
      </c>
    </row>
    <row r="320">
      <c r="D320" s="8" t="inlineStr">
        <is>
          <t>操作（Thao tác）</t>
        </is>
      </c>
    </row>
    <row r="321">
      <c r="E321" s="9" t="inlineStr">
        <is>
          <t>1. Ở Thiết lập công khai thành tích（成績公開設定）, mục mục số nguyên (M=100), chọn hiệu ứng đỏ Ngoặc（括弧）, lưu. Đăng nhập S01 xem Xác nhận thành tích（成績確認）.
2. Lặp với `*` phía trước.
3. Lặp với `*` phía sau.
4. Mở lại Thiết lập công khai thành tích.
5. Với mục điểm đơn vị mục điểm đơn vị (đơn vị U1 có M riêng 40) (S06 U1 = 25 Đỏ), chọn `*` phía trước, lưu; đăng nhập S06 xem.
Phạm vi từng lượt chạy:
- parentheses: Hiệu ứng ngoặc
- prefix: Hiệu ứng phía trước
- suffix-reopen: Hiệu ứng phía sau và mở lại
- unit-prefix: Điểm đơn vị với hiệu ứng phía trước</t>
        </is>
      </c>
    </row>
    <row r="322">
      <c r="D322" s="8" t="inlineStr">
        <is>
          <t>期待結果（Kết quả mong đợi）</t>
        </is>
      </c>
    </row>
    <row r="323">
      <c r="E323" s="9" t="inlineStr">
        <is>
          <t>1–3. Lần lượt `(29)`, `*29`, `29*`. Không có nền màu riêng cho ô đỏ.
4. Hiệu ứng đã lưu gần nhất (`*` phía sau) được chọn sẵn.
5. Ô U1 hiện `*25`; ô U2 không ký hiệu.</t>
        </is>
      </c>
    </row>
    <row r="324">
      <c r="D324" s="8" t="inlineStr">
        <is>
          <t>証跡（Bằng chứng）</t>
        </is>
      </c>
    </row>
    <row r="325">
      <c r="E325" s="9" t="inlineStr">
        <is>
          <t>
          </t>
        </is>
      </c>
    </row>
    <row r="326">
      <c r="D326" s="8" t="inlineStr">
        <is>
          <t>リセット（Đặt lại）</t>
        </is>
      </c>
    </row>
    <row r="327">
      <c r="E327" s="9" t="inlineStr">
        <is>
          <t>
          </t>
        </is>
      </c>
    </row>
    <row r="328">
      <c r="D328" s="9" t="inlineStr">
        <is>
          <t>
          </t>
        </is>
      </c>
    </row>
    <row r="329">
      <c r="C329" s="9" t="inlineStr">
        <is>
          <t>TC-RS-FUNC-027 — Công khai: kết hợp hiệu ứng Điểm dự kiến（見込点） và điểm đỏ, khử trùng</t>
        </is>
      </c>
    </row>
    <row r="330">
      <c r="D330" s="10" t="inlineStr">
        <is>
          <t>Priority: Cao ｜ Status: CONFIRMED ｜ Readiness: UNASSESSED ｜ Requirement ID: tiêu chí nghiệm thu “Kết hợp hiệu ứng công khai” (AC-G33 «Kết hợp hiệu ứng công khai»)</t>
        </is>
      </c>
    </row>
    <row r="331">
      <c r="D331" s="8" t="inlineStr">
        <is>
          <t>前提条件（Điều kiện trước）</t>
        </is>
      </c>
    </row>
    <row r="332">
      <c r="E332" s="9" t="inlineStr">
        <is>
          <t>- Điều kiện: S06 = 24, vừa là Điểm dự kiến（見込点） vừa Đỏ.
- Dữ liệu test: học sinh S06 (điểm dự kiến 24), tài khoản học sinh S06; fixture quyền phải map đúng học sinh S06, không dùng tài khoản S01 để xem dữ liệu S06.</t>
        </is>
      </c>
    </row>
    <row r="333">
      <c r="D333" s="8" t="inlineStr">
        <is>
          <t>操作（Thao tác）</t>
        </is>
      </c>
    </row>
    <row r="334">
      <c r="E334" s="9" t="inlineStr">
        <is>
          <t>Với mỗi dòng của bảng dưới, cấu hình hiệu ứng dự kiến và hiệu ứng đỏ, lưu, xem màn học sinh của S06.
(a) Ngoặc + `*` trước; (b) `*` trước + `*` trước; (c) Ngoặc + Ngoặc; (d) `*` trước + `*` sau; (e) không trang trí + Ngoặc; (f) điểm bị ẩn theo thiết lập hiện có（表示しない） + `*` trước.
Phạm vi từng lượt chạy:
- a: Thực hiện tổ hợp (a)
- b: Thực hiện tổ hợp (b)
- c: Thực hiện tổ hợp (c)
- d: Thực hiện tổ hợp (d)
- e: Thực hiện tổ hợp (e)
- f: Thực hiện tổ hợp (f)</t>
        </is>
      </c>
    </row>
    <row r="335">
      <c r="D335" s="8" t="inlineStr">
        <is>
          <t>期待結果（Kết quả mong đợi）</t>
        </is>
      </c>
    </row>
    <row r="336">
      <c r="E336" s="9" t="inlineStr">
        <is>
          <t>(a) `(*24)`; (b) `*24`, không phải `**24`; (c) `(24)`, không phải `((24))`; (d) `*24*`; (e) `(24)`; (f) vẫn ẩn, không hiện số, không để lại riêng dấu `*`.</t>
        </is>
      </c>
    </row>
    <row r="337">
      <c r="D337" s="8" t="inlineStr">
        <is>
          <t>証跡（Bằng chứng）</t>
        </is>
      </c>
    </row>
    <row r="338">
      <c r="E338" s="9" t="inlineStr">
        <is>
          <t>
          </t>
        </is>
      </c>
    </row>
    <row r="339">
      <c r="D339" s="8" t="inlineStr">
        <is>
          <t>リセット（Đặt lại）</t>
        </is>
      </c>
    </row>
    <row r="340">
      <c r="E340" s="9" t="inlineStr">
        <is>
          <t>
          </t>
        </is>
      </c>
    </row>
    <row r="341">
      <c r="D341" s="9" t="inlineStr">
        <is>
          <t>
          </t>
        </is>
      </c>
    </row>
    <row r="342">
      <c r="C342" s="9" t="inlineStr">
        <is>
          <t>TC-RS-FUNC-028 — Công khai: web, API và PDF học sinh dùng cùng kết quả và cùng hiệu ứng</t>
        </is>
      </c>
    </row>
    <row r="343">
      <c r="D343" s="10" t="inlineStr">
        <is>
          <t>Priority: Cao ｜ Status: CONFIRMED ｜ Readiness: UNASSESSED ｜ Requirement ID: tiêu chí nghiệm thu “Đúng người, lịch và đầu ra công khai” (AC-G34 «Đúng người, lịch và đầu ra công khai»)</t>
        </is>
      </c>
    </row>
    <row r="344">
      <c r="D344" s="8" t="inlineStr">
        <is>
          <t>前提条件（Điều kiện trước）</t>
        </is>
      </c>
    </row>
    <row r="345">
      <c r="E345" s="9" t="inlineStr">
        <is>
          <t>- Điều kiện: Như case “Công khai thành tích（成績公開）: ba hiệu ứng đỏ hiển thị đúng ở màn học sinh” với hiệu ứng `*` trước.
- Dữ liệu test: học sinh S01 (điểm 29), tài khoản học sinh S01</t>
        </is>
      </c>
    </row>
    <row r="346">
      <c r="D346" s="8" t="inlineStr">
        <is>
          <t>操作（Thao tác）</t>
        </is>
      </c>
    </row>
    <row r="347">
      <c r="E347" s="9" t="inlineStr">
        <is>
          <t>1. Xem màn web Xác nhận thành tích（成績確認） của S01.
2. Gọi API công khai thành tích của S01 bằng phiên học sinh.
3. Tải PDF công khai của S01.
Phạm vi từng lượt chạy:
- web: Màn web
- api: Response API
- pdf: File PDF</t>
        </is>
      </c>
    </row>
    <row r="348">
      <c r="D348" s="8" t="inlineStr">
        <is>
          <t>期待結果（Kết quả mong đợi）</t>
        </is>
      </c>
    </row>
    <row r="349">
      <c r="E349" s="9" t="inlineStr">
        <is>
          <t>Cả ba hiển thị `*29` cho cùng ô; không nền màu.</t>
        </is>
      </c>
    </row>
    <row r="350">
      <c r="D350" s="8" t="inlineStr">
        <is>
          <t>証跡（Bằng chứng）</t>
        </is>
      </c>
    </row>
    <row r="351">
      <c r="E351" s="9" t="inlineStr">
        <is>
          <t>
          </t>
        </is>
      </c>
    </row>
    <row r="352">
      <c r="D352" s="8" t="inlineStr">
        <is>
          <t>リセット（Đặt lại）</t>
        </is>
      </c>
    </row>
    <row r="353">
      <c r="E353" s="9" t="inlineStr">
        <is>
          <t>
          </t>
        </is>
      </c>
    </row>
    <row r="354">
      <c r="D354" s="9" t="inlineStr">
        <is>
          <t>
          </t>
        </is>
      </c>
    </row>
    <row r="355">
      <c r="C355" s="9" t="inlineStr">
        <is>
          <t>TC-RS-FUNC-029 — Công cụ phiếu điểm（通知表ツール）: bốn cách hiển thị đỏ trên PDF</t>
        </is>
      </c>
    </row>
    <row r="356">
      <c r="D356" s="10" t="inlineStr">
        <is>
          <t>Priority: Cao ｜ Status: CONFIRMED ｜ Readiness: UNASSESSED ｜ Requirement ID: tiêu chí nghiệm thu “Tùy chọn trên phiếu” (AC-G35 «Tùy chọn trên phiếu»)</t>
        </is>
      </c>
    </row>
    <row r="357">
      <c r="D357" s="8" t="inlineStr">
        <is>
          <t>前提条件（Điều kiện trước）</t>
        </is>
      </c>
    </row>
    <row r="358">
      <c r="E358" s="9" t="inlineStr">
        <is>
          <t>- Điều kiện: S01 Đỏ (29), không điểm dự kiến, không cờ nào. Các dòng khác của hộp tùy chọn chọn Nguyên trạng（そのまま表示）.
- Dữ liệu test: học sinh S01 (điểm 29), cấu hình phiếu điểm: ký tự “※” phía trước, tài khoản phụ trách đầu ra (trích xuất, công khai, phiếu điểm)</t>
        </is>
      </c>
    </row>
    <row r="359">
      <c r="D359" s="8" t="inlineStr">
        <is>
          <t>操作（Thao tác）</t>
        </is>
      </c>
    </row>
    <row r="360">
      <c r="E360" s="9" t="inlineStr">
        <is>
          <t>Với từng cách hiển thị: chọn ở dòng Thiết lập điểm đỏ（赤点設定）, đóng hộp, bấm Cập nhật（更新する）, xuất PDF phiếu của S01.
(a) Nguyên trạng（そのまま表示）; (b) Kèm ngoặc（カッコ付き）; (c) Ký tự phía trước（前に任意の文字） `※`; (d) Ký tự phía sau（後ろに任意の文字） `※`.
Phạm vi từng lượt chạy:
- unchanged: Nguyên trạng
- parentheses: Kèm ngoặc
- prefix: Ký tự phía trước
- suffix: Ký tự phía sau</t>
        </is>
      </c>
    </row>
    <row r="361">
      <c r="D361" s="8" t="inlineStr">
        <is>
          <t>期待結果（Kết quả mong đợi）</t>
        </is>
      </c>
    </row>
    <row r="362">
      <c r="E362" s="9" t="inlineStr">
        <is>
          <t>(a) `29`; (b) `(29)`; (c) `※29`; (d) `29※`. Không nền màu; ký tự không tràn ô, không mất ký tự, không đổi cấu trúc template.</t>
        </is>
      </c>
    </row>
    <row r="363">
      <c r="D363" s="8" t="inlineStr">
        <is>
          <t>証跡（Bằng chứng）</t>
        </is>
      </c>
    </row>
    <row r="364">
      <c r="E364" s="9" t="inlineStr">
        <is>
          <t>
          </t>
        </is>
      </c>
    </row>
    <row r="365">
      <c r="D365" s="8" t="inlineStr">
        <is>
          <t>リセット（Đặt lại）</t>
        </is>
      </c>
    </row>
    <row r="366">
      <c r="E366" s="9" t="inlineStr">
        <is>
          <t>
          </t>
        </is>
      </c>
    </row>
    <row r="367">
      <c r="D367" s="9" t="inlineStr">
        <is>
          <t>
          </t>
        </is>
      </c>
    </row>
    <row r="368">
      <c r="C368" s="9" t="inlineStr">
        <is>
          <t>TC-RS-FUNC-030 — Phiếu điểm: thứ tự điều kiện và dừng ở điều kiện khớp đầu tiên</t>
        </is>
      </c>
    </row>
    <row r="369">
      <c r="D369" s="10" t="inlineStr">
        <is>
          <t>Priority: Cao ｜ Status: CONFIRMED ｜ Readiness: UNASSESSED ｜ Requirement ID: tiêu chí nghiệm thu “Phiếu dừng ở điều kiện khớp đầu tiên” (AC-G36 «Phiếu dừng ở điều kiện khớp đầu tiên»)</t>
        </is>
      </c>
    </row>
    <row r="370">
      <c r="D370" s="8" t="inlineStr">
        <is>
          <t>前提条件（Điều kiện trước）</t>
        </is>
      </c>
    </row>
    <row r="371">
      <c r="E371" s="9" t="inlineStr">
        <is>
          <t>- Điều kiện: S06 = 24 vừa dự kiến vừa Đỏ; S01 = 29 Đỏ, không cờ; S05 ô trống, trước đó từng Đỏ.
- Dữ liệu test: học sinh S06 (điểm dự kiến 24), học sinh S01 (điểm 29), học sinh S05 (ô trống), cấu hình phiếu điểm: ký tự “※” phía trước</t>
        </is>
      </c>
    </row>
    <row r="372">
      <c r="D372" s="8" t="inlineStr">
        <is>
          <t>操作（Thao tác）</t>
        </is>
      </c>
    </row>
    <row r="373">
      <c r="E373" s="9" t="inlineStr">
        <is>
          <t>Cấu hình hộp tùy chọn theo từng dòng, bấm Cập nhật（更新する）, xuất PDF.
(a) Dự kiến = Kèm ngoặc; đỏ = `※` trước → xem S06.
(b) Dự kiến = Nguyên trạng; đỏ = `※` trước → xem S06.
(c) Dự kiến = Ẩn（表示しない） hoặc Gạch chéo（斜線）; đỏ = `※` trước → xem S06.
(d) Không điều kiện phía trên khớp; đỏ = `※` trước → xem S01.
(e) Ô trống（空欄の場合）= Kèm ngoặc; đỏ = `※` trước → xem S05.
(f) Trường hợp môn cụ thể（特定の科目の場合） = Toán, Kèm ngoặc; đỏ = `※` trước → xem S01 (Toán, Đỏ).
(g) Tạm gắn thêm cờ Chưa dự thi（未受験） cho S06; Dự kiến = Nguyên trạng, Chưa dự thi = Ẩn（表示しない）; đỏ = `※` trước → xem S06.
Phạm vi từng lượt chạy:
- a: Tổ hợp a
- b: Tổ hợp b
- c-hidden: Tổ hợp c với Ẩn
- c-slash: Tổ hợp c với Gạch chéo
- d: Tổ hợp d
- e: Tổ hợp e
- f: Tổ hợp f
- g: Tổ hợp g</t>
        </is>
      </c>
    </row>
    <row r="374">
      <c r="D374" s="8" t="inlineStr">
        <is>
          <t>期待結果（Kết quả mong đợi）</t>
        </is>
      </c>
    </row>
    <row r="375">
      <c r="E375" s="9" t="inlineStr">
        <is>
          <t>(a) `(24)`, không thêm `※`; (b) `24`, không chuyển xuống điều kiện đỏ; (c) giữ ẩn/gạch chéo, đỏ không làm hiện lại điểm; (d) `※29`; (e) không áp dấu đỏ của kết quả cũ; ô trống hiển thị theo cấu hình ô trống; (f) `(29)`, điều kiện môn cụ thể thắng, không thêm `※`; (g) `24`: Nguyên trạng ở dòng dự kiến dừng xét, không áp lệnh Ẩn của dòng chưa dự thi phía sau.</t>
        </is>
      </c>
    </row>
    <row r="376">
      <c r="D376" s="8" t="inlineStr">
        <is>
          <t>証跡（Bằng chứng）</t>
        </is>
      </c>
    </row>
    <row r="377">
      <c r="E377" s="9" t="inlineStr">
        <is>
          <t>
          </t>
        </is>
      </c>
    </row>
    <row r="378">
      <c r="D378" s="8" t="inlineStr">
        <is>
          <t>リセット（Đặt lại）</t>
        </is>
      </c>
    </row>
    <row r="379">
      <c r="E379" s="9" t="inlineStr">
        <is>
          <t>
          </t>
        </is>
      </c>
    </row>
    <row r="380">
      <c r="D380" s="9" t="inlineStr">
        <is>
          <t>
          </t>
        </is>
      </c>
    </row>
    <row r="381">
      <c r="C381" s="9" t="inlineStr">
        <is>
          <t>TC-RS-FUNC-031 — Phiếu điểm: lưu qua Cập nhật（更新する）, mở lại giữ lựa chọn; chỉ dùng điều kiện đỏ vẫn được ghi nhận</t>
        </is>
      </c>
    </row>
    <row r="382">
      <c r="D382" s="10" t="inlineStr">
        <is>
          <t>Priority: Cao ｜ Status: CONFIRMED ｜ Readiness: UNASSESSED ｜ Requirement ID: tiêu chí nghiệm thu “Lưu, sao chép và PDF phiếu” (AC-G37 «Lưu, sao chép và PDF phiếu»)</t>
        </is>
      </c>
    </row>
    <row r="383">
      <c r="D383" s="8" t="inlineStr">
        <is>
          <t>前提条件（Điều kiện trước）</t>
        </is>
      </c>
    </row>
    <row r="384">
      <c r="E384" s="9" t="inlineStr">
        <is>
          <t>- Điều kiện: Bảng điểm（成績表） chưa dùng điều kiện nào (Thiết lập điều kiện hiển thị（表示条件を設定）= Không thiết lập（設定しない）).
- Dữ liệu test: cấu hình phiếu điểm: ký tự “※” phía trước</t>
        </is>
      </c>
    </row>
    <row r="385">
      <c r="D385" s="8" t="inlineStr">
        <is>
          <t>操作（Thao tác）</t>
        </is>
      </c>
    </row>
    <row r="386">
      <c r="E386" s="9" t="inlineStr">
        <is>
          <t>1. Mở hộp tùy chọn, chọn Thiết lập（設定する）, chỉ chọn dòng đỏ = `※` trước, các dòng khác Nguyên trạng. Đóng hộp, **không** bấm Cập nhật; tải lại trang.
2. Lặp lại, lần này bấm Cập nhật（更新する）; tải lại, mở hộp.
3. Xuất PDF.
Phạm vi từng lượt chạy:
- unsaved: Bước 1 không cập nhật
- saved-pdf: Bước 2–3 lưu, mở lại và PDF</t>
        </is>
      </c>
    </row>
    <row r="387">
      <c r="D387" s="8" t="inlineStr">
        <is>
          <t>期待結果（Kết quả mong đợi）</t>
        </is>
      </c>
    </row>
    <row r="388">
      <c r="E388" s="9" t="inlineStr">
        <is>
          <t>1. Không bấm Cập nhật: thay đổi không được lưu (hành vi hiện có).
2. Có bấm Cập nhật: mở lại thấy dòng đỏ = `※` trước; bảng được ghi nhận là có dùng điều kiện dù chỉ điều kiện đỏ được chọn.
3. PDF áp dụng điều kiện đỏ.</t>
        </is>
      </c>
    </row>
    <row r="389">
      <c r="D389" s="8" t="inlineStr">
        <is>
          <t>証跡（Bằng chứng）</t>
        </is>
      </c>
    </row>
    <row r="390">
      <c r="E390" s="9" t="inlineStr">
        <is>
          <t>
          </t>
        </is>
      </c>
    </row>
    <row r="391">
      <c r="D391" s="8" t="inlineStr">
        <is>
          <t>リセット（Đặt lại）</t>
        </is>
      </c>
    </row>
    <row r="392">
      <c r="E392" s="9" t="inlineStr">
        <is>
          <t>
          </t>
        </is>
      </c>
    </row>
    <row r="393">
      <c r="D393" s="9" t="inlineStr">
        <is>
          <t>
          </t>
        </is>
      </c>
    </row>
    <row r="394">
      <c r="C394" s="9" t="inlineStr">
        <is>
          <t>TC-RS-FUNC-032 — Ba đầu ra dùng cùng kết quả cho cùng ô</t>
        </is>
      </c>
    </row>
    <row r="395">
      <c r="D395" s="10" t="inlineStr">
        <is>
          <t>Priority: Cao ｜ Status: CONFIRMED ｜ Readiness: UNASSESSED ｜ Requirement ID: tiêu chí nghiệm thu “Kết quả chung và thứ tự cập nhật” (AC-G22 «Kết quả chung và thứ tự cập nhật»)</t>
        </is>
      </c>
    </row>
    <row r="396">
      <c r="D396" s="8" t="inlineStr">
        <is>
          <t>前提条件（Điều kiện trước）</t>
        </is>
      </c>
    </row>
    <row r="397">
      <c r="E397" s="9" t="inlineStr">
        <is>
          <t>- Điều kiện: cùng một lượt xét đã lưu kết quả S01 Đỏ, S03 Không đỏ, S05 Không có điểm; actor có quyền xem trích xuất, công khai và phiếu điểm.
- Dữ liệu test: S01 `S=29`, S03 `S=31`, S05 ô trống; cấu hình trích xuất lọc + “*” + tô màu; công khai “*”; phiếu điểm “※”.</t>
        </is>
      </c>
    </row>
    <row r="398">
      <c r="D398" s="8" t="inlineStr">
        <is>
          <t>操作（Thao tác）</t>
        </is>
      </c>
    </row>
    <row r="399">
      <c r="E399" s="9" t="inlineStr">
        <is>
          <t>1. Chạy một lượt đối chứng không lọc để S01, S03 và S05 đều có mặt; lưu file Excel làm baseline.
2. Chạy lại trích xuất với lọc bật và lưu file Excel trước/sau khi xem lại.
3. Mở màn học sinh công khai của cùng kỳ và cùng lượt xét.
4. Xuất PDF phiếu điểm của cùng học sinh/kỳ.
5. Đối chiếu ba output với kết quả đã lưu, không chỉ đối chiếu giao diện; không loại S03/S05 khỏi fixture trước khi kiểm tra.
Phạm vi từng lượt chạy:
- extract-off: Bước 1 và 5, không lọc
- extract-on: Bước 2 và 5, bật lọc
- publish: Bước 3 và 5
- report: Bước 4 và 5</t>
        </is>
      </c>
    </row>
    <row r="400">
      <c r="D400" s="8" t="inlineStr">
        <is>
          <t>期待結果（Kết quả mong đợi）</t>
        </is>
      </c>
    </row>
    <row r="401">
      <c r="E401" s="9" t="inlineStr">
        <is>
          <t>Cả ba đầu ra đều dùng cùng kết quả đã lưu: S01 có dấu đỏ theo cấu hình riêng của từng output; S03 không có dấu đỏ; S05 không bị coi là điểm 0 và không có dấu đỏ. Excel phải giữ nguyên dữ liệu; màn công khai và PDF không được tự chọn lại rule hoặc tính lại ngưỡng. Nếu chạy lại sau khi chỉ xem/xuất, kết quả và bằng chứng phải không đổi.</t>
        </is>
      </c>
    </row>
    <row r="402">
      <c r="D402" s="8" t="inlineStr">
        <is>
          <t>証跡（Bằng chứng）</t>
        </is>
      </c>
    </row>
    <row r="403">
      <c r="E403" s="9" t="inlineStr">
        <is>
          <t>
          </t>
        </is>
      </c>
    </row>
    <row r="404">
      <c r="D404" s="8" t="inlineStr">
        <is>
          <t>リセット（Đặt lại）</t>
        </is>
      </c>
    </row>
    <row r="405">
      <c r="E405" s="9" t="inlineStr">
        <is>
          <t>
          </t>
        </is>
      </c>
    </row>
    <row r="406">
      <c r="D406" s="9" t="inlineStr">
        <is>
          <t>
          </t>
        </is>
      </c>
    </row>
    <row r="407">
      <c r="C407" s="9" t="inlineStr">
        <is>
          <t>TC-RS-FUNC-033 — Đổi tên quy tắc: giữ liên kết, thứ tự và kết quả</t>
        </is>
      </c>
    </row>
    <row r="408">
      <c r="D408" s="10" t="inlineStr">
        <is>
          <t>Priority: Cao ｜ Status: CONFIRMED ｜ Readiness: UNASSESSED ｜ Requirement ID: tiêu chí nghiệm thu “Lưu và mở lại nhiều thiết lập” (AC-G04 «Lưu và mở lại nhiều thiết lập»)</t>
        </is>
      </c>
    </row>
    <row r="409">
      <c r="D409" s="8" t="inlineStr">
        <is>
          <t>前提条件（Điều kiện trước）</t>
        </is>
      </c>
    </row>
    <row r="410">
      <c r="E410" s="9" t="inlineStr">
        <is>
          <t>- Điều kiện: quy tắc “Cố định 30” (dưới 30) đã xét: S01 Đỏ.
- Dữ liệu test: quy tắc “Cố định 30” (dưới 30), học sinh S01 (điểm 29)</t>
        </is>
      </c>
    </row>
    <row r="411">
      <c r="D411" s="8" t="inlineStr">
        <is>
          <t>操作（Thao tác）</t>
        </is>
      </c>
    </row>
    <row r="412">
      <c r="E412" s="9" t="inlineStr">
        <is>
          <t>1. Đổi tên quy tắc “Cố định 30” (dưới 30) từ "Cố định 30" thành "Ngưỡng học kỳ 1", Lưu.
2. Xem danh sách và ba đầu ra.
3. Chạy lại bằng đăng ký điểm S01=29.
Phạm vi từng lượt chạy:
- Base: Toàn bộ thủ tục theo đúng thứ tự; các đối chứng cùng fixture được kiểm trong cùng lượt, không bỏ bước</t>
        </is>
      </c>
    </row>
    <row r="413">
      <c r="D413" s="8" t="inlineStr">
        <is>
          <t>期待結果（Kết quả mong đợi）</t>
        </is>
      </c>
    </row>
    <row r="414">
      <c r="E414" s="9" t="inlineStr">
        <is>
          <t>1–2. Danh sách hiện tên mới ở cùng vị trí ưu tiên, tóm tắt không đổi; S01 vẫn Đỏ ở ba đầu ra.
3. S01 Đỏ; quy tắc được chọn vẫn là quy tắc đã đổi tên (không tạo quy tắc mới, không mất liên kết).</t>
        </is>
      </c>
    </row>
    <row r="415">
      <c r="D415" s="8" t="inlineStr">
        <is>
          <t>証跡（Bằng chứng）</t>
        </is>
      </c>
    </row>
    <row r="416">
      <c r="E416" s="9" t="inlineStr">
        <is>
          <t>
          </t>
        </is>
      </c>
    </row>
    <row r="417">
      <c r="D417" s="8" t="inlineStr">
        <is>
          <t>リセット（Đặt lại）</t>
        </is>
      </c>
    </row>
    <row r="418">
      <c r="E418" s="9" t="inlineStr">
        <is>
          <t>
          </t>
        </is>
      </c>
    </row>
    <row r="419">
      <c r="D419" s="9" t="inlineStr">
        <is>
          <t>
          </t>
        </is>
      </c>
    </row>
    <row r="420">
      <c r="C420" s="9" t="inlineStr">
        <is>
          <t>TC-RS-FUNC-034 — Nguồn của điều kiện áp dụng và nguồn của công thức lưu độc lập</t>
        </is>
      </c>
    </row>
    <row r="421">
      <c r="D421" s="10" t="inlineStr">
        <is>
          <t>Priority: Cao ｜ Status: CONFIRMED ｜ Readiness: UNASSESSED ｜ Requirement ID: tiêu chí nghiệm thu “Đúng phạm vi tham chiếu” (AC-G12 «Đúng phạm vi tham chiếu»)</t>
        </is>
      </c>
    </row>
    <row r="422">
      <c r="D422" s="8" t="inlineStr">
        <is>
          <t>前提条件（Điều kiện trước）</t>
        </is>
      </c>
    </row>
    <row r="423">
      <c r="E423" s="9" t="inlineStr">
        <is>
          <t>- Điều kiện: Ba nguồn cùng Thiết lập tổng hợp thứ hạng（順位集計設定） và nhóm ホームルーム (lớp chủ nhiệm), khác Thời kỳ tổng hợp（集計対象時期）: P `A=60`; P2 `A=70`; Q `A=40`.
- Dữ liệu test: Quy tắc: điều kiện Trung bình（平均点） `≥50` dùng nguồn P; ngưỡng Công thức（計算式） `A×0.5` dùng nguồn Q; `&lt;`. S = 25</t>
        </is>
      </c>
    </row>
    <row r="424">
      <c r="D424" s="8" t="inlineStr">
        <is>
          <t>操作（Thao tác）</t>
        </is>
      </c>
    </row>
    <row r="425">
      <c r="E425" s="9" t="inlineStr">
        <is>
          <t>1. Lưu quy tắc, mở lại.
2. Chỉ đổi nguồn của điều kiện từ P sang P2, Lưu, mở lại.
3. Chạy nút cam.
4. Trên form, đổi Thời kỳ tổng hợp（集計対象時期） của nguồn điều kiện sang kỳ mà Thiết lập tổng hợp thứ hạng（順位集計設定） đang chọn vẫn hợp lệ; rồi đổi sang kỳ mà thiết lập đó không còn hợp lệ. Xem các ô chọn phụ thuộc sau mỗi lần đổi.
Phạm vi từng lượt chạy:
- Base: Toàn bộ thủ tục theo đúng thứ tự; các đối chứng cùng fixture được kiểm trong cùng lượt, không bỏ bước</t>
        </is>
      </c>
    </row>
    <row r="426">
      <c r="D426" s="8" t="inlineStr">
        <is>
          <t>期待結果（Kết quả mong đợi）</t>
        </is>
      </c>
    </row>
    <row r="427">
      <c r="E427" s="9" t="inlineStr">
        <is>
          <t>1. Mỗi phần hiện đúng nguồn của mình (điều kiện: P; công thức: Q).
2. Điều kiện dùng P2; công thức vẫn dùng Q.
3. `70≥50` khớp; `T=40×0.5=20` → S=25 Không đỏ. Nếu công thức bị đổi theo P2 (`T=35`) hoặc dùng P (`T=30`) thì S=25 thành Đỏ — sai.
4. (PROPOSED) Chỉ lựa chọn phụ thuộc không còn hợp lệ bị xóa; lựa chọn còn hợp lệ được giữ; nguồn của công thức không đổi.</t>
        </is>
      </c>
    </row>
    <row r="428">
      <c r="D428" s="8" t="inlineStr">
        <is>
          <t>証跡（Bằng chứng）</t>
        </is>
      </c>
    </row>
    <row r="429">
      <c r="E429" s="9" t="inlineStr">
        <is>
          <t>
          </t>
        </is>
      </c>
    </row>
    <row r="430">
      <c r="D430" s="8" t="inlineStr">
        <is>
          <t>リセット（Đặt lại）</t>
        </is>
      </c>
    </row>
    <row r="431">
      <c r="E431" s="9" t="inlineStr">
        <is>
          <t>
          </t>
        </is>
      </c>
    </row>
    <row r="432">
      <c r="D432" s="9" t="inlineStr">
        <is>
          <t>
          </t>
        </is>
      </c>
    </row>
    <row r="433">
      <c r="C433" s="9" t="inlineStr">
        <is>
          <t>TC-RS-FUNC-035 — Nhập CSV đăng ký điểm lớp chủ nhiệm hàng loạt（HR成績CSV一括登録） kích hoạt xét</t>
        </is>
      </c>
    </row>
    <row r="434">
      <c r="D434" s="10" t="inlineStr">
        <is>
          <t>Priority: TBD ｜ Status: TBD ｜ Readiness: UNASSESSED ｜ Requirement ID: tiêu chí nghiệm thu “Bao phủ đường đăng ký và chạy lại” (AC-G23 «Bao phủ đường đăng ký và chạy lại»)</t>
        </is>
      </c>
    </row>
    <row r="435">
      <c r="D435" s="8" t="inlineStr">
        <is>
          <t>前提条件（Điều kiện trước）</t>
        </is>
      </c>
    </row>
    <row r="436">
      <c r="E436" s="9" t="inlineStr">
        <is>
          <t>- Điều kiện: mục số nguyên (M=100) có quy tắc “Cố định 30” (dưới 30). Chạy hai lần: (a) trường có tính tự động, (b) trường không có tính tự động.
- Dữ liệu test: mục số nguyên (M=100); quy tắc “Cố định 30” (dưới 30), học sinh S01 (điểm 29)</t>
        </is>
      </c>
    </row>
    <row r="437">
      <c r="D437" s="8" t="inlineStr">
        <is>
          <t>操作（Thao tác）</t>
        </is>
      </c>
    </row>
    <row r="438">
      <c r="E438" s="9" t="inlineStr">
        <is>
          <t>1. Nhập CSV đăng ký điểm lớp chủ nhiệm hàng loạt（HR成績CSV一括登録） với S01=28.
2. Xem kết quả.
Phạm vi từng lượt chạy:
- auto-on: Trường có tính tự động
- auto-off: Trường không có tính tự động</t>
        </is>
      </c>
    </row>
    <row r="439">
      <c r="D439" s="8" t="inlineStr">
        <is>
          <t>期待結果（Kết quả mong đợi）</t>
        </is>
      </c>
    </row>
    <row r="440">
      <c r="E440" s="9" t="inlineStr">
        <is>
          <t>Theo đặc tả v2 mục 7.2 “Bảng sự kiện”: nhập thành công → S01 Đỏ. tài liệu chia công việc v2 chưa đưa đường ghi điểm “HR成績CSV一括登録 (đăng ký điểm hàng loạt bằng CSV)” vào đường được hỗ trợ; code đường ghi điểm “HR成績CSV一括登録 (đăng ký điểm hàng loạt bằng CSV)” chỉ xếp hàng khi trường dùng tính tự động (context điểm đỏ khoảng trống tích hợp “Không có công thức / điểm sửa tay”) — cần xác nhận đường ghi điểm “HR成績CSV一括登録 (đăng ký điểm hàng loạt bằng CSV)” có thuộc đợt không.</t>
        </is>
      </c>
    </row>
    <row r="441">
      <c r="D441" s="8" t="inlineStr">
        <is>
          <t>証跡（Bằng chứng）</t>
        </is>
      </c>
    </row>
    <row r="442">
      <c r="E442" s="9" t="inlineStr">
        <is>
          <t>
          </t>
        </is>
      </c>
    </row>
    <row r="443">
      <c r="D443" s="8" t="inlineStr">
        <is>
          <t>リセット（Đặt lại）</t>
        </is>
      </c>
    </row>
    <row r="444">
      <c r="E444" s="9" t="inlineStr">
        <is>
          <t>
          </t>
        </is>
      </c>
    </row>
    <row r="445">
      <c r="D445" s="9" t="inlineStr">
        <is>
          <t>
          </t>
        </is>
      </c>
    </row>
    <row r="446">
      <c r="C446" s="9" t="inlineStr">
        <is>
          <t>TC-RS-FUNC-036 — Danh sách nhóm tham chiếu theo thiết lập tổng hợp hiện hữu</t>
        </is>
      </c>
    </row>
    <row r="447">
      <c r="D447" s="10" t="inlineStr">
        <is>
          <t>Priority: Cao ｜ Status: CONFIRMED ｜ Readiness: UNASSESSED ｜ Requirement ID: tiêu chí nghiệm thu “Đúng phạm vi tham chiếu” (AC-G12 «Đúng phạm vi tham chiếu»)</t>
        </is>
      </c>
    </row>
    <row r="448">
      <c r="D448" s="8" t="inlineStr">
        <is>
          <t>前提条件（Điều kiện trước）</t>
        </is>
      </c>
    </row>
    <row r="449">
      <c r="E449" s="9" t="inlineStr">
        <is>
          <t>- Điều kiện: Trường A/2026 có thiết lập tổng hợp X（評点集計） (khối, lớp chủ nhiệm bật; lớp học tắt), nhóm tổng hợp thứ hạng “Toán I khối 1+2”, nhóm tổ hợp “Tổ hợp Toán”, nhóm môn học “Nhóm môn Toán”. Mở form thêm quy tắc của mục số nguyên (M=100) với điều kiện Trung bình（平均点） và ngưỡng Công thức（計算式） dùng trung bình.
- Dữ liệu test: thiết lập tổng hợp X（評点集計）, thiết lập tổng hợp X đã bật thêm Lớp học（授業）, nhóm tổng hợp thứ hạng “Toán I khối 1+2”, nhóm tổ hợp “Tổ hợp Toán”, nhóm môn học “Nhóm môn Toán”; mục số nguyên (M=100); tài khoản giáo viên có quyền sửa mục, tài khoản có quyền chạy hàng loạt</t>
        </is>
      </c>
    </row>
    <row r="450">
      <c r="D450" s="8" t="inlineStr">
        <is>
          <t>操作（Thao tác）</t>
        </is>
      </c>
    </row>
    <row r="451">
      <c r="E451" s="9" t="inlineStr">
        <is>
          <t>1. Ở nguồn của điều kiện: chọn Thời kỳ tổng hợp（集計対象時期）, chọn Thiết lập tổng hợp thứ hạng（順位集計設定） X, rồi mở danh sách Đối tượng tổng hợp（集計対象）. Ghi lại các lựa chọn.
2. Bật thêm Lớp học（授業） trong công tắc tổng hợp hiện hữu (thành thiết lập tổng hợp X đã bật thêm Lớp học（授業）), chạy lại tổng hợp X; mở lại danh sách ở bước 1.
3. Tắt cả ba công tắc khối/lớp chủ nhiệm/lớp học; mở lại danh sách. Chọn nhóm tổng hợp thứ hạng “Toán I khối 1+2”, lưu, mở lại form.
4. Ở trường/năm không có nhóm tổng hợp/tổ hợp/nhóm môn nào được cấu hình và chỉ bật khối: mở danh sách.
5. Ở nguồn của công thức: lặp thứ tự chọn Thiết lập tổng hợp thứ hạng → Đối tượng tổng hợp, chọn nhóm khác với nguồn điều kiện; lưu, mở lại.
Phạm vi từng lượt chạy:
- switch-sequence: Bước 1–3 cùng X theo thứ tự
- grade-only: Bước 4 với fixture chỉ khối
- formula-source: Bước 5, chuẩn bị nguồn điều kiện trước</t>
        </is>
      </c>
    </row>
    <row r="452">
      <c r="D452" s="8" t="inlineStr">
        <is>
          <t>期待結果（Kết quả mong đợi）</t>
        </is>
      </c>
    </row>
    <row r="453">
      <c r="E453" s="9" t="inlineStr">
        <is>
          <t>1. Trong ba loại cơ bản chỉ có Khối（学年） và Lớp chủ nhiệm（ホームルーム）; không có Lớp học（授業）. Có nhóm tổng hợp thứ hạng “Toán I khối 1+2”, nhóm tổ hợp “Tổ hợp Toán”, nhóm môn học “Nhóm môn Toán”, hiển thị bằng tên đã đặt.
2. Có thêm lựa chọn Lớp học（授業） trong cùng X; không phải tạo cấu hình tổng hợp mới để có loại này.
3. Không còn khối/lớp chủ nhiệm/lớp học; nhóm tổng hợp, tổ hợp, nhóm môn vẫn chọn được. Mở lại hiện đúng tên nhóm tổng hợp thứ hạng “Toán I khối 1+2” (đã lưu theo ID).
4. Chỉ có Khối（学年）; không hiện cố định đủ sáu loại, không có lựa chọn rỗng mang tên loại chưa cấu hình.
5. Nguồn điều kiện và nguồn công thức mở lại đúng lựa chọn riêng của từng phần. Form không có công tắc bật/tắt tổng hợp riêng của điểm đỏ, không có trường thứ hạng, tên hiển thị hay biểu đồ lấy từ màn công khai.</t>
        </is>
      </c>
    </row>
    <row r="454">
      <c r="D454" s="8" t="inlineStr">
        <is>
          <t>証跡（Bằng chứng）</t>
        </is>
      </c>
    </row>
    <row r="455">
      <c r="E455" s="9" t="inlineStr">
        <is>
          <t>
          </t>
        </is>
      </c>
    </row>
    <row r="456">
      <c r="D456" s="8" t="inlineStr">
        <is>
          <t>リセット（Đặt lại）</t>
        </is>
      </c>
    </row>
    <row r="457">
      <c r="E457" s="9" t="inlineStr">
        <is>
          <t>
          </t>
        </is>
      </c>
    </row>
    <row r="458">
      <c r="D458" s="9" t="inlineStr">
        <is>
          <t>
          </t>
        </is>
      </c>
    </row>
    <row r="459">
      <c r="C459" s="9" t="inlineStr">
        <is>
          <t>TC-RS-FUNC-037 — Công khai: cùng mục dùng hiệu ứng đỏ khác nhau ở hai cấu hình công khai</t>
        </is>
      </c>
    </row>
    <row r="460">
      <c r="D460" s="10" t="inlineStr">
        <is>
          <t>Priority: Cao ｜ Status: CONFIRMED ｜ Readiness: UNASSESSED ｜ Requirement ID: tiêu chí nghiệm thu “Cấu hình công khai và ẩn điểm” (AC-G32 «Cấu hình công khai và ẩn điểm»)</t>
        </is>
      </c>
    </row>
    <row r="461">
      <c r="D461" s="8" t="inlineStr">
        <is>
          <t>前提条件（Điều kiện trước）</t>
        </is>
      </c>
    </row>
    <row r="462">
      <c r="E462" s="9" t="inlineStr">
        <is>
          <t>- Điều kiện: Hai cấu hình Thiết lập công khai thành tích（成績公開設定） X và Y cùng chứa mục số nguyên (M=100); S01 Đỏ (29), không phải điểm dự kiến; lịch công khai của cả hai đang mở cho S01.
- Dữ liệu test: hai cấu hình công khai cùng một mục, cấu hình công khai có mục điểm thường và mục điểm đơn vị; mục số nguyên (M=100), mục điểm đơn vị (đơn vị U1 có M riêng 40); học sinh S01 (điểm 29); tài khoản học sinh S01, tài khoản phụ trách đầu ra (trích xuất, công khai, phiếu điểm)</t>
        </is>
      </c>
    </row>
    <row r="463">
      <c r="D463" s="8" t="inlineStr">
        <is>
          <t>操作（Thao tác）</t>
        </is>
      </c>
    </row>
    <row r="464">
      <c r="E464" s="9" t="inlineStr">
        <is>
          <t>1. Ở X chọn hiệu ứng đỏ Ngoặc（括弧） cho mục số nguyên (M=100), lưu; ở Y chọn `*` phía trước（前に「*」） cho cùng mục, lưu.
2. Mở lại X và Y.
3. Đăng nhập S01, xem Xác nhận thành tích（成績確認） theo từng cấu hình; gọi API và xuất PDF tương ứng nếu có.
4. Sao chép X thành X' (theo chức năng sao chép cấu hình hiện có); mở X'.
5. Ở X, mục số nguyên (M=100) (điểm thường（通常）) chọn Ngoặc; mục điểm đơn vị (đơn vị U1 có M riêng 40) (điểm đơn vị（単元）) chọn `*` phía sau; lưu, mở lại.
6. Ở Y, đổi sang `*` phía sau và giả lập lỗi lưu; mở lại Y.
Phạm vi từng lượt chạy:
- web: Bước 1–3 xem X/Y trên web
- api: Bước 1–3 đọc API X/Y
- pdf: Bước 1–3 PDF X/Y
- copy: Bước 4 sau setup X
- item-types: Bước 5
- save-failure: Bước 6 sau setup Y</t>
        </is>
      </c>
    </row>
    <row r="465">
      <c r="D465" s="8" t="inlineStr">
        <is>
          <t>期待結果（Kết quả mong đợi）</t>
        </is>
      </c>
    </row>
    <row r="466">
      <c r="E466" s="9" t="inlineStr">
        <is>
          <t>1–2. X giữ Ngoặc, Y giữ `*` phía trước; lưu cấu hình này không đổi cấu hình kia.
3. Theo X: `(29)`; theo Y: `*29`. Web, API và PDF của cùng cấu hình cho cùng cách hiển thị.
4. X' giữ Ngoặc cho mục số nguyên (M=100); không sao chép kết quả xét của học sinh.
5. Mỗi phân loại thường/đơn vị mở lại đúng lựa chọn của mình; không trộn.
6. Có thông báo lỗi; Y vẫn là `*` phía trước (cấu hình cũ được giữ).
## 2. Business Rules (BR)</t>
        </is>
      </c>
    </row>
    <row r="467">
      <c r="D467" s="8" t="inlineStr">
        <is>
          <t>証跡（Bằng chứng）</t>
        </is>
      </c>
    </row>
    <row r="468">
      <c r="E468" s="9" t="inlineStr">
        <is>
          <t>
          </t>
        </is>
      </c>
    </row>
    <row r="469">
      <c r="D469" s="8" t="inlineStr">
        <is>
          <t>リセット（Đặt lại）</t>
        </is>
      </c>
    </row>
    <row r="470">
      <c r="E470" s="9" t="inlineStr">
        <is>
          <t>
          </t>
        </is>
      </c>
    </row>
    <row r="471">
      <c r="D471" s="9" t="inlineStr">
        <is>
          <t>
          </t>
        </is>
      </c>
    </row>
    <row r="472">
      <c r="C472" s="9" t="inlineStr">
        <is>
          <t>TC-RS-FUNC-003 — Danh sách trống không tự dựng rule từ cấu hình legacy</t>
        </is>
      </c>
    </row>
    <row r="473">
      <c r="D473" s="10" t="inlineStr">
        <is>
          <t>Priority: Cao ｜ Status: CONFIRMED ｜ Readiness: UNASSESSED ｜ Requirement ID: AC-G04 «Lưu và mở lại nhiều thiết lập»; AC-G38 «Bảo toàn điểm đỏ cũ»</t>
        </is>
      </c>
    </row>
    <row r="474">
      <c r="D474" s="8" t="inlineStr">
        <is>
          <t>前提条件（Điều kiện trước）</t>
        </is>
      </c>
    </row>
    <row r="475">
      <c r="E475" s="9" t="inlineStr">
        <is>
          <t>- Mục chưa có rule mới nhưng có giá trị legacy và kết quả legacy đã lưu.</t>
        </is>
      </c>
    </row>
    <row r="476">
      <c r="D476" s="8" t="inlineStr">
        <is>
          <t>操作（Thao tác）</t>
        </is>
      </c>
    </row>
    <row r="477">
      <c r="E477" s="9" t="inlineStr">
        <is>
          <t>1. Mở danh sách rule đỏ trống.
2. Chạy xét hoặc mở đầu ra.
Phạm vi từng lượt chạy:
- Base: Toàn bộ thủ tục theo đúng thứ tự; các đối chứng cùng fixture được kiểm trong cùng lượt, không bỏ bước</t>
        </is>
      </c>
    </row>
    <row r="478">
      <c r="D478" s="8" t="inlineStr">
        <is>
          <t>期待結果（Kết quả mong đợi）</t>
        </is>
      </c>
    </row>
    <row r="479">
      <c r="E479" s="9" t="inlineStr">
        <is>
          <t>Danh sách không tự tạo rule/default từ ngưỡng legacy. Giá trị và kết quả legacy giữ nguyên; không dùng legacy làm rule fallback.</t>
        </is>
      </c>
    </row>
    <row r="480">
      <c r="D480" s="8" t="inlineStr">
        <is>
          <t>証跡（Bằng chứng）</t>
        </is>
      </c>
    </row>
    <row r="481">
      <c r="E481" s="9" t="inlineStr">
        <is>
          <t>
          </t>
        </is>
      </c>
    </row>
    <row r="482">
      <c r="D482" s="8" t="inlineStr">
        <is>
          <t>リセット（Đặt lại）</t>
        </is>
      </c>
    </row>
    <row r="483">
      <c r="E483" s="9" t="inlineStr">
        <is>
          <t>
          </t>
        </is>
      </c>
    </row>
    <row r="484">
      <c r="D484" s="9" t="inlineStr">
        <is>
          <t>
          </t>
        </is>
      </c>
    </row>
  </sheetData>
  <pageMargins left="0.75" right="0.75" top="1" bottom="1" header="0.5" footer="0.5"/>
  <pageSetup fitToHeight="0" fitToWidth="1"/>
</worksheet>
</file>

<file path=xl/worksheets/sheet8.xml><?xml version="1.0" encoding="utf-8"?>
<worksheet xmlns="http://schemas.openxmlformats.org/spreadsheetml/2006/main">
  <sheetPr>
    <outlinePr summaryBelow="1" summaryRight="1"/>
    <pageSetUpPr fitToPage="1"/>
  </sheetPr>
  <dimension ref="A1:F328"/>
  <sheetViews>
    <sheetView showGridLines="0" workbookViewId="0">
      <pane xSplit="4" ySplit="2" topLeftCell="E3" activePane="bottomRight" state="frozen"/>
      <selection pane="topRight"/>
      <selection pane="bottomLeft"/>
      <selection pane="bottomRight" activeCell="A1" sqref="A1"/>
    </sheetView>
  </sheetViews>
  <sheetFormatPr baseColWidth="8" defaultRowHeight="15"/>
  <cols>
    <col width="3.13" customWidth="1" min="1" max="1"/>
    <col width="24" customWidth="1" min="3" max="3"/>
    <col width="24" customWidth="1" min="4" max="4"/>
    <col width="95" customWidth="1" min="5" max="5"/>
    <col width="28" customWidth="1" min="6" max="6"/>
  </cols>
  <sheetData>
    <row r="1" customHeight="1" ht="4">
      <c r="A1" s="2" t="n">
      </c>
      <c r="B1" s="2" t="n">
      </c>
      <c r="C1" s="2" t="n">
      </c>
      <c r="D1" s="2" t="n">
      </c>
      <c r="E1" s="2" t="n">
      </c>
      <c r="F1" s="2" t="n">
      </c>
    </row>
    <row r="2" customHeight="1" ht="28">
      <c r="A2" s="2" t="n">
      </c>
      <c r="B2" s="2" t="n">
      </c>
      <c r="C2" s="11" t="inlineStr">
        <is>
          <t>B. Validation：</t>
        </is>
      </c>
      <c r="D2" s="2" t="n">
      </c>
      <c r="E2" s="2" t="n">
      </c>
      <c r="F2" s="9" t="inlineStr">
        <is>
          <t>Nguồn test-cases.vi.md • Nhập kết quả/evidence khi chạy.</t>
        </is>
      </c>
    </row>
    <row r="3" customHeight="1" ht="4">
      <c r="A3" s="2" t="n">
      </c>
      <c r="B3" s="2" t="n">
      </c>
      <c r="C3" s="2" t="n">
      </c>
      <c r="D3" s="2" t="n">
      </c>
      <c r="E3" s="2" t="n">
      </c>
      <c r="F3" s="2" t="n">
      </c>
    </row>
    <row r="4">
      <c r="C4" s="9" t="inlineStr">
        <is>
          <t>TC-RS-VAL-001 — Điểm cố định: biên −1 / 0 / 100 / 101 với M=100</t>
        </is>
      </c>
    </row>
    <row r="5">
      <c r="D5" s="10" t="inlineStr">
        <is>
          <t>Priority: TBD ｜ Status: CONFIRMED ｜ Readiness: UNASSESSED ｜ Requirement ID: tiêu chí nghiệm thu “Điểm cố định” (AC-G08 «Điểm cố định»)</t>
        </is>
      </c>
    </row>
    <row r="6">
      <c r="D6" s="8" t="inlineStr">
        <is>
          <t>前提条件（Điều kiện trước）</t>
        </is>
      </c>
    </row>
    <row r="7">
      <c r="E7" s="9" t="inlineStr">
        <is>
          <t>- Điều kiện: mục số nguyên (M=100) (M=100 cho mọi đối tượng), Toàn bộ đối tượng.
- Dữ liệu test: mục số nguyên (M=100); N = −1, 0, 100, 101</t>
        </is>
      </c>
    </row>
    <row r="8">
      <c r="D8" s="8" t="inlineStr">
        <is>
          <t>操作（Thao tác）</t>
        </is>
      </c>
    </row>
    <row r="9">
      <c r="E9" s="9" t="inlineStr">
        <is>
          <t>Lần lượt nhập Điểm cố định（固定点数）= −1, 0, 100, 101 và bấm Cập nhật（更新する）.
Phạm vi từng lượt chạy:
- negative: N=-1
- zero: N=0
- maximum: N=100
- above: N=101</t>
        </is>
      </c>
    </row>
    <row r="10">
      <c r="D10" s="8" t="inlineStr">
        <is>
          <t>期待結果（Kết quả mong đợi）</t>
        </is>
      </c>
    </row>
    <row r="11">
      <c r="E11" s="9" t="inlineStr">
        <is>
          <t>−1: không lưu được, có lỗi. 0: lưu được. 100: lưu được. 101: không lưu được, có lỗi vượt M. Khi lỗi, cấu hình đã lưu trước đó không đổi.</t>
        </is>
      </c>
    </row>
    <row r="12">
      <c r="D12" s="8" t="inlineStr">
        <is>
          <t>証跡（Bằng chứng）</t>
        </is>
      </c>
    </row>
    <row r="13">
      <c r="E13" s="9" t="inlineStr">
        <is>
          <t>
          </t>
        </is>
      </c>
    </row>
    <row r="14">
      <c r="D14" s="8" t="inlineStr">
        <is>
          <t>リセット（Đặt lại）</t>
        </is>
      </c>
    </row>
    <row r="15">
      <c r="E15" s="9" t="inlineStr">
        <is>
          <t>
          </t>
        </is>
      </c>
    </row>
    <row r="16">
      <c r="D16" s="9" t="inlineStr">
        <is>
          <t>
          </t>
        </is>
      </c>
    </row>
    <row r="17">
      <c r="C17" s="9" t="inlineStr">
        <is>
          <t>TC-RS-VAL-002 — Điểm cố định phải ≤ M của mọi đối tượng (M=20 và M=100)</t>
        </is>
      </c>
    </row>
    <row r="18">
      <c r="D18" s="10" t="inlineStr">
        <is>
          <t>Priority: TBD ｜ Status: CONFIRMED ｜ Readiness: UNASSESSED ｜ Requirement ID: tiêu chí nghiệm thu “Điểm cố định” (AC-G08 «Điểm cố định»)</t>
        </is>
      </c>
    </row>
    <row r="19">
      <c r="D19" s="8" t="inlineStr">
        <is>
          <t>前提条件（Điều kiện trước）</t>
        </is>
      </c>
    </row>
    <row r="20">
      <c r="E20" s="9" t="inlineStr">
        <is>
          <t>- Điều kiện: mục có M khác nhau theo lớp (G-A M=20, G-B M=100) (G-A M=20, G-B M=100).
- Dữ liệu test: mục có M khác nhau theo lớp (G-A M=20, G-B M=100); N = 30, 20</t>
        </is>
      </c>
    </row>
    <row r="21">
      <c r="D21" s="8" t="inlineStr">
        <is>
          <t>操作（Thao tác）</t>
        </is>
      </c>
    </row>
    <row r="22">
      <c r="E22" s="9" t="inlineStr">
        <is>
          <t>1. Toàn bộ đối tượng, N=30, Lưu.
2. Toàn bộ đối tượng, N=20, Lưu.
3. Lọc chỉ lớp G-B, N=30, Lưu.
Phạm vi từng lượt chạy:
- all30: Toàn bộ N=30
- all20: Toàn bộ N=20
- gb30: Chỉ G-B N=30</t>
        </is>
      </c>
    </row>
    <row r="23">
      <c r="D23" s="8" t="inlineStr">
        <is>
          <t>期待結果（Kết quả mong đợi）</t>
        </is>
      </c>
    </row>
    <row r="24">
      <c r="E24" s="9" t="inlineStr">
        <is>
          <t>1. Không lưu được (G-A M=20).
2. Lưu được.
3. Lưu được.</t>
        </is>
      </c>
    </row>
    <row r="25">
      <c r="D25" s="8" t="inlineStr">
        <is>
          <t>証跡（Bằng chứng）</t>
        </is>
      </c>
    </row>
    <row r="26">
      <c r="E26" s="9" t="inlineStr">
        <is>
          <t>
          </t>
        </is>
      </c>
    </row>
    <row r="27">
      <c r="D27" s="8" t="inlineStr">
        <is>
          <t>リセット（Đặt lại）</t>
        </is>
      </c>
    </row>
    <row r="28">
      <c r="E28" s="9" t="inlineStr">
        <is>
          <t>
          </t>
        </is>
      </c>
    </row>
    <row r="29">
      <c r="D29" s="9" t="inlineStr">
        <is>
          <t>
          </t>
        </is>
      </c>
    </row>
    <row r="30">
      <c r="C30" s="9" t="inlineStr">
        <is>
          <t>TC-RS-VAL-003 — Mở rộng phạm vi sau khi lưu: kiểm lại ngưỡng cố định với M của đối tượng mới</t>
        </is>
      </c>
    </row>
    <row r="31">
      <c r="D31" s="10" t="inlineStr">
        <is>
          <t>Priority: TBD ｜ Status: CONFIRMED ｜ Readiness: UNASSESSED ｜ Requirement ID: tiêu chí nghiệm thu “Điểm cố định” (AC-G08 «Điểm cố định»)</t>
        </is>
      </c>
    </row>
    <row r="32">
      <c r="D32" s="8" t="inlineStr">
        <is>
          <t>前提条件（Điều kiện trước）</t>
        </is>
      </c>
    </row>
    <row r="33">
      <c r="E33" s="9" t="inlineStr">
        <is>
          <t>- Điều kiện: mục có M khác nhau theo lớp (G-A M=20, G-B M=100); quy tắc lọc chỉ G-B, cố định 30 đã lưu.
- Dữ liệu test: mục có M khác nhau theo lớp (G-A M=20, G-B M=100)</t>
        </is>
      </c>
    </row>
    <row r="34">
      <c r="D34" s="8" t="inlineStr">
        <is>
          <t>操作（Thao tác）</t>
        </is>
      </c>
    </row>
    <row r="35">
      <c r="E35" s="9" t="inlineStr">
        <is>
          <t>Sửa bộ lọc thành G-A hoặc G-B (giữ N=30), bấm Lưu.
Phạm vi từng lượt chạy:
- Base: Toàn bộ thủ tục theo đúng thứ tự; các đối chứng cùng fixture được kiểm trong cùng lượt, không bỏ bước</t>
        </is>
      </c>
    </row>
    <row r="36">
      <c r="D36" s="8" t="inlineStr">
        <is>
          <t>期待結果（Kết quả mong đợi）</t>
        </is>
      </c>
    </row>
    <row r="37">
      <c r="E37" s="9" t="inlineStr">
        <is>
          <t>Không lưu được vì G-A có M=20; cấu hình cũ (chỉ G-B) giữ nguyên.</t>
        </is>
      </c>
    </row>
    <row r="38">
      <c r="D38" s="8" t="inlineStr">
        <is>
          <t>証跡（Bằng chứng）</t>
        </is>
      </c>
    </row>
    <row r="39">
      <c r="E39" s="9" t="inlineStr">
        <is>
          <t>
          </t>
        </is>
      </c>
    </row>
    <row r="40">
      <c r="D40" s="8" t="inlineStr">
        <is>
          <t>リセット（Đặt lại）</t>
        </is>
      </c>
    </row>
    <row r="41">
      <c r="E41" s="9" t="inlineStr">
        <is>
          <t>
          </t>
        </is>
      </c>
    </row>
    <row r="42">
      <c r="D42" s="9" t="inlineStr">
        <is>
          <t>
          </t>
        </is>
      </c>
    </row>
    <row r="43">
      <c r="C43" s="9" t="inlineStr">
        <is>
          <t>TC-RS-VAL-004 — Ngưỡng cố định/tỷ lệ trống hoặc không phải số</t>
        </is>
      </c>
    </row>
    <row r="44">
      <c r="D44" s="10" t="inlineStr">
        <is>
          <t>Priority: TBD ｜ Status: CONFIRMED ｜ Readiness: UNASSESSED ｜ Requirement ID: tiêu chí nghiệm thu “Giữ chính xác giá trị” (AC-G11 «Giữ chính xác giá trị»)</t>
        </is>
      </c>
    </row>
    <row r="45">
      <c r="D45" s="8" t="inlineStr">
        <is>
          <t>前提条件（Điều kiện trước）</t>
        </is>
      </c>
    </row>
    <row r="46">
      <c r="E46" s="9" t="inlineStr">
        <is>
          <t>- Điều kiện: Màn cấu hình mục số nguyên (M=100).
- Dữ liệu test: mục số nguyên (M=100); Giá trị: trống, `abc`, `3O` (chữ O), `３０` (số toàn khổ)</t>
        </is>
      </c>
    </row>
    <row r="47">
      <c r="D47" s="8" t="inlineStr">
        <is>
          <t>操作（Thao tác）</t>
        </is>
      </c>
    </row>
    <row r="48">
      <c r="E48" s="9" t="inlineStr">
        <is>
          <t>Với loại Điểm cố định（固定点数） rồi Tỷ lệ điểm tối đa（得点率）: nhập từng giá trị, bấm Lưu.
Phạm vi từng lượt chạy:
- fixed-empty: Cố định với trống
- fixed-abc: Cố định với abc
- fixed-3O: Cố định với 3O
- fixed-fullwidth: Cố định với chữ số toàn chiều rộng, phần TBD giữ BLOCKED
- ratio-empty: Tỷ lệ với trống
- ratio-abc: Tỷ lệ với abc
- ratio-3O: Tỷ lệ với 3O
- ratio-fullwidth: Tỷ lệ với chữ số toàn chiều rộng, phần TBD giữ BLOCKED</t>
        </is>
      </c>
    </row>
    <row r="49">
      <c r="D49" s="8" t="inlineStr">
        <is>
          <t>期待結果（Kết quả mong đợi）</t>
        </is>
      </c>
    </row>
    <row r="50">
      <c r="E50" s="9" t="inlineStr">
        <is>
          <t>Trống, `abc`, `3O`: không lưu được, có lỗi. `３０`: xử lý theo quy ước nhập số hiện hành của BLEND (TBD — có thể chuẩn hóa thành 30 hoặc báo lỗi).</t>
        </is>
      </c>
    </row>
    <row r="51">
      <c r="D51" s="8" t="inlineStr">
        <is>
          <t>証跡（Bằng chứng）</t>
        </is>
      </c>
    </row>
    <row r="52">
      <c r="E52" s="9" t="inlineStr">
        <is>
          <t>
          </t>
        </is>
      </c>
    </row>
    <row r="53">
      <c r="D53" s="8" t="inlineStr">
        <is>
          <t>リセット（Đặt lại）</t>
        </is>
      </c>
    </row>
    <row r="54">
      <c r="E54" s="9" t="inlineStr">
        <is>
          <t>
          </t>
        </is>
      </c>
    </row>
    <row r="55">
      <c r="D55" s="9" t="inlineStr">
        <is>
          <t>
          </t>
        </is>
      </c>
    </row>
    <row r="56">
      <c r="C56" s="9" t="inlineStr">
        <is>
          <t>TC-RS-VAL-005 — Điểm cố định thập phân</t>
        </is>
      </c>
    </row>
    <row r="57">
      <c r="D57" s="10" t="inlineStr">
        <is>
          <t>Priority: TBD ｜ Status: PROPOSED ｜ Readiness: UNASSESSED ｜ Requirement ID: tiêu chí nghiệm thu “Giữ chính xác giá trị” (AC-G11 «Giữ chính xác giá trị»)</t>
        </is>
      </c>
    </row>
    <row r="58">
      <c r="D58" s="8" t="inlineStr">
        <is>
          <t>前提条件（Điều kiện trước）</t>
        </is>
      </c>
    </row>
    <row r="59">
      <c r="E59" s="9" t="inlineStr">
        <is>
          <t>- Điều kiện: mục số thập phân (M=100) (thập phân).
- Dữ liệu test: mục số thập phân (M=100); N = 29.5, 29.55, 29.555, 29.5555</t>
        </is>
      </c>
    </row>
    <row r="60">
      <c r="D60" s="8" t="inlineStr">
        <is>
          <t>操作（Thao tác）</t>
        </is>
      </c>
    </row>
    <row r="61">
      <c r="E61" s="9" t="inlineStr">
        <is>
          <t>Nhập từng giá trị, Lưu, mở lại.
Phạm vi từng lượt chạy:
- d1: 29.5
- d2: 29.55
- d3: 29.555
- d4: 29.5555</t>
        </is>
      </c>
    </row>
    <row r="62">
      <c r="D62" s="8" t="inlineStr">
        <is>
          <t>期待結果（Kết quả mong đợi）</t>
        </is>
      </c>
    </row>
    <row r="63">
      <c r="E63" s="9" t="inlineStr">
        <is>
          <t>Đề xuất (thiết kế DB v2 mục 4.2 “Xử lý phần lẻ và miền lưu trữ”): 29.5, 29.55, 29.555 lưu và mở lại đúng; 29.5555 bị từ chối, không tự cắt/làm tròn. Tối thiểu (CONFIRMED, đặc tả v2 mục 6.8 “Yêu cầu độ chính xác”): không được âm thầm làm tròn/cắt giá trị mà không báo.</t>
        </is>
      </c>
    </row>
    <row r="64">
      <c r="D64" s="8" t="inlineStr">
        <is>
          <t>証跡（Bằng chứng）</t>
        </is>
      </c>
    </row>
    <row r="65">
      <c r="E65" s="9" t="inlineStr">
        <is>
          <t>
          </t>
        </is>
      </c>
    </row>
    <row r="66">
      <c r="D66" s="8" t="inlineStr">
        <is>
          <t>リセット（Đặt lại）</t>
        </is>
      </c>
    </row>
    <row r="67">
      <c r="E67" s="9" t="inlineStr">
        <is>
          <t>
          </t>
        </is>
      </c>
    </row>
    <row r="68">
      <c r="D68" s="9" t="inlineStr">
        <is>
          <t>
          </t>
        </is>
      </c>
    </row>
    <row r="69">
      <c r="C69" s="9" t="inlineStr">
        <is>
          <t>TC-RS-VAL-006 — Tỷ lệ N: biên −1 / 0 / 100 / 101</t>
        </is>
      </c>
    </row>
    <row r="70">
      <c r="D70" s="10" t="inlineStr">
        <is>
          <t>Priority: Cao ｜ Status: CONFIRMED ｜ Readiness: UNASSESSED ｜ Requirement ID: tiêu chí nghiệm thu “Tỷ lệ điểm tối đa” (AC-G10 «Tỷ lệ điểm tối đa»)</t>
        </is>
      </c>
    </row>
    <row r="71">
      <c r="D71" s="8" t="inlineStr">
        <is>
          <t>前提条件（Điều kiện trước）</t>
        </is>
      </c>
    </row>
    <row r="72">
      <c r="E72" s="9" t="inlineStr">
        <is>
          <t>- Điều kiện: mục số nguyên (M=100), loại Tỷ lệ điểm tối đa（得点率）.
- Dữ liệu test: mục số nguyên (M=100); N = −1, 0, 100, 101; biến thể thập phân 30.5, 30.5555</t>
        </is>
      </c>
    </row>
    <row r="73">
      <c r="D73" s="8" t="inlineStr">
        <is>
          <t>操作（Thao tác）</t>
        </is>
      </c>
    </row>
    <row r="74">
      <c r="E74" s="9" t="inlineStr">
        <is>
          <t>Nhập từng giá trị, Lưu.
Phạm vi từng lượt chạy:
- negative: -1
- zero: 0
- hundred: 100
- above: 101
- decimal: 30.5
- long-decimal: 30.5555</t>
        </is>
      </c>
    </row>
    <row r="75">
      <c r="D75" s="8" t="inlineStr">
        <is>
          <t>期待結果（Kết quả mong đợi）</t>
        </is>
      </c>
    </row>
    <row r="76">
      <c r="E76" s="9" t="inlineStr">
        <is>
          <t>−1 và 101: không lưu được. 0 và 100: lưu được. 30.5 lưu được, 30.5555 bị từ chối (PROPOSED, thiết kế DB v2 mục 4.2 “Xử lý phần lẻ và miền lưu trữ”).</t>
        </is>
      </c>
    </row>
    <row r="77">
      <c r="D77" s="8" t="inlineStr">
        <is>
          <t>証跡（Bằng chứng）</t>
        </is>
      </c>
    </row>
    <row r="78">
      <c r="E78" s="9" t="inlineStr">
        <is>
          <t>
          </t>
        </is>
      </c>
    </row>
    <row r="79">
      <c r="D79" s="8" t="inlineStr">
        <is>
          <t>リセット（Đặt lại）</t>
        </is>
      </c>
    </row>
    <row r="80">
      <c r="E80" s="9" t="inlineStr">
        <is>
          <t>
          </t>
        </is>
      </c>
    </row>
    <row r="81">
      <c r="D81" s="9" t="inlineStr">
        <is>
          <t>
          </t>
        </is>
      </c>
    </row>
    <row r="82">
      <c r="C82" s="9" t="inlineStr">
        <is>
          <t>TC-RS-VAL-007 — Xử lý phần lẻ: bắt buộc chọn cách làm tròn; p = 0 / 1 / 9 / 10; lần đầu p=1</t>
        </is>
      </c>
    </row>
    <row r="83">
      <c r="D83" s="10" t="inlineStr">
        <is>
          <t>Priority: TBD ｜ Status: PROPOSED ｜ Readiness: UNASSESSED ｜ Requirement ID: đặc tả v2 mục 6.5 “Xử lý phần lẻ”, mục 6.8 “Yêu cầu độ chính xác”</t>
        </is>
      </c>
    </row>
    <row r="84">
      <c r="D84" s="8" t="inlineStr">
        <is>
          <t>前提条件（Điều kiện trước）</t>
        </is>
      </c>
    </row>
    <row r="85">
      <c r="E85" s="9" t="inlineStr">
        <is>
          <t>- Điều kiện: mục số nguyên (M=100), Tỷ lệ 30%.
- Dữ liệu test: mục số nguyên (M=100); p = 0, 1, 9, 10; cách làm tròn: chưa chọn</t>
        </is>
      </c>
    </row>
    <row r="86">
      <c r="D86" s="8" t="inlineStr">
        <is>
          <t>操作（Thao tác）</t>
        </is>
      </c>
    </row>
    <row r="87">
      <c r="E87" s="9" t="inlineStr">
        <is>
          <t>1. Bật Xử lý phần lẻ（端数処理）: quan sát giá trị p mặc định.
2. Không chọn cách làm tròn, Lưu.
3. Chọn Làm tròn xuống（切り捨て） với p=0, 1, 9, 10; Lưu từng lần.
Phạm vi từng lượt chạy:
- default: Giá trị mặc định p=1
- missing-method: Thiếu phương thức
- p0: p=0
- p1: p=1
- p9: p=9
- p10: p=10</t>
        </is>
      </c>
    </row>
    <row r="88">
      <c r="D88" s="8" t="inlineStr">
        <is>
          <t>期待結果（Kết quả mong đợi）</t>
        </is>
      </c>
    </row>
    <row r="89">
      <c r="E89" s="9" t="inlineStr">
        <is>
          <t>1. p hiển thị 1.
2. Không lưu được.
3. p=1 và 9 lưu được; p=0 và 10 không lưu được.</t>
        </is>
      </c>
    </row>
    <row r="90">
      <c r="D90" s="8" t="inlineStr">
        <is>
          <t>証跡（Bằng chứng）</t>
        </is>
      </c>
    </row>
    <row r="91">
      <c r="E91" s="9" t="inlineStr">
        <is>
          <t>
          </t>
        </is>
      </c>
    </row>
    <row r="92">
      <c r="D92" s="8" t="inlineStr">
        <is>
          <t>リセット（Đặt lại）</t>
        </is>
      </c>
    </row>
    <row r="93">
      <c r="E93" s="9" t="inlineStr">
        <is>
          <t>
          </t>
        </is>
      </c>
    </row>
    <row r="94">
      <c r="D94" s="9" t="inlineStr">
        <is>
          <t>
          </t>
        </is>
      </c>
    </row>
    <row r="95">
      <c r="C95" s="9" t="inlineStr">
        <is>
          <t>TC-RS-VAL-008 — Công thức phải có ít nhất một dòng</t>
        </is>
      </c>
    </row>
    <row r="96">
      <c r="D96" s="10" t="inlineStr">
        <is>
          <t>Priority: TBD ｜ Status: CONFIRMED ｜ Readiness: UNASSESSED ｜ Requirement ID: tiêu chí nghiệm thu “Kiểm công thức khi lưu” (AC-G17 «Kiểm công thức khi lưu»)</t>
        </is>
      </c>
    </row>
    <row r="97">
      <c r="D97" s="8" t="inlineStr">
        <is>
          <t>前提条件（Điều kiện trước）</t>
        </is>
      </c>
    </row>
    <row r="98">
      <c r="E98" s="9" t="inlineStr">
        <is>
          <t>- Điều kiện: Loại Công thức tính（計算式）.
- Dữ liệu test: —</t>
        </is>
      </c>
    </row>
    <row r="99">
      <c r="D99" s="8" t="inlineStr">
        <is>
          <t>操作（Thao tác）</t>
        </is>
      </c>
    </row>
    <row r="100">
      <c r="E100" s="9" t="inlineStr">
        <is>
          <t>Xóa hết các dòng công thức (nếu UI cho phép), bấm Lưu.
Phạm vi từng lượt chạy:
- Base: Toàn bộ thủ tục theo đúng thứ tự; các đối chứng cùng fixture được kiểm trong cùng lượt, không bỏ bước</t>
        </is>
      </c>
    </row>
    <row r="101">
      <c r="D101" s="8" t="inlineStr">
        <is>
          <t>期待結果（Kết quả mong đợi）</t>
        </is>
      </c>
    </row>
    <row r="102">
      <c r="E102" s="9" t="inlineStr">
        <is>
          <t>Không lưu được (hoặc UI không cho xóa dòng cuối).</t>
        </is>
      </c>
    </row>
    <row r="103">
      <c r="D103" s="8" t="inlineStr">
        <is>
          <t>証跡（Bằng chứng）</t>
        </is>
      </c>
    </row>
    <row r="104">
      <c r="E104" s="9" t="inlineStr">
        <is>
          <t>
          </t>
        </is>
      </c>
    </row>
    <row r="105">
      <c r="D105" s="8" t="inlineStr">
        <is>
          <t>リセット（Đặt lại）</t>
        </is>
      </c>
    </row>
    <row r="106">
      <c r="E106" s="9" t="inlineStr">
        <is>
          <t>
          </t>
        </is>
      </c>
    </row>
    <row r="107">
      <c r="D107" s="9" t="inlineStr">
        <is>
          <t>
          </t>
        </is>
      </c>
    </row>
    <row r="108">
      <c r="C108" s="9" t="inlineStr">
        <is>
          <t>TC-RS-VAL-009 — Chia cho số cố định 0 không lưu được</t>
        </is>
      </c>
    </row>
    <row r="109">
      <c r="D109" s="10" t="inlineStr">
        <is>
          <t>Priority: TBD ｜ Status: CONFIRMED ｜ Readiness: UNASSESSED ｜ Requirement ID: tiêu chí nghiệm thu “Kiểm công thức khi lưu” (AC-G17 «Kiểm công thức khi lưu»)</t>
        </is>
      </c>
    </row>
    <row r="110">
      <c r="D110" s="8" t="inlineStr">
        <is>
          <t>前提条件（Điều kiện trước）</t>
        </is>
      </c>
    </row>
    <row r="111">
      <c r="E111" s="9" t="inlineStr">
        <is>
          <t>- Điều kiện: Loại Công thức tính（計算式）.
- Dữ liệu test: Dòng 1: Trung bình（平均点）÷ Số cố định（固定値）0; biến thể 0.0</t>
        </is>
      </c>
    </row>
    <row r="112">
      <c r="D112" s="8" t="inlineStr">
        <is>
          <t>操作（Thao tác）</t>
        </is>
      </c>
    </row>
    <row r="113">
      <c r="E113" s="9" t="inlineStr">
        <is>
          <t>Nhập công thức, Lưu.
Phạm vi từng lượt chạy:
- zero: Chia 0
- decimal-zero: Chia 0.0</t>
        </is>
      </c>
    </row>
    <row r="114">
      <c r="D114" s="8" t="inlineStr">
        <is>
          <t>期待結果（Kết quả mong đợi）</t>
        </is>
      </c>
    </row>
    <row r="115">
      <c r="E115" s="9" t="inlineStr">
        <is>
          <t>Không lưu được; lỗi chỉ rõ dòng/vế phải.</t>
        </is>
      </c>
    </row>
    <row r="116">
      <c r="D116" s="8" t="inlineStr">
        <is>
          <t>証跡（Bằng chứng）</t>
        </is>
      </c>
    </row>
    <row r="117">
      <c r="E117" s="9" t="inlineStr">
        <is>
          <t>
          </t>
        </is>
      </c>
    </row>
    <row r="118">
      <c r="D118" s="8" t="inlineStr">
        <is>
          <t>リセット（Đặt lại）</t>
        </is>
      </c>
    </row>
    <row r="119">
      <c r="E119" s="9" t="inlineStr">
        <is>
          <t>
          </t>
        </is>
      </c>
    </row>
    <row r="120">
      <c r="D120" s="9" t="inlineStr">
        <is>
          <t>
          </t>
        </is>
      </c>
    </row>
    <row r="121">
      <c r="C121" s="9" t="inlineStr">
        <is>
          <t>TC-RS-VAL-010 — Toán hạng trống hoặc không phải số</t>
        </is>
      </c>
    </row>
    <row r="122">
      <c r="D122" s="10" t="inlineStr">
        <is>
          <t>Priority: TBD ｜ Status: CONFIRMED ｜ Readiness: UNASSESSED ｜ Requirement ID: tiêu chí nghiệm thu “Kiểm công thức khi lưu” (AC-G17 «Kiểm công thức khi lưu»)</t>
        </is>
      </c>
    </row>
    <row r="123">
      <c r="D123" s="8" t="inlineStr">
        <is>
          <t>前提条件（Điều kiện trước）</t>
        </is>
      </c>
    </row>
    <row r="124">
      <c r="E124" s="9" t="inlineStr">
        <is>
          <t>- Điều kiện: Loại Công thức tính（計算式）.
- Dữ liệu test: Vế phải Số cố định（固定値）: trống, `abc`; toán tử: chưa chọn</t>
        </is>
      </c>
    </row>
    <row r="125">
      <c r="D125" s="8" t="inlineStr">
        <is>
          <t>操作（Thao tác）</t>
        </is>
      </c>
    </row>
    <row r="126">
      <c r="E126" s="9" t="inlineStr">
        <is>
          <t>Nhập từng biến thể, Lưu.
Phạm vi từng lượt chạy:
- empty: Trống toán hạng
- text: Toán hạng không phải số
- operator: Thiếu phép toán</t>
        </is>
      </c>
    </row>
    <row r="127">
      <c r="D127" s="8" t="inlineStr">
        <is>
          <t>期待結果（Kết quả mong đợi）</t>
        </is>
      </c>
    </row>
    <row r="128">
      <c r="E128" s="9" t="inlineStr">
        <is>
          <t>Không lưu được; lỗi chỉ ra dòng thiếu.</t>
        </is>
      </c>
    </row>
    <row r="129">
      <c r="D129" s="8" t="inlineStr">
        <is>
          <t>証跡（Bằng chứng）</t>
        </is>
      </c>
    </row>
    <row r="130">
      <c r="E130" s="9" t="inlineStr">
        <is>
          <t>
          </t>
        </is>
      </c>
    </row>
    <row r="131">
      <c r="D131" s="8" t="inlineStr">
        <is>
          <t>リセット（Đặt lại）</t>
        </is>
      </c>
    </row>
    <row r="132">
      <c r="E132" s="9" t="inlineStr">
        <is>
          <t>
          </t>
        </is>
      </c>
    </row>
    <row r="133">
      <c r="D133" s="9" t="inlineStr">
        <is>
          <t>
          </t>
        </is>
      </c>
    </row>
    <row r="134">
      <c r="C134" s="9" t="inlineStr">
        <is>
          <t>TC-RS-VAL-011 — Kết quả phép tính（式の結果） chỉ tham chiếu dòng phía trước</t>
        </is>
      </c>
    </row>
    <row r="135">
      <c r="D135" s="10" t="inlineStr">
        <is>
          <t>Priority: TBD ｜ Status: CONFIRMED ｜ Readiness: UNASSESSED ｜ Requirement ID: tiêu chí nghiệm thu “Kiểm công thức khi lưu” (AC-G17 «Kiểm công thức khi lưu»)</t>
        </is>
      </c>
    </row>
    <row r="136">
      <c r="D136" s="8" t="inlineStr">
        <is>
          <t>前提条件（Điều kiện trước）</t>
        </is>
      </c>
    </row>
    <row r="137">
      <c r="E137" s="9" t="inlineStr">
        <is>
          <t>- Điều kiện: Công thức 3 dòng.
- Dữ liệu test: (a) Dòng 1 dùng Kết quả phép tính; (b) dòng 2 tham chiếu chính dòng 2; (c) dòng 2 tham chiếu dòng 3; (d) dòng 3 tham chiếu dòng 1</t>
        </is>
      </c>
    </row>
    <row r="138">
      <c r="D138" s="8" t="inlineStr">
        <is>
          <t>操作（Thao tác）</t>
        </is>
      </c>
    </row>
    <row r="139">
      <c r="E139" s="9" t="inlineStr">
        <is>
          <t>Thử từng biến thể, bấm Lưu.
Phạm vi từng lượt chạy:
- first: Tham chiếu dòng đầu
- self: Tham chiếu chính dòng
- forward: Tham chiếu dòng sau
- backward: Tham chiếu dòng trước</t>
        </is>
      </c>
    </row>
    <row r="140">
      <c r="D140" s="8" t="inlineStr">
        <is>
          <t>期待結果（Kết quả mong đợi）</t>
        </is>
      </c>
    </row>
    <row r="141">
      <c r="E141" s="9" t="inlineStr">
        <is>
          <t>(a), (b), (c): không chọn được hoặc không lưu được.
(d): lưu được.</t>
        </is>
      </c>
    </row>
    <row r="142">
      <c r="D142" s="8" t="inlineStr">
        <is>
          <t>証跡（Bằng chứng）</t>
        </is>
      </c>
    </row>
    <row r="143">
      <c r="E143" s="9" t="inlineStr">
        <is>
          <t>
          </t>
        </is>
      </c>
    </row>
    <row r="144">
      <c r="D144" s="8" t="inlineStr">
        <is>
          <t>リセット（Đặt lại）</t>
        </is>
      </c>
    </row>
    <row r="145">
      <c r="E145" s="9" t="inlineStr">
        <is>
          <t>
          </t>
        </is>
      </c>
    </row>
    <row r="146">
      <c r="D146" s="9" t="inlineStr">
        <is>
          <t>
          </t>
        </is>
      </c>
    </row>
    <row r="147">
      <c r="C147" s="9" t="inlineStr">
        <is>
          <t>TC-RS-VAL-012 — Xóa/đổi thứ tự dòng không tự nối lại tham chiếu</t>
        </is>
      </c>
    </row>
    <row r="148">
      <c r="D148" s="10" t="inlineStr">
        <is>
          <t>Priority: TBD ｜ Status: CONFIRMED ｜ Readiness: UNASSESSED ｜ Requirement ID: tiêu chí nghiệm thu “Kiểm công thức khi lưu” (AC-G17 «Kiểm công thức khi lưu»)</t>
        </is>
      </c>
    </row>
    <row r="149">
      <c r="D149" s="8" t="inlineStr">
        <is>
          <t>前提条件（Điều kiện trước）</t>
        </is>
      </c>
    </row>
    <row r="150">
      <c r="E150" s="9" t="inlineStr">
        <is>
          <t>- Điều kiện: Công thức 3 dòng: dòng 2 dùng kết quả dòng 1, dòng 3 dùng kết quả dòng 2.
- Dữ liệu test: —</t>
        </is>
      </c>
    </row>
    <row r="151">
      <c r="D151" s="8" t="inlineStr">
        <is>
          <t>操作（Thao tác）</t>
        </is>
      </c>
    </row>
    <row r="152">
      <c r="E152" s="9" t="inlineStr">
        <is>
          <t>1. Xóa dòng 2, bấm Lưu.
2. Tạo lại công thức 3 dòng như điều kiện đầu; đổi thứ tự để dòng 3 lên vị trí 2, bấm Lưu.
Phạm vi từng lượt chạy:
- delete: Xóa dòng được tham chiếu
- reorder: Đổi thứ tự dòng được tham chiếu</t>
        </is>
      </c>
    </row>
    <row r="153">
      <c r="D153" s="8" t="inlineStr">
        <is>
          <t>期待結果（Kết quả mong đợi）</t>
        </is>
      </c>
    </row>
    <row r="154">
      <c r="E154" s="9" t="inlineStr">
        <is>
          <t>1. Dòng 3 báo tham chiếu không hợp lệ hoặc buộc chọn lại; không âm thầm trỏ sang dòng 1.
2. Dòng vừa chuyển lên (đang tham chiếu dòng mới nằm phía sau nó) bị báo tham chiếu không hợp lệ hoặc buộc chọn lại; không tự đổi sang dòng khác chỉ vì cùng số thứ tự.</t>
        </is>
      </c>
    </row>
    <row r="155">
      <c r="D155" s="8" t="inlineStr">
        <is>
          <t>証跡（Bằng chứng）</t>
        </is>
      </c>
    </row>
    <row r="156">
      <c r="E156" s="9" t="inlineStr">
        <is>
          <t>
          </t>
        </is>
      </c>
    </row>
    <row r="157">
      <c r="D157" s="8" t="inlineStr">
        <is>
          <t>リセット（Đặt lại）</t>
        </is>
      </c>
    </row>
    <row r="158">
      <c r="E158" s="9" t="inlineStr">
        <is>
          <t>
          </t>
        </is>
      </c>
    </row>
    <row r="159">
      <c r="D159" s="9" t="inlineStr">
        <is>
          <t>
          </t>
        </is>
      </c>
    </row>
    <row r="160">
      <c r="C160" s="9" t="inlineStr">
        <is>
          <t>TC-RS-VAL-013 — Số cố định trong công thức không bị giới hạn 0–100</t>
        </is>
      </c>
    </row>
    <row r="161">
      <c r="D161" s="10" t="inlineStr">
        <is>
          <t>Priority: TBD ｜ Status: PROPOSED ｜ Readiness: UNASSESSED ｜ Requirement ID: đặc tả v2 mục 6.4 “Công thức dùng trung bình”, mục 6.8 “Yêu cầu độ chính xác”</t>
        </is>
      </c>
    </row>
    <row r="162">
      <c r="D162" s="8" t="inlineStr">
        <is>
          <t>前提条件（Điều kiện trước）</t>
        </is>
      </c>
    </row>
    <row r="163">
      <c r="E163" s="9" t="inlineStr">
        <is>
          <t>- Điều kiện: Loại Công thức tính（計算式）.
- Dữ liệu test: `A × 150`, `A × 0.5`, `A − 150`</t>
        </is>
      </c>
    </row>
    <row r="164">
      <c r="D164" s="8" t="inlineStr">
        <is>
          <t>操作（Thao tác）</t>
        </is>
      </c>
    </row>
    <row r="165">
      <c r="E165" s="9" t="inlineStr">
        <is>
          <t>Nhập từng công thức, Lưu.
Phạm vi từng lượt chạy:
- times150: Nhân 150
- times05: Nhân 0.5
- minus150: Trừ 150</t>
        </is>
      </c>
    </row>
    <row r="166">
      <c r="D166" s="8" t="inlineStr">
        <is>
          <t>期待結果（Kết quả mong đợi）</t>
        </is>
      </c>
    </row>
    <row r="167">
      <c r="E167" s="9" t="inlineStr">
        <is>
          <t>Lưu được (không áp giới hạn 0–100 hay 0–M cho toán hạng).</t>
        </is>
      </c>
    </row>
    <row r="168">
      <c r="D168" s="8" t="inlineStr">
        <is>
          <t>証跡（Bằng chứng）</t>
        </is>
      </c>
    </row>
    <row r="169">
      <c r="E169" s="9" t="inlineStr">
        <is>
          <t>
          </t>
        </is>
      </c>
    </row>
    <row r="170">
      <c r="D170" s="8" t="inlineStr">
        <is>
          <t>リセット（Đặt lại）</t>
        </is>
      </c>
    </row>
    <row r="171">
      <c r="E171" s="9" t="inlineStr">
        <is>
          <t>
          </t>
        </is>
      </c>
    </row>
    <row r="172">
      <c r="D172" s="9" t="inlineStr">
        <is>
          <t>
          </t>
        </is>
      </c>
    </row>
    <row r="173">
      <c r="C173" s="9" t="inlineStr">
        <is>
          <t>TC-RS-VAL-014 — Tên thiết lập: bắt buộc, độ dài, trùng tên</t>
        </is>
      </c>
    </row>
    <row r="174">
      <c r="D174" s="10" t="inlineStr">
        <is>
          <t>Priority: TBD ｜ Status: PROPOSED ｜ Readiness: UNASSESSED ｜ Requirement ID: đặc tả v2 mục 4.2 “Nội dung một dòng”, mục 5.1 “Đối tượng áp dụng”</t>
        </is>
      </c>
    </row>
    <row r="175">
      <c r="D175" s="8" t="inlineStr">
        <is>
          <t>前提条件（Điều kiện trước）</t>
        </is>
      </c>
    </row>
    <row r="176">
      <c r="E176" s="9" t="inlineStr">
        <is>
          <t>- Điều kiện: Màn thêm quy tắc.
- Dữ liệu test: Tên trống; tên chỉ khoảng trắng; 255 ký tự; 256 ký tự; 255 ký tự có thêm khoảng trắng ở đầu và cuối; hai quy tắc cùng tên</t>
        </is>
      </c>
    </row>
    <row r="177">
      <c r="D177" s="8" t="inlineStr">
        <is>
          <t>操作（Thao tác）</t>
        </is>
      </c>
    </row>
    <row r="178">
      <c r="E178" s="9" t="inlineStr">
        <is>
          <t>1. Nhập từng giá trị, Lưu, mở lại.
2. Tạo quy tắc thứ hai trùng tên quy tắc thứ nhất, Lưu.
Phạm vi từng lượt chạy:
- empty: Tên trống
- space: Chỉ khoảng trắng
- len255: 255 ký tự
- len256: 256 ký tự
- padded255: 255 ký tự kèm khoảng trắng
- duplicate: Trùng tên</t>
        </is>
      </c>
    </row>
    <row r="179">
      <c r="D179" s="8" t="inlineStr">
        <is>
          <t>期待結果（Kết quả mong đợi）</t>
        </is>
      </c>
    </row>
    <row r="180">
      <c r="E180" s="9" t="inlineStr">
        <is>
          <t>1. Trống/chỉ khoảng trắng: không lưu được. 255 ký tự: lưu được, mở lại đủ. 256 ký tự: bị từ chối, không tự cắt. 255 ký tự kèm khoảng trắng đầu/cuối: lưu được, tên lưu đã bỏ khoảng trắng đầu/cuối (đủ 255 ký tự).
2. Lưu được; hai dòng riêng theo ưu tiên.</t>
        </is>
      </c>
    </row>
    <row r="181">
      <c r="D181" s="8" t="inlineStr">
        <is>
          <t>証跡（Bằng chứng）</t>
        </is>
      </c>
    </row>
    <row r="182">
      <c r="E182" s="9" t="inlineStr">
        <is>
          <t>
          </t>
        </is>
      </c>
    </row>
    <row r="183">
      <c r="D183" s="8" t="inlineStr">
        <is>
          <t>リセット（Đặt lại）</t>
        </is>
      </c>
    </row>
    <row r="184">
      <c r="E184" s="9" t="inlineStr">
        <is>
          <t>
          </t>
        </is>
      </c>
    </row>
    <row r="185">
      <c r="D185" s="9" t="inlineStr">
        <is>
          <t>
          </t>
        </is>
      </c>
    </row>
    <row r="186">
      <c r="C186" s="9" t="inlineStr">
        <is>
          <t>TC-RS-VAL-015 — Chọn giới hạn bằng bộ lọc nhưng không có bộ lọc nào</t>
        </is>
      </c>
    </row>
    <row r="187">
      <c r="D187" s="10" t="inlineStr">
        <is>
          <t>Priority: TBD ｜ Status: PROPOSED ｜ Readiness: UNASSESSED ｜ Requirement ID: tiêu chí nghiệm thu “Đối tượng áp dụng và nhu cầu nguồn” (AC-G05 «Đối tượng áp dụng và nhu cầu nguồn»)</t>
        </is>
      </c>
    </row>
    <row r="188">
      <c r="D188" s="8" t="inlineStr">
        <is>
          <t>前提条件（Điều kiện trước）</t>
        </is>
      </c>
    </row>
    <row r="189">
      <c r="E189" s="9" t="inlineStr">
        <is>
          <t>- Điều kiện: Màn thêm quy tắc.
- Dữ liệu test: Giới hạn bằng bộ lọc（特定条件で絞り込む）, không chọn giá trị</t>
        </is>
      </c>
    </row>
    <row r="190">
      <c r="D190" s="8" t="inlineStr">
        <is>
          <t>操作（Thao tác）</t>
        </is>
      </c>
    </row>
    <row r="191">
      <c r="E191" s="9" t="inlineStr">
        <is>
          <t>Chọn giới hạn bằng bộ lọc, không chọn điều kiện, Lưu.
Phạm vi từng lượt chạy:
- Base: Toàn bộ thủ tục theo đúng thứ tự; các đối chứng cùng fixture được kiểm trong cùng lượt, không bỏ bước</t>
        </is>
      </c>
    </row>
    <row r="192">
      <c r="D192" s="8" t="inlineStr">
        <is>
          <t>期待結果（Kết quả mong đợi）</t>
        </is>
      </c>
    </row>
    <row r="193">
      <c r="E193" s="9" t="inlineStr">
        <is>
          <t>Không lưu được; có thông báo lỗi. Câu chữ thông báo không phải must-pass (Figma chưa có).</t>
        </is>
      </c>
    </row>
    <row r="194">
      <c r="D194" s="8" t="inlineStr">
        <is>
          <t>証跡（Bằng chứng）</t>
        </is>
      </c>
    </row>
    <row r="195">
      <c r="E195" s="9" t="inlineStr">
        <is>
          <t>
          </t>
        </is>
      </c>
    </row>
    <row r="196">
      <c r="D196" s="8" t="inlineStr">
        <is>
          <t>リセット（Đặt lại）</t>
        </is>
      </c>
    </row>
    <row r="197">
      <c r="E197" s="9" t="inlineStr">
        <is>
          <t>
          </t>
        </is>
      </c>
    </row>
    <row r="198">
      <c r="D198" s="9" t="inlineStr">
        <is>
          <t>
          </t>
        </is>
      </c>
    </row>
    <row r="199">
      <c r="C199" s="9" t="inlineStr">
        <is>
          <t>TC-RS-VAL-016 — Lỗi khi lưu không làm mất cấu hình/kết quả đã lưu</t>
        </is>
      </c>
    </row>
    <row r="200">
      <c r="D200" s="10" t="inlineStr">
        <is>
          <t>Priority: Cao ｜ Status: CONFIRMED ｜ Readiness: UNASSESSED ｜ Requirement ID: tiêu chí nghiệm thu “Lưu và mở lại nhiều thiết lập” (AC-G04 «Lưu và mở lại nhiều thiết lập»)</t>
        </is>
      </c>
    </row>
    <row r="201">
      <c r="D201" s="8" t="inlineStr">
        <is>
          <t>前提条件（Điều kiện trước）</t>
        </is>
      </c>
    </row>
    <row r="202">
      <c r="E202" s="9" t="inlineStr">
        <is>
          <t>- Điều kiện: quy tắc “Cố định 30” (dưới 30) đã lưu; S01 Đỏ.
- Dữ liệu test: quy tắc “Cố định 30” (dưới 30); N = 101</t>
        </is>
      </c>
    </row>
    <row r="203">
      <c r="D203" s="8" t="inlineStr">
        <is>
          <t>操作（Thao tác）</t>
        </is>
      </c>
    </row>
    <row r="204">
      <c r="E204" s="9" t="inlineStr">
        <is>
          <t>1. Mở quy tắc “Cố định 30” (dưới 30), đổi N=101, Lưu (lỗi).
2. Quay lại danh sách, xem ba đầu ra.
Phạm vi từng lượt chạy:
- Base: Toàn bộ thủ tục theo đúng thứ tự; các đối chứng cùng fixture được kiểm trong cùng lượt, không bỏ bước</t>
        </is>
      </c>
    </row>
    <row r="205">
      <c r="D205" s="8" t="inlineStr">
        <is>
          <t>期待結果（Kết quả mong đợi）</t>
        </is>
      </c>
    </row>
    <row r="206">
      <c r="E206" s="9" t="inlineStr">
        <is>
          <t>Cấu hình vẫn 30; S01 vẫn Đỏ. Giá trị vừa nhập có được giữ trên form hay không: PROPOSED (không must-pass).</t>
        </is>
      </c>
    </row>
    <row r="207">
      <c r="D207" s="8" t="inlineStr">
        <is>
          <t>証跡（Bằng chứng）</t>
        </is>
      </c>
    </row>
    <row r="208">
      <c r="E208" s="9" t="inlineStr">
        <is>
          <t>
          </t>
        </is>
      </c>
    </row>
    <row r="209">
      <c r="D209" s="8" t="inlineStr">
        <is>
          <t>リセット（Đặt lại）</t>
        </is>
      </c>
    </row>
    <row r="210">
      <c r="E210" s="9" t="inlineStr">
        <is>
          <t>
          </t>
        </is>
      </c>
    </row>
    <row r="211">
      <c r="D211" s="9" t="inlineStr">
        <is>
          <t>
          </t>
        </is>
      </c>
    </row>
    <row r="212">
      <c r="C212" s="9" t="inlineStr">
        <is>
          <t>TC-RS-VAL-017 — Trích xuất: bật ký hiệu thì bắt buộc nhập ký hiệu</t>
        </is>
      </c>
    </row>
    <row r="213">
      <c r="D213" s="10" t="inlineStr">
        <is>
          <t>Priority: TBD ｜ Status: IMPLEMENTED ｜ Readiness: UNASSESSED ｜ Requirement ID: tiêu chí nghiệm thu “Hiển thị ô trích xuất” (AC-G30 «Hiển thị ô trích xuất»)</t>
        </is>
      </c>
    </row>
    <row r="214">
      <c r="D214" s="8" t="inlineStr">
        <is>
          <t>前提条件（Điều kiện trước）</t>
        </is>
      </c>
    </row>
    <row r="215">
      <c r="E215" s="9" t="inlineStr">
        <is>
          <t>- Điều kiện: Mở Trích xuất thành tích（成績抽出）, tài khoản phụ trách đầu ra (trích xuất, công khai, phiếu điểm).
- Dữ liệu test: Ký hiệu đầu BẬT, ô trống; ký hiệu cuối BẬT, ô trống</t>
        </is>
      </c>
    </row>
    <row r="216">
      <c r="D216" s="8" t="inlineStr">
        <is>
          <t>操作（Thao tác）</t>
        </is>
      </c>
    </row>
    <row r="217">
      <c r="E217" s="9" t="inlineStr">
        <is>
          <t>Chạy trích xuất với từng biến thể.
Phạm vi từng lượt chạy:
- prefix: Ký hiệu trước trống
- suffix: Ký hiệu sau trống</t>
        </is>
      </c>
    </row>
    <row r="218">
      <c r="D218" s="8" t="inlineStr">
        <is>
          <t>期待結果（Kết quả mong đợi）</t>
        </is>
      </c>
    </row>
    <row r="219">
      <c r="E219" s="9" t="inlineStr">
        <is>
          <t>Có lỗi yêu cầu nhập ký hiệu; không chạy trích xuất.</t>
        </is>
      </c>
    </row>
    <row r="220">
      <c r="D220" s="8" t="inlineStr">
        <is>
          <t>証跡（Bằng chứng）</t>
        </is>
      </c>
    </row>
    <row r="221">
      <c r="E221" s="9" t="inlineStr">
        <is>
          <t>
          </t>
        </is>
      </c>
    </row>
    <row r="222">
      <c r="D222" s="8" t="inlineStr">
        <is>
          <t>リセット（Đặt lại）</t>
        </is>
      </c>
    </row>
    <row r="223">
      <c r="E223" s="9" t="inlineStr">
        <is>
          <t>
          </t>
        </is>
      </c>
    </row>
    <row r="224">
      <c r="D224" s="9" t="inlineStr">
        <is>
          <t>
          </t>
        </is>
      </c>
    </row>
    <row r="225">
      <c r="C225" s="9" t="inlineStr">
        <is>
          <t>TC-RS-VAL-018 — Phiếu điểm: chỉ bắt buộc ký tự khi chọn phía trước/phía sau</t>
        </is>
      </c>
    </row>
    <row r="226">
      <c r="D226" s="10" t="inlineStr">
        <is>
          <t>Priority: TBD ｜ Status: IMPLEMENTED ｜ Readiness: UNASSESSED ｜ Requirement ID: tiêu chí nghiệm thu “Tùy chọn trên phiếu” (AC-G35 «Tùy chọn trên phiếu»)</t>
        </is>
      </c>
    </row>
    <row r="227">
      <c r="D227" s="8" t="inlineStr">
        <is>
          <t>前提条件（Điều kiện trước）</t>
        </is>
      </c>
    </row>
    <row r="228">
      <c r="E228" s="9" t="inlineStr">
        <is>
          <t>- Điều kiện: Công cụ phiếu điểm（通知表ツール）, dòng Thiết lập điểm đỏ（赤点設定）.
- Dữ liệu test: Nguyên trạng（そのまま表示）, Kèm ngoặc（カッコ付き）, Ký tự phía trước（前に任意の文字） để trống, Ký tự phía sau（後ろに任意の文字） để trống</t>
        </is>
      </c>
    </row>
    <row r="229">
      <c r="D229" s="8" t="inlineStr">
        <is>
          <t>操作（Thao tác）</t>
        </is>
      </c>
    </row>
    <row r="230">
      <c r="E230" s="9" t="inlineStr">
        <is>
          <t>Chọn từng lựa chọn ở dòng Thiết lập điểm đỏ（赤点設定）, bấm Cập nhật（更新する）.
Phạm vi từng lượt chạy:
- unchanged: Nguyên trạng
- parentheses: Kèm ngoặc
- prefix: Ký tự trước trống
- suffix: Ký tự sau trống</t>
        </is>
      </c>
    </row>
    <row r="231">
      <c r="D231" s="8" t="inlineStr">
        <is>
          <t>期待結果（Kết quả mong đợi）</t>
        </is>
      </c>
    </row>
    <row r="232">
      <c r="E232" s="9" t="inlineStr">
        <is>
          <t>Nguyên trạng, Kèm ngoặc: không hiện ô ký tự, lưu được. Phía trước/sau để trống: không lưu được.</t>
        </is>
      </c>
    </row>
    <row r="233">
      <c r="D233" s="8" t="inlineStr">
        <is>
          <t>証跡（Bằng chứng）</t>
        </is>
      </c>
    </row>
    <row r="234">
      <c r="E234" s="9" t="inlineStr">
        <is>
          <t>
          </t>
        </is>
      </c>
    </row>
    <row r="235">
      <c r="D235" s="8" t="inlineStr">
        <is>
          <t>リセット（Đặt lại）</t>
        </is>
      </c>
    </row>
    <row r="236">
      <c r="E236" s="9" t="inlineStr">
        <is>
          <t>
          </t>
        </is>
      </c>
    </row>
    <row r="237">
      <c r="D237" s="9" t="inlineStr">
        <is>
          <t>
          </t>
        </is>
      </c>
    </row>
    <row r="238">
      <c r="C238" s="9" t="inlineStr">
        <is>
          <t>TC-RS-VAL-019 — Cảnh báo ngưỡng biên không chặn lưu</t>
        </is>
      </c>
    </row>
    <row r="239">
      <c r="D239" s="10" t="inlineStr">
        <is>
          <t>Priority: TBD ｜ Status: CONFIRMED ｜ Readiness: UNASSESSED ｜ Requirement ID: tiêu chí nghiệm thu “Biên so sánh và cảnh báo” (AC-G07 «Biên so sánh và cảnh báo»)</t>
        </is>
      </c>
    </row>
    <row r="240">
      <c r="D240" s="8" t="inlineStr">
        <is>
          <t>前提条件（Điều kiện trước）</t>
        </is>
      </c>
    </row>
    <row r="241">
      <c r="E241" s="9" t="inlineStr">
        <is>
          <t>- Điều kiện: mục số nguyên (M=100).
- Dữ liệu test: mục số nguyên (M=100); Cố định N=0 và N=100, mỗi giá trị với `&lt;` và `≤`; Tỷ lệ N=0, N=100; Tỷ lệ N=0.4 với Làm tròn（四捨五入） (ra `T=0`)</t>
        </is>
      </c>
    </row>
    <row r="242">
      <c r="D242" s="8" t="inlineStr">
        <is>
          <t>操作（Thao tác）</t>
        </is>
      </c>
    </row>
    <row r="243">
      <c r="E243" s="9" t="inlineStr">
        <is>
          <t>Nhập từng giá trị, Lưu, mở lại.
Phạm vi từng lượt chạy:
- fixed0-lt: Cố định 0 nhỏ hơn
- fixed0-le: Cố định 0 nhỏ hơn hoặc bằng
- fixed100-lt: Cố định 100 nhỏ hơn
- fixed100-le: Cố định 100 nhỏ hơn hoặc bằng
- ratio0: Tỷ lệ 0, dấu nhỏ hơn, không xử lý phần lẻ: T=0, có cảnh báo
- ratio100: Tỷ lệ 100, dấu nhỏ hơn hoặc bằng, không xử lý phần lẻ: T=100, có cảnh báo
- ratio04: Tỷ lệ 0.4, dấu nhỏ hơn, làm tròn gần nhất p=1: T=0, có cảnh báo</t>
        </is>
      </c>
    </row>
    <row r="244">
      <c r="D244" s="8" t="inlineStr">
        <is>
          <t>期待結果（Kết quả mong đợi）</t>
        </is>
      </c>
    </row>
    <row r="245">
      <c r="E245" s="9" t="inlineStr">
        <is>
          <t>1. Cảnh báo theo `T` cuối và dấu: `&lt;0` (không ai đỏ) và `≤100` (mọi điểm hợp lệ đỏ) phải có cảnh báo; các tổ hợp biên khác theo thiết kế.
2. Tỷ lệ 0.4 làm tròn ra `T=0`: cảnh báo xét theo `T=0`, không theo giá trị nhập 0.4.
3. Cảnh báo không chặn lưu; mở lại, giá trị đã lưu giữ nguyên (không tự đổi thành giá trị khác).</t>
        </is>
      </c>
    </row>
    <row r="246">
      <c r="D246" s="8" t="inlineStr">
        <is>
          <t>証跡（Bằng chứng）</t>
        </is>
      </c>
    </row>
    <row r="247">
      <c r="E247" s="9" t="inlineStr">
        <is>
          <t>
          </t>
        </is>
      </c>
    </row>
    <row r="248">
      <c r="D248" s="8" t="inlineStr">
        <is>
          <t>リセット（Đặt lại）</t>
        </is>
      </c>
    </row>
    <row r="249">
      <c r="E249" s="9" t="inlineStr">
        <is>
          <t>
          </t>
        </is>
      </c>
    </row>
    <row r="250">
      <c r="D250" s="9" t="inlineStr">
        <is>
          <t>
          </t>
        </is>
      </c>
    </row>
    <row r="251">
      <c r="C251" s="9" t="inlineStr">
        <is>
          <t>TC-RS-VAL-020 — Kết quả công thức âm hoặc vượt M không phải lỗi lưu</t>
        </is>
      </c>
    </row>
    <row r="252">
      <c r="D252" s="10" t="inlineStr">
        <is>
          <t>Priority: TBD ｜ Status: CONFIRMED ｜ Readiness: UNASSESSED ｜ Requirement ID: tiêu chí nghiệm thu “Ngưỡng âm” (AC-G18 «Ngưỡng âm»)</t>
        </is>
      </c>
    </row>
    <row r="253">
      <c r="D253" s="8" t="inlineStr">
        <is>
          <t>前提条件（Điều kiện trước）</t>
        </is>
      </c>
    </row>
    <row r="254">
      <c r="E254" s="9" t="inlineStr">
        <is>
          <t>- Điều kiện: Loại Công thức tính（計算式）.
- Dữ liệu test: quy tắc công thức trung bình − 20 (`A−20`); công thức `A × 3`</t>
        </is>
      </c>
    </row>
    <row r="255">
      <c r="D255" s="8" t="inlineStr">
        <is>
          <t>操作（Thao tác）</t>
        </is>
      </c>
    </row>
    <row r="256">
      <c r="E256" s="9" t="inlineStr">
        <is>
          <t>Lưu từng công thức.
Phạm vi từng lượt chạy:
- minus20: Trừ 20
- times3: Nhân 3</t>
        </is>
      </c>
    </row>
    <row r="257">
      <c r="D257" s="8" t="inlineStr">
        <is>
          <t>期待結果（Kết quả mong đợi）</t>
        </is>
      </c>
    </row>
    <row r="258">
      <c r="E258" s="9" t="inlineStr">
        <is>
          <t>Lưu được; không kiểm `0≤T≤M` tại lúc lưu cho công thức.</t>
        </is>
      </c>
    </row>
    <row r="259">
      <c r="D259" s="8" t="inlineStr">
        <is>
          <t>証跡（Bằng chứng）</t>
        </is>
      </c>
    </row>
    <row r="260">
      <c r="E260" s="9" t="inlineStr">
        <is>
          <t>
          </t>
        </is>
      </c>
    </row>
    <row r="261">
      <c r="D261" s="8" t="inlineStr">
        <is>
          <t>リセット（Đặt lại）</t>
        </is>
      </c>
    </row>
    <row r="262">
      <c r="E262" s="9" t="inlineStr">
        <is>
          <t>
          </t>
        </is>
      </c>
    </row>
    <row r="263">
      <c r="D263" s="9" t="inlineStr">
        <is>
          <t>
          </t>
        </is>
      </c>
    </row>
    <row r="264">
      <c r="C264" s="9" t="inlineStr">
        <is>
          <t>TC-RS-VAL-021 — Đổi loại ngưỡng trong cùng phiên sửa</t>
        </is>
      </c>
    </row>
    <row r="265">
      <c r="D265" s="10" t="inlineStr">
        <is>
          <t>Priority: TBD ｜ Status: PROPOSED ｜ Readiness: UNASSESSED ｜ Requirement ID: đặc tả v2 mục 6.7 “Đổi loại ngưỡng và đổi toán hạng”</t>
        </is>
      </c>
    </row>
    <row r="266">
      <c r="D266" s="8" t="inlineStr">
        <is>
          <t>前提条件（Điều kiện trước）</t>
        </is>
      </c>
    </row>
    <row r="267">
      <c r="E267" s="9" t="inlineStr">
        <is>
          <t>- Điều kiện: quy tắc “Cố định 30” (dưới 30) (cố định 30) đã lưu.
- Dữ liệu test: quy tắc “Cố định 30” (dưới 30)</t>
        </is>
      </c>
    </row>
    <row r="268">
      <c r="D268" s="8" t="inlineStr">
        <is>
          <t>操作（Thao tác）</t>
        </is>
      </c>
    </row>
    <row r="269">
      <c r="E269" s="9" t="inlineStr">
        <is>
          <t>1. Đổi sang Tỷ lệ, nhập 40, đổi lại Cố định; xem ô Cố định; đổi sang Tỷ lệ lần nữa, xem ô Tỷ lệ.
2. Đổi lại Cố định, Lưu.
3. Mở lại quy tắc.
4. Đổi sang Tỷ lệ, nhập 50, bấm Hủy; mở lại.
5. (Khi có schema) Lưu quy tắc Tỷ lệ 40 có bật xử lý phần lẻ; đổi sang Cố định 30, Lưu, SELECT; đổi sang Công thức `A×0.5`, Lưu, SELECT.
Phạm vi từng lượt chạy:
- Base: Toàn bộ thủ tục theo đúng thứ tự; các đối chứng cùng fixture được kiểm trong cùng lượt, không bỏ bước</t>
        </is>
      </c>
    </row>
    <row r="270">
      <c r="D270" s="8" t="inlineStr">
        <is>
          <t>期待結果（Kết quả mong đợi）</t>
        </is>
      </c>
    </row>
    <row r="271">
      <c r="E271" s="9" t="inlineStr">
        <is>
          <t>1. (PROPOSED) Trong phiên: ô Cố định vẫn 30; quay lại Tỷ lệ vẫn thấy 40.
2. Chỉ giá trị loại cuối cùng (Cố định 30) được kiểm và lưu; không lưu lẫn dữ liệu của loại khác.
3. Mở lại: Cố định 30; không bắt buộc còn giá trị Tỷ lệ 40.
4. Vẫn Cố định 30 (cấu hình đã lưu gần nhất).
5. (PROPOSED theo thiết kế DB v2) Sau mỗi lần lưu, các cột không dùng cho loại hiện tại (`round_*`, `threshold_value`, cột công thức/nguồn) là SQL NULL.</t>
        </is>
      </c>
    </row>
    <row r="272">
      <c r="D272" s="8" t="inlineStr">
        <is>
          <t>証跡（Bằng chứng）</t>
        </is>
      </c>
    </row>
    <row r="273">
      <c r="E273" s="9" t="inlineStr">
        <is>
          <t>
          </t>
        </is>
      </c>
    </row>
    <row r="274">
      <c r="D274" s="8" t="inlineStr">
        <is>
          <t>リセット（Đặt lại）</t>
        </is>
      </c>
    </row>
    <row r="275">
      <c r="E275" s="9" t="inlineStr">
        <is>
          <t>
          </t>
        </is>
      </c>
    </row>
    <row r="276">
      <c r="D276" s="9" t="inlineStr">
        <is>
          <t>
          </t>
        </is>
      </c>
    </row>
    <row r="277">
      <c r="C277" s="9" t="inlineStr">
        <is>
          <t>TC-RS-VAL-022 — Giá trị điều kiện phân nhánh (trung bình/tỷ lệ nhóm)</t>
        </is>
      </c>
    </row>
    <row r="278">
      <c r="D278" s="10" t="inlineStr">
        <is>
          <t>Priority: TBD ｜ Status: PROPOSED ｜ Readiness: UNASSESSED ｜ Requirement ID: đặc tả v2 mục 5.2 “Điều kiện dựa trên trung bình”</t>
        </is>
      </c>
    </row>
    <row r="279">
      <c r="D279" s="8" t="inlineStr">
        <is>
          <t>前提条件（Điều kiện trước）</t>
        </is>
      </c>
    </row>
    <row r="280">
      <c r="E280" s="9" t="inlineStr">
        <is>
          <t>- Điều kiện: Màn thêm quy tắc có điều kiện.
- Dữ liệu test: Trung bình: trống, −1, 101, 60.5, 60.123456789; tỷ lệ nhóm: −1, 0, 100, 101</t>
        </is>
      </c>
    </row>
    <row r="281">
      <c r="D281" s="8" t="inlineStr">
        <is>
          <t>操作（Thao tác）</t>
        </is>
      </c>
    </row>
    <row r="282">
      <c r="E282" s="9" t="inlineStr">
        <is>
          <t>Nhập từng giá trị, Lưu.
Phạm vi từng lượt chạy:
- avg-empty: Trung bình trống
- avg-negative: Trung bình -1
- avg101: Trung bình 101
- avg605: Trung bình 60.5
- avg-long: Trung bình 60.123456789
- ratio-negative: Tỷ lệ -1
- ratio0: Tỷ lệ 0
- ratio100: Tỷ lệ 100
- ratio101: Tỷ lệ 101</t>
        </is>
      </c>
    </row>
    <row r="283">
      <c r="D283" s="8" t="inlineStr">
        <is>
          <t>期待結果（Kết quả mong đợi）</t>
        </is>
      </c>
    </row>
    <row r="284">
      <c r="E284" s="9" t="inlineStr">
        <is>
          <t>Đề xuất (thiết kế DB v2): trống → không lưu được (điều kiện chưa đủ); 60.5 lưu được; 60.123456789 (9 chữ số lẻ) bị từ chối; tỷ lệ nhóm 0 và 100 lưu được, −1 và 101 bị từ chối. Trung bình −1 và 101: thiết kế DB v2 không nêu miền — TBD, ghi hành vi thực tế.</t>
        </is>
      </c>
    </row>
    <row r="285">
      <c r="D285" s="8" t="inlineStr">
        <is>
          <t>証跡（Bằng chứng）</t>
        </is>
      </c>
    </row>
    <row r="286">
      <c r="E286" s="9" t="inlineStr">
        <is>
          <t>
          </t>
        </is>
      </c>
    </row>
    <row r="287">
      <c r="D287" s="8" t="inlineStr">
        <is>
          <t>リセット（Đặt lại）</t>
        </is>
      </c>
    </row>
    <row r="288">
      <c r="E288" s="9" t="inlineStr">
        <is>
          <t>
          </t>
        </is>
      </c>
    </row>
    <row r="289">
      <c r="D289" s="9" t="inlineStr">
        <is>
          <t>
          </t>
        </is>
      </c>
    </row>
    <row r="290">
      <c r="C290" s="9" t="inlineStr">
        <is>
          <t>TC-RS-VAL-023 — Giới hạn công thức: 20/21 dòng và số chữ số của số cố định</t>
        </is>
      </c>
    </row>
    <row r="291">
      <c r="D291" s="10" t="inlineStr">
        <is>
          <t>Priority: TBD ｜ Status: PROPOSED ｜ Readiness: UNASSESSED ｜ Requirement ID: tiêu chí nghiệm thu “Giữ chính xác giá trị” (AC-G11 «Giữ chính xác giá trị»)</t>
        </is>
      </c>
    </row>
    <row r="292">
      <c r="D292" s="8" t="inlineStr">
        <is>
          <t>前提条件（Điều kiện trước）</t>
        </is>
      </c>
    </row>
    <row r="293">
      <c r="E293" s="9" t="inlineStr">
        <is>
          <t>- Điều kiện: Màn Công thức（計算式）, nguồn mặc định.
- Dữ liệu test: (a) 20 dòng: dòng 1 `A × 1`, các dòng sau `kết quả dòng trước × 1`; (b) 21 dòng như (a); (c) `A × 999999999.99999999`; (d) `A × 1000000000`; (e) `A × 0.123456789`</t>
        </is>
      </c>
    </row>
    <row r="294">
      <c r="D294" s="8" t="inlineStr">
        <is>
          <t>操作（Thao tác）</t>
        </is>
      </c>
    </row>
    <row r="295">
      <c r="E295" s="9" t="inlineStr">
        <is>
          <t>Nhập từng cấu hình, Lưu, mở lại.
Phạm vi từng lượt chạy:
- lines20: 20 dòng
- lines21: 21 dòng
- constant: Hằng số cực lớn
- integer-overflow: Vượt phần nguyên
- fraction-overflow: Vượt phần thập phân</t>
        </is>
      </c>
    </row>
    <row r="296">
      <c r="D296" s="8" t="inlineStr">
        <is>
          <t>期待結果（Kết quả mong đợi）</t>
        </is>
      </c>
    </row>
    <row r="297">
      <c r="E297" s="9" t="inlineStr">
        <is>
          <t>(a) Lưu được, mở lại đủ 20 dòng.
(b) Không thêm được dòng 21 hoặc bị từ chối khi lưu.
(c) Lưu được, giá trị giữ nguyên.
(d), (e) Bị từ chối, không tự cắt/làm tròn.
Gửi trực tiếp request vượt giới hạn cũng bị server từ chối (case “Server kiểm miền giá trị khi bỏ qua kiểm tra phía trình duyệt”).</t>
        </is>
      </c>
    </row>
    <row r="298">
      <c r="D298" s="8" t="inlineStr">
        <is>
          <t>証跡（Bằng chứng）</t>
        </is>
      </c>
    </row>
    <row r="299">
      <c r="E299" s="9" t="inlineStr">
        <is>
          <t>
          </t>
        </is>
      </c>
    </row>
    <row r="300">
      <c r="D300" s="8" t="inlineStr">
        <is>
          <t>リセット（Đặt lại）</t>
        </is>
      </c>
    </row>
    <row r="301">
      <c r="E301" s="9" t="inlineStr">
        <is>
          <t>
          </t>
        </is>
      </c>
    </row>
    <row r="302">
      <c r="D302" s="9" t="inlineStr">
        <is>
          <t>
          </t>
        </is>
      </c>
    </row>
    <row r="303">
      <c r="C303" s="9" t="inlineStr">
        <is>
          <t>TC-RS-VAL-024 — Quy tắc dùng trung bình/tỷ lệ nhóm không lưu được khi thiếu nguồn</t>
        </is>
      </c>
    </row>
    <row r="304">
      <c r="D304" s="10" t="inlineStr">
        <is>
          <t>Priority: TBD ｜ Status: CONFIRMED ｜ Readiness: UNASSESSED ｜ Requirement ID: tiêu chí nghiệm thu “Đối tượng áp dụng và nhu cầu nguồn” (AC-G05 «Đối tượng áp dụng và nhu cầu nguồn»)</t>
        </is>
      </c>
    </row>
    <row r="305">
      <c r="D305" s="8" t="inlineStr">
        <is>
          <t>前提条件（Điều kiện trước）</t>
        </is>
      </c>
    </row>
    <row r="306">
      <c r="E306" s="9" t="inlineStr">
        <is>
          <t>- Điều kiện: Màn thêm quy tắc của mục số nguyên (M=100).
- Dữ liệu test: mục số nguyên (M=100); (a) Điều kiện trung bình `A≥60`, ngưỡng cố định 30, bỏ trống một phần hoặc toàn bộ nguồn (thời kỳ, thiết lập tổng hợp, nhóm tham chiếu); (b) điều kiện tỷ lệ nhóm ≥65%, nguồn bỏ trống; (c) Toàn bộ đối tượng, ngưỡng Công thức tính（計算式） `A×0.5`, nguồn của công thức bỏ trống</t>
        </is>
      </c>
    </row>
    <row r="307">
      <c r="D307" s="8" t="inlineStr">
        <is>
          <t>操作（Thao tác）</t>
        </is>
      </c>
    </row>
    <row r="308">
      <c r="E308" s="9" t="inlineStr">
        <is>
          <t>Nhập từng biến thể, bấm Lưu; mở lại danh sách.
Phạm vi từng lượt chạy:
- condition-period: Điều kiện trung bình thiếu kỳ
- condition-setting: Điều kiện trung bình thiếu thiết lập
- condition-group: Điều kiện trung bình thiếu nhóm
- condition-all: Điều kiện trung bình thiếu toàn bộ
- ratio-all: Điều kiện tỷ lệ thiếu nguồn
- formula-all: Công thức thiếu nguồn</t>
        </is>
      </c>
    </row>
    <row r="309">
      <c r="D309" s="8" t="inlineStr">
        <is>
          <t>期待結果（Kết quả mong đợi）</t>
        </is>
      </c>
    </row>
    <row r="310">
      <c r="E310" s="9" t="inlineStr">
        <is>
          <t>Cả ba biến thể không lưu được; có thông báo thiếu nguồn. Không lưu quy tắc với điều kiện bị bỏ đi hoặc nguồn trống; danh sách quy tắc không đổi.</t>
        </is>
      </c>
    </row>
    <row r="311">
      <c r="D311" s="8" t="inlineStr">
        <is>
          <t>証跡（Bằng chứng）</t>
        </is>
      </c>
    </row>
    <row r="312">
      <c r="E312" s="9" t="inlineStr">
        <is>
          <t>
          </t>
        </is>
      </c>
    </row>
    <row r="313">
      <c r="D313" s="8" t="inlineStr">
        <is>
          <t>リセット（Đặt lại）</t>
        </is>
      </c>
    </row>
    <row r="314">
      <c r="E314" s="9" t="inlineStr">
        <is>
          <t>
          </t>
        </is>
      </c>
    </row>
    <row r="315">
      <c r="D315" s="9" t="inlineStr">
        <is>
          <t>
          </t>
        </is>
      </c>
    </row>
    <row r="316">
      <c r="C316" s="9" t="inlineStr">
        <is>
          <t>TC-RS-VAL-025 — Server từ chối lưu nhóm tham chiếu không khả dụng hoặc ngoài trường/năm</t>
        </is>
      </c>
    </row>
    <row r="317">
      <c r="D317" s="10" t="inlineStr">
        <is>
          <t>Priority: Cao ｜ Status: CONFIRMED ｜ Readiness: UNASSESSED ｜ Requirement ID: tiêu chí nghiệm thu “Đúng phạm vi tham chiếu” (AC-G12 «Đúng phạm vi tham chiếu»)</t>
        </is>
      </c>
    </row>
    <row r="318">
      <c r="D318" s="8" t="inlineStr">
        <is>
          <t>前提条件（Điều kiện trước）</t>
        </is>
      </c>
    </row>
    <row r="319">
      <c r="E319" s="9" t="inlineStr">
        <is>
          <t>- Điều kiện: thiết lập tổng hợp X（評点集計） (lớp học tắt). Công cụ sửa request (DevTools/proxy) trên môi trường test.
- Dữ liệu test: thiết lập tổng hợp X（評点集計）; ID nhóm tổng hợp của trường B (trường B (trường khác)); ID nhóm tổng hợp của năm khác; mục số nguyên (M=100); tài khoản giáo viên có quyền sửa mục</t>
        </is>
      </c>
    </row>
    <row r="320">
      <c r="D320" s="8" t="inlineStr">
        <is>
          <t>操作（Thao tác）</t>
        </is>
      </c>
    </row>
    <row r="321">
      <c r="E321" s="9" t="inlineStr">
        <is>
          <t>Gửi request lưu quy tắc có nguồn (điều kiện hoặc công thức) với từng biến thể:
1. Loại Lớp học（授業） trong khi công tắc lớp học đang tắt.
2. Nhóm tổng hợp mang ID của trường B.
3. Nhóm tổng hợp mang ID của năm học khác.
4. Nhóm môn học（科目グループ） có ID không tồn tại.
Phạm vi từng lượt chạy:
- condition-disabled: Điều kiện nhóm tắt
- condition-school: Điều kiện sai trường
- condition-year: Điều kiện sai năm
- condition-missing: Điều kiện nhóm không tồn tại
- formula-disabled: Công thức nhóm tắt
- formula-school: Công thức sai trường
- formula-year: Công thức sai năm
- formula-missing: Công thức nhóm không tồn tại</t>
        </is>
      </c>
    </row>
    <row r="322">
      <c r="D322" s="8" t="inlineStr">
        <is>
          <t>期待結果（Kết quả mong đợi）</t>
        </is>
      </c>
    </row>
    <row r="323">
      <c r="E323" s="9" t="inlineStr">
        <is>
          <t>Cả bốn biến thể bị từ chối; không lưu quy tắc; danh sách quy tắc không đổi; không trả về tên/dữ liệu của trường hay năm khác.
## 4. Data / Persistence (DATA)</t>
        </is>
      </c>
    </row>
    <row r="324">
      <c r="D324" s="8" t="inlineStr">
        <is>
          <t>証跡（Bằng chứng）</t>
        </is>
      </c>
    </row>
    <row r="325">
      <c r="E325" s="9" t="inlineStr">
        <is>
          <t>
          </t>
        </is>
      </c>
    </row>
    <row r="326">
      <c r="D326" s="8" t="inlineStr">
        <is>
          <t>リセット（Đặt lại）</t>
        </is>
      </c>
    </row>
    <row r="327">
      <c r="E327" s="9" t="inlineStr">
        <is>
          <t>
          </t>
        </is>
      </c>
    </row>
    <row r="328">
      <c r="D328" s="9" t="inlineStr">
        <is>
          <t>
          </t>
        </is>
      </c>
    </row>
  </sheetData>
  <pageMargins left="0.75" right="0.75" top="1" bottom="1" header="0.5" footer="0.5"/>
  <pageSetup fitToHeight="0" fitToWidth="1"/>
</worksheet>
</file>

<file path=xl/worksheets/sheet9.xml><?xml version="1.0" encoding="utf-8"?>
<worksheet xmlns="http://schemas.openxmlformats.org/spreadsheetml/2006/main">
  <sheetPr>
    <outlinePr summaryBelow="1" summaryRight="1"/>
    <pageSetUpPr fitToPage="1"/>
  </sheetPr>
  <dimension ref="A1:F536"/>
  <sheetViews>
    <sheetView showGridLines="0" workbookViewId="0">
      <pane xSplit="4" ySplit="2" topLeftCell="E3" activePane="bottomRight" state="frozen"/>
      <selection pane="topRight"/>
      <selection pane="bottomLeft"/>
      <selection pane="bottomRight" activeCell="A1" sqref="A1"/>
    </sheetView>
  </sheetViews>
  <sheetFormatPr baseColWidth="8" defaultRowHeight="15"/>
  <cols>
    <col width="3.13" customWidth="1" min="1" max="1"/>
    <col width="24" customWidth="1" min="3" max="3"/>
    <col width="24" customWidth="1" min="4" max="4"/>
    <col width="95" customWidth="1" min="5" max="5"/>
    <col width="28" customWidth="1" min="6" max="6"/>
  </cols>
  <sheetData>
    <row r="1" customHeight="1" ht="4">
      <c r="A1" s="2" t="n">
      </c>
      <c r="B1" s="2" t="n">
      </c>
      <c r="C1" s="2" t="n">
      </c>
      <c r="D1" s="2" t="n">
      </c>
      <c r="E1" s="2" t="n">
      </c>
      <c r="F1" s="2" t="n">
      </c>
    </row>
    <row r="2" customHeight="1" ht="28">
      <c r="A2" s="2" t="n">
      </c>
      <c r="B2" s="2" t="n">
      </c>
      <c r="C2" s="11" t="inlineStr">
        <is>
          <t>C. Business Rules：</t>
        </is>
      </c>
      <c r="D2" s="2" t="n">
      </c>
      <c r="E2" s="2" t="n">
      </c>
      <c r="F2" s="9" t="inlineStr">
        <is>
          <t>Nguồn test-cases.vi.md • Nhập kết quả/evidence khi chạy.</t>
        </is>
      </c>
    </row>
    <row r="3" customHeight="1" ht="4">
      <c r="A3" s="2" t="n">
      </c>
      <c r="B3" s="2" t="n">
      </c>
      <c r="C3" s="2" t="n">
      </c>
      <c r="D3" s="2" t="n">
      </c>
      <c r="E3" s="2" t="n">
      </c>
      <c r="F3" s="2" t="n">
      </c>
    </row>
    <row r="4">
      <c r="C4" s="9" t="inlineStr">
        <is>
          <t>TC-RS-BR-001 — Chọn quy tắc khớp đầu tiên theo ưu tiên, không lấy ngưỡng nghiêm hơn</t>
        </is>
      </c>
    </row>
    <row r="5">
      <c r="D5" s="10" t="inlineStr">
        <is>
          <t>Priority: Cao ｜ Status: CONFIRMED ｜ Readiness: UNASSESSED ｜ Requirement ID: tiêu chí nghiệm thu “Chọn quy tắc khớp đầu tiên” (AC-G06 «Chọn quy tắc khớp đầu tiên»)</t>
        </is>
      </c>
    </row>
    <row r="6">
      <c r="D6" s="8" t="inlineStr">
        <is>
          <t>前提条件（Điều kiện trước）</t>
        </is>
      </c>
    </row>
    <row r="7">
      <c r="E7" s="9" t="inlineStr">
        <is>
          <t>- Điều kiện: mục số nguyên (M=100) có cặp quy tắc cùng áp dụng (dưới 20 và dưới 30) (ưu tiên 1: `&lt;20`, ưu tiên 2: `&lt;30`).
- Dữ liệu test: mục số nguyên (M=100); cặp quy tắc cùng áp dụng (dưới 20 và dưới 30); S02 được sửa thành 25</t>
        </is>
      </c>
    </row>
    <row r="8">
      <c r="D8" s="8" t="inlineStr">
        <is>
          <t>操作（Thao tác）</t>
        </is>
      </c>
    </row>
    <row r="9">
      <c r="E9" s="9" t="inlineStr">
        <is>
          <t>1. Đăng ký S02=25.
2. Đổi thứ tự (ưu tiên 1 là `&lt;30`), bấm chạy lại (đăng ký lại điểm hoặc nút cam).
3. Xem kết quả sau mỗi lần xét.
Phạm vi từng lượt chạy:
- priority20: Thứ tự ban đầu
- priority30: Đổi thứ tự rồi xét lại</t>
        </is>
      </c>
    </row>
    <row r="10">
      <c r="D10" s="8" t="inlineStr">
        <is>
          <t>期待結果（Kết quả mong đợi）</t>
        </is>
      </c>
    </row>
    <row r="11">
      <c r="E11" s="9" t="inlineStr">
        <is>
          <t>1. Lần 1: chọn quy tắc `&lt;20` → Không đỏ.
2. Lần 2 (sau chạy lại): chọn quy tắc `&lt;30` → Đỏ.</t>
        </is>
      </c>
    </row>
    <row r="12">
      <c r="D12" s="8" t="inlineStr">
        <is>
          <t>証跡（Bằng chứng）</t>
        </is>
      </c>
    </row>
    <row r="13">
      <c r="E13" s="9" t="inlineStr">
        <is>
          <t>
          </t>
        </is>
      </c>
    </row>
    <row r="14">
      <c r="D14" s="8" t="inlineStr">
        <is>
          <t>リセット（Đặt lại）</t>
        </is>
      </c>
    </row>
    <row r="15">
      <c r="E15" s="9" t="inlineStr">
        <is>
          <t>
          </t>
        </is>
      </c>
    </row>
    <row r="16">
      <c r="D16" s="9" t="inlineStr">
        <is>
          <t>
          </t>
        </is>
      </c>
    </row>
    <row r="17">
      <c r="C17" s="9" t="inlineStr">
        <is>
          <t>TC-RS-BR-002 — Không quy tắc nào khớp khi đủ dữ liệu → Không áp dụng</t>
        </is>
      </c>
    </row>
    <row r="18">
      <c r="D18" s="10" t="inlineStr">
        <is>
          <t>Priority: Cao ｜ Status: CONFIRMED ｜ Readiness: UNASSESSED ｜ Requirement ID: tiêu chí nghiệm thu “Chọn quy tắc khớp đầu tiên” (AC-G06 «Chọn quy tắc khớp đầu tiên»); tiêu chí nghiệm thu “Trạng thái sau lần chạy” (AC-G20 «Trạng thái sau lần chạy»)</t>
        </is>
      </c>
    </row>
    <row r="19">
      <c r="D19" s="8" t="inlineStr">
        <is>
          <t>前提条件（Điều kiện trước）</t>
        </is>
      </c>
    </row>
    <row r="20">
      <c r="E20" s="9" t="inlineStr">
        <is>
          <t>- Điều kiện: mục số nguyên (M=100) chỉ có quy tắc có bộ lọc kết hợp (khối 1 hoặc 2, nhóm Nâng cao) (khối 1/2 và nhóm Nâng cao). S07 thuộc khối 2 nhưng không thuộc nhóm Nâng cao.
- Dữ liệu test: mục số nguyên (M=100); quy tắc có bộ lọc kết hợp (khối 1 hoặc 2, nhóm Nâng cao), học sinh S07 (điểm 35, cờ Chưa dự thi（未受験）)</t>
        </is>
      </c>
    </row>
    <row r="21">
      <c r="D21" s="8" t="inlineStr">
        <is>
          <t>操作（Thao tác）</t>
        </is>
      </c>
    </row>
    <row r="22">
      <c r="E22" s="9" t="inlineStr">
        <is>
          <t>1. Đăng ký S07=20.
2. Xem kết quả ở ba đầu ra.
Phạm vi từng lượt chạy:
- Base: Toàn bộ thủ tục theo đúng thứ tự; các đối chứng cùng fixture được kiểm trong cùng lượt, không bỏ bước</t>
        </is>
      </c>
    </row>
    <row r="23">
      <c r="D23" s="8" t="inlineStr">
        <is>
          <t>期待結果（Kết quả mong đợi）</t>
        </is>
      </c>
    </row>
    <row r="24">
      <c r="E24" s="9" t="inlineStr">
        <is>
          <t>S07 ở trạng thái Không áp dụng: không có dấu/lọc đỏ; không được coi là "đạt một ngưỡng".</t>
        </is>
      </c>
    </row>
    <row r="25">
      <c r="D25" s="8" t="inlineStr">
        <is>
          <t>証跡（Bằng chứng）</t>
        </is>
      </c>
    </row>
    <row r="26">
      <c r="E26" s="9" t="inlineStr">
        <is>
          <t>
          </t>
        </is>
      </c>
    </row>
    <row r="27">
      <c r="D27" s="8" t="inlineStr">
        <is>
          <t>リセット（Đặt lại）</t>
        </is>
      </c>
    </row>
    <row r="28">
      <c r="E28" s="9" t="inlineStr">
        <is>
          <t>
          </t>
        </is>
      </c>
    </row>
    <row r="29">
      <c r="D29" s="9" t="inlineStr">
        <is>
          <t>
          </t>
        </is>
      </c>
    </row>
    <row r="30">
      <c r="C30" s="9" t="inlineStr">
        <is>
          <t>TC-RS-BR-003 — Ưu tiên 1 khớp nhưng thiếu dữ liệu → Chưa xét được, không chuyển xuống ưu tiên 2</t>
        </is>
      </c>
    </row>
    <row r="31">
      <c r="D31" s="10" t="inlineStr">
        <is>
          <t>Priority: Cao ｜ Status: CONFIRMED ｜ Readiness: UNASSESSED ｜ Requirement ID: tiêu chí nghiệm thu “Chọn quy tắc khớp đầu tiên” (AC-G06 «Chọn quy tắc khớp đầu tiên»)</t>
        </is>
      </c>
    </row>
    <row r="32">
      <c r="D32" s="8" t="inlineStr">
        <is>
          <t>前提条件（Điều kiện trước）</t>
        </is>
      </c>
    </row>
    <row r="33">
      <c r="E33" s="9" t="inlineStr">
        <is>
          <t>- Điều kiện: Hai cấu hình thử: (A) ưu tiên 1 = quy tắc công thức 100 ÷ trung bình (100 ÷ A, Toàn bộ) với nguồn nhóm có trung bình 0 (`A=0`); ưu tiên 2 = quy tắc “Cố định 30” (dưới 30). (B) ưu tiên 1 = quy tắc có điều kiện `A≥60` với nguồn nguồn chưa có kết quả tổng hợp (không có tổng hợp); ưu tiên 2 = quy tắc “Cố định 30” (dưới 30). (C) ưu tiên 1 = quy tắc có bộ lọc Môn（教科・科目）= Ngữ văn và điều kiện `A≥60` (nguồn nguồn chưa có kết quả tổng hợp); ưu tiên 2 = quy tắc “Cố định 30” (dưới 30); ô đang xét là Toán.
- Dữ liệu test: quy tắc công thức 100 ÷ trung bình, quy tắc “Cố định 30” (dưới 30), nhóm có trung bình 0, nguồn chưa có kết quả tổng hợp, học sinh S01 (điểm 29)</t>
        </is>
      </c>
    </row>
    <row r="34">
      <c r="D34" s="8" t="inlineStr">
        <is>
          <t>操作（Thao tác）</t>
        </is>
      </c>
    </row>
    <row r="35">
      <c r="E35" s="9" t="inlineStr">
        <is>
          <t>Với từng cấu hình (A), (B), (C): đăng ký S01=29, xem kết quả.
Phạm vi từng lượt chạy:
- divide-zero: Fixture A chia 0
- missing-average: Fixture B thiếu trung bình
- filter-miss: Fixture C không khớp lọc</t>
        </is>
      </c>
    </row>
    <row r="36">
      <c r="D36" s="8" t="inlineStr">
        <is>
          <t>期待結果（Kết quả mong đợi）</t>
        </is>
      </c>
    </row>
    <row r="37">
      <c r="E37" s="9" t="inlineStr">
        <is>
          <t>(A) Quy tắc 1 được chọn, chia 0 → Chưa xét được; không dùng ưu tiên 2.
(B) Không xác định được điều kiện trung bình → Chưa xét được; không coi thiếu dữ liệu là "không khớp" để xuống ưu tiên 2.
(C) Bộ lọc môn đã đủ chứng minh quy tắc 1 không áp dụng → được bỏ qua mà không cần nguồn; ưu tiên 2 áp dụng → Đỏ.</t>
        </is>
      </c>
    </row>
    <row r="38">
      <c r="D38" s="8" t="inlineStr">
        <is>
          <t>証跡（Bằng chứng）</t>
        </is>
      </c>
    </row>
    <row r="39">
      <c r="E39" s="9" t="inlineStr">
        <is>
          <t>
          </t>
        </is>
      </c>
    </row>
    <row r="40">
      <c r="D40" s="8" t="inlineStr">
        <is>
          <t>リセット（Đặt lại）</t>
        </is>
      </c>
    </row>
    <row r="41">
      <c r="E41" s="9" t="inlineStr">
        <is>
          <t>
          </t>
        </is>
      </c>
    </row>
    <row r="42">
      <c r="D42" s="9" t="inlineStr">
        <is>
          <t>
          </t>
        </is>
      </c>
    </row>
    <row r="43">
      <c r="C43" s="9" t="inlineStr">
        <is>
          <t>TC-RS-BR-004 — Kết hợp bộ lọc: HOẶC trong cùng loại, VÀ giữa các loại</t>
        </is>
      </c>
    </row>
    <row r="44">
      <c r="D44" s="10" t="inlineStr">
        <is>
          <t>Priority: Cao ｜ Status: CONFIRMED ｜ Readiness: UNASSESSED ｜ Requirement ID: tiêu chí nghiệm thu “Đối tượng áp dụng và nhu cầu nguồn” (AC-G05 «Đối tượng áp dụng và nhu cầu nguồn»)</t>
        </is>
      </c>
    </row>
    <row r="45">
      <c r="D45" s="8" t="inlineStr">
        <is>
          <t>前提条件（Điều kiện trước）</t>
        </is>
      </c>
    </row>
    <row r="46">
      <c r="E46" s="9" t="inlineStr">
        <is>
          <t>- Điều kiện: mục số nguyên (M=100) chỉ có quy tắc có bộ lọc kết hợp (khối 1 hoặc 2, nhóm Nâng cao). Bốn học sinh: P1 khối 1 + Nâng cao; P2 khối 2 + Nâng cao; P3 khối 3 + Nâng cao; P4 khối 1, không Nâng cao. Mỗi người điểm 20.
- Dữ liệu test: mục số nguyên (M=100); quy tắc có bộ lọc kết hợp (khối 1 hoặc 2, nhóm Nâng cao)</t>
        </is>
      </c>
    </row>
    <row r="47">
      <c r="D47" s="8" t="inlineStr">
        <is>
          <t>操作（Thao tác）</t>
        </is>
      </c>
    </row>
    <row r="48">
      <c r="E48" s="9" t="inlineStr">
        <is>
          <t>1. Đăng ký điểm 20 cho P1–P4.
2. Xem kết quả.
Phạm vi từng lượt chạy:
- Base: Toàn bộ thủ tục theo đúng thứ tự; các đối chứng cùng fixture được kiểm trong cùng lượt, không bỏ bước</t>
        </is>
      </c>
    </row>
    <row r="49">
      <c r="D49" s="8" t="inlineStr">
        <is>
          <t>期待結果（Kết quả mong đợi）</t>
        </is>
      </c>
    </row>
    <row r="50">
      <c r="E50" s="9" t="inlineStr">
        <is>
          <t>P1, P2: Đỏ. P3, P4: Không áp dụng.</t>
        </is>
      </c>
    </row>
    <row r="51">
      <c r="D51" s="8" t="inlineStr">
        <is>
          <t>証跡（Bằng chứng）</t>
        </is>
      </c>
    </row>
    <row r="52">
      <c r="E52" s="9" t="inlineStr">
        <is>
          <t>
          </t>
        </is>
      </c>
    </row>
    <row r="53">
      <c r="D53" s="8" t="inlineStr">
        <is>
          <t>リセット（Đặt lại）</t>
        </is>
      </c>
    </row>
    <row r="54">
      <c r="E54" s="9" t="inlineStr">
        <is>
          <t>
          </t>
        </is>
      </c>
    </row>
    <row r="55">
      <c r="D55" s="9" t="inlineStr">
        <is>
          <t>
          </t>
        </is>
      </c>
    </row>
    <row r="56">
      <c r="C56" s="9" t="inlineStr">
        <is>
          <t>TC-RS-BR-041 — Điều kiện trung bình cùng nguồn kết hợp AND</t>
        </is>
      </c>
    </row>
    <row r="57">
      <c r="D57" s="10" t="inlineStr">
        <is>
          <t>Priority: Cao ｜ Status: CONFIRMED ｜ Readiness: BLOCKED ｜ Requirement ID: tiêu chí nghiệm thu “Đối tượng áp dụng và nhu cầu nguồn” (AC-G05 «Đối tượng áp dụng và nhu cầu nguồn»)</t>
        </is>
      </c>
    </row>
    <row r="58">
      <c r="D58" s="8" t="inlineStr">
        <is>
          <t>前提条件（Điều kiện trước）</t>
        </is>
      </c>
    </row>
    <row r="59">
      <c r="E59" s="9" t="inlineStr">
        <is>
          <t>- Điều kiện: mỗi biến thể chỉ thay một nhóm điều kiện, cùng rule và cùng đối tượng áp dụng; ngưỡng cố định `T=70`, dấu `&lt;`, P1 có `S=60` và thuộc phạm vi áp dụng.
- Dữ liệu test: (A) điều kiện cùng nguồn `A≥50` AND `A&lt;70`; mỗi P9–P16 là một lượt độc lập, reset/configure nguồn theo đúng fixture TD-SRC-17…24, không dùng chung một snapshot cho các giá trị khác nhau. (R) dùng snapshot TD-SRC-11/12/13; (A+R) dùng identity/snapshot riêng TD-SRC-14/15/16. Đây là fixture cần provision/quan sát, chưa phải dữ liệu đã có. (Bộ lọc) TD-GRP-04 có ba identity với reader/snapshot riêng nhưng cùng `A=60`, `R=60%`, `S=60`, rule `A≥50 AND R≥50%`, `T=70`, dấu `&lt;`; positive khớp khối 1 và Nâng cao, hai negative chỉ sai khối hoặc chỉ sai nhóm. Phải ghi identity và giá trị reader từng lượt, không thay A/R khi đổi bộ lọc. Trạng thái dùng riêng TD-SRC-26…29: P17 có A=NaN, P19 có A=Infinity, P18-A-EMPTY có A thiếu/null và S=25, P18-S-EMPTY có A=60 và S không có điểm. P17/P18-A/P19 dùng rule ưu tiên thấp hơn `T=30`, `S=25` để phát hiện fallback. Không gộp thiếu A với thiếu điểm S và không tái sử dụng fixture giữa các lượt.</t>
        </is>
      </c>
    </row>
    <row r="60">
      <c r="D60" s="8" t="inlineStr">
        <is>
          <t>操作（Thao tác）</t>
        </is>
      </c>
    </row>
    <row r="61">
      <c r="E61" s="9" t="inlineStr">
        <is>
          <t>1. Lưu rule A+A. Với từng variant A-P9…A-P16, reset fixture, chọn đúng TD-SRC tương ứng, ghi identity nhóm/snapshot và xác nhận reader trả đúng A trước khi xét.
2. Lưu và chạy riêng RR-60/RR-49.9/RR-70 theo TD-SRC-11…13 và AR-60-60/AR-40-60/AR-60-40 theo TD-SRC-14…16; không dùng snapshot của variant trước.
3. Chạy riêng FILTER-POS, FILTER-GRADE-NEG và FILTER-GROUP-NEG với TD-GRP-04; mỗi lượt chỉ một predicate lọc âm tính.
4. Chạy P17-A-NAN, P19-A-INFINITY, P18-A-EMPTY và P18-S-EMPTY trên TD-SRC-26…29/fixture nguồn riêng; ghi trạng thái reader và kiểm tra không fallback.
5. Mở lại từng rule và kiểm tra các điều kiện vẫn thuộc cùng rule, đúng source và không bị đổi thành OR.
Phạm vi từng lượt chạy:
- A-P9: Nhánh A-P9 trong thủ tục và Expected của case; thực hiện các bước chuẩn bị chung trước nhánh
- A-P10: Nhánh A-P10 trong thủ tục và Expected của case; thực hiện các bước chuẩn bị chung trước nhánh
- A-P11: Nhánh A-P11 trong thủ tục và Expected của case; thực hiện các bước chuẩn bị chung trước nhánh
- A-P12: Nhánh A-P12 trong thủ tục và Expected của case; thực hiện các bước chuẩn bị chung trước nhánh
- A-P13: Nhánh A-P13 trong thủ tục và Expected của case; thực hiện các bước chuẩn bị chung trước nhánh
- A-P14: Nhánh A-P14 trong thủ tục và Expected của case; thực hiện các bước chuẩn bị chung trước nhánh
- A-P15: Nhánh A-P15 trong thủ tục và Expected của case; thực hiện các bước chuẩn bị chung trước nhánh
- A-P16: Nhánh A-P16 trong thủ tục và Expected của case; thực hiện các bước chuẩn bị chung trước nhánh
- RR-60: Nhánh RR-60 trong thủ tục và Expected của case; thực hiện các bước chuẩn bị chung trước nhánh
- RR-49.9: Nhánh RR-49.9 trong thủ tục và Expected của case; thực hiện các bước chuẩn bị chung trước nhánh
- RR-70: Nhánh RR-70 trong thủ tục và Expected của case; thực hiện các bước chuẩn bị chung trước nhánh
- AR-60-60: Nhánh AR-60-60 trong thủ tục và Expected của case; thực hiện các bước chuẩn bị chung trước nhánh
- AR-40-60: Nhánh AR-40-60 trong thủ tục và Expected của case; thực hiện các bước chuẩn bị chung trước nhánh
- AR-60-40: Nhánh AR-60-40 trong thủ tục và Expected của case; thực hiện các bước chuẩn bị chung trước nhánh
- FILTER-POS: Nhánh FILTER-POS trong thủ tục và Expected của case; thực hiện các bước chuẩn bị chung trước nhánh
- FILTER-GRADE-NEG: Nhánh FILTER-GRADE-NEG trong thủ tục và Expected của case; thực hiện các bước chuẩn bị chung trước nhánh
- FILTER-GROUP-NEG: Nhánh FILTER-GROUP-NEG trong thủ tục và Expected của case; thực hiện các bước chuẩn bị chung trước nhánh
- P17-A-NAN: Nhánh P17-A-NAN trong thủ tục và Expected của case; thực hiện các bước chuẩn bị chung trước nhánh
- P19-A-INFINITY: Nhánh P19-A-INFINITY trong thủ tục và Expected của case; thực hiện các bước chuẩn bị chung trước nhánh
- P18-A-EMPTY: Nhánh P18-A-EMPTY trong thủ tục và Expected của case; thực hiện các bước chuẩn bị chung trước nhánh
- P18-S-EMPTY: Nhánh P18-S-EMPTY trong thủ tục và Expected của case; thực hiện các bước chuẩn bị chung trước nhánh
- reopen-summary: Bước 5 sau từng cấu hình ở bước 1–4, giữ source và phép AND khi mở lại; positive A+A đã nằm ở A-P10/P11/P14/P15, không tạo lượt AA-POS không có fixture riêng</t>
        </is>
      </c>
    </row>
    <row r="62">
      <c r="D62" s="8" t="inlineStr">
        <is>
          <t>期待結果（Kết quả mong đợi）</t>
        </is>
      </c>
    </row>
    <row r="63">
      <c r="E63" s="9" t="inlineStr">
        <is>
          <t>1. Biến thể A: P9/P12/P13/P16 không thỏa; P10/P11/P14/P15 thỏa `50≤A&lt;70`; với `T=70`, chỉ học sinh positive có `S=60` bị Đỏ. Mỗi kết quả chỉ hợp lệ khi source identity/reader evidence khớp TD-SRC tương ứng.
2. Biến thể R: `R=60%` → thỏa, P1 Đỏ; `R=49.9%` và `R=70%` → Không áp dụng; không tự tính lại R nếu chưa có source fixture quan sát được.
3. Biến thể A+R: `A=60,R=60%` → thỏa, P1 Đỏ; `A=40,R=60%` và `A=60,R=40%` → Không áp dụng. P1 chỉ được xét khi **cả** điều kiện đúng.
4. Với cả ba lượt đã xác nhận reader `A=60`, `R=60%`, `S=60`: FILTER-POS khớp tất cả điều kiện nên Đỏ (`60&lt;70`); FILTER-GRADE-NEG chỉ sai khối và FILTER-GROUP-NEG chỉ sai nhóm nên đều Không áp dụng, không có dấu đỏ. OR chỉ áp dụng trong cùng loại (Khối 1 hoặc 2); nhóm Nâng cao là điều kiện loại khác nên phải AND.
5. P17-A-NAN, P19-A-INFINITY và P18-A-EMPTY đều Chưa xét được, không xuống rule thấp hơn dù `S=25&lt;T=30`, và không giữ kết quả đỏ cũ. P18-S-EMPTY có A hợp lệ nhưng điểm học sinh trống nên Không có điểm. Bằng chứng phải cho thấy source A, S và trạng thái kết quả riêng; không thay Chưa xét được bằng Không áp dụng. Không diễn giải A+R thành OR, không ghép hai rule riêng bằng AND. Nếu không dựng được giá trị qua reader/UI, biến thể tương ứng BLOCKED/NEEDS_EVIDENCE nhưng giữ oracle trên.</t>
        </is>
      </c>
    </row>
    <row r="64">
      <c r="D64" s="8" t="inlineStr">
        <is>
          <t>証跡（Bằng chứng）</t>
        </is>
      </c>
    </row>
    <row r="65">
      <c r="E65" s="9" t="inlineStr">
        <is>
          <t>
          </t>
        </is>
      </c>
    </row>
    <row r="66">
      <c r="D66" s="8" t="inlineStr">
        <is>
          <t>リセット（Đặt lại）</t>
        </is>
      </c>
    </row>
    <row r="67">
      <c r="E67" s="9" t="inlineStr">
        <is>
          <t>
          </t>
        </is>
      </c>
    </row>
    <row r="68">
      <c r="D68" s="9" t="inlineStr">
        <is>
          <t>
          </t>
        </is>
      </c>
    </row>
    <row r="69">
      <c r="C69" s="9" t="inlineStr">
        <is>
          <t>TC-RS-BR-005 — Toàn bộ đối tượng（全員が対象） không vượt phạm vi mục, trường, năm</t>
        </is>
      </c>
    </row>
    <row r="70">
      <c r="D70" s="10" t="inlineStr">
        <is>
          <t>Priority: Cao ｜ Status: CONFIRMED ｜ Readiness: UNASSESSED ｜ Requirement ID: tiêu chí nghiệm thu “Đối tượng áp dụng và nhu cầu nguồn” (AC-G05 «Đối tượng áp dụng và nhu cầu nguồn»)</t>
        </is>
      </c>
    </row>
    <row r="71">
      <c r="D71" s="8" t="inlineStr">
        <is>
          <t>前提条件（Điều kiện trước）</t>
        </is>
      </c>
    </row>
    <row r="72">
      <c r="E72" s="9" t="inlineStr">
        <is>
          <t>- Điều kiện: mục số nguyên (M=100) có quy tắc “Cố định 30” (dưới 30) (Toàn bộ). Trường B (trường B (trường khác)) có học sinh điểm 10 ở mục tương tự. Mục mục số thập phân (M=100) (không có quy tắc) có S09=29.5.
- Dữ liệu test: mục số nguyên (M=100), mục số thập phân (M=100); quy tắc “Cố định 30” (dưới 30), trường B (trường khác), học sinh S09 (mục số thập phân 29.5)</t>
        </is>
      </c>
    </row>
    <row r="73">
      <c r="D73" s="8" t="inlineStr">
        <is>
          <t>操作（Thao tác）</t>
        </is>
      </c>
    </row>
    <row r="74">
      <c r="E74" s="9" t="inlineStr">
        <is>
          <t>1. Chạy xét hàng loạt cho trường A.
2. Xem kết quả S09 ở mục số thập phân (M=100) và dữ liệu trường B.
Phạm vi từng lượt chạy:
- Base: Toàn bộ thủ tục theo đúng thứ tự; các đối chứng cùng fixture được kiểm trong cùng lượt, không bỏ bước</t>
        </is>
      </c>
    </row>
    <row r="75">
      <c r="D75" s="8" t="inlineStr">
        <is>
          <t>期待結果（Kết quả mong đợi）</t>
        </is>
      </c>
    </row>
    <row r="76">
      <c r="E76" s="9" t="inlineStr">
        <is>
          <t>Chỉ ô của mục số nguyên (M=100) trong trường A năm 2026 được xét. S09 ở mục số thập phân (M=100) và học sinh trường B không bị ảnh hưởng.</t>
        </is>
      </c>
    </row>
    <row r="77">
      <c r="D77" s="8" t="inlineStr">
        <is>
          <t>証跡（Bằng chứng）</t>
        </is>
      </c>
    </row>
    <row r="78">
      <c r="E78" s="9" t="inlineStr">
        <is>
          <t>
          </t>
        </is>
      </c>
    </row>
    <row r="79">
      <c r="D79" s="8" t="inlineStr">
        <is>
          <t>リセット（Đặt lại）</t>
        </is>
      </c>
    </row>
    <row r="80">
      <c r="E80" s="9" t="inlineStr">
        <is>
          <t>
          </t>
        </is>
      </c>
    </row>
    <row r="81">
      <c r="D81" s="9" t="inlineStr">
        <is>
          <t>
          </t>
        </is>
      </c>
    </row>
    <row r="82">
      <c r="C82" s="9" t="inlineStr">
        <is>
          <t>TC-RS-BR-006 — Nhóm tham chiếu tách khỏi đối tượng áp dụng và danh sách đang lọc ở đầu ra</t>
        </is>
      </c>
    </row>
    <row r="83">
      <c r="D83" s="10" t="inlineStr">
        <is>
          <t>Priority: Cao ｜ Status: CONFIRMED ｜ Readiness: UNASSESSED ｜ Requirement ID: tiêu chí nghiệm thu “Đúng phạm vi tham chiếu” (AC-G12 «Đúng phạm vi tham chiếu»)</t>
        </is>
      </c>
    </row>
    <row r="84">
      <c r="D84" s="8" t="inlineStr">
        <is>
          <t>前提条件（Điều kiện trước）</t>
        </is>
      </c>
    </row>
    <row r="85">
      <c r="E85" s="9" t="inlineStr">
        <is>
          <t>- Điều kiện: Quy tắc chỉ áp dụng cho lớp G-A (bộ lọc lớp), công thức `A×0.5`, nguồn có nhóm tham chiếu là một nhóm tổng hợp chứa cả G-A và G-B, `A=50` (G-A riêng có trung bình 40). Đã xét: `T=25`.
- Dữ liệu test: Nguồn theo nhóm tổng hợp chứa G-A và G-B (không dùng nhóm theo khối vì G-A thuộc khối 1, G-B thuộc khối 2); các lớp học phần G-A, G-B, G-C</t>
        </is>
      </c>
    </row>
    <row r="86">
      <c r="D86" s="8" t="inlineStr">
        <is>
          <t>操作（Thao tác）</t>
        </is>
      </c>
    </row>
    <row r="87">
      <c r="E87" s="9" t="inlineStr">
        <is>
          <t>1. Xem kết quả của học sinh G-A điểm 24 (Đỏ) và 26 (Không đỏ).
2. Chạy trích xuất chỉ lọc lớp G-A.
3. Chạy lại xét.
Phạm vi từng lượt chạy:
- Base: Toàn bộ thủ tục theo đúng thứ tự; các đối chứng cùng fixture được kiểm trong cùng lượt, không bỏ bước</t>
        </is>
      </c>
    </row>
    <row r="88">
      <c r="D88" s="8" t="inlineStr">
        <is>
          <t>期待結果（Kết quả mong đợi）</t>
        </is>
      </c>
    </row>
    <row r="89">
      <c r="E89" s="9" t="inlineStr">
        <is>
          <t>Kết quả vẫn dùng `T=25` (từ `A=50` của cả nhóm). Lọc lớp ở đầu ra hoặc đối tượng chỉ G-A không làm trung bình thành 40 (`T=20`).</t>
        </is>
      </c>
    </row>
    <row r="90">
      <c r="D90" s="8" t="inlineStr">
        <is>
          <t>証跡（Bằng chứng）</t>
        </is>
      </c>
    </row>
    <row r="91">
      <c r="E91" s="9" t="inlineStr">
        <is>
          <t>
          </t>
        </is>
      </c>
    </row>
    <row r="92">
      <c r="D92" s="8" t="inlineStr">
        <is>
          <t>リセット（Đặt lại）</t>
        </is>
      </c>
    </row>
    <row r="93">
      <c r="E93" s="9" t="inlineStr">
        <is>
          <t>
          </t>
        </is>
      </c>
    </row>
    <row r="94">
      <c r="D94" s="9" t="inlineStr">
        <is>
          <t>
          </t>
        </is>
      </c>
    </row>
    <row r="95">
      <c r="C95" s="9" t="inlineStr">
        <is>
          <t>TC-RS-BR-007 — Nguồn: bản đã chốt được ưu tiên hơn tổng hợp mới hơn</t>
        </is>
      </c>
    </row>
    <row r="96">
      <c r="D96" s="10" t="inlineStr">
        <is>
          <t>Priority: Cao ｜ Status: CONFIRMED ｜ Readiness: UNASSESSED ｜ Requirement ID: tiêu chí nghiệm thu “Ưu tiên bản chốt và xử lý thiếu nguồn” (AC-G13 «Ưu tiên bản chốt và xử lý thiếu nguồn»); tiêu chí nghiệm thu “Phạm vi từng đợt” (AC-G40 «Phạm vi từng đợt»)</t>
        </is>
      </c>
    </row>
    <row r="97">
      <c r="D97" s="8" t="inlineStr">
        <is>
          <t>前提条件（Điều kiện trước）</t>
        </is>
      </c>
    </row>
    <row r="98">
      <c r="E98" s="9" t="inlineStr">
        <is>
          <t>- Điều kiện: Có bản tổng hợp đã chốt (trung bình 49.99) (chốt, `A=49.99`) và bản tổng hợp mới nhất chưa chốt (trung bình 62) (mới hơn, `A=62`) cùng phạm vi. mục số nguyên (M=100) có cặp quy tắc phân nhánh theo trung bình 60. Dummy data (dữ liệu giả cho bản tổng hợp đã chốt).
- Dữ liệu test: mục số nguyên (M=100); bản tổng hợp đã chốt (trung bình 49.99), bản tổng hợp mới nhất chưa chốt (trung bình 62), cặp quy tắc phân nhánh theo trung bình 60; học sinh điểm 24 và 26</t>
        </is>
      </c>
    </row>
    <row r="99">
      <c r="D99" s="8" t="inlineStr">
        <is>
          <t>操作（Thao tác）</t>
        </is>
      </c>
    </row>
    <row r="100">
      <c r="E100" s="9" t="inlineStr">
        <is>
          <t>1. Chạy nút cam.
2. Xem kết quả.
Phạm vi từng lượt chạy:
- Base: Toàn bộ thủ tục theo đúng thứ tự; các đối chứng cùng fixture được kiểm trong cùng lượt, không bỏ bước</t>
        </is>
      </c>
    </row>
    <row r="101">
      <c r="D101" s="8" t="inlineStr">
        <is>
          <t>期待結果（Kết quả mong đợi）</t>
        </is>
      </c>
    </row>
    <row r="102">
      <c r="E102" s="9" t="inlineStr">
        <is>
          <t>Dùng `A=49.99` → nhánh ưu tiên 2 (`A&lt;60`), `T=24.995` → điểm 24 Đỏ, điểm 26 Không đỏ. Không dùng `A=62` (sẽ vào nhánh `A≥60`, `T=30`, điểm 26 Đỏ).</t>
        </is>
      </c>
    </row>
    <row r="103">
      <c r="D103" s="8" t="inlineStr">
        <is>
          <t>証跡（Bằng chứng）</t>
        </is>
      </c>
    </row>
    <row r="104">
      <c r="E104" s="9" t="inlineStr">
        <is>
          <t>
          </t>
        </is>
      </c>
    </row>
    <row r="105">
      <c r="D105" s="8" t="inlineStr">
        <is>
          <t>リセット（Đặt lại）</t>
        </is>
      </c>
    </row>
    <row r="106">
      <c r="E106" s="9" t="inlineStr">
        <is>
          <t>
          </t>
        </is>
      </c>
    </row>
    <row r="107">
      <c r="D107" s="9" t="inlineStr">
        <is>
          <t>
          </t>
        </is>
      </c>
    </row>
    <row r="108">
      <c r="C108" s="9" t="inlineStr">
        <is>
          <t>TC-RS-BR-008 — Nguồn: chưa có bản chốt → dùng tổng hợp hoàn tất mới nhất cùng phạm vi</t>
        </is>
      </c>
    </row>
    <row r="109">
      <c r="D109" s="10" t="inlineStr">
        <is>
          <t>Priority: Cao ｜ Status: CONFIRMED ｜ Readiness: UNASSESSED ｜ Requirement ID: tiêu chí nghiệm thu “Ưu tiên bản chốt và xử lý thiếu nguồn” (AC-G13 «Ưu tiên bản chốt và xử lý thiếu nguồn»)</t>
        </is>
      </c>
    </row>
    <row r="110">
      <c r="D110" s="8" t="inlineStr">
        <is>
          <t>前提条件（Điều kiện trước）</t>
        </is>
      </c>
    </row>
    <row r="111">
      <c r="E111" s="9" t="inlineStr">
        <is>
          <t>- Điều kiện: Chỉ có bản tổng hợp mới nhất chưa chốt (trung bình 62) (`A=62`), không có bản chốt; có thêm một tổng hợp cũ hơn `A=55` và một tổng hợp khác kỳ mới hơn `A=40`.
- Dữ liệu test: bản tổng hợp mới nhất chưa chốt (trung bình 62), cặp quy tắc phân nhánh theo trung bình 60</t>
        </is>
      </c>
    </row>
    <row r="112">
      <c r="D112" s="8" t="inlineStr">
        <is>
          <t>操作（Thao tác）</t>
        </is>
      </c>
    </row>
    <row r="113">
      <c r="E113" s="9" t="inlineStr">
        <is>
          <t>1. Chạy nút cam.
2. Xem kết quả học sinh điểm 26 và 29.
3. Bắt đầu một lượt tổng hợp mới cùng phạm vi sau bản tổng hợp mới nhất chưa chốt (trung bình 62) nhưng chưa hoàn tất (đang chạy hoặc thất bại); chạy lại nút cam.
Phạm vi từng lượt chạy:
- completed: Bản mới nhất hoàn tất
- running: Bản mới đang chạy
- failed: Bản mới thất bại</t>
        </is>
      </c>
    </row>
    <row r="114">
      <c r="D114" s="8" t="inlineStr">
        <is>
          <t>期待結果（Kết quả mong đợi）</t>
        </is>
      </c>
    </row>
    <row r="115">
      <c r="E115" s="9" t="inlineStr">
        <is>
          <t>1–2. Dùng `A=62` (mới nhất, cùng kỳ) → nhánh `A≥60`, `T=30` → 26 và 29 Đỏ. Không dùng bản cũ hơn hoặc bản khác kỳ.
3. Vẫn dùng `A=62` của bản hoàn tất mới nhất; không đọc lượt tổng hợp chưa hoàn tất.</t>
        </is>
      </c>
    </row>
    <row r="116">
      <c r="D116" s="8" t="inlineStr">
        <is>
          <t>証跡（Bằng chứng）</t>
        </is>
      </c>
    </row>
    <row r="117">
      <c r="E117" s="9" t="inlineStr">
        <is>
          <t>
          </t>
        </is>
      </c>
    </row>
    <row r="118">
      <c r="D118" s="8" t="inlineStr">
        <is>
          <t>リセット（Đặt lại）</t>
        </is>
      </c>
    </row>
    <row r="119">
      <c r="E119" s="9" t="inlineStr">
        <is>
          <t>
          </t>
        </is>
      </c>
    </row>
    <row r="120">
      <c r="D120" s="9" t="inlineStr">
        <is>
          <t>
          </t>
        </is>
      </c>
    </row>
    <row r="121">
      <c r="C121" s="9" t="inlineStr">
        <is>
          <t>TC-RS-BR-009 — Nguồn: bản đã chốt thiếu dữ liệu → Chưa xét được, không chuyển sang bản thường</t>
        </is>
      </c>
    </row>
    <row r="122">
      <c r="D122" s="10" t="inlineStr">
        <is>
          <t>Priority: Cao ｜ Status: CONFIRMED ｜ Readiness: UNASSESSED ｜ Requirement ID: tiêu chí nghiệm thu “Ưu tiên bản chốt và xử lý thiếu nguồn” (AC-G13 «Ưu tiên bản chốt và xử lý thiếu nguồn»); tiêu chí nghiệm thu “Phạm vi từng đợt” (AC-G40 «Phạm vi từng đợt»)</t>
        </is>
      </c>
    </row>
    <row r="123">
      <c r="D123" s="8" t="inlineStr">
        <is>
          <t>前提条件（Điều kiện trước）</t>
        </is>
      </c>
    </row>
    <row r="124">
      <c r="E124" s="9" t="inlineStr">
        <is>
          <t>- Điều kiện: Có bản đã chốt thiếu dữ liệu của ô (chốt, thiếu dòng cho môn/mục) và bản tổng hợp mới nhất chưa chốt (trung bình 62) (thường, đầy đủ). cặp quy tắc phân nhánh theo trung bình 60. Ô trước đó Đỏ.
- Dữ liệu test: bản đã chốt thiếu dữ liệu của ô, bản tổng hợp mới nhất chưa chốt (trung bình 62), cặp quy tắc phân nhánh theo trung bình 60</t>
        </is>
      </c>
    </row>
    <row r="125">
      <c r="D125" s="8" t="inlineStr">
        <is>
          <t>操作（Thao tác）</t>
        </is>
      </c>
    </row>
    <row r="126">
      <c r="E126" s="9" t="inlineStr">
        <is>
          <t>1. Chạy nút cam.
2. Xem kết quả và ba đầu ra.
Phạm vi từng lượt chạy:
- Base: Toàn bộ thủ tục theo đúng thứ tự; các đối chứng cùng fixture được kiểm trong cùng lượt, không bỏ bước</t>
        </is>
      </c>
    </row>
    <row r="127">
      <c r="D127" s="8" t="inlineStr">
        <is>
          <t>期待結果（Kết quả mong đợi）</t>
        </is>
      </c>
    </row>
    <row r="128">
      <c r="E128" s="9" t="inlineStr">
        <is>
          <t>Chưa xét được; ngừng dùng dấu/lọc đỏ cũ; điểm giữ nguyên. Không dùng bản tổng hợp mới nhất chưa chốt (trung bình 62) hay bản khác kỳ.</t>
        </is>
      </c>
    </row>
    <row r="129">
      <c r="D129" s="8" t="inlineStr">
        <is>
          <t>証跡（Bằng chứng）</t>
        </is>
      </c>
    </row>
    <row r="130">
      <c r="E130" s="9" t="inlineStr">
        <is>
          <t>
          </t>
        </is>
      </c>
    </row>
    <row r="131">
      <c r="D131" s="8" t="inlineStr">
        <is>
          <t>リセット（Đặt lại）</t>
        </is>
      </c>
    </row>
    <row r="132">
      <c r="E132" s="9" t="inlineStr">
        <is>
          <t>
          </t>
        </is>
      </c>
    </row>
    <row r="133">
      <c r="D133" s="9" t="inlineStr">
        <is>
          <t>
          </t>
        </is>
      </c>
    </row>
    <row r="134">
      <c r="C134" s="9" t="inlineStr">
        <is>
          <t>TC-RS-BR-010 — Chưa có kết quả tổng hợp → Chưa xét được, không thay bằng 0 hay nhóm khác</t>
        </is>
      </c>
    </row>
    <row r="135">
      <c r="D135" s="10" t="inlineStr">
        <is>
          <t>Priority: Cao ｜ Status: CONFIRMED ｜ Readiness: UNASSESSED ｜ Requirement ID: tiêu chí nghiệm thu “Ưu tiên bản chốt và xử lý thiếu nguồn” (AC-G13 «Ưu tiên bản chốt và xử lý thiếu nguồn»)</t>
        </is>
      </c>
    </row>
    <row r="136">
      <c r="D136" s="8" t="inlineStr">
        <is>
          <t>前提条件（Điều kiện trước）</t>
        </is>
      </c>
    </row>
    <row r="137">
      <c r="E137" s="9" t="inlineStr">
        <is>
          <t>- Điều kiện: Công thức `A×0.5` với nguồn nguồn chưa có kết quả tổng hợp (chưa tổng hợp). Ô trước đó Đỏ.
- Dữ liệu test: nguồn chưa có kết quả tổng hợp</t>
        </is>
      </c>
    </row>
    <row r="138">
      <c r="D138" s="8" t="inlineStr">
        <is>
          <t>操作（Thao tác）</t>
        </is>
      </c>
    </row>
    <row r="139">
      <c r="E139" s="9" t="inlineStr">
        <is>
          <t>1. Chạy nút cam.
2. Xem kết quả.
Phạm vi từng lượt chạy:
- Base: Toàn bộ thủ tục theo đúng thứ tự; các đối chứng cùng fixture được kiểm trong cùng lượt, không bỏ bước</t>
        </is>
      </c>
    </row>
    <row r="140">
      <c r="D140" s="8" t="inlineStr">
        <is>
          <t>期待結果（Kết quả mong đợi）</t>
        </is>
      </c>
    </row>
    <row r="141">
      <c r="E141" s="9" t="inlineStr">
        <is>
          <t>Chưa xét được; `A` không bị coi là 0 (nếu coi 0 thì `T=0`, mọi điểm dương Không đỏ); không dùng nhóm khác; ngừng dấu đỏ cũ.</t>
        </is>
      </c>
    </row>
    <row r="142">
      <c r="D142" s="8" t="inlineStr">
        <is>
          <t>証跡（Bằng chứng）</t>
        </is>
      </c>
    </row>
    <row r="143">
      <c r="E143" s="9" t="inlineStr">
        <is>
          <t>
          </t>
        </is>
      </c>
    </row>
    <row r="144">
      <c r="D144" s="8" t="inlineStr">
        <is>
          <t>リセット（Đặt lại）</t>
        </is>
      </c>
    </row>
    <row r="145">
      <c r="E145" s="9" t="inlineStr">
        <is>
          <t>
          </t>
        </is>
      </c>
    </row>
    <row r="146">
      <c r="D146" s="9" t="inlineStr">
        <is>
          <t>
          </t>
        </is>
      </c>
    </row>
    <row r="147">
      <c r="C147" s="9" t="inlineStr">
        <is>
          <t>TC-RS-BR-011 — Nguồn chỉ cần khi quy tắc đọc trung bình/tỷ lệ nhóm</t>
        </is>
      </c>
    </row>
    <row r="148">
      <c r="D148" s="10" t="inlineStr">
        <is>
          <t>Priority: Cao ｜ Status: CONFIRMED ｜ Readiness: UNASSESSED ｜ Requirement ID: tiêu chí nghiệm thu “Đối tượng áp dụng và nhu cầu nguồn” (AC-G05 «Đối tượng áp dụng và nhu cầu nguồn»)</t>
        </is>
      </c>
    </row>
    <row r="149">
      <c r="D149" s="8" t="inlineStr">
        <is>
          <t>前提条件（Điều kiện trước）</t>
        </is>
      </c>
    </row>
    <row r="150">
      <c r="E150" s="9" t="inlineStr">
        <is>
          <t>- Điều kiện: Không có kết quả tổng hợp nào (nguồn chưa có kết quả tổng hợp).
- Dữ liệu test: quy tắc “Cố định 30” (dưới 30), quy tắc tỷ lệ 30%, nguồn chưa có kết quả tổng hợp, học sinh S01 (điểm 29)</t>
        </is>
      </c>
    </row>
    <row r="151">
      <c r="D151" s="8" t="inlineStr">
        <is>
          <t>操作（Thao tác）</t>
        </is>
      </c>
    </row>
    <row r="152">
      <c r="E152" s="9" t="inlineStr">
        <is>
          <t>1. Chỉ có quy tắc “Cố định 30” (dưới 30) (Toàn bộ, không điều kiện trung bình): đăng ký S01=29.
2. Chỉ có quy tắc tỷ lệ 30%: đăng ký S01=29.
3. Chỉ có quy tắc "cố định 30 `&lt;`, điều kiện `A≥60`": đăng ký S01=29.
Phạm vi từng lượt chạy:
- fixed: Ngưỡng cố định
- ratio: Ngưỡng tỷ lệ
- average-condition: Điều kiện trung bình</t>
        </is>
      </c>
    </row>
    <row r="153">
      <c r="D153" s="8" t="inlineStr">
        <is>
          <t>期待結果（Kết quả mong đợi）</t>
        </is>
      </c>
    </row>
    <row r="154">
      <c r="E154" s="9" t="inlineStr">
        <is>
          <t>1. Đỏ (không cần nguồn).
2. Đỏ (`M=100`, `T=30`; không cần nguồn).
3. Chưa xét được; không bỏ điều kiện để áp 30 cho mọi học sinh.</t>
        </is>
      </c>
    </row>
    <row r="155">
      <c r="D155" s="8" t="inlineStr">
        <is>
          <t>証跡（Bằng chứng）</t>
        </is>
      </c>
    </row>
    <row r="156">
      <c r="E156" s="9" t="inlineStr">
        <is>
          <t>
          </t>
        </is>
      </c>
    </row>
    <row r="157">
      <c r="D157" s="8" t="inlineStr">
        <is>
          <t>リセット（Đặt lại）</t>
        </is>
      </c>
    </row>
    <row r="158">
      <c r="E158" s="9" t="inlineStr">
        <is>
          <t>
          </t>
        </is>
      </c>
    </row>
    <row r="159">
      <c r="D159" s="9" t="inlineStr">
        <is>
          <t>
          </t>
        </is>
      </c>
    </row>
    <row r="160">
      <c r="C160" s="9" t="inlineStr">
        <is>
          <t>TC-RS-BR-012 — Điểm được xét là điểm cuối đã lưu (dự kiến, sửa tay, sau giới hạn miền điểm)</t>
        </is>
      </c>
    </row>
    <row r="161">
      <c r="D161" s="10" t="inlineStr">
        <is>
          <t>Priority: Cao ｜ Status: CONFIRMED ｜ Readiness: UNASSESSED ｜ Requirement ID: tiêu chí nghiệm thu “Dùng điểm cuối cùng” (AC-G19 «Dùng điểm cuối cùng»)</t>
        </is>
      </c>
    </row>
    <row r="162">
      <c r="D162" s="8" t="inlineStr">
        <is>
          <t>前提条件（Điều kiện trước）</t>
        </is>
      </c>
    </row>
    <row r="163">
      <c r="E163" s="9" t="inlineStr">
        <is>
          <t>- Điều kiện: mục số nguyên (M=100) có quy tắc “Cố định 30” (dưới 30) và (cho biến thể c) mục số nguyên có thêm tính tự động có quy tắc tính tự động cho kết quả vượt 100.
- Dữ liệu test: mục số nguyên (M=100), mục số nguyên có thêm tính tự động; học sinh S06 (điểm dự kiến 24), học sinh S08 (sửa tay 28 thành 35), quy tắc “Cố định 30” (dưới 30)</t>
        </is>
      </c>
    </row>
    <row r="164">
      <c r="D164" s="8" t="inlineStr">
        <is>
          <t>操作（Thao tác）</t>
        </is>
      </c>
    </row>
    <row r="165">
      <c r="E165" s="9" t="inlineStr">
        <is>
          <t>(a) S06 = 24 là Điểm dự kiến（見込点）: đăng ký.
(b) S08: nhập 28, lưu; sửa tay thành 35, lưu.
(c) Tạo dữ liệu mà phép tính cho 120 nhưng điểm lưu hợp lệ là 100; áp quy tắc cố định 100 `&lt;` và 100 `≤`.
Phạm vi từng lượt chạy:
- projected: Điểm dự kiến 24
- manual: Chuỗi sửa tay 28 thành 35
- clamp-lt: Điểm sau chặn 100 với nhỏ hơn
- clamp-le: Điểm sau chặn 100 với nhỏ hơn hoặc bằng</t>
        </is>
      </c>
    </row>
    <row r="166">
      <c r="D166" s="8" t="inlineStr">
        <is>
          <t>期待結果（Kết quả mong đợi）</t>
        </is>
      </c>
    </row>
    <row r="167">
      <c r="E167" s="9" t="inlineStr">
        <is>
          <t>(a) Đỏ.
(b) Sau lần lưu thứ hai: xét 35 → Không đỏ.
(c) Xét `S=100`: `&lt;100` Không đỏ; `≤100` Đỏ.</t>
        </is>
      </c>
    </row>
    <row r="168">
      <c r="D168" s="8" t="inlineStr">
        <is>
          <t>証跡（Bằng chứng）</t>
        </is>
      </c>
    </row>
    <row r="169">
      <c r="E169" s="9" t="inlineStr">
        <is>
          <t>
          </t>
        </is>
      </c>
    </row>
    <row r="170">
      <c r="D170" s="8" t="inlineStr">
        <is>
          <t>リセット（Đặt lại）</t>
        </is>
      </c>
    </row>
    <row r="171">
      <c r="E171" s="9" t="inlineStr">
        <is>
          <t>
          </t>
        </is>
      </c>
    </row>
    <row r="172">
      <c r="D172" s="9" t="inlineStr">
        <is>
          <t>
          </t>
        </is>
      </c>
    </row>
    <row r="173">
      <c r="C173" s="9" t="inlineStr">
        <is>
          <t>TC-RS-BR-013 — Cờ Chưa dự thi（未受験） không loại điểm số khỏi xét</t>
        </is>
      </c>
    </row>
    <row r="174">
      <c r="D174" s="10" t="inlineStr">
        <is>
          <t>Priority: Cao ｜ Status: CONFIRMED ｜ Readiness: UNASSESSED ｜ Requirement ID: tiêu chí nghiệm thu “Dùng điểm cuối cùng” (AC-G19 «Dùng điểm cuối cùng»)</t>
        </is>
      </c>
    </row>
    <row r="175">
      <c r="D175" s="8" t="inlineStr">
        <is>
          <t>前提条件（Điều kiện trước）</t>
        </is>
      </c>
    </row>
    <row r="176">
      <c r="E176" s="9" t="inlineStr">
        <is>
          <t>- Điều kiện: quy tắc “Cố định 30” (dưới 30) (`&lt;30`).
- Dữ liệu test: quy tắc “Cố định 30” (dưới 30); học sinh S07 (điểm 35, cờ Chưa dự thi（未受験）) (35, cờ Chưa dự thi) và biến thể S07 = 25 cùng cờ; học sinh S09 (mục số thập phân 29.5) (mục số thập phân (M=100) = 29.5) được thiết lập loại khỏi xếp hạng; mục số thập phân (M=100) có quy tắc “Cố định 30” (dưới 30)</t>
        </is>
      </c>
    </row>
    <row r="177">
      <c r="D177" s="8" t="inlineStr">
        <is>
          <t>操作（Thao tác）</t>
        </is>
      </c>
    </row>
    <row r="178">
      <c r="E178" s="9" t="inlineStr">
        <is>
          <t>1. Đăng ký S07=35 kèm cờ Chưa dự thi（未受験）.
2. Sửa S07=25, giữ cờ.
3. Đăng ký điểm 29.5 cho S09 (học sinh bị loại khỏi xếp hạng); chạy nút xanh rồi nút cam.
Phạm vi từng lượt chạy:
- notexam35: Cờ chưa dự thi với điểm 35
- notexam25: Cờ chưa dự thi với điểm 25
- ranking-excluded: Loại khỏi xếp hạng với điểm 29.5</t>
        </is>
      </c>
    </row>
    <row r="179">
      <c r="D179" s="8" t="inlineStr">
        <is>
          <t>期待結果（Kết quả mong đợi）</t>
        </is>
      </c>
    </row>
    <row r="180">
      <c r="E180" s="9" t="inlineStr">
        <is>
          <t>1. Được xét → Không đỏ.
2. Được xét → Đỏ.
3. S09 được xét → Đỏ (29.5 `&lt;30`); việc bị loại khỏi xếp hạng không loại ô khỏi xét đỏ.</t>
        </is>
      </c>
    </row>
    <row r="181">
      <c r="D181" s="8" t="inlineStr">
        <is>
          <t>証跡（Bằng chứng）</t>
        </is>
      </c>
    </row>
    <row r="182">
      <c r="E182" s="9" t="inlineStr">
        <is>
          <t>
          </t>
        </is>
      </c>
    </row>
    <row r="183">
      <c r="D183" s="8" t="inlineStr">
        <is>
          <t>リセット（Đặt lại）</t>
        </is>
      </c>
    </row>
    <row r="184">
      <c r="E184" s="9" t="inlineStr">
        <is>
          <t>
          </t>
        </is>
      </c>
    </row>
    <row r="185">
      <c r="D185" s="9" t="inlineStr">
        <is>
          <t>
          </t>
        </is>
      </c>
    </row>
    <row r="186">
      <c r="C186" s="9" t="inlineStr">
        <is>
          <t>TC-RS-BR-014 — Ô trống không bị coi là 0 (trạng thái Không có điểm)</t>
        </is>
      </c>
    </row>
    <row r="187">
      <c r="D187" s="10" t="inlineStr">
        <is>
          <t>Priority: Cao ｜ Status: CONFIRMED ｜ Readiness: UNASSESSED ｜ Requirement ID: tiêu chí nghiệm thu “Dùng điểm cuối cùng” (AC-G19 «Dùng điểm cuối cùng»)</t>
        </is>
      </c>
    </row>
    <row r="188">
      <c r="D188" s="8" t="inlineStr">
        <is>
          <t>前提条件（Điều kiện trước）</t>
        </is>
      </c>
    </row>
    <row r="189">
      <c r="E189" s="9" t="inlineStr">
        <is>
          <t>- Điều kiện: quy tắc “Cố định 30” (dưới 30) (`&lt;30`) và quy tắc cố định 30 với Nhỏ hơn hoặc bằng（以下） biến thể cố định 0 `≤`.
- Dữ liệu test: quy tắc “Cố định 30” (dưới 30), quy tắc cố định 30 với Nhỏ hơn hoặc bằng（以下）; học sinh S05 (ô trống) (trống), học sinh S04 (điểm 0) (0)</t>
        </is>
      </c>
    </row>
    <row r="190">
      <c r="D190" s="8" t="inlineStr">
        <is>
          <t>操作（Thao tác）</t>
        </is>
      </c>
    </row>
    <row r="191">
      <c r="E191" s="9" t="inlineStr">
        <is>
          <t>1. Với quy tắc “Cố định 30” (dưới 30): đăng ký S04=0, để S05 trống.
2. Đổi thành quy tắc cố định 0 `≤`, chạy lại.
Phạm vi từng lượt chạy:
- fixed30-lt: Ngưỡng 30 nhỏ hơn, kiểm cả trống và 0
- fixed0-le: Ngưỡng 0 nhỏ hơn hoặc bằng, kiểm cả trống và 0</t>
        </is>
      </c>
    </row>
    <row r="192">
      <c r="D192" s="8" t="inlineStr">
        <is>
          <t>期待結果（Kết quả mong đợi）</t>
        </is>
      </c>
    </row>
    <row r="193">
      <c r="E193" s="9" t="inlineStr">
        <is>
          <t>1. S04 Đỏ (0 hợp lệ là số); S05 Không có điểm, không dấu đỏ.
2. S04 Đỏ (`0≤0`); S05 vẫn Không có điểm (không thành Đỏ như thể là 0).</t>
        </is>
      </c>
    </row>
    <row r="194">
      <c r="D194" s="8" t="inlineStr">
        <is>
          <t>証跡（Bằng chứng）</t>
        </is>
      </c>
    </row>
    <row r="195">
      <c r="E195" s="9" t="inlineStr">
        <is>
          <t>
          </t>
        </is>
      </c>
    </row>
    <row r="196">
      <c r="D196" s="8" t="inlineStr">
        <is>
          <t>リセット（Đặt lại）</t>
        </is>
      </c>
    </row>
    <row r="197">
      <c r="E197" s="9" t="inlineStr">
        <is>
          <t>
          </t>
        </is>
      </c>
    </row>
    <row r="198">
      <c r="D198" s="9" t="inlineStr">
        <is>
          <t>
          </t>
        </is>
      </c>
    </row>
    <row r="199">
      <c r="C199" s="9" t="inlineStr">
        <is>
          <t>TC-RS-BR-015 — Lưu cấu hình không xét; kết quả trước giữ tới lần chạy lại</t>
        </is>
      </c>
    </row>
    <row r="200">
      <c r="D200" s="10" t="inlineStr">
        <is>
          <t>Priority: Cao ｜ Status: CONFIRMED ｜ Readiness: UNASSESSED ｜ Requirement ID: tiêu chí nghiệm thu “Giữ kết quả trước khi chạy lại” (AC-G21 «Giữ kết quả trước khi chạy lại và xóa rule cuối»)</t>
        </is>
      </c>
    </row>
    <row r="201">
      <c r="D201" s="8" t="inlineStr">
        <is>
          <t>前提条件（Điều kiện trước）</t>
        </is>
      </c>
    </row>
    <row r="202">
      <c r="E202" s="9" t="inlineStr">
        <is>
          <t>- Điều kiện: quy tắc “Cố định 30” (dưới 30); S03 sửa thành 32 và đã xét → Không đỏ.
- Dữ liệu test: quy tắc “Cố định 30” (dưới 30)</t>
        </is>
      </c>
    </row>
    <row r="203">
      <c r="D203" s="8" t="inlineStr">
        <is>
          <t>操作（Thao tác）</t>
        </is>
      </c>
    </row>
    <row r="204">
      <c r="E204" s="9" t="inlineStr">
        <is>
          <t>1. Đổi ngưỡng thành 35 `&lt;`, lưu.
2. Xem ba đầu ra.
3. Đổi thứ tự quy tắc/đổi nguồn (nếu có), lưu, xem lại.
4. Chỉ đổi dấu (`&lt;35` → `≤35`), lưu, xem lại. Nếu công thức thuộc đợt phát hành: chỉ đổi công thức của một quy tắc công thức, lưu, xem lại.
5. Chạy lại (đăng ký lại điểm S03 hoặc nút cam), xem ba đầu ra.
Phạm vi từng lượt chạy:
- Base: Toàn bộ thủ tục theo đúng thứ tự; các đối chứng cùng fixture được kiểm trong cùng lượt, không bỏ bước</t>
        </is>
      </c>
    </row>
    <row r="205">
      <c r="D205" s="8" t="inlineStr">
        <is>
          <t>期待結果（Kết quả mong đợi）</t>
        </is>
      </c>
    </row>
    <row r="206">
      <c r="E206" s="9" t="inlineStr">
        <is>
          <t>1. Sau lưu: không báo "đã cập nhật điểm đỏ học sinh"; có hướng dẫn chạy lại.
2–4. S03 vẫn Không đỏ theo kết quả trước; hiệu ứng hiển thị trước đó giữ nguyên.
5. Sau chạy lại thành công: S03 Đỏ.</t>
        </is>
      </c>
    </row>
    <row r="207">
      <c r="D207" s="8" t="inlineStr">
        <is>
          <t>証跡（Bằng chứng）</t>
        </is>
      </c>
    </row>
    <row r="208">
      <c r="E208" s="9" t="inlineStr">
        <is>
          <t>
          </t>
        </is>
      </c>
    </row>
    <row r="209">
      <c r="D209" s="8" t="inlineStr">
        <is>
          <t>リセット（Đặt lại）</t>
        </is>
      </c>
    </row>
    <row r="210">
      <c r="E210" s="9" t="inlineStr">
        <is>
          <t>
          </t>
        </is>
      </c>
    </row>
    <row r="211">
      <c r="D211" s="9" t="inlineStr">
        <is>
          <t>
          </t>
        </is>
      </c>
    </row>
    <row r="212">
      <c r="C212" s="9" t="inlineStr">
        <is>
          <t>TC-RS-BR-016 — Sửa điểm 29 → 40 được lưu và xét trong cùng lượt</t>
        </is>
      </c>
    </row>
    <row r="213">
      <c r="D213" s="10" t="inlineStr">
        <is>
          <t>Priority: Cao ｜ Status: CONFIRMED ｜ Readiness: UNASSESSED ｜ Requirement ID: tiêu chí nghiệm thu “Lưu thành công và thông báo an toàn” (AC-G26 «Lưu thành công và thông báo an toàn»)</t>
        </is>
      </c>
    </row>
    <row r="214">
      <c r="D214" s="8" t="inlineStr">
        <is>
          <t>前提条件（Điều kiện trước）</t>
        </is>
      </c>
    </row>
    <row r="215">
      <c r="E215" s="9" t="inlineStr">
        <is>
          <t>- Điều kiện: quy tắc “Cố định 30” (dưới 30); S01=29 Đỏ.
- Dữ liệu test: quy tắc “Cố định 30” (dưới 30); học sinh S01 (điểm 29)</t>
        </is>
      </c>
    </row>
    <row r="216">
      <c r="D216" s="8" t="inlineStr">
        <is>
          <t>操作（Thao tác）</t>
        </is>
      </c>
    </row>
    <row r="217">
      <c r="E217" s="9" t="inlineStr">
        <is>
          <t>1. Sửa S01 thành 40, lưu thành công.
2. Xem ba đầu ra ngay sau đó.
Phạm vi từng lượt chạy:
- Base: Toàn bộ thủ tục theo đúng thứ tự; các đối chứng cùng fixture được kiểm trong cùng lượt, không bỏ bước</t>
        </is>
      </c>
    </row>
    <row r="218">
      <c r="D218" s="8" t="inlineStr">
        <is>
          <t>期待結果（Kết quả mong đợi）</t>
        </is>
      </c>
    </row>
    <row r="219">
      <c r="E219" s="9" t="inlineStr">
        <is>
          <t>S01 Không đỏ; không cần bật một chế độ thủ công/tự động riêng.</t>
        </is>
      </c>
    </row>
    <row r="220">
      <c r="D220" s="8" t="inlineStr">
        <is>
          <t>証跡（Bằng chứng）</t>
        </is>
      </c>
    </row>
    <row r="221">
      <c r="E221" s="9" t="inlineStr">
        <is>
          <t>
          </t>
        </is>
      </c>
    </row>
    <row r="222">
      <c r="D222" s="8" t="inlineStr">
        <is>
          <t>リセット（Đặt lại）</t>
        </is>
      </c>
    </row>
    <row r="223">
      <c r="E223" s="9" t="inlineStr">
        <is>
          <t>
          </t>
        </is>
      </c>
    </row>
    <row r="224">
      <c r="D224" s="9" t="inlineStr">
        <is>
          <t>
          </t>
        </is>
      </c>
    </row>
    <row r="225">
      <c r="C225" s="9" t="inlineStr">
        <is>
          <t>TC-RS-BR-017 — Chạy lại không tạo được ngưỡng hợp lệ → Chưa xét được, ngừng kết quả cũ, giữ điểm</t>
        </is>
      </c>
    </row>
    <row r="226">
      <c r="D226" s="10" t="inlineStr">
        <is>
          <t>Priority: Cao ｜ Status: CONFIRMED ｜ Readiness: UNASSESSED ｜ Requirement ID: tiêu chí nghiệm thu “Trạng thái sau lần chạy” (AC-G20 «Trạng thái sau lần chạy»)</t>
        </is>
      </c>
    </row>
    <row r="227">
      <c r="D227" s="8" t="inlineStr">
        <is>
          <t>前提条件（Điều kiện trước）</t>
        </is>
      </c>
    </row>
    <row r="228">
      <c r="E228" s="9" t="inlineStr">
        <is>
          <t>- Điều kiện: Ô S01=29 Đỏ theo công thức `A×0.5` (nguồn bản tổng hợp mới nhất chưa chốt (trung bình 62)).
- Dữ liệu test: mục có M không hợp lệ, quy tắc công thức 100 ÷ trung bình, bản tổng hợp mới nhất chưa chốt (trung bình 62); học sinh S01 (điểm 29), nguồn chưa có kết quả tổng hợp</t>
        </is>
      </c>
    </row>
    <row r="229">
      <c r="D229" s="8" t="inlineStr">
        <is>
          <t>操作（Thao tác）</t>
        </is>
      </c>
    </row>
    <row r="230">
      <c r="E230" s="9" t="inlineStr">
        <is>
          <t>1. Từ baseline độc lập, xác nhận S01=29 đang Đỏ; tạo biến thể (a) bằng cách đổi nguồn sang nguồn chưa có kết quả tổng hợp (không có tổng hợp), lưu, chạy lại.
2. Khôi phục/rebuild baseline S01=29 Đỏ; tạo biến thể (b) bằng quy tắc tỷ lệ với M không hợp lệ (mục có M không hợp lệ), rồi chạy lại.
3. Khôi phục/rebuild baseline S01=29 Đỏ; tạo biến thể (c) bằng quy tắc công thức 100 ÷ trung bình với `A=0`, rồi chạy lại.
4. Sau mỗi biến thể: xem ba đầu ra và điểm S01.
Phạm vi từng lượt chạy:
- invalid-M: Nhánh invalid-M trong thủ tục và Expected của case; thực hiện các bước chuẩn bị chung trước nhánh
- missing-source: Nhánh missing-source trong thủ tục và Expected của case; thực hiện các bước chuẩn bị chung trước nhánh
- invalid-formula: Nhánh invalid-formula trong thủ tục và Expected của case; thực hiện các bước chuẩn bị chung trước nhánh</t>
        </is>
      </c>
    </row>
    <row r="231">
      <c r="D231" s="8" t="inlineStr">
        <is>
          <t>期待結果（Kết quả mong đợi）</t>
        </is>
      </c>
    </row>
    <row r="232">
      <c r="E232" s="9" t="inlineStr">
        <is>
          <t>Mỗi biến thể: trạng thái Chưa xét được; dấu/lọc đỏ cũ ngừng ở cả ba đầu ra; điểm S01 vẫn 29; không đi xuống quy tắc thấp hơn; không bật lại ngưỡng cũ `red_score`.</t>
        </is>
      </c>
    </row>
    <row r="233">
      <c r="D233" s="8" t="inlineStr">
        <is>
          <t>証跡（Bằng chứng）</t>
        </is>
      </c>
    </row>
    <row r="234">
      <c r="E234" s="9" t="inlineStr">
        <is>
          <t>
          </t>
        </is>
      </c>
    </row>
    <row r="235">
      <c r="D235" s="8" t="inlineStr">
        <is>
          <t>リセット（Đặt lại）</t>
        </is>
      </c>
    </row>
    <row r="236">
      <c r="E236" s="9" t="inlineStr">
        <is>
          <t>
          </t>
        </is>
      </c>
    </row>
    <row r="237">
      <c r="D237" s="9" t="inlineStr">
        <is>
          <t>
          </t>
        </is>
      </c>
    </row>
    <row r="238">
      <c r="C238" s="9" t="inlineStr">
        <is>
          <t>TC-RS-BR-018 — Đổi phạm vi làm ô không còn quy tắc áp dụng: giữ khi chưa chạy; chạy lại → Không áp dụng</t>
        </is>
      </c>
    </row>
    <row r="239">
      <c r="D239" s="10" t="inlineStr">
        <is>
          <t>Priority: Cao ｜ Status: CONFIRMED ｜ Readiness: UNASSESSED ｜ Requirement ID: tiêu chí nghiệm thu “Giữ kết quả trước khi chạy lại” (AC-G21 «Giữ kết quả trước khi chạy lại và xóa rule cuối»)</t>
        </is>
      </c>
    </row>
    <row r="240">
      <c r="D240" s="8" t="inlineStr">
        <is>
          <t>前提条件（Điều kiện trước）</t>
        </is>
      </c>
    </row>
    <row r="241">
      <c r="E241" s="9" t="inlineStr">
        <is>
          <t>- Điều kiện: Quy tắc lọc lớp G-A; S01 (G-A) = 29 Đỏ.
- Dữ liệu test: học sinh S01 (điểm 29)</t>
        </is>
      </c>
    </row>
    <row r="242">
      <c r="D242" s="8" t="inlineStr">
        <is>
          <t>操作（Thao tác）</t>
        </is>
      </c>
    </row>
    <row r="243">
      <c r="E243" s="9" t="inlineStr">
        <is>
          <t>1. Đổi bộ lọc sang lớp G-B, lưu. Xem đầu ra.
2. Chạy lại. Xem đầu ra.
Phạm vi từng lượt chạy:
- Base: Toàn bộ thủ tục theo đúng thứ tự; các đối chứng cùng fixture được kiểm trong cùng lượt, không bỏ bước</t>
        </is>
      </c>
    </row>
    <row r="244">
      <c r="D244" s="8" t="inlineStr">
        <is>
          <t>期待結果（Kết quả mong đợi）</t>
        </is>
      </c>
    </row>
    <row r="245">
      <c r="E245" s="9" t="inlineStr">
        <is>
          <t>1. S01 vẫn Đỏ (kết quả trước).
2. S01 Không áp dụng; ngừng dấu/lọc đỏ cũ; điểm giữ nguyên.</t>
        </is>
      </c>
    </row>
    <row r="246">
      <c r="D246" s="8" t="inlineStr">
        <is>
          <t>証跡（Bằng chứng）</t>
        </is>
      </c>
    </row>
    <row r="247">
      <c r="E247" s="9" t="inlineStr">
        <is>
          <t>
          </t>
        </is>
      </c>
    </row>
    <row r="248">
      <c r="D248" s="8" t="inlineStr">
        <is>
          <t>リセット（Đặt lại）</t>
        </is>
      </c>
    </row>
    <row r="249">
      <c r="E249" s="9" t="inlineStr">
        <is>
          <t>
          </t>
        </is>
      </c>
    </row>
    <row r="250">
      <c r="D250" s="9" t="inlineStr">
        <is>
          <t>
          </t>
        </is>
      </c>
    </row>
    <row r="251">
      <c r="C251" s="9" t="inlineStr">
        <is>
          <t>TC-RS-BR-019 — Xóa quy tắc cuối: giữ kết quả tới lần chạy lại; chạy lại → Không áp dụng</t>
        </is>
      </c>
    </row>
    <row r="252">
      <c r="D252" s="10" t="inlineStr">
        <is>
          <t>Priority: Cao ｜ Status: CONFIRMED ｜ Readiness: UNASSESSED ｜ Requirement ID: tiêu chí nghiệm thu “Giữ kết quả trước khi chạy lại” (AC-G21 «Giữ kết quả trước khi chạy lại và xóa rule cuối»)</t>
        </is>
      </c>
    </row>
    <row r="253">
      <c r="D253" s="8" t="inlineStr">
        <is>
          <t>前提条件（Điều kiện trước）</t>
        </is>
      </c>
    </row>
    <row r="254">
      <c r="E254" s="9" t="inlineStr">
        <is>
          <t>- Điều kiện: mục số nguyên (M=100) chỉ có quy tắc “Cố định 30” (dưới 30); S01=29 Đỏ. Trích xuất cấu hình trích xuất: lọc, ký hiệu “*” phía trước, tô màu, công khai `*` trước, phiếu cấu hình phiếu điểm: ký tự “※” phía trước đã cấu hình.
- Dữ liệu test: mục số nguyên (M=100), quy tắc “Cố định 30” (dưới 30); học sinh S01 (điểm 29), cấu hình trích xuất: lọc, ký hiệu “*” phía trước, tô màu, cấu hình công khai: “*” phía trước, cấu hình phiếu điểm: ký tự “※” phía trước</t>
        </is>
      </c>
    </row>
    <row r="255">
      <c r="D255" s="8" t="inlineStr">
        <is>
          <t>操作（Thao tác）</t>
        </is>
      </c>
    </row>
    <row r="256">
      <c r="E256" s="9" t="inlineStr">
        <is>
          <t>1. Xóa quy tắc “Cố định 30” (dưới 30) (quy tắc cuối).
2. Xem ba đầu ra.
3. Chạy lại bằng đăng ký điểm lớp G-A hoặc chạy hàng loạt.
4. Xem ba đầu ra và cấu hình trình bày đầu ra.
Phạm vi từng lượt chạy:
- registration: Chạy lại bằng đăng ký điểm
- batch: Chạy lại bằng nút cam, reset baseline trước lượt này</t>
        </is>
      </c>
    </row>
    <row r="257">
      <c r="D257" s="8" t="inlineStr">
        <is>
          <t>期待結果（Kết quả mong đợi）</t>
        </is>
      </c>
    </row>
    <row r="258">
      <c r="E258" s="9" t="inlineStr">
        <is>
          <t>1–2. Danh sách rỗng nhưng S01 vẫn hiện dấu đỏ/thỏa lọc ở ba đầu ra.
3–4. Lần chạy xét cả mục đã hết quy tắc: S01 Không áp dụng, ngừng dấu/lọc; điểm giữ nguyên. Cấu hình trình bày đỏ đã lưu ở đầu ra không bị xóa như tác dụng phụ.</t>
        </is>
      </c>
    </row>
    <row r="259">
      <c r="D259" s="8" t="inlineStr">
        <is>
          <t>証跡（Bằng chứng）</t>
        </is>
      </c>
    </row>
    <row r="260">
      <c r="E260" s="9" t="inlineStr">
        <is>
          <t>
          </t>
        </is>
      </c>
    </row>
    <row r="261">
      <c r="D261" s="8" t="inlineStr">
        <is>
          <t>リセット（Đặt lại）</t>
        </is>
      </c>
    </row>
    <row r="262">
      <c r="E262" s="9" t="inlineStr">
        <is>
          <t>
          </t>
        </is>
      </c>
    </row>
    <row r="263">
      <c r="D263" s="9" t="inlineStr">
        <is>
          <t>
          </t>
        </is>
      </c>
    </row>
    <row r="264">
      <c r="C264" s="9" t="inlineStr">
        <is>
          <t>TC-RS-BR-020 — Xóa điểm thành trống → Không có điểm, bỏ dấu đỏ cũ</t>
        </is>
      </c>
    </row>
    <row r="265">
      <c r="D265" s="10" t="inlineStr">
        <is>
          <t>Priority: Cao ｜ Status: CONFIRMED ｜ Readiness: UNASSESSED ｜ Requirement ID: tiêu chí nghiệm thu “Dùng điểm cuối cùng” (AC-G19 «Dùng điểm cuối cùng»)</t>
        </is>
      </c>
    </row>
    <row r="266">
      <c r="D266" s="8" t="inlineStr">
        <is>
          <t>前提条件（Điều kiện trước）</t>
        </is>
      </c>
    </row>
    <row r="267">
      <c r="E267" s="9" t="inlineStr">
        <is>
          <t>- Điều kiện: S01=29 Đỏ.
- Dữ liệu test: học sinh S01 (điểm 29), cấu hình trích xuất: lọc, ký hiệu “*” phía trước, tô màu</t>
        </is>
      </c>
    </row>
    <row r="268">
      <c r="D268" s="8" t="inlineStr">
        <is>
          <t>操作（Thao tác）</t>
        </is>
      </c>
    </row>
    <row r="269">
      <c r="E269" s="9" t="inlineStr">
        <is>
          <t>1. Xóa điểm S01 thành trống, lưu.
2. Xem ba đầu ra, chạy trích xuất có lọc đỏ.
Phạm vi từng lượt chạy:
- Base: Toàn bộ thủ tục theo đúng thứ tự; các đối chứng cùng fixture được kiểm trong cùng lượt, không bỏ bước</t>
        </is>
      </c>
    </row>
    <row r="270">
      <c r="D270" s="8" t="inlineStr">
        <is>
          <t>期待結果（Kết quả mong đợi）</t>
        </is>
      </c>
    </row>
    <row r="271">
      <c r="E271" s="9" t="inlineStr">
        <is>
          <t>S01 Không có điểm; không còn dấu đỏ; không thỏa lọc đỏ nhờ ô này. Không cần chờ chạy lại.</t>
        </is>
      </c>
    </row>
    <row r="272">
      <c r="D272" s="8" t="inlineStr">
        <is>
          <t>証跡（Bằng chứng）</t>
        </is>
      </c>
    </row>
    <row r="273">
      <c r="E273" s="9" t="inlineStr">
        <is>
          <t>
          </t>
        </is>
      </c>
    </row>
    <row r="274">
      <c r="D274" s="8" t="inlineStr">
        <is>
          <t>リセット（Đặt lại）</t>
        </is>
      </c>
    </row>
    <row r="275">
      <c r="E275" s="9" t="inlineStr">
        <is>
          <t>
          </t>
        </is>
      </c>
    </row>
    <row r="276">
      <c r="D276" s="9" t="inlineStr">
        <is>
          <t>
          </t>
        </is>
      </c>
    </row>
    <row r="277">
      <c r="C277" s="9" t="inlineStr">
        <is>
          <t>TC-RS-BR-021 — Tổng hợp lại hoặc đổi nhóm tham chiếu không tự xét lại</t>
        </is>
      </c>
    </row>
    <row r="278">
      <c r="D278" s="10" t="inlineStr">
        <is>
          <t>Priority: Cao ｜ Status: CONFIRMED ｜ Readiness: UNASSESSED ｜ Requirement ID: tiêu chí nghiệm thu “Thứ tự đánh giá tương đối” (AC-G25 «Thứ tự đánh giá tương đối»)</t>
        </is>
      </c>
    </row>
    <row r="279">
      <c r="D279" s="8" t="inlineStr">
        <is>
          <t>前提条件（Điều kiện trước）</t>
        </is>
      </c>
    </row>
    <row r="280">
      <c r="E280" s="9" t="inlineStr">
        <is>
          <t>- Điều kiện: Công thức `A×0.5`, `A=50` → `T=25`; học sinh điểm 24 Đỏ.
- Dữ liệu test: bản tổng hợp mới nhất chưa chốt (trung bình 62)</t>
        </is>
      </c>
    </row>
    <row r="281">
      <c r="D281" s="8" t="inlineStr">
        <is>
          <t>操作（Thao tác）</t>
        </is>
      </c>
    </row>
    <row r="282">
      <c r="E282" s="9" t="inlineStr">
        <is>
          <t>1. Sửa điểm nhóm để trung bình mới là 40, bấm Thực hiện tổng hợp（集計実行）.
2. Xem kết quả học sinh 24.
3. Bấm Thực hiện tính toán tự động（自動算出実行）, xem lại.
Phạm vi từng lượt chạy:
- Base: Toàn bộ thủ tục theo đúng thứ tự; các đối chứng cùng fixture được kiểm trong cùng lượt, không bỏ bước</t>
        </is>
      </c>
    </row>
    <row r="283">
      <c r="D283" s="8" t="inlineStr">
        <is>
          <t>期待結果（Kết quả mong đợi）</t>
        </is>
      </c>
    </row>
    <row r="284">
      <c r="E284" s="9" t="inlineStr">
        <is>
          <t>1–2. Vẫn Đỏ theo kết quả trước (không tự xét lại).
3. `A=40` → `T=20` → 24 Không đỏ.</t>
        </is>
      </c>
    </row>
    <row r="285">
      <c r="D285" s="8" t="inlineStr">
        <is>
          <t>証跡（Bằng chứng）</t>
        </is>
      </c>
    </row>
    <row r="286">
      <c r="E286" s="9" t="inlineStr">
        <is>
          <t>
          </t>
        </is>
      </c>
    </row>
    <row r="287">
      <c r="D287" s="8" t="inlineStr">
        <is>
          <t>リセット（Đặt lại）</t>
        </is>
      </c>
    </row>
    <row r="288">
      <c r="E288" s="9" t="inlineStr">
        <is>
          <t>
          </t>
        </is>
      </c>
    </row>
    <row r="289">
      <c r="D289" s="9" t="inlineStr">
        <is>
          <t>
          </t>
        </is>
      </c>
    </row>
    <row r="290">
      <c r="C290" s="9" t="inlineStr">
        <is>
          <t>TC-RS-BR-022 — Đổi M ở Thiết lập điểm tối đa（満点設定） hoặc Giá trị tối đa（最大値） không tự xét lại</t>
        </is>
      </c>
    </row>
    <row r="291">
      <c r="D291" s="10" t="inlineStr">
        <is>
          <t>Priority: Cao ｜ Status: CONFIRMED ｜ Readiness: UNASSESSED ｜ Requirement ID: tiêu chí nghiệm thu “Trigger khi đổi điểm tối đa/đơn vị” (AC-G24 «Trigger khi đổi điểm tối đa/đơn vị»)</t>
        </is>
      </c>
    </row>
    <row r="292">
      <c r="D292" s="8" t="inlineStr">
        <is>
          <t>前提条件（Điều kiện trước）</t>
        </is>
      </c>
    </row>
    <row r="293">
      <c r="E293" s="9" t="inlineStr">
        <is>
          <t>- Điều kiện: mục số nguyên (M=100) có quy tắc tỷ lệ 30% (30%); S03 = 31, `M=100` → `T=30` → Không đỏ.
- Dữ liệu test: mục số nguyên (M=100); quy tắc tỷ lệ 30%</t>
        </is>
      </c>
    </row>
    <row r="294">
      <c r="D294" s="8" t="inlineStr">
        <is>
          <t>操作（Thao tác）</t>
        </is>
      </c>
    </row>
    <row r="295">
      <c r="E295" s="9" t="inlineStr">
        <is>
          <t>1. Sửa Giá trị tối đa（最大値） của mục số nguyên (M=100) ở Thiết lập ô nhập（入力欄設定） thành 200, lưu. Xem kết quả.
2. Lưu một định nghĩa lựa chọn ở Thiết lập điểm tối đa（満点設定） (`/admin/grade_report_setting/manage/detail/option/register/change_max_score`) (chưa gán cho lớp). Xem kết quả.
3. Đăng ký lại điểm S03. Xem kết quả.
Phạm vi từng lượt chạy:
- Base: Toàn bộ thủ tục theo đúng thứ tự; các đối chứng cùng fixture được kiểm trong cùng lượt, không bỏ bước</t>
        </is>
      </c>
    </row>
    <row r="296">
      <c r="D296" s="8" t="inlineStr">
        <is>
          <t>期待結果（Kết quả mong đợi）</t>
        </is>
      </c>
    </row>
    <row r="297">
      <c r="E297" s="9" t="inlineStr">
        <is>
          <t>1–2. S03 vẫn Không đỏ (kết quả trước).
3. `M=200` → `T=60` → S03=31 Đỏ.</t>
        </is>
      </c>
    </row>
    <row r="298">
      <c r="D298" s="8" t="inlineStr">
        <is>
          <t>証跡（Bằng chứng）</t>
        </is>
      </c>
    </row>
    <row r="299">
      <c r="E299" s="9" t="inlineStr">
        <is>
          <t>
          </t>
        </is>
      </c>
    </row>
    <row r="300">
      <c r="D300" s="8" t="inlineStr">
        <is>
          <t>リセット（Đặt lại）</t>
        </is>
      </c>
    </row>
    <row r="301">
      <c r="E301" s="9" t="inlineStr">
        <is>
          <t>
          </t>
        </is>
      </c>
    </row>
    <row r="302">
      <c r="D302" s="9" t="inlineStr">
        <is>
          <t>
          </t>
        </is>
      </c>
    </row>
    <row r="303">
      <c r="C303" s="9" t="inlineStr">
        <is>
          <t>TC-RS-BR-023 — Nút xanh Thực hiện tổng hợp（集計実行） không xét điểm đỏ</t>
        </is>
      </c>
    </row>
    <row r="304">
      <c r="D304" s="10" t="inlineStr">
        <is>
          <t>Priority: Cao ｜ Status: CONFIRMED ｜ Readiness: UNASSESSED ｜ Requirement ID: tiêu chí nghiệm thu “Thứ tự đánh giá tương đối” (AC-G25 «Thứ tự đánh giá tương đối»)</t>
        </is>
      </c>
    </row>
    <row r="305">
      <c r="D305" s="8" t="inlineStr">
        <is>
          <t>前提条件（Điều kiện trước）</t>
        </is>
      </c>
    </row>
    <row r="306">
      <c r="E306" s="9" t="inlineStr">
        <is>
          <t>- Điều kiện: quy tắc “Cố định 30” (dưới 30) vừa đổi từ 30 thành 35 và lưu; S03=32 Không đỏ (kết quả trước).
- Dữ liệu test: quy tắc “Cố định 30” (dưới 30)</t>
        </is>
      </c>
    </row>
    <row r="307">
      <c r="D307" s="8" t="inlineStr">
        <is>
          <t>操作（Thao tác）</t>
        </is>
      </c>
    </row>
    <row r="308">
      <c r="E308" s="9" t="inlineStr">
        <is>
          <t>1. Bấm Thực hiện tổng hợp（集計実行）, chờ hoàn tất.
2. Xem kết quả S03.
Phạm vi từng lượt chạy:
- Base: Toàn bộ thủ tục theo đúng thứ tự; các đối chứng cùng fixture được kiểm trong cùng lượt, không bỏ bước</t>
        </is>
      </c>
    </row>
    <row r="309">
      <c r="D309" s="8" t="inlineStr">
        <is>
          <t>期待結果（Kết quả mong đợi）</t>
        </is>
      </c>
    </row>
    <row r="310">
      <c r="E310" s="9" t="inlineStr">
        <is>
          <t>S03 vẫn Không đỏ.</t>
        </is>
      </c>
    </row>
    <row r="311">
      <c r="D311" s="8" t="inlineStr">
        <is>
          <t>証跡（Bằng chứng）</t>
        </is>
      </c>
    </row>
    <row r="312">
      <c r="E312" s="9" t="inlineStr">
        <is>
          <t>
          </t>
        </is>
      </c>
    </row>
    <row r="313">
      <c r="D313" s="8" t="inlineStr">
        <is>
          <t>リセット（Đặt lại）</t>
        </is>
      </c>
    </row>
    <row r="314">
      <c r="E314" s="9" t="inlineStr">
        <is>
          <t>
          </t>
        </is>
      </c>
    </row>
    <row r="315">
      <c r="D315" s="9" t="inlineStr">
        <is>
          <t>
          </t>
        </is>
      </c>
    </row>
    <row r="316">
      <c r="C316" s="9" t="inlineStr">
        <is>
          <t>TC-RS-BR-024 — Xem, xuất, công khai, in lại không kích hoạt xét</t>
        </is>
      </c>
    </row>
    <row r="317">
      <c r="D317" s="10" t="inlineStr">
        <is>
          <t>Priority: Cao ｜ Status: CONFIRMED ｜ Readiness: UNASSESSED ｜ Requirement ID: tiêu chí nghiệm thu “Xem/xuất không tự xét” (AC-G28 «Xem/xuất không tự xét»)</t>
        </is>
      </c>
    </row>
    <row r="318">
      <c r="D318" s="8" t="inlineStr">
        <is>
          <t>前提条件（Điều kiện trước）</t>
        </is>
      </c>
    </row>
    <row r="319">
      <c r="E319" s="9" t="inlineStr">
        <is>
          <t>- Điều kiện: Như case “Lưu cấu hình không xét; kết quả trước giữ tới lần chạy lại” bước 1 (đã lưu `&lt;35`, chưa chạy lại; S03=32 Không đỏ).
- Dữ liệu test: cấu hình trích xuất: lọc, ký hiệu “*” phía trước, tô màu, cấu hình công khai: “*” phía trước, cấu hình phiếu điểm: ký tự “※” phía trước</t>
        </is>
      </c>
    </row>
    <row r="320">
      <c r="D320" s="8" t="inlineStr">
        <is>
          <t>操作（Thao tác）</t>
        </is>
      </c>
    </row>
    <row r="321">
      <c r="E321" s="9" t="inlineStr">
        <is>
          <t>1. Chạy trích xuất, xuất Excel.
2. Mở màn công khai học sinh, tải PDF công khai.
3. Xuất PDF phiếu.
Phạm vi từng lượt chạy:
- extract: Trích xuất màn
- excel: File Excel
- publish-web: Màn công khai
- publish-pdf: PDF công khai
- report: Phiếu điểm</t>
        </is>
      </c>
    </row>
    <row r="322">
      <c r="D322" s="8" t="inlineStr">
        <is>
          <t>期待結果（Kết quả mong đợi）</t>
        </is>
      </c>
    </row>
    <row r="323">
      <c r="E323" s="9" t="inlineStr">
        <is>
          <t>S03 vẫn Không đỏ ở mọi đầu ra; không có lượt xét mới (thời điểm kết quả không đổi); không có lượt tổng hợp mới (lượt/thời điểm tổng hợp mới nhất không đổi).</t>
        </is>
      </c>
    </row>
    <row r="324">
      <c r="D324" s="8" t="inlineStr">
        <is>
          <t>証跡（Bằng chứng）</t>
        </is>
      </c>
    </row>
    <row r="325">
      <c r="E325" s="9" t="inlineStr">
        <is>
          <t>
          </t>
        </is>
      </c>
    </row>
    <row r="326">
      <c r="D326" s="8" t="inlineStr">
        <is>
          <t>リセット（Đặt lại）</t>
        </is>
      </c>
    </row>
    <row r="327">
      <c r="E327" s="9" t="inlineStr">
        <is>
          <t>
          </t>
        </is>
      </c>
    </row>
    <row r="328">
      <c r="D328" s="9" t="inlineStr">
        <is>
          <t>
          </t>
        </is>
      </c>
    </row>
    <row r="329">
      <c r="C329" s="9" t="inlineStr">
        <is>
          <t>TC-RS-BR-025 — Đầu ra không bị chặn vì chưa có hoặc chưa xét được kết quả đỏ</t>
        </is>
      </c>
    </row>
    <row r="330">
      <c r="D330" s="10" t="inlineStr">
        <is>
          <t>Priority: Cao ｜ Status: CONFIRMED ｜ Readiness: UNASSESSED ｜ Requirement ID: tiêu chí nghiệm thu “Xem/xuất không tự xét” (AC-G28 «Xem/xuất không tự xét»)</t>
        </is>
      </c>
    </row>
    <row r="331">
      <c r="D331" s="8" t="inlineStr">
        <is>
          <t>前提条件（Điều kiện trước）</t>
        </is>
      </c>
    </row>
    <row r="332">
      <c r="E332" s="9" t="inlineStr">
        <is>
          <t>- Điều kiện: Một số ô Chưa từng xét, một số Chưa xét được.
- Dữ liệu test: cấu hình trích xuất: lọc, ký hiệu “*” phía trước, tô màu, cấu hình công khai: “*” phía trước, cấu hình phiếu điểm: ký tự “※” phía trước</t>
        </is>
      </c>
    </row>
    <row r="333">
      <c r="D333" s="8" t="inlineStr">
        <is>
          <t>操作（Thao tác）</t>
        </is>
      </c>
    </row>
    <row r="334">
      <c r="E334" s="9" t="inlineStr">
        <is>
          <t>1. Chạy trích xuất và xuất Excel.
2. Công khai cho học sinh, xem màn học sinh.
3. Xuất PDF phiếu.
Phạm vi từng lượt chạy:
- extract: Trích xuất
- excel: Excel
- publish: Công khai
- report: Phiếu điểm</t>
        </is>
      </c>
    </row>
    <row r="335">
      <c r="D335" s="8" t="inlineStr">
        <is>
          <t>期待結果（Kết quả mong đợi）</t>
        </is>
      </c>
    </row>
    <row r="336">
      <c r="E336" s="9" t="inlineStr">
        <is>
          <t>Mọi thao tác hoàn tất bình thường; ô chưa có kết quả không có dấu đỏ và hiển thị theo thiết lập hiện hữu. Quyền, lịch công khai, điều kiện ẩn hiện có vẫn giữ.</t>
        </is>
      </c>
    </row>
    <row r="337">
      <c r="D337" s="8" t="inlineStr">
        <is>
          <t>証跡（Bằng chứng）</t>
        </is>
      </c>
    </row>
    <row r="338">
      <c r="E338" s="9" t="inlineStr">
        <is>
          <t>
          </t>
        </is>
      </c>
    </row>
    <row r="339">
      <c r="D339" s="8" t="inlineStr">
        <is>
          <t>リセット（Đặt lại）</t>
        </is>
      </c>
    </row>
    <row r="340">
      <c r="E340" s="9" t="inlineStr">
        <is>
          <t>
          </t>
        </is>
      </c>
    </row>
    <row r="341">
      <c r="D341" s="9" t="inlineStr">
        <is>
          <t>
          </t>
        </is>
      </c>
    </row>
    <row r="342">
      <c r="C342" s="9" t="inlineStr">
        <is>
          <t>TC-RS-BR-027 — Chạy lại nhiều lần cho cùng kết quả, không nhân đôi dấu</t>
        </is>
      </c>
    </row>
    <row r="343">
      <c r="D343" s="10" t="inlineStr">
        <is>
          <t>Priority: Cao ｜ Status: CONFIRMED ｜ Readiness: UNASSESSED ｜ Requirement ID: tiêu chí nghiệm thu “Kết quả chung và thứ tự cập nhật” (AC-G22 «Kết quả chung và thứ tự cập nhật»)</t>
        </is>
      </c>
    </row>
    <row r="344">
      <c r="D344" s="8" t="inlineStr">
        <is>
          <t>前提条件（Điều kiện trước）</t>
        </is>
      </c>
    </row>
    <row r="345">
      <c r="E345" s="9" t="inlineStr">
        <is>
          <t>- Điều kiện: quy tắc “Cố định 30” (dưới 30); S01=29 Đỏ; trích xuất cấu hình trích xuất chỉ ký hiệu (“※” trước, “!” sau) (`※`, `!`).
- Dữ liệu test: quy tắc “Cố định 30” (dưới 30); học sinh S01 (điểm 29), cấu hình trích xuất chỉ ký hiệu (“※” trước, “!” sau)</t>
        </is>
      </c>
    </row>
    <row r="346">
      <c r="D346" s="8" t="inlineStr">
        <is>
          <t>操作（Thao tác）</t>
        </is>
      </c>
    </row>
    <row r="347">
      <c r="E347" s="9" t="inlineStr">
        <is>
          <t>1. Chạy nút cam 3 lần liên tiếp (chờ mỗi lần hoàn tất).
2. Xem trích xuất; SELECT số kết quả hiện hành của ô S01 (khi có schema).
Phạm vi từng lượt chạy:
- Base: Toàn bộ thủ tục theo đúng thứ tự; các đối chứng cùng fixture được kiểm trong cùng lượt, không bỏ bước</t>
        </is>
      </c>
    </row>
    <row r="348">
      <c r="D348" s="8" t="inlineStr">
        <is>
          <t>期待結果（Kết quả mong đợi）</t>
        </is>
      </c>
    </row>
    <row r="349">
      <c r="E349" s="9" t="inlineStr">
        <is>
          <t>Ô S01 hiện `※29!` (không `※※29!!`); chỉ một kết quả hiện hành cho ô.</t>
        </is>
      </c>
    </row>
    <row r="350">
      <c r="D350" s="8" t="inlineStr">
        <is>
          <t>証跡（Bằng chứng）</t>
        </is>
      </c>
    </row>
    <row r="351">
      <c r="E351" s="9" t="inlineStr">
        <is>
          <t>
          </t>
        </is>
      </c>
    </row>
    <row r="352">
      <c r="D352" s="8" t="inlineStr">
        <is>
          <t>リセット（Đặt lại）</t>
        </is>
      </c>
    </row>
    <row r="353">
      <c r="E353" s="9" t="inlineStr">
        <is>
          <t>
          </t>
        </is>
      </c>
    </row>
    <row r="354">
      <c r="D354" s="9" t="inlineStr">
        <is>
          <t>
          </t>
        </is>
      </c>
    </row>
    <row r="355">
      <c r="C355" s="9" t="inlineStr">
        <is>
          <t>TC-RS-BR-028 — Nhóm tham chiếu có lớp khác M không gây lỗi dừng xử lý</t>
        </is>
      </c>
    </row>
    <row r="356">
      <c r="D356" s="10" t="inlineStr">
        <is>
          <t>Priority: Cao ｜ Status: CONFIRMED ｜ Readiness: UNASSESSED ｜ Requirement ID: tiêu chí nghiệm thu “Kế thừa tỷ lệ nhóm” (AC-G15 «Kế thừa tỷ lệ nhóm»)</t>
        </is>
      </c>
    </row>
    <row r="357">
      <c r="D357" s="8" t="inlineStr">
        <is>
          <t>前提条件（Điều kiện trước）</t>
        </is>
      </c>
    </row>
    <row r="358">
      <c r="E358" s="9" t="inlineStr">
        <is>
          <t>- Điều kiện: nhóm tham chiếu gồm G-A có `M=20` và G-B có `M=100`; rule dùng `R (tỷ lệ nhóm)` với điều kiện `R≥65%`; P1 thuộc phạm vi được xét ở G-B (`M=100`).
- Dữ liệu test: G-A có `10/20`, G-B có `80/100`; fixture nguồn đã chuẩn bị/quan sát phải ghi rõ giá trị `R` thực sự được reader sử dụng. Với nguồn tổng điểm/tổng M, fixture này cho `R=75%`; P1 có `S=60`, ngưỡng cố định `T=70` hợp lệ với `M=100`.</t>
        </is>
      </c>
    </row>
    <row r="359">
      <c r="D359" s="8" t="inlineStr">
        <is>
          <t>操作（Thao tác）</t>
        </is>
      </c>
    </row>
    <row r="360">
      <c r="E360" s="9" t="inlineStr">
        <is>
          <t>1. Lưu quy tắc theo tỷ lệ điểm của nhóm từ 65% với nguồn là nhóm trên; ghi source snapshot/reader và xác nhận `R=75%` đã được chuẩn bị.
2. Chạy nút xanh rồi nút cam cho phạm vi.
3. Xem màn kết quả xử lý và kết quả P1.
Phạm vi từng lượt chạy:
- Base: Toàn bộ thủ tục theo đúng thứ tự; các đối chứng cùng fixture được kiểm trong cùng lượt, không bỏ bước</t>
        </is>
      </c>
    </row>
    <row r="361">
      <c r="D361" s="8" t="inlineStr">
        <is>
          <t>期待結果（Kết quả mong đợi）</t>
        </is>
      </c>
    </row>
    <row r="362">
      <c r="E362" s="9" t="inlineStr">
        <is>
          <t>1. Lưu được; không bị chặn vì nhóm có lớp khác M.
2–3. Xử lý hoàn tất, không lỗi dừng do khác M. Ghi lại trong evidence nguồn/bản snapshot và `R` thực sự được reader dùng; nếu reader dùng nguồn tổng điểm/tổng M thì fixture này cho `R=(10+80)/(20+100)×100=75%`, khớp `≥65%`, `T=70` và P1 Đỏ. Không dùng phép tính trong case để áp đặt một cách tổng hợp mới; không dùng trung bình tỷ lệ cá nhân làm oracle thay cho nguồn hiện hữu.</t>
        </is>
      </c>
    </row>
    <row r="363">
      <c r="D363" s="8" t="inlineStr">
        <is>
          <t>証跡（Bằng chứng）</t>
        </is>
      </c>
    </row>
    <row r="364">
      <c r="E364" s="9" t="inlineStr">
        <is>
          <t>
          </t>
        </is>
      </c>
    </row>
    <row r="365">
      <c r="D365" s="8" t="inlineStr">
        <is>
          <t>リセット（Đặt lại）</t>
        </is>
      </c>
    </row>
    <row r="366">
      <c r="E366" s="9" t="inlineStr">
        <is>
          <t>
          </t>
        </is>
      </c>
    </row>
    <row r="367">
      <c r="D367" s="9" t="inlineStr">
        <is>
          <t>
          </t>
        </is>
      </c>
    </row>
    <row r="368">
      <c r="C368" s="9" t="inlineStr">
        <is>
          <t>TC-RS-BR-029 — Mục lựa chọn không được xét, nhưng bộ lọc theo lựa chọn vẫn dùng để chọn đối tượng</t>
        </is>
      </c>
    </row>
    <row r="369">
      <c r="D369" s="10" t="inlineStr">
        <is>
          <t>Priority: Cao ｜ Status: CONFIRMED ｜ Readiness: UNASSESSED ｜ Requirement ID: tiêu chí nghiệm thu “Kiểu điểm được hỗ trợ” (AC-G02 «Kiểu điểm được hỗ trợ»)</t>
        </is>
      </c>
    </row>
    <row r="370">
      <c r="D370" s="8" t="inlineStr">
        <is>
          <t>前提条件（Điều kiện trước）</t>
        </is>
      </c>
    </row>
    <row r="371">
      <c r="E371" s="9" t="inlineStr">
        <is>
          <t>- Điều kiện: mục kiểu lựa chọn A/B/C (A/B/C) có giá trị cho S01 = B, S02 = A.
- Dữ liệu test: mục số nguyên (M=100); mục kiểu lựa chọn A/B/C, quy tắc “Cố định 30” (dưới 30)</t>
        </is>
      </c>
    </row>
    <row r="372">
      <c r="D372" s="8" t="inlineStr">
        <is>
          <t>操作（Thao tác）</t>
        </is>
      </c>
    </row>
    <row r="373">
      <c r="E373" s="9" t="inlineStr">
        <is>
          <t>1. Tạo quy tắc cho mục số nguyên (M=100) với bộ lọc theo lựa chọn（選択肢型） mục kiểu lựa chọn A/B/C = B, cố định 30 `&lt;`.
2. Đăng ký S01=29, S02=29.
Phạm vi từng lượt chạy:
- Base: Toàn bộ thủ tục theo đúng thứ tự; các đối chứng cùng fixture được kiểm trong cùng lượt, không bỏ bước</t>
        </is>
      </c>
    </row>
    <row r="374">
      <c r="D374" s="8" t="inlineStr">
        <is>
          <t>期待結果（Kết quả mong đợi）</t>
        </is>
      </c>
    </row>
    <row r="375">
      <c r="E375" s="9" t="inlineStr">
        <is>
          <t>S01 Đỏ (thuộc đối tượng); S02 Không áp dụng. Không có ô nào của mục kiểu lựa chọn A/B/C được xét đỏ.</t>
        </is>
      </c>
    </row>
    <row r="376">
      <c r="D376" s="8" t="inlineStr">
        <is>
          <t>証跡（Bằng chứng）</t>
        </is>
      </c>
    </row>
    <row r="377">
      <c r="E377" s="9" t="inlineStr">
        <is>
          <t>
          </t>
        </is>
      </c>
    </row>
    <row r="378">
      <c r="D378" s="8" t="inlineStr">
        <is>
          <t>リセット（Đặt lại）</t>
        </is>
      </c>
    </row>
    <row r="379">
      <c r="E379" s="9" t="inlineStr">
        <is>
          <t>
          </t>
        </is>
      </c>
    </row>
    <row r="380">
      <c r="D380" s="9" t="inlineStr">
        <is>
          <t>
          </t>
        </is>
      </c>
    </row>
    <row r="381">
      <c r="C381" s="9" t="inlineStr">
        <is>
          <t>TC-RS-BR-030 — Ô điểm đơn vị được xét riêng theo từng đơn vị</t>
        </is>
      </c>
    </row>
    <row r="382">
      <c r="D382" s="10" t="inlineStr">
        <is>
          <t>Priority: Cao ｜ Status: CONFIRMED ｜ Readiness: UNASSESSED ｜ Requirement ID: tiêu chí nghiệm thu “Kiểu điểm được hỗ trợ” (AC-G02 «Kiểu điểm được hỗ trợ»); tiêu chí nghiệm thu “Nhận diện ô điểm” (AC-G03 «Nhận diện ô điểm»)</t>
        </is>
      </c>
    </row>
    <row r="383">
      <c r="D383" s="8" t="inlineStr">
        <is>
          <t>前提条件（Điều kiện trước）</t>
        </is>
      </c>
    </row>
    <row r="384">
      <c r="E384" s="9" t="inlineStr">
        <is>
          <t>- Điều kiện: mục điểm đơn vị (đơn vị U1 có M riêng 40) có quy tắc “Cố định 30” (dưới 30) (`&lt;30`). S06 (G-B): U1 = 25, U2 = 35.
- Dữ liệu test: quy tắc “Cố định 30” (dưới 30); mục điểm đơn vị (đơn vị U1 có M riêng 40)</t>
        </is>
      </c>
    </row>
    <row r="385">
      <c r="D385" s="8" t="inlineStr">
        <is>
          <t>操作（Thao tác）</t>
        </is>
      </c>
    </row>
    <row r="386">
      <c r="E386" s="9" t="inlineStr">
        <is>
          <t>1. Đăng ký điểm U1, U2 của S06.
2. Xem ba đầu ra ở phạm vi đơn vị.
Phạm vi từng lượt chạy:
- Base: Toàn bộ thủ tục theo đúng thứ tự; các đối chứng cùng fixture được kiểm trong cùng lượt, không bỏ bước</t>
        </is>
      </c>
    </row>
    <row r="387">
      <c r="D387" s="8" t="inlineStr">
        <is>
          <t>期待結果（Kết quả mong đợi）</t>
        </is>
      </c>
    </row>
    <row r="388">
      <c r="E388" s="9" t="inlineStr">
        <is>
          <t>U1 Đỏ, U2 Không đỏ; dấu chỉ ở ô U1. Hai đơn vị không bị gộp thành một ô.</t>
        </is>
      </c>
    </row>
    <row r="389">
      <c r="D389" s="8" t="inlineStr">
        <is>
          <t>証跡（Bằng chứng）</t>
        </is>
      </c>
    </row>
    <row r="390">
      <c r="E390" s="9" t="inlineStr">
        <is>
          <t>
          </t>
        </is>
      </c>
    </row>
    <row r="391">
      <c r="D391" s="8" t="inlineStr">
        <is>
          <t>リセット（Đặt lại）</t>
        </is>
      </c>
    </row>
    <row r="392">
      <c r="E392" s="9" t="inlineStr">
        <is>
          <t>
          </t>
        </is>
      </c>
    </row>
    <row r="393">
      <c r="D393" s="9" t="inlineStr">
        <is>
          <t>
          </t>
        </is>
      </c>
    </row>
    <row r="394">
      <c r="C394" s="9" t="inlineStr">
        <is>
          <t>TC-RS-BR-031 — Giáo viên có quyền sửa mục cấu hình được quy tắc đỏ</t>
        </is>
      </c>
    </row>
    <row r="395">
      <c r="D395" s="10" t="inlineStr">
        <is>
          <t>Priority: Cao ｜ Status: CONFIRMED ｜ Readiness: UNASSESSED ｜ Requirement ID: tiêu chí nghiệm thu “Quyền thao tác và phạm vi dữ liệu” (AC-G01 «Quyền thao tác và phạm vi dữ liệu»)</t>
        </is>
      </c>
    </row>
    <row r="396">
      <c r="D396" s="8" t="inlineStr">
        <is>
          <t>前提条件（Điều kiện trước）</t>
        </is>
      </c>
    </row>
    <row r="397">
      <c r="E397" s="9" t="inlineStr">
        <is>
          <t>- Điều kiện: Đăng nhập tài khoản giáo viên có quyền sửa mục (giáo viên thường, không phải nhân viên nội bộ).
- Dữ liệu test: tài khoản giáo viên có quyền sửa mục, mục số nguyên (M=100)</t>
        </is>
      </c>
    </row>
    <row r="398">
      <c r="D398" s="8" t="inlineStr">
        <is>
          <t>操作（Thao tác）</t>
        </is>
      </c>
    </row>
    <row r="399">
      <c r="E399" s="9" t="inlineStr">
        <is>
          <t>Thêm, sửa điều kiện, sửa ngưỡng, đổi thứ tự, xóa một quy tắc của mục số nguyên (M=100).
Phạm vi từng lượt chạy:
- add: Thử thêm
- condition: Thử sửa điều kiện
- threshold: Thử sửa ngưỡng
- reorder: Thử đổi thứ tự
- delete: Thử xóa</t>
        </is>
      </c>
    </row>
    <row r="400">
      <c r="D400" s="8" t="inlineStr">
        <is>
          <t>期待結果（Kết quả mong đợi）</t>
        </is>
      </c>
    </row>
    <row r="401">
      <c r="E401" s="9" t="inlineStr">
        <is>
          <t>Mọi thao tác thành công.</t>
        </is>
      </c>
    </row>
    <row r="402">
      <c r="D402" s="8" t="inlineStr">
        <is>
          <t>証跡（Bằng chứng）</t>
        </is>
      </c>
    </row>
    <row r="403">
      <c r="E403" s="9" t="inlineStr">
        <is>
          <t>
          </t>
        </is>
      </c>
    </row>
    <row r="404">
      <c r="D404" s="8" t="inlineStr">
        <is>
          <t>リセット（Đặt lại）</t>
        </is>
      </c>
    </row>
    <row r="405">
      <c r="E405" s="9" t="inlineStr">
        <is>
          <t>
          </t>
        </is>
      </c>
    </row>
    <row r="406">
      <c r="D406" s="9" t="inlineStr">
        <is>
          <t>
          </t>
        </is>
      </c>
    </row>
    <row r="407">
      <c r="C407" s="9" t="inlineStr">
        <is>
          <t>TC-RS-BR-032 — Vào được màn nhưng không có quyền sửa mục → không sửa được quy tắc của mục đó</t>
        </is>
      </c>
    </row>
    <row r="408">
      <c r="D408" s="10" t="inlineStr">
        <is>
          <t>Priority: Cao ｜ Status: CONFIRMED ｜ Readiness: UNASSESSED ｜ Requirement ID: tiêu chí nghiệm thu “Quyền thao tác và phạm vi dữ liệu” (AC-G01 «Quyền thao tác và phạm vi dữ liệu»)</t>
        </is>
      </c>
    </row>
    <row r="409">
      <c r="D409" s="8" t="inlineStr">
        <is>
          <t>前提条件（Điều kiện trước）</t>
        </is>
      </c>
    </row>
    <row r="410">
      <c r="E410" s="9" t="inlineStr">
        <is>
          <t>- Điều kiện: Đăng nhập tài khoản giáo viên không có quyền sửa mục. mục chỉ dành nội bộ có một quy tắc.
- Dữ liệu test: tài khoản giáo viên không có quyền sửa mục, mục chỉ dành nội bộ</t>
        </is>
      </c>
    </row>
    <row r="411">
      <c r="D411" s="8" t="inlineStr">
        <is>
          <t>操作（Thao tác）</t>
        </is>
      </c>
    </row>
    <row r="412">
      <c r="E412" s="9" t="inlineStr">
        <is>
          <t>1. Mở Thiết lập ô nhập（入力欄設定）.
2. Thử mở và sửa quy tắc của mục chỉ dành nội bộ.
Phạm vi từng lượt chạy:
- Base: Toàn bộ thủ tục theo đúng thứ tự; các đối chứng cùng fixture được kiểm trong cùng lượt, không bỏ bước</t>
        </is>
      </c>
    </row>
    <row r="413">
      <c r="D413" s="8" t="inlineStr">
        <is>
          <t>期待結果（Kết quả mong đợi）</t>
        </is>
      </c>
    </row>
    <row r="414">
      <c r="E414" s="9" t="inlineStr">
        <is>
          <t>Không có thao tác sửa/thêm/xóa cho mục chỉ dành nội bộ trên màn, hoặc lưu bị từ chối. Quy tắc không đổi.</t>
        </is>
      </c>
    </row>
    <row r="415">
      <c r="D415" s="8" t="inlineStr">
        <is>
          <t>証跡（Bằng chứng）</t>
        </is>
      </c>
    </row>
    <row r="416">
      <c r="E416" s="9" t="inlineStr">
        <is>
          <t>
          </t>
        </is>
      </c>
    </row>
    <row r="417">
      <c r="D417" s="8" t="inlineStr">
        <is>
          <t>リセット（Đặt lại）</t>
        </is>
      </c>
    </row>
    <row r="418">
      <c r="E418" s="9" t="inlineStr">
        <is>
          <t>
          </t>
        </is>
      </c>
    </row>
    <row r="419">
      <c r="D419" s="9" t="inlineStr">
        <is>
          <t>
          </t>
        </is>
      </c>
    </row>
    <row r="420">
      <c r="C420" s="9" t="inlineStr">
        <is>
          <t>TC-RS-BR-033 — Quyền sửa mục không tự cấp quyền chạy hàng loạt</t>
        </is>
      </c>
    </row>
    <row r="421">
      <c r="D421" s="10" t="inlineStr">
        <is>
          <t>Priority: Cao ｜ Status: CONFIRMED ｜ Readiness: UNASSESSED ｜ Requirement ID: tiêu chí nghiệm thu “Quyền thao tác và phạm vi dữ liệu” (AC-G01 «Quyền thao tác và phạm vi dữ liệu»)</t>
        </is>
      </c>
    </row>
    <row r="422">
      <c r="D422" s="8" t="inlineStr">
        <is>
          <t>前提条件（Điều kiện trước）</t>
        </is>
      </c>
    </row>
    <row r="423">
      <c r="E423" s="9" t="inlineStr">
        <is>
          <t>- Điều kiện: Đăng nhập tài khoản sửa được mục nhưng không có quyền chạy hàng loạt.
- Dữ liệu test: tài khoản sửa được mục nhưng không có quyền chạy hàng loạt</t>
        </is>
      </c>
    </row>
    <row r="424">
      <c r="D424" s="8" t="inlineStr">
        <is>
          <t>操作（Thao tác）</t>
        </is>
      </c>
    </row>
    <row r="425">
      <c r="E425" s="9" t="inlineStr">
        <is>
          <t>1. Sửa một quy tắc (thành công).
2. Mở Tổng hợp thành tích（成績集計）, thử chạy tính toán hàng loạt.
Phạm vi từng lượt chạy:
- Base: Toàn bộ thủ tục theo đúng thứ tự; các đối chứng cùng fixture được kiểm trong cùng lượt, không bỏ bước</t>
        </is>
      </c>
    </row>
    <row r="426">
      <c r="D426" s="8" t="inlineStr">
        <is>
          <t>期待結果（Kết quả mong đợi）</t>
        </is>
      </c>
    </row>
    <row r="427">
      <c r="E427" s="9" t="inlineStr">
        <is>
          <t>Không chạy được hàng loạt (thao tác không có hoặc bị từ chối theo quyền hiện hành).</t>
        </is>
      </c>
    </row>
    <row r="428">
      <c r="D428" s="8" t="inlineStr">
        <is>
          <t>証跡（Bằng chứng）</t>
        </is>
      </c>
    </row>
    <row r="429">
      <c r="E429" s="9" t="inlineStr">
        <is>
          <t>
          </t>
        </is>
      </c>
    </row>
    <row r="430">
      <c r="D430" s="8" t="inlineStr">
        <is>
          <t>リセット（Đặt lại）</t>
        </is>
      </c>
    </row>
    <row r="431">
      <c r="E431" s="9" t="inlineStr">
        <is>
          <t>
          </t>
        </is>
      </c>
    </row>
    <row r="432">
      <c r="D432" s="9" t="inlineStr">
        <is>
          <t>
          </t>
        </is>
      </c>
    </row>
    <row r="433">
      <c r="C433" s="9" t="inlineStr">
        <is>
          <t>TC-RS-BR-034 — Bật tự tổng hợp khi đăng ký: hệ thống không chặn; quy tắc độc lập với trung bình vẫn xét</t>
        </is>
      </c>
    </row>
    <row r="434">
      <c r="D434" s="10" t="inlineStr">
        <is>
          <t>Priority: Cao ｜ Status: CONFIRMED ｜ Readiness: UNASSESSED ｜ Requirement ID: tiêu chí nghiệm thu “Bao phủ đường đăng ký và chạy lại” (AC-G23 «Bao phủ đường đăng ký và chạy lại»)</t>
        </is>
      </c>
    </row>
    <row r="435">
      <c r="D435" s="8" t="inlineStr">
        <is>
          <t>前提条件（Điều kiện trước）</t>
        </is>
      </c>
    </row>
    <row r="436">
      <c r="E436" s="9" t="inlineStr">
        <is>
          <t>- Điều kiện: Tự tổng hợp khi đăng ký = Thực hiện（実行する）. mục số nguyên (M=100) có quy tắc “Cố định 30” (dưới 30); mục số thập phân (M=100) có công thức `A×0.5`.
- Dữ liệu test: mục số nguyên (M=100), mục số thập phân (M=100); quy tắc “Cố định 30” (dưới 30), học sinh S01 (điểm 29), học sinh S09 (mục số thập phân 29.5)</t>
        </is>
      </c>
    </row>
    <row r="437">
      <c r="D437" s="8" t="inlineStr">
        <is>
          <t>操作（Thao tác）</t>
        </is>
      </c>
    </row>
    <row r="438">
      <c r="E438" s="9" t="inlineStr">
        <is>
          <t>1. Lưu quy tắc công thức (không bị chặn vì tự tổng hợp đang bật).
2. Đặt tự tổng hợp = Không thực hiện（実行しない）, đăng ký S01=29.
Phạm vi từng lượt chạy:
- Base: Toàn bộ thủ tục theo đúng thứ tự; các đối chứng cùng fixture được kiểm trong cùng lượt, không bỏ bước</t>
        </is>
      </c>
    </row>
    <row r="439">
      <c r="D439" s="8" t="inlineStr">
        <is>
          <t>期待結果（Kết quả mong đợi）</t>
        </is>
      </c>
    </row>
    <row r="440">
      <c r="E440" s="9" t="inlineStr">
        <is>
          <t>1. Lưu được; không có ràng buộc hệ thống buộc tắt.
2. S01 vẫn được xét khi đăng ký → Đỏ.</t>
        </is>
      </c>
    </row>
    <row r="441">
      <c r="D441" s="8" t="inlineStr">
        <is>
          <t>証跡（Bằng chứng）</t>
        </is>
      </c>
    </row>
    <row r="442">
      <c r="E442" s="9" t="inlineStr">
        <is>
          <t>
          </t>
        </is>
      </c>
    </row>
    <row r="443">
      <c r="D443" s="8" t="inlineStr">
        <is>
          <t>リセット（Đặt lại）</t>
        </is>
      </c>
    </row>
    <row r="444">
      <c r="E444" s="9" t="inlineStr">
        <is>
          <t>
          </t>
        </is>
      </c>
    </row>
    <row r="445">
      <c r="D445" s="9" t="inlineStr">
        <is>
          <t>
          </t>
        </is>
      </c>
    </row>
    <row r="446">
      <c r="C446" s="9" t="inlineStr">
        <is>
          <t>TC-RS-BR-035 — Bộ lọc nhóm tổng hợp khác loại phải kết hợp VÀ</t>
        </is>
      </c>
    </row>
    <row r="447">
      <c r="D447" s="10" t="inlineStr">
        <is>
          <t>Priority: Cao ｜ Status: CONFIRMED ｜ Readiness: UNASSESSED ｜ Requirement ID: tiêu chí nghiệm thu “Đối tượng áp dụng và nhu cầu nguồn” (AC-G05 «Đối tượng áp dụng và nhu cầu nguồn»)</t>
        </is>
      </c>
    </row>
    <row r="448">
      <c r="D448" s="8" t="inlineStr">
        <is>
          <t>前提条件（Điều kiện trước）</t>
        </is>
      </c>
    </row>
    <row r="449">
      <c r="E449" s="9" t="inlineStr">
        <is>
          <t>- Điều kiện: Hai loại nhóm tổng hợp: K1 = Nhóm thành tích（成績グループ） có mục Nâng cao; K2 = một loại nhóm tổng hợp khác có mục X. P5 chỉ thuộc Nâng cao; P6 chỉ thuộc X; P7 thuộc cả Nâng cao và X; P8 không thuộc cả hai. Cả bốn học khối 1.
- Dữ liệu test: quy tắc lọc theo nhóm tổng hợp thuộc hai loại nhóm; S = 20 cho P5–P8</t>
        </is>
      </c>
    </row>
    <row r="450">
      <c r="D450" s="8" t="inlineStr">
        <is>
          <t>操作（Thao tác）</t>
        </is>
      </c>
    </row>
    <row r="451">
      <c r="E451" s="9" t="inlineStr">
        <is>
          <t>1. Đăng ký điểm 20 cho P5–P8.
2. Xem kết quả.
3. Mở lại quy tắc.
Phạm vi từng lượt chạy:
- Base: Toàn bộ thủ tục theo đúng thứ tự; các đối chứng cùng fixture được kiểm trong cùng lượt, không bỏ bước</t>
        </is>
      </c>
    </row>
    <row r="452">
      <c r="D452" s="8" t="inlineStr">
        <is>
          <t>期待結果（Kết quả mong đợi）</t>
        </is>
      </c>
    </row>
    <row r="453">
      <c r="E453" s="9" t="inlineStr">
        <is>
          <t>1–2. Chỉ P7 thỏa cả hai loại nhóm và được xét → Đỏ. P5, P6, P8: Không áp dụng.
3. Mỗi giá trị vẫn gắn đúng loại nhóm của nó.</t>
        </is>
      </c>
    </row>
    <row r="454">
      <c r="D454" s="8" t="inlineStr">
        <is>
          <t>証跡（Bằng chứng）</t>
        </is>
      </c>
    </row>
    <row r="455">
      <c r="E455" s="9" t="inlineStr">
        <is>
          <t>
          </t>
        </is>
      </c>
    </row>
    <row r="456">
      <c r="D456" s="8" t="inlineStr">
        <is>
          <t>リセット（Đặt lại）</t>
        </is>
      </c>
    </row>
    <row r="457">
      <c r="E457" s="9" t="inlineStr">
        <is>
          <t>
          </t>
        </is>
      </c>
    </row>
    <row r="458">
      <c r="D458" s="9" t="inlineStr">
        <is>
          <t>
          </t>
        </is>
      </c>
    </row>
    <row r="459">
      <c r="C459" s="9" t="inlineStr">
        <is>
          <t>TC-RS-BR-036 — Cùng lượt đăng ký: ô thiếu nguồn chưa xét được, ô ngưỡng cố định vẫn được xét</t>
        </is>
      </c>
    </row>
    <row r="460">
      <c r="D460" s="10" t="inlineStr">
        <is>
          <t>Priority: Cao ｜ Status: CONFIRMED ｜ Readiness: UNASSESSED ｜ Requirement ID: tiêu chí nghiệm thu “Bao phủ đường đăng ký và chạy lại” (AC-G23 «Bao phủ đường đăng ký và chạy lại»)</t>
        </is>
      </c>
    </row>
    <row r="461">
      <c r="D461" s="8" t="inlineStr">
        <is>
          <t>前提条件（Điều kiện trước）</t>
        </is>
      </c>
    </row>
    <row r="462">
      <c r="E462" s="9" t="inlineStr">
        <is>
          <t>- Điều kiện: Trên mục số nguyên (M=100): ưu tiên 1 = quy tắc công thức hai dòng (trung bình ÷ 2 × 0.8) (dùng trung bình, nguồn nguồn chưa có kết quả tổng hợp), ưu tiên 2 = quy tắc “Cố định 30” (dưới 30). Trên mục số thập phân (M=100): chỉ quy tắc “Cố định 30” (dưới 30). Lớp G-A có S01.
- Dữ liệu test: mục số nguyên (M=100); mục số thập phân (M=100); quy tắc công thức hai dòng (trung bình ÷ 2 × 0.8); quy tắc “Cố định 30” (dưới 30); nguồn chưa có kết quả tổng hợp; các lớp học phần G-A, G-B, G-C; học sinh S01 (điểm 29); S01 mục số thập phân (M=100) = 29.5</t>
        </is>
      </c>
    </row>
    <row r="463">
      <c r="D463" s="8" t="inlineStr">
        <is>
          <t>操作（Thao tác）</t>
        </is>
      </c>
    </row>
    <row r="464">
      <c r="E464" s="9" t="inlineStr">
        <is>
          <t>1. Trong cùng một lượt đăng ký điểm của lớp G-A, lưu S01: mục số nguyên (M=100) = 29, mục số thập phân (M=100) = 29.5.
2. Xem kết quả hai ô và thông báo.
Phạm vi từng lượt chạy:
- Base: Toàn bộ thủ tục theo đúng thứ tự; các đối chứng cùng fixture được kiểm trong cùng lượt, không bỏ bước</t>
        </is>
      </c>
    </row>
    <row r="465">
      <c r="D465" s="8" t="inlineStr">
        <is>
          <t>期待結果（Kết quả mong đợi）</t>
        </is>
      </c>
    </row>
    <row r="466">
      <c r="E466" s="9" t="inlineStr">
        <is>
          <t>1. Lượt lưu không dừng hay báo lỗi chung vì ô mục số nguyên (M=100) thiếu nguồn.
2. Ô mục số nguyên (M=100): Chưa xét được; không dùng ưu tiên 2 (quy tắc “Cố định 30” (dưới 30)) thay thế, nên không Đỏ.
3. Ô mục số thập phân (M=100): Đỏ (29.5 `&lt;30`).</t>
        </is>
      </c>
    </row>
    <row r="467">
      <c r="D467" s="8" t="inlineStr">
        <is>
          <t>証跡（Bằng chứng）</t>
        </is>
      </c>
    </row>
    <row r="468">
      <c r="E468" s="9" t="inlineStr">
        <is>
          <t>
          </t>
        </is>
      </c>
    </row>
    <row r="469">
      <c r="D469" s="8" t="inlineStr">
        <is>
          <t>リセット（Đặt lại）</t>
        </is>
      </c>
    </row>
    <row r="470">
      <c r="E470" s="9" t="inlineStr">
        <is>
          <t>
          </t>
        </is>
      </c>
    </row>
    <row r="471">
      <c r="D471" s="9" t="inlineStr">
        <is>
          <t>
          </t>
        </is>
      </c>
    </row>
    <row r="472">
      <c r="C472" s="9" t="inlineStr">
        <is>
          <t>TC-RS-BR-037 — Xóa hoặc thôi dùng điểm đơn vị thì ngừng kết quả đỏ cũ của ô đó</t>
        </is>
      </c>
    </row>
    <row r="473">
      <c r="D473" s="10" t="inlineStr">
        <is>
          <t>Priority: Cao ｜ Status: CONFIRMED ｜ Readiness: UNASSESSED ｜ Requirement ID: tiêu chí nghiệm thu “Trigger khi đổi điểm tối đa/đơn vị” (AC-G24 «Trigger khi đổi điểm tối đa/đơn vị»)</t>
        </is>
      </c>
    </row>
    <row r="474">
      <c r="D474" s="8" t="inlineStr">
        <is>
          <t>前提条件（Điều kiện trước）</t>
        </is>
      </c>
    </row>
    <row r="475">
      <c r="E475" s="9" t="inlineStr">
        <is>
          <t>- Điều kiện: mục điểm đơn vị (đơn vị U1 có M riêng 40) có quy tắc “Cố định 30” (dưới 30). S06 (G-B): U1 = 25, U2 = 35 đã đăng ký; U1 đang Đỏ, U2 Không đỏ (như case “Ô điểm đơn vị được xét riêng theo từng đơn vị”).
- Dữ liệu test: mục điểm đơn vị (đơn vị U1 có M riêng 40); quy tắc “Cố định 30” (dưới 30); các lớp học phần G-A, G-B, G-C; học sinh S06 (điểm dự kiến 24)</t>
        </is>
      </c>
    </row>
    <row r="476">
      <c r="D476" s="8" t="inlineStr">
        <is>
          <t>操作（Thao tác）</t>
        </is>
      </c>
    </row>
    <row r="477">
      <c r="E477" s="9" t="inlineStr">
        <is>
          <t>1. Xác nhận U1 Đỏ ở ba đầu ra.
2. Biến thể (a): xóa điểm U1 của S06 thành trống rồi lưu.
3. Khôi phục/rebuild fixture U1 Đỏ, U2 Không đỏ; biến thể (b): thôi dùng đơn vị U1 cho lớp G-B theo thao tác hiện có (nếu màn hỗ trợ), rồi đăng ký lại hoặc chạy nút cam cho G-B.
4. Xem ba đầu ra và bộ lọc đỏ của trích xuất.
Phạm vi từng lượt chạy:
- delete-unit: Nhánh delete-unit trong thủ tục và Expected của case; thực hiện các bước chuẩn bị chung trước nhánh
- disable-unit: Nhánh disable-unit trong thủ tục và Expected của case; thực hiện các bước chuẩn bị chung trước nhánh</t>
        </is>
      </c>
    </row>
    <row r="478">
      <c r="D478" s="8" t="inlineStr">
        <is>
          <t>期待結果（Kết quả mong đợi）</t>
        </is>
      </c>
    </row>
    <row r="479">
      <c r="E479" s="9" t="inlineStr">
        <is>
          <t>1. Mỗi biến thể dùng fixture độc lập. Sau (a) hoặc (b), ô U1 của S06 trong fixture tương ứng không còn dấu đỏ ở ba đầu ra; bộ lọc đỏ không giữ S06 chỉ vì U1 cũ.
2. U2 giữ kết quả Không đỏ; không bị gộp hay xét lại sai.</t>
        </is>
      </c>
    </row>
    <row r="480">
      <c r="D480" s="8" t="inlineStr">
        <is>
          <t>証跡（Bằng chứng）</t>
        </is>
      </c>
    </row>
    <row r="481">
      <c r="E481" s="9" t="inlineStr">
        <is>
          <t>
          </t>
        </is>
      </c>
    </row>
    <row r="482">
      <c r="D482" s="8" t="inlineStr">
        <is>
          <t>リセット（Đặt lại）</t>
        </is>
      </c>
    </row>
    <row r="483">
      <c r="E483" s="9" t="inlineStr">
        <is>
          <t>
          </t>
        </is>
      </c>
    </row>
    <row r="484">
      <c r="D484" s="9" t="inlineStr">
        <is>
          <t>
          </t>
        </is>
      </c>
    </row>
    <row r="485">
      <c r="C485" s="9" t="inlineStr">
        <is>
          <t>TC-RS-BR-038 — Nhóm lớp học（授業）: dùng kết quả tổng hợp của đúng lớp chứa ô đang xét</t>
        </is>
      </c>
    </row>
    <row r="486">
      <c r="D486" s="10" t="inlineStr">
        <is>
          <t>Priority: Cao ｜ Status: CONFIRMED ｜ Readiness: UNASSESSED ｜ Requirement ID: tiêu chí nghiệm thu “Đúng phạm vi tham chiếu” (AC-G12 «Đúng phạm vi tham chiếu»)</t>
        </is>
      </c>
    </row>
    <row r="487">
      <c r="D487" s="8" t="inlineStr">
        <is>
          <t>前提条件（Điều kiện trước）</t>
        </is>
      </c>
    </row>
    <row r="488">
      <c r="E488" s="9" t="inlineStr">
        <is>
          <t>- Điều kiện: thiết lập tổng hợp X đã bật thêm Lớp học（授業） (X đã bật lớp học và đã tổng hợp). S11 học cả G-A và G-D; trong X trung bình lớp G-A = 40, G-D = 70. Quy tắc trên mục số nguyên (M=100): Toàn bộ đối tượng, ngưỡng Công thức（計算式） `A×0.5`, `&lt;`; nguồn công thức = X / Lớp học（授業）.
- Dữ liệu test: thiết lập tổng hợp X đã bật thêm Lớp học（授業）, học sinh S11 học hai lớp Toán I (G-A, G-D); mục số nguyên (M=100); S11 có điểm 25 ở cả G-A và G-D</t>
        </is>
      </c>
    </row>
    <row r="489">
      <c r="D489" s="8" t="inlineStr">
        <is>
          <t>操作（Thao tác）</t>
        </is>
      </c>
    </row>
    <row r="490">
      <c r="E490" s="9" t="inlineStr">
        <is>
          <t>1. Chạy nút cam cho G-A và G-D.
2. Xem kết quả hai ô của S11 trên trích xuất.
Phạm vi từng lượt chạy:
- Base: Toàn bộ thủ tục theo đúng thứ tự; các đối chứng cùng fixture được kiểm trong cùng lượt, không bỏ bước</t>
        </is>
      </c>
    </row>
    <row r="491">
      <c r="D491" s="8" t="inlineStr">
        <is>
          <t>期待結果（Kết quả mong đợi）</t>
        </is>
      </c>
    </row>
    <row r="492">
      <c r="E492" s="9" t="inlineStr">
        <is>
          <t>- Ô ở G-A: `T=40×0.5=20` → 25 Không đỏ.
- Ô ở G-D: `T=70×0.5=35` → 25 Đỏ.
- Không ô nào dùng kết quả của lớp kia, của khối/lớp chủ nhiệm, hay trung bình chung của môn.</t>
        </is>
      </c>
    </row>
    <row r="493">
      <c r="D493" s="8" t="inlineStr">
        <is>
          <t>証跡（Bằng chứng）</t>
        </is>
      </c>
    </row>
    <row r="494">
      <c r="E494" s="9" t="inlineStr">
        <is>
          <t>
          </t>
        </is>
      </c>
    </row>
    <row r="495">
      <c r="D495" s="8" t="inlineStr">
        <is>
          <t>リセット（Đặt lại）</t>
        </is>
      </c>
    </row>
    <row r="496">
      <c r="E496" s="9" t="inlineStr">
        <is>
          <t>
          </t>
        </is>
      </c>
    </row>
    <row r="497">
      <c r="D497" s="9" t="inlineStr">
        <is>
          <t>
          </t>
        </is>
      </c>
    </row>
    <row r="498">
      <c r="C498" s="9" t="inlineStr">
        <is>
          <t>TC-RS-BR-039 — Nhóm môn học（科目グループ）: dùng cấu hình riêng của môn hoặc default đã lưu; thiếu/sai thì Chưa xét được</t>
        </is>
      </c>
    </row>
    <row r="499">
      <c r="D499" s="10" t="inlineStr">
        <is>
          <t>Priority: Cao ｜ Status: CONFIRMED ｜ Readiness: UNASSESSED ｜ Requirement ID: tiêu chí nghiệm thu “Đúng phạm vi tham chiếu” (AC-G12 «Đúng phạm vi tham chiếu»); tiêu chí nghiệm thu “Ưu tiên bản chốt và xử lý thiếu nguồn” (AC-G13 «Ưu tiên bản chốt và xử lý thiếu nguồn»)</t>
        </is>
      </c>
    </row>
    <row r="500">
      <c r="D500" s="8" t="inlineStr">
        <is>
          <t>前提条件（Điều kiện trước）</t>
        </is>
      </c>
    </row>
    <row r="501">
      <c r="E501" s="9" t="inlineStr">
        <is>
          <t>- Điều kiện: nhóm môn học “Nhóm môn Toán” có cấu hình riêng cho Toán I（数学Ⅰ） và default. Quy tắc trên mục số nguyên (M=100) dùng nguồn công thức = X / nhóm môn học “Nhóm môn Toán”, ngưỡng `A×0.5`, `&lt;`.
- Dữ liệu test: nhóm môn học “Nhóm môn Toán”; mục số nguyên (M=100); S01 = 25</t>
        </is>
      </c>
    </row>
    <row r="502">
      <c r="D502" s="8" t="inlineStr">
        <is>
          <t>操作（Thao tác）</t>
        </is>
      </c>
    </row>
    <row r="503">
      <c r="E503" s="9" t="inlineStr">
        <is>
          <t>1. Chạy nút cam; xem S01 và nhóm được dùng.
2. Xóa cấu hình riêng của Toán I (để môn rơi về default); chạy lại; xem.
3. Làm default thiếu hoặc trỏ tới cấu hình không hợp lệ (biến thể (b) của nhóm môn học “Nhóm môn Toán”); chạy lại; xem trạng thái và thông báo.
Phạm vi từng lượt chạy:
- private: Nguồn riêng
- default: Nguồn mặc định
- default-missing: Nguồn mặc định thiếu
- default-invalid: Nguồn mặc định không hợp lệ</t>
        </is>
      </c>
    </row>
    <row r="504">
      <c r="D504" s="8" t="inlineStr">
        <is>
          <t>期待結果（Kết quả mong đợi）</t>
        </is>
      </c>
    </row>
    <row r="505">
      <c r="E505" s="9" t="inlineStr">
        <is>
          <t>1. Dùng kết quả của nhóm theo cấu hình riêng của Toán I.
2. Dùng kết quả của nhóm theo default đã lưu.
3. S01 Chưa xét được; không thay bằng nhóm khác, bằng 0 hay bằng kết quả trước; thông báo/tiến độ tách phần chưa xét được.</t>
        </is>
      </c>
    </row>
    <row r="506">
      <c r="D506" s="8" t="inlineStr">
        <is>
          <t>証跡（Bằng chứng）</t>
        </is>
      </c>
    </row>
    <row r="507">
      <c r="E507" s="9" t="inlineStr">
        <is>
          <t>
          </t>
        </is>
      </c>
    </row>
    <row r="508">
      <c r="D508" s="8" t="inlineStr">
        <is>
          <t>リセット（Đặt lại）</t>
        </is>
      </c>
    </row>
    <row r="509">
      <c r="E509" s="9" t="inlineStr">
        <is>
          <t>
          </t>
        </is>
      </c>
    </row>
    <row r="510">
      <c r="D510" s="9" t="inlineStr">
        <is>
          <t>
          </t>
        </is>
      </c>
    </row>
    <row r="511">
      <c r="C511" s="9" t="inlineStr">
        <is>
          <t>TC-RS-BR-040 — Loại nhóm được bật nhưng chưa có kết quả, hoặc tham chiếu đã lưu không còn hợp lệ → Chưa xét được, không tự đổi nhóm</t>
        </is>
      </c>
    </row>
    <row r="512">
      <c r="D512" s="10" t="inlineStr">
        <is>
          <t>Priority: Cao ｜ Status: CONFIRMED ｜ Readiness: UNASSESSED ｜ Requirement ID: tiêu chí nghiệm thu “Ưu tiên bản chốt và xử lý thiếu nguồn” (AC-G13 «Ưu tiên bản chốt và xử lý thiếu nguồn»); tiêu chí nghiệm thu “Giữ kết quả trước khi chạy lại” (AC-G21 «Giữ kết quả trước khi chạy lại và xóa rule cuối»)</t>
        </is>
      </c>
    </row>
    <row r="513">
      <c r="D513" s="8" t="inlineStr">
        <is>
          <t>前提条件（Điều kiện trước）</t>
        </is>
      </c>
    </row>
    <row r="514">
      <c r="E514" s="9" t="inlineStr">
        <is>
          <t>- Điều kiện: Quy tắc trên mục số nguyên (M=100) có điều kiện Trung bình `A≥50`, cố định 30 `&lt;`; S01 = 29, đang Đỏ theo nguồn X / Lớp học（授業） đã tổng hợp.
- Dữ liệu test: thiết lập tổng hợp X đã bật thêm Lớp học（授業）, nhóm tổng hợp thứ hạng “Toán I khối 1+2”; mục số nguyên (M=100); học sinh S01 (điểm 29)</t>
        </is>
      </c>
    </row>
    <row r="515">
      <c r="D515" s="8" t="inlineStr">
        <is>
          <t>操作（Thao tác）</t>
        </is>
      </c>
    </row>
    <row r="516">
      <c r="E516" s="9" t="inlineStr">
        <is>
          <t>1. (a) Tạo quy tắc mới dùng nhóm tổng hợp nhóm tổng hợp thứ hạng “Toán I khối 1+2” nhưng X chưa chạy tổng hợp cho nhóm này; chạy nút cam; xem S01.
2. (b) Quy tắc đang dùng X / Lớp học: tắt công tắc Lớp học（授業） của trường/năm; mở danh sách quy tắc và xem S01 (chưa chạy).
3. Chạy nút cam; xem S01.
4. (c) Xóa nhóm nhóm tổng hợp thứ hạng “Toán I khối 1+2” đang được quy tắc khác tham chiếu; chạy nút cam; xem ô dùng quy tắc đó.
Phạm vi từng lượt chạy:
- missing-source: Nguồn mới thiếu
- disabled-group: Nhóm bị tắt
- deleted-group: Nhóm bị xóa</t>
        </is>
      </c>
    </row>
    <row r="517">
      <c r="D517" s="8" t="inlineStr">
        <is>
          <t>期待結果（Kết quả mong đợi）</t>
        </is>
      </c>
    </row>
    <row r="518">
      <c r="E518" s="9" t="inlineStr">
        <is>
          <t>1. S01 Chưa xét được (thiếu nguồn); lựa chọn nhóm tồn tại không có nghĩa đã có dữ liệu.
2. Chỉ đổi cấu hình: S01 vẫn giữ kết quả Đỏ trước (không bị xóa ngay).
3. S01 Chưa xét được; không tự chuyển sang khối/lớp chủ nhiệm hoặc nhóm khác, không dùng quy tắc ưu tiên thấp hơn, không dùng kết quả cũ làm hiện hành.
4. Ô chịu ảnh hưởng Chưa xét được; không âm thầm đổi loại/ID nhóm đã lưu.
## 3. Validation (VAL)</t>
        </is>
      </c>
    </row>
    <row r="519">
      <c r="D519" s="8" t="inlineStr">
        <is>
          <t>証跡（Bằng chứng）</t>
        </is>
      </c>
    </row>
    <row r="520">
      <c r="E520" s="9" t="inlineStr">
        <is>
          <t>
          </t>
        </is>
      </c>
    </row>
    <row r="521">
      <c r="D521" s="8" t="inlineStr">
        <is>
          <t>リセット（Đặt lại）</t>
        </is>
      </c>
    </row>
    <row r="522">
      <c r="E522" s="9" t="inlineStr">
        <is>
          <t>
          </t>
        </is>
      </c>
    </row>
    <row r="523">
      <c r="D523" s="9" t="inlineStr">
        <is>
          <t>
          </t>
        </is>
      </c>
    </row>
    <row r="524">
      <c r="C524" s="9" t="inlineStr">
        <is>
          <t>TC-RS-BR-026 — Không fallback sang legacy khi rule mới thiếu hoặc không khớp dữ liệu</t>
        </is>
      </c>
    </row>
    <row r="525">
      <c r="D525" s="10" t="inlineStr">
        <is>
          <t>Priority: Cao ｜ Status: CONFIRMED ｜ Readiness: UNASSESSED ｜ Requirement ID: AC-G12 «Đúng phạm vi tham chiếu»; AC-G38 «Bảo toàn điểm đỏ cũ»</t>
        </is>
      </c>
    </row>
    <row r="526">
      <c r="D526" s="8" t="inlineStr">
        <is>
          <t>前提条件（Điều kiện trước）</t>
        </is>
      </c>
    </row>
    <row r="527">
      <c r="E527" s="9" t="inlineStr">
        <is>
          <t>- Có rule mới thiếu nguồn/không khớp và kết quả legacy cũ của cùng ô.</t>
        </is>
      </c>
    </row>
    <row r="528">
      <c r="D528" s="8" t="inlineStr">
        <is>
          <t>操作（Thao tác）</t>
        </is>
      </c>
    </row>
    <row r="529">
      <c r="E529" s="9" t="inlineStr">
        <is>
          <t>1. Chạy nút cam.
2. Xem trạng thái ô và ba đầu ra.
Phạm vi từng lượt chạy:
- no-match: Không quy tắc khớp
- missing-input: Thiếu dữ liệu để xét</t>
        </is>
      </c>
    </row>
    <row r="530">
      <c r="D530" s="8" t="inlineStr">
        <is>
          <t>期待結果（Kết quả mong đợi）</t>
        </is>
      </c>
    </row>
    <row r="531">
      <c r="E531" s="9" t="inlineStr">
        <is>
          <t>Ô chuyển đúng trạng thái Chưa xét được/Không áp dụng theo nguyên nhân; không dùng legacy làm fallback và không tự ghi đè kết quả cũ ngoài chính sách trạng thái đã xác nhận.</t>
        </is>
      </c>
    </row>
    <row r="532">
      <c r="D532" s="8" t="inlineStr">
        <is>
          <t>証跡（Bằng chứng）</t>
        </is>
      </c>
    </row>
    <row r="533">
      <c r="E533" s="9" t="inlineStr">
        <is>
          <t>
          </t>
        </is>
      </c>
    </row>
    <row r="534">
      <c r="D534" s="8" t="inlineStr">
        <is>
          <t>リセット（Đặt lại）</t>
        </is>
      </c>
    </row>
    <row r="535">
      <c r="E535" s="9" t="inlineStr">
        <is>
          <t>
          </t>
        </is>
      </c>
    </row>
    <row r="536">
      <c r="D536" s="9" t="inlineStr">
        <is>
          <t>
          </t>
        </is>
      </c>
    </row>
  </sheetData>
  <pageMargins left="0.75" right="0.75" top="1" bottom="1" header="0.5" footer="0.5"/>
  <pageSetup fitToHeight="0" fitToWidth="1"/>
</worksheet>
</file>

<file path=xl/worksheets/sheet10.xml><?xml version="1.0" encoding="utf-8"?>
<worksheet xmlns="http://schemas.openxmlformats.org/spreadsheetml/2006/main">
  <sheetPr>
    <outlinePr summaryBelow="1" summaryRight="1"/>
    <pageSetUpPr fitToPage="1"/>
  </sheetPr>
  <dimension ref="A1:F419"/>
  <sheetViews>
    <sheetView showGridLines="0" workbookViewId="0">
      <pane xSplit="4" ySplit="2" topLeftCell="E3" activePane="bottomRight" state="frozen"/>
      <selection pane="topRight"/>
      <selection pane="bottomLeft"/>
      <selection pane="bottomRight" activeCell="A1" sqref="A1"/>
    </sheetView>
  </sheetViews>
  <sheetFormatPr baseColWidth="8" defaultRowHeight="15"/>
  <cols>
    <col width="3.13" customWidth="1" min="1" max="1"/>
    <col width="24" customWidth="1" min="3" max="3"/>
    <col width="24" customWidth="1" min="4" max="4"/>
    <col width="95" customWidth="1" min="5" max="5"/>
    <col width="28" customWidth="1" min="6" max="6"/>
  </cols>
  <sheetData>
    <row r="1" customHeight="1" ht="4">
      <c r="A1" s="2" t="n">
      </c>
      <c r="B1" s="2" t="n">
      </c>
      <c r="C1" s="2" t="n">
      </c>
      <c r="D1" s="2" t="n">
      </c>
      <c r="E1" s="2" t="n">
      </c>
      <c r="F1" s="2" t="n">
      </c>
    </row>
    <row r="2" customHeight="1" ht="28">
      <c r="A2" s="2" t="n">
      </c>
      <c r="B2" s="2" t="n">
      </c>
      <c r="C2" s="11" t="inlineStr">
        <is>
          <t>D. Calculation：</t>
        </is>
      </c>
      <c r="D2" s="2" t="n">
      </c>
      <c r="E2" s="2" t="n">
      </c>
      <c r="F2" s="9" t="inlineStr">
        <is>
          <t>Nguồn test-cases.vi.md • Nhập kết quả/evidence khi chạy.</t>
        </is>
      </c>
    </row>
    <row r="3" customHeight="1" ht="4">
      <c r="A3" s="2" t="n">
      </c>
      <c r="B3" s="2" t="n">
      </c>
      <c r="C3" s="2" t="n">
      </c>
      <c r="D3" s="2" t="n">
      </c>
      <c r="E3" s="2" t="n">
      </c>
      <c r="F3" s="2" t="n">
      </c>
    </row>
    <row r="4">
      <c r="C4" s="9" t="inlineStr">
        <is>
          <t>TC-RS-CALC-001 — Ngưỡng cố định 30: S = 29 / 30 / 31 với `&lt;` và `≤`</t>
        </is>
      </c>
    </row>
    <row r="5">
      <c r="D5" s="10" t="inlineStr">
        <is>
          <t>Priority: Cao ｜ Status: CONFIRMED ｜ Readiness: UNASSESSED ｜ Requirement ID: tiêu chí nghiệm thu “Biên so sánh và cảnh báo” (AC-G07 «Biên so sánh và cảnh báo»)</t>
        </is>
      </c>
    </row>
    <row r="6">
      <c r="D6" s="8" t="inlineStr">
        <is>
          <t>前提条件（Điều kiện trước）</t>
        </is>
      </c>
    </row>
    <row r="7">
      <c r="E7" s="9" t="inlineStr">
        <is>
          <t>- Điều kiện: mục số nguyên (M=100) (M=100).
- Dữ liệu test: mục số nguyên (M=100); quy tắc “Cố định 30” (dưới 30), quy tắc cố định 30 với Nhỏ hơn hoặc bằng（以下）, học sinh S01 (điểm 29), học sinh S02 (điểm 30), học sinh S03 (điểm 31)</t>
        </is>
      </c>
    </row>
    <row r="8">
      <c r="D8" s="8" t="inlineStr">
        <is>
          <t>操作（Thao tác）</t>
        </is>
      </c>
    </row>
    <row r="9">
      <c r="E9" s="9" t="inlineStr">
        <is>
          <t>1. Chỉ có quy tắc “Cố định 30” (dưới 30) (`T=30`, `&lt;`): đăng ký S01=29, S02=30, S03=31.
2. Đổi thành quy tắc cố định 30 với Nhỏ hơn hoặc bằng（以下） (`≤`), chạy lại.
Phạm vi từng lượt chạy:
- lt: Ngưỡng 30, dấu nhỏ hơn, cả ba điểm
- le: Ngưỡng 30, dấu nhỏ hơn hoặc bằng, cả ba điểm</t>
        </is>
      </c>
    </row>
    <row r="10">
      <c r="D10" s="8" t="inlineStr">
        <is>
          <t>期待結果（Kết quả mong đợi）</t>
        </is>
      </c>
    </row>
    <row r="11">
      <c r="E11" s="9" t="inlineStr">
        <is>
          <t>Bước 1: 29 Đỏ; 30 Không đỏ; 31 Không đỏ.
Bước 2: 29 Đỏ; 30 Đỏ; 31 Không đỏ.</t>
        </is>
      </c>
    </row>
    <row r="12">
      <c r="D12" s="8" t="inlineStr">
        <is>
          <t>証跡（Bằng chứng）</t>
        </is>
      </c>
    </row>
    <row r="13">
      <c r="E13" s="9" t="inlineStr">
        <is>
          <t>
          </t>
        </is>
      </c>
    </row>
    <row r="14">
      <c r="D14" s="8" t="inlineStr">
        <is>
          <t>リセット（Đặt lại）</t>
        </is>
      </c>
    </row>
    <row r="15">
      <c r="E15" s="9" t="inlineStr">
        <is>
          <t>
          </t>
        </is>
      </c>
    </row>
    <row r="16">
      <c r="D16" s="9" t="inlineStr">
        <is>
          <t>
          </t>
        </is>
      </c>
    </row>
    <row r="17">
      <c r="C17" s="9" t="inlineStr">
        <is>
          <t>TC-RS-CALC-002 — Điểm 0 với ngưỡng 0 và 30</t>
        </is>
      </c>
    </row>
    <row r="18">
      <c r="D18" s="10" t="inlineStr">
        <is>
          <t>Priority: Cao ｜ Status: CONFIRMED ｜ Readiness: UNASSESSED ｜ Requirement ID: tiêu chí nghiệm thu “Biên so sánh và cảnh báo” (AC-G07 «Biên so sánh và cảnh báo»)</t>
        </is>
      </c>
    </row>
    <row r="19">
      <c r="D19" s="8" t="inlineStr">
        <is>
          <t>前提条件（Điều kiện trước）</t>
        </is>
      </c>
    </row>
    <row r="20">
      <c r="E20" s="9" t="inlineStr">
        <is>
          <t>- Điều kiện: mục số nguyên (M=100).
- Dữ liệu test: mục số nguyên (M=100); học sinh S04 (điểm 0) (S=0); N = 0, 30</t>
        </is>
      </c>
    </row>
    <row r="21">
      <c r="D21" s="8" t="inlineStr">
        <is>
          <t>操作（Thao tác）</t>
        </is>
      </c>
    </row>
    <row r="22">
      <c r="E22" s="9" t="inlineStr">
        <is>
          <t>Với từng cấu hình: cố định 0 `&lt;`, cố định 0 `≤`, cố định 30 `&lt;`: chạy lại, xem S04.
Phạm vi từng lượt chạy:
- zero-lt: Ngưỡng 0 nhỏ hơn
- zero-le: Ngưỡng 0 nhỏ hơn hoặc bằng
- thirty-lt: Ngưỡng 30 nhỏ hơn</t>
        </is>
      </c>
    </row>
    <row r="23">
      <c r="D23" s="8" t="inlineStr">
        <is>
          <t>期待結果（Kết quả mong đợi）</t>
        </is>
      </c>
    </row>
    <row r="24">
      <c r="E24" s="9" t="inlineStr">
        <is>
          <t>0 `&lt;`: `0&lt;0` sai → Không đỏ.
0 `≤`: `0≤0` → Đỏ.
30 `&lt;`: `0&lt;30` → Đỏ.</t>
        </is>
      </c>
    </row>
    <row r="25">
      <c r="D25" s="8" t="inlineStr">
        <is>
          <t>証跡（Bằng chứng）</t>
        </is>
      </c>
    </row>
    <row r="26">
      <c r="E26" s="9" t="inlineStr">
        <is>
          <t>
          </t>
        </is>
      </c>
    </row>
    <row r="27">
      <c r="D27" s="8" t="inlineStr">
        <is>
          <t>リセット（Đặt lại）</t>
        </is>
      </c>
    </row>
    <row r="28">
      <c r="E28" s="9" t="inlineStr">
        <is>
          <t>
          </t>
        </is>
      </c>
    </row>
    <row r="29">
      <c r="D29" s="9" t="inlineStr">
        <is>
          <t>
          </t>
        </is>
      </c>
    </row>
    <row r="30">
      <c r="C30" s="9" t="inlineStr">
        <is>
          <t>TC-RS-CALC-003 — Điểm thập phân sát ngưỡng</t>
        </is>
      </c>
    </row>
    <row r="31">
      <c r="D31" s="10" t="inlineStr">
        <is>
          <t>Priority: Cao ｜ Status: CONFIRMED ｜ Readiness: UNASSESSED ｜ Requirement ID: tiêu chí nghiệm thu “Giữ chính xác giá trị” (AC-G11 «Giữ chính xác giá trị»)</t>
        </is>
      </c>
    </row>
    <row r="32">
      <c r="D32" s="8" t="inlineStr">
        <is>
          <t>前提条件（Điều kiện trước）</t>
        </is>
      </c>
    </row>
    <row r="33">
      <c r="E33" s="9" t="inlineStr">
        <is>
          <t>- Điều kiện: mục số thập phân (M=100) (thập phân, M=100); cố định 30.
- Dữ liệu test: mục số thập phân (M=100); S = 29.5, 29.9, 30.0, 30.01</t>
        </is>
      </c>
    </row>
    <row r="34">
      <c r="D34" s="8" t="inlineStr">
        <is>
          <t>操作（Thao tác）</t>
        </is>
      </c>
    </row>
    <row r="35">
      <c r="E35" s="9" t="inlineStr">
        <is>
          <t>Đăng ký bốn học sinh với các điểm trên; xét với `&lt;` rồi `≤`.
Phạm vi từng lượt chạy:
- lt: Dấu nhỏ hơn, cả bốn điểm
- le: Dấu nhỏ hơn hoặc bằng, cả bốn điểm</t>
        </is>
      </c>
    </row>
    <row r="36">
      <c r="D36" s="8" t="inlineStr">
        <is>
          <t>期待結果（Kết quả mong đợi）</t>
        </is>
      </c>
    </row>
    <row r="37">
      <c r="E37" s="9" t="inlineStr">
        <is>
          <t>`&lt;`: 29.5 Đỏ; 29.9 Đỏ; 30.0 Không đỏ; 30.01 Không đỏ.
`≤`: 29.5 Đỏ; 29.9 Đỏ; 30.0 Đỏ; 30.01 Không đỏ.</t>
        </is>
      </c>
    </row>
    <row r="38">
      <c r="D38" s="8" t="inlineStr">
        <is>
          <t>証跡（Bằng chứng）</t>
        </is>
      </c>
    </row>
    <row r="39">
      <c r="E39" s="9" t="inlineStr">
        <is>
          <t>
          </t>
        </is>
      </c>
    </row>
    <row r="40">
      <c r="D40" s="8" t="inlineStr">
        <is>
          <t>リセット（Đặt lại）</t>
        </is>
      </c>
    </row>
    <row r="41">
      <c r="E41" s="9" t="inlineStr">
        <is>
          <t>
          </t>
        </is>
      </c>
    </row>
    <row r="42">
      <c r="D42" s="9" t="inlineStr">
        <is>
          <t>
          </t>
        </is>
      </c>
    </row>
    <row r="43">
      <c r="C43" s="9" t="inlineStr">
        <is>
          <t>TC-RS-CALC-004 — Ngưỡng cố định giữ `T=N` khi M đổi về sau</t>
        </is>
      </c>
    </row>
    <row r="44">
      <c r="D44" s="10" t="inlineStr">
        <is>
          <t>Priority: Cao ｜ Status: CONFIRMED ｜ Readiness: UNASSESSED ｜ Requirement ID: tiêu chí nghiệm thu “Điểm cố định” (AC-G08 «Điểm cố định»)</t>
        </is>
      </c>
    </row>
    <row r="45">
      <c r="D45" s="8" t="inlineStr">
        <is>
          <t>前提条件（Điều kiện trước）</t>
        </is>
      </c>
    </row>
    <row r="46">
      <c r="E46" s="9" t="inlineStr">
        <is>
          <t>- Điều kiện: quy tắc “Cố định 30” (dưới 30) (N=30) lưu khi M=100. Sau đó đổi Giá trị tối đa（最大値） của mục số nguyên (M=100) thành 20.
- Dữ liệu test: mục số nguyên (M=100); quy tắc “Cố định 30” (dưới 30); S = 15, 20</t>
        </is>
      </c>
    </row>
    <row r="47">
      <c r="D47" s="8" t="inlineStr">
        <is>
          <t>操作（Thao tác）</t>
        </is>
      </c>
    </row>
    <row r="48">
      <c r="E48" s="9" t="inlineStr">
        <is>
          <t>1. Đăng ký hai học sinh S=15 và S=20.
2. Mở lại quy tắc.
Phạm vi từng lượt chạy:
- Base: Toàn bộ thủ tục theo đúng thứ tự; các đối chứng cùng fixture được kiểm trong cùng lượt, không bỏ bước</t>
        </is>
      </c>
    </row>
    <row r="49">
      <c r="D49" s="8" t="inlineStr">
        <is>
          <t>期待結果（Kết quả mong đợi）</t>
        </is>
      </c>
    </row>
    <row r="50">
      <c r="E50" s="9" t="inlineStr">
        <is>
          <t>1. `T=30` → 15 Đỏ; 20 Đỏ. Không chuyển thành Chưa xét được; không tự đổi `T` thành 20 hoặc `M×30%`.
2. N vẫn hiển thị 30 (không bị tự sửa).</t>
        </is>
      </c>
    </row>
    <row r="51">
      <c r="D51" s="8" t="inlineStr">
        <is>
          <t>証跡（Bằng chứng）</t>
        </is>
      </c>
    </row>
    <row r="52">
      <c r="E52" s="9" t="inlineStr">
        <is>
          <t>
          </t>
        </is>
      </c>
    </row>
    <row r="53">
      <c r="D53" s="8" t="inlineStr">
        <is>
          <t>リセット（Đặt lại）</t>
        </is>
      </c>
    </row>
    <row r="54">
      <c r="E54" s="9" t="inlineStr">
        <is>
          <t>
          </t>
        </is>
      </c>
    </row>
    <row r="55">
      <c r="D55" s="9" t="inlineStr">
        <is>
          <t>
          </t>
        </is>
      </c>
    </row>
    <row r="56">
      <c r="C56" s="9" t="inlineStr">
        <is>
          <t>TC-RS-CALC-005 — Tỷ lệ 30% với M=100</t>
        </is>
      </c>
    </row>
    <row r="57">
      <c r="D57" s="10" t="inlineStr">
        <is>
          <t>Priority: Cao ｜ Status: CONFIRMED ｜ Readiness: UNASSESSED ｜ Requirement ID: tiêu chí nghiệm thu “Tỷ lệ điểm tối đa” (AC-G10 «Tỷ lệ điểm tối đa»)</t>
        </is>
      </c>
    </row>
    <row r="58">
      <c r="D58" s="8" t="inlineStr">
        <is>
          <t>前提条件（Điều kiện trước）</t>
        </is>
      </c>
    </row>
    <row r="59">
      <c r="E59" s="9" t="inlineStr">
        <is>
          <t>- Điều kiện: mục số nguyên (M=100) (M=100).
- Dữ liệu test: mục số nguyên (M=100); quy tắc tỷ lệ 30%; học sinh S01 (điểm 29), học sinh S02 (điểm 30), học sinh S03 (điểm 31)</t>
        </is>
      </c>
    </row>
    <row r="60">
      <c r="D60" s="8" t="inlineStr">
        <is>
          <t>操作（Thao tác）</t>
        </is>
      </c>
    </row>
    <row r="61">
      <c r="E61" s="9" t="inlineStr">
        <is>
          <t>Đăng ký 29, 30, 31; xét với `&lt;` rồi `≤`.
Phạm vi từng lượt chạy:
- lt: Dấu nhỏ hơn
- le: Dấu nhỏ hơn hoặc bằng</t>
        </is>
      </c>
    </row>
    <row r="62">
      <c r="D62" s="8" t="inlineStr">
        <is>
          <t>期待結果（Kết quả mong đợi）</t>
        </is>
      </c>
    </row>
    <row r="63">
      <c r="E63" s="9" t="inlineStr">
        <is>
          <t>`T=100×30/100=30`.
`&lt;`: 29 Đỏ; 30 Không đỏ; 31 Không đỏ.
`≤`: 29 Đỏ; 30 Đỏ; 31 Không đỏ.</t>
        </is>
      </c>
    </row>
    <row r="64">
      <c r="D64" s="8" t="inlineStr">
        <is>
          <t>証跡（Bằng chứng）</t>
        </is>
      </c>
    </row>
    <row r="65">
      <c r="E65" s="9" t="inlineStr">
        <is>
          <t>
          </t>
        </is>
      </c>
    </row>
    <row r="66">
      <c r="D66" s="8" t="inlineStr">
        <is>
          <t>リセット（Đặt lại）</t>
        </is>
      </c>
    </row>
    <row r="67">
      <c r="E67" s="9" t="inlineStr">
        <is>
          <t>
          </t>
        </is>
      </c>
    </row>
    <row r="68">
      <c r="D68" s="9" t="inlineStr">
        <is>
          <t>
          </t>
        </is>
      </c>
    </row>
    <row r="69">
      <c r="C69" s="9" t="inlineStr">
        <is>
          <t>TC-RS-CALC-006 — Tỷ lệ cho ngưỡng lẻ: M=45, N=30 → T=13.5</t>
        </is>
      </c>
    </row>
    <row r="70">
      <c r="D70" s="10" t="inlineStr">
        <is>
          <t>Priority: Cao ｜ Status: CONFIRMED ｜ Readiness: UNASSESSED ｜ Requirement ID: tiêu chí nghiệm thu “Tỷ lệ điểm tối đa” (AC-G10 «Tỷ lệ điểm tối đa»)</t>
        </is>
      </c>
    </row>
    <row r="71">
      <c r="D71" s="8" t="inlineStr">
        <is>
          <t>前提条件（Điều kiện trước）</t>
        </is>
      </c>
    </row>
    <row r="72">
      <c r="E72" s="9" t="inlineStr">
        <is>
          <t>- Điều kiện: mục số thập phân (M=100) với Giá trị tối đa（最大値）= 45.
- Dữ liệu test: mục số thập phân (M=100); quy tắc tỷ lệ 30% (không xử lý phần lẻ); S = 13, 13.5, 14</t>
        </is>
      </c>
    </row>
    <row r="73">
      <c r="D73" s="8" t="inlineStr">
        <is>
          <t>操作（Thao tác）</t>
        </is>
      </c>
    </row>
    <row r="74">
      <c r="E74" s="9" t="inlineStr">
        <is>
          <t>Đăng ký ba điểm; xét với `&lt;` rồi `≤`.
Phạm vi từng lượt chạy:
- lt: Dấu nhỏ hơn
- le: Dấu nhỏ hơn hoặc bằng</t>
        </is>
      </c>
    </row>
    <row r="75">
      <c r="D75" s="8" t="inlineStr">
        <is>
          <t>期待結果（Kết quả mong đợi）</t>
        </is>
      </c>
    </row>
    <row r="76">
      <c r="E76" s="9" t="inlineStr">
        <is>
          <t>`T=45×30/100=13.5`.
`&lt;`: 13 Đỏ; 13.5 Không đỏ; 14 Không đỏ.
`≤`: 13 Đỏ; 13.5 Đỏ; 14 Không đỏ.</t>
        </is>
      </c>
    </row>
    <row r="77">
      <c r="D77" s="8" t="inlineStr">
        <is>
          <t>証跡（Bằng chứng）</t>
        </is>
      </c>
    </row>
    <row r="78">
      <c r="E78" s="9" t="inlineStr">
        <is>
          <t>
          </t>
        </is>
      </c>
    </row>
    <row r="79">
      <c r="D79" s="8" t="inlineStr">
        <is>
          <t>リセット（Đặt lại）</t>
        </is>
      </c>
    </row>
    <row r="80">
      <c r="E80" s="9" t="inlineStr">
        <is>
          <t>
          </t>
        </is>
      </c>
    </row>
    <row r="81">
      <c r="D81" s="9" t="inlineStr">
        <is>
          <t>
          </t>
        </is>
      </c>
    </row>
    <row r="82">
      <c r="C82" s="9" t="inlineStr">
        <is>
          <t>TC-RS-CALC-007 — Tỷ lệ có xử lý phần lẻ: xuống / gần nhất / lên tại p1</t>
        </is>
      </c>
    </row>
    <row r="83">
      <c r="D83" s="10" t="inlineStr">
        <is>
          <t>Priority: Cao ｜ Status: CONFIRMED ｜ Readiness: UNASSESSED ｜ Requirement ID: tiêu chí nghiệm thu “Tỷ lệ điểm tối đa” (AC-G10 «Tỷ lệ điểm tối đa»)</t>
        </is>
      </c>
    </row>
    <row r="84">
      <c r="D84" s="8" t="inlineStr">
        <is>
          <t>前提条件（Điều kiện trước）</t>
        </is>
      </c>
    </row>
    <row r="85">
      <c r="E85" s="9" t="inlineStr">
        <is>
          <t>- Điều kiện: mục số thập phân (M=100); tỷ lệ 30%, dấu `&lt;`.
- Dữ liệu test: mục số thập phân (M=100); (a) M=45 → `T_thô=13.5`, S=13; (b) M=47 → `T_thô=14.1`, S=14</t>
        </is>
      </c>
    </row>
    <row r="86">
      <c r="D86" s="8" t="inlineStr">
        <is>
          <t>操作（Thao tác）</t>
        </is>
      </c>
    </row>
    <row r="87">
      <c r="E87" s="9" t="inlineStr">
        <is>
          <t>Với (a) và (b): xét với Không xử lý（しない）, xuống p1, gần nhất p1, lên p1.
Phạm vi từng lượt chạy:
- m45-none: M45 không làm tròn
- m45-down: M45 cắt xuống
- m45-nearest: M45 làm tròn gần nhất
- m45-up: M45 làm tròn lên
- m47-none: M47 không làm tròn
- m47-down: M47 cắt xuống
- m47-nearest: M47 làm tròn gần nhất
- m47-up: M47 làm tròn lên</t>
        </is>
      </c>
    </row>
    <row r="88">
      <c r="D88" s="8" t="inlineStr">
        <is>
          <t>期待結果（Kết quả mong đợi）</t>
        </is>
      </c>
    </row>
    <row r="89">
      <c r="E89" s="9" t="inlineStr">
        <is>
          <t>(a) Không xử lý `T=13.5` → Đỏ; xuống `T=13` → Không đỏ; gần nhất `T=14` → Đỏ; lên `T=14` → Đỏ.
(b) Không xử lý `T=14.1` → Đỏ; xuống `T=14` → Không đỏ; gần nhất `T=14` → Không đỏ; lên `T=15` → Đỏ.</t>
        </is>
      </c>
    </row>
    <row r="90">
      <c r="D90" s="8" t="inlineStr">
        <is>
          <t>証跡（Bằng chứng）</t>
        </is>
      </c>
    </row>
    <row r="91">
      <c r="E91" s="9" t="inlineStr">
        <is>
          <t>
          </t>
        </is>
      </c>
    </row>
    <row r="92">
      <c r="D92" s="8" t="inlineStr">
        <is>
          <t>リセット（Đặt lại）</t>
        </is>
      </c>
    </row>
    <row r="93">
      <c r="E93" s="9" t="inlineStr">
        <is>
          <t>
          </t>
        </is>
      </c>
    </row>
    <row r="94">
      <c r="D94" s="9" t="inlineStr">
        <is>
          <t>
          </t>
        </is>
      </c>
    </row>
    <row r="95">
      <c r="C95" s="9" t="inlineStr">
        <is>
          <t>TC-RS-CALC-008 — Ví dụ đặc tả v2: M=75, N=30, S=22.2</t>
        </is>
      </c>
    </row>
    <row r="96">
      <c r="D96" s="10" t="inlineStr">
        <is>
          <t>Priority: Cao ｜ Status: CONFIRMED ｜ Readiness: UNASSESSED ｜ Requirement ID: tiêu chí nghiệm thu “Tỷ lệ điểm tối đa” (AC-G10 «Tỷ lệ điểm tối đa»)</t>
        </is>
      </c>
    </row>
    <row r="97">
      <c r="D97" s="8" t="inlineStr">
        <is>
          <t>前提条件（Điều kiện trước）</t>
        </is>
      </c>
    </row>
    <row r="98">
      <c r="E98" s="9" t="inlineStr">
        <is>
          <t>- Điều kiện: mục số thập phân (M=100) với M=75; tỷ lệ 30%, `&lt;`.
- Dữ liệu test: mục số thập phân (M=100); S = 22.2</t>
        </is>
      </c>
    </row>
    <row r="99">
      <c r="D99" s="8" t="inlineStr">
        <is>
          <t>操作（Thao tác）</t>
        </is>
      </c>
    </row>
    <row r="100">
      <c r="E100" s="9" t="inlineStr">
        <is>
          <t>Xét với Không xử lý, rồi xuống p1.
Phạm vi từng lượt chạy:
- none: Không xử lý phần lẻ
- down: Cắt xuống</t>
        </is>
      </c>
    </row>
    <row r="101">
      <c r="D101" s="8" t="inlineStr">
        <is>
          <t>期待結果（Kết quả mong đợi）</t>
        </is>
      </c>
    </row>
    <row r="102">
      <c r="E102" s="9" t="inlineStr">
        <is>
          <t>Không xử lý: `T=22.5` → Đỏ.
Xuống p1: `T=22` → Không đỏ.</t>
        </is>
      </c>
    </row>
    <row r="103">
      <c r="D103" s="8" t="inlineStr">
        <is>
          <t>証跡（Bằng chứng）</t>
        </is>
      </c>
    </row>
    <row r="104">
      <c r="E104" s="9" t="inlineStr">
        <is>
          <t>
          </t>
        </is>
      </c>
    </row>
    <row r="105">
      <c r="D105" s="8" t="inlineStr">
        <is>
          <t>リセット（Đặt lại）</t>
        </is>
      </c>
    </row>
    <row r="106">
      <c r="E106" s="9" t="inlineStr">
        <is>
          <t>
          </t>
        </is>
      </c>
    </row>
    <row r="107">
      <c r="D107" s="9" t="inlineStr">
        <is>
          <t>
          </t>
        </is>
      </c>
    </row>
    <row r="108">
      <c r="C108" s="9" t="inlineStr">
        <is>
          <t>TC-RS-CALC-009 — Tỷ lệ biên N=0 và N=100</t>
        </is>
      </c>
    </row>
    <row r="109">
      <c r="D109" s="10" t="inlineStr">
        <is>
          <t>Priority: Cao ｜ Status: CONFIRMED ｜ Readiness: UNASSESSED ｜ Requirement ID: tiêu chí nghiệm thu “Tỷ lệ điểm tối đa” (AC-G10 «Tỷ lệ điểm tối đa»)</t>
        </is>
      </c>
    </row>
    <row r="110">
      <c r="D110" s="8" t="inlineStr">
        <is>
          <t>前提条件（Điều kiện trước）</t>
        </is>
      </c>
    </row>
    <row r="111">
      <c r="E111" s="9" t="inlineStr">
        <is>
          <t>- Điều kiện: mục số nguyên (M=100) (M=100).
- Dữ liệu test: mục số nguyên (M=100); N = 0: S = 0; N = 100: S = 99, 100</t>
        </is>
      </c>
    </row>
    <row r="112">
      <c r="D112" s="8" t="inlineStr">
        <is>
          <t>操作（Thao tác）</t>
        </is>
      </c>
    </row>
    <row r="113">
      <c r="E113" s="9" t="inlineStr">
        <is>
          <t>Xét từng cấu hình với `&lt;` và `≤`.
Phạm vi từng lượt chạy:
- zero-lt: N0 nhỏ hơn
- zero-le: N0 nhỏ hơn hoặc bằng
- hundred-lt: N100 nhỏ hơn
- hundred-le: N100 nhỏ hơn hoặc bằng</t>
        </is>
      </c>
    </row>
    <row r="114">
      <c r="D114" s="8" t="inlineStr">
        <is>
          <t>期待結果（Kết quả mong đợi）</t>
        </is>
      </c>
    </row>
    <row r="115">
      <c r="E115" s="9" t="inlineStr">
        <is>
          <t>N=0 (`T=0`): S=0 `&lt;` Không đỏ; `≤` Đỏ.
N=100 (`T=100`): S=99 `&lt;` Đỏ; S=100 `&lt;` Không đỏ; S=100 `≤` Đỏ.</t>
        </is>
      </c>
    </row>
    <row r="116">
      <c r="D116" s="8" t="inlineStr">
        <is>
          <t>証跡（Bằng chứng）</t>
        </is>
      </c>
    </row>
    <row r="117">
      <c r="E117" s="9" t="inlineStr">
        <is>
          <t>
          </t>
        </is>
      </c>
    </row>
    <row r="118">
      <c r="D118" s="8" t="inlineStr">
        <is>
          <t>リセット（Đặt lại）</t>
        </is>
      </c>
    </row>
    <row r="119">
      <c r="E119" s="9" t="inlineStr">
        <is>
          <t>
          </t>
        </is>
      </c>
    </row>
    <row r="120">
      <c r="D120" s="9" t="inlineStr">
        <is>
          <t>
          </t>
        </is>
      </c>
    </row>
    <row r="121">
      <c r="C121" s="9" t="inlineStr">
        <is>
          <t>TC-RS-CALC-010 — Tỷ lệ với M = 0, M &lt; 0 hoặc không xác định → Chưa xét được; cố định vẫn xét</t>
        </is>
      </c>
    </row>
    <row r="122">
      <c r="D122" s="10" t="inlineStr">
        <is>
          <t>Priority: Cao ｜ Status: CONFIRMED ｜ Readiness: UNASSESSED ｜ Requirement ID: tiêu chí nghiệm thu “Tỷ lệ điểm tối đa” (AC-G10 «Tỷ lệ điểm tối đa»)</t>
        </is>
      </c>
    </row>
    <row r="123">
      <c r="D123" s="8" t="inlineStr">
        <is>
          <t>前提条件（Điều kiện trước）</t>
        </is>
      </c>
    </row>
    <row r="124">
      <c r="E124" s="9" t="inlineStr">
        <is>
          <t>- Điều kiện: mục có M không hợp lệ (M không hợp lệ). Ô trước đó Đỏ theo quy tắc khác.
- Dữ liệu test: mục có M không hợp lệ; quy tắc tỷ lệ 30%; quy tắc “Cố định 30” (dưới 30); S = 0</t>
        </is>
      </c>
    </row>
    <row r="125">
      <c r="D125" s="8" t="inlineStr">
        <is>
          <t>操作（Thao tác）</t>
        </is>
      </c>
    </row>
    <row r="126">
      <c r="E126" s="9" t="inlineStr">
        <is>
          <t>1. Chỉ có quy tắc tỷ lệ 30% (30%): chạy lại với M=0, M=−10, M không xác định.
2. Chỉ có quy tắc “Cố định 30” (dưới 30) (cố định 30) trên cùng mục, M=0: chạy lại.
Phạm vi từng lượt chạy:
- ratio-zero: Tỷ lệ M0
- ratio-negative: Tỷ lệ M âm
- ratio-missing: Tỷ lệ M không xác định
- fixed-zero: Cố định với M0</t>
        </is>
      </c>
    </row>
    <row r="127">
      <c r="D127" s="8" t="inlineStr">
        <is>
          <t>期待結果（Kết quả mong đợi）</t>
        </is>
      </c>
    </row>
    <row r="128">
      <c r="E128" s="9" t="inlineStr">
        <is>
          <t>1. Cả ba: Chưa xét được; ngừng kết quả cũ; không dùng M=100.
2. `T=30`, `0&lt;30` → Đỏ (không bỏ xét cố định vì M không dương).</t>
        </is>
      </c>
    </row>
    <row r="129">
      <c r="D129" s="8" t="inlineStr">
        <is>
          <t>証跡（Bằng chứng）</t>
        </is>
      </c>
    </row>
    <row r="130">
      <c r="E130" s="9" t="inlineStr">
        <is>
          <t>
          </t>
        </is>
      </c>
    </row>
    <row r="131">
      <c r="D131" s="8" t="inlineStr">
        <is>
          <t>リセット（Đặt lại）</t>
        </is>
      </c>
    </row>
    <row r="132">
      <c r="E132" s="9" t="inlineStr">
        <is>
          <t>
          </t>
        </is>
      </c>
    </row>
    <row r="133">
      <c r="D133" s="9" t="inlineStr">
        <is>
          <t>
          </t>
        </is>
      </c>
    </row>
    <row r="134">
      <c r="C134" s="9" t="inlineStr">
        <is>
          <t>TC-RS-CALC-011 — Phân giải M: mặc định → đơn vị → lựa chọn lớp</t>
        </is>
      </c>
    </row>
    <row r="135">
      <c r="D135" s="10" t="inlineStr">
        <is>
          <t>Priority: Cao ｜ Status: CONFIRMED ｜ Readiness: UNASSESSED ｜ Requirement ID: tiêu chí nghiệm thu “Điểm tối đa hiện hành” (AC-G09 «Điểm tối đa hiện hành»)</t>
        </is>
      </c>
    </row>
    <row r="136">
      <c r="D136" s="8" t="inlineStr">
        <is>
          <t>前提条件（Điều kiện trước）</t>
        </is>
      </c>
    </row>
    <row r="137">
      <c r="E137" s="9" t="inlineStr">
        <is>
          <t>- Điều kiện: mục điểm đơn vị (đơn vị U1 có M riêng 40): mặc định 100; U1 riêng 40; lựa chọn lớp ghi đè 50 áp dụng cho G-A. Tỷ lệ 30%, `&lt;`.
- Dữ liệu test: mục điểm đơn vị (đơn vị U1 có M riêng 40); S01 (G-A) U1=14; S06 (G-B) U1=14, U2=29</t>
        </is>
      </c>
    </row>
    <row r="138">
      <c r="D138" s="8" t="inlineStr">
        <is>
          <t>操作（Thao tác）</t>
        </is>
      </c>
    </row>
    <row r="139">
      <c r="E139" s="9" t="inlineStr">
        <is>
          <t>1. Đăng ký các điểm, xem kết quả.
2. Tạo thêm một định nghĩa lựa chọn M=20 ở Thiết lập điểm tối đa（満点設定） nhưng không gán cho G-B; đăng ký lại S06 U1.
3. Chuẩn bị G-B sao cho điểm cao nhất thực tế của U2 là 80 và nhóm tổng hợp chứa lớp có M khác (tổng điểm tối đa nhóm khác 100); đăng ký lại S06 U2 = 29.
Phạm vi từng lượt chạy:
- resolution: Lượt đầu theo các M hợp lệ
- unassigned: Không chọn định nghĩa
- actual80: Bước 3, điểm học sinh cao nhất thực tế là 80 nhưng M vẫn 100; không đổi M thành 80</t>
        </is>
      </c>
    </row>
    <row r="140">
      <c r="D140" s="8" t="inlineStr">
        <is>
          <t>期待結果（Kết quả mong đợi）</t>
        </is>
      </c>
    </row>
    <row r="141">
      <c r="E141" s="9" t="inlineStr">
        <is>
          <t>1. S01 U1: `M=50`, `T=15` → Đỏ. S06 U1: `M=40`, `T=12` → Không đỏ. S06 U2: `M=100`, `T=30` → Đỏ.
2. S06 U1 vẫn dùng `M=40` → Không đỏ.
3. S06 U2 vẫn dùng `M=100`, `T=30` → Đỏ; không dùng điểm cao nhất thực tế (80 → `T=24`, Không đỏ — sai) hay tổng điểm tối đa nhóm.</t>
        </is>
      </c>
    </row>
    <row r="142">
      <c r="D142" s="8" t="inlineStr">
        <is>
          <t>証跡（Bằng chứng）</t>
        </is>
      </c>
    </row>
    <row r="143">
      <c r="E143" s="9" t="inlineStr">
        <is>
          <t>
          </t>
        </is>
      </c>
    </row>
    <row r="144">
      <c r="D144" s="8" t="inlineStr">
        <is>
          <t>リセット（Đặt lại）</t>
        </is>
      </c>
    </row>
    <row r="145">
      <c r="E145" s="9" t="inlineStr">
        <is>
          <t>
          </t>
        </is>
      </c>
    </row>
    <row r="146">
      <c r="D146" s="9" t="inlineStr">
        <is>
          <t>
          </t>
        </is>
      </c>
    </row>
    <row r="147">
      <c r="C147" s="9" t="inlineStr">
        <is>
          <t>TC-RS-CALC-012 — Tỷ lệ dùng M hiện hành, không dùng M của bản tổng hợp đã chốt</t>
        </is>
      </c>
    </row>
    <row r="148">
      <c r="D148" s="10" t="inlineStr">
        <is>
          <t>Priority: Cao ｜ Status: CONFIRMED ｜ Readiness: UNASSESSED ｜ Requirement ID: tiêu chí nghiệm thu “Điểm tối đa hiện hành” (AC-G09 «Điểm tối đa hiện hành»)</t>
        </is>
      </c>
    </row>
    <row r="149">
      <c r="D149" s="8" t="inlineStr">
        <is>
          <t>前提条件（Điều kiện trước）</t>
        </is>
      </c>
    </row>
    <row r="150">
      <c r="E150" s="9" t="inlineStr">
        <is>
          <t>- Điều kiện: Có bản chốt (dummy) tạo khi M=100. Sau đó M hiện hành của mục số nguyên (M=100) đổi thành 50.
- Dữ liệu test: mục số nguyên (M=100); quy tắc tỷ lệ 30%; S = 20; bản tổng hợp đã chốt (trung bình 49.99)</t>
        </is>
      </c>
    </row>
    <row r="151">
      <c r="D151" s="8" t="inlineStr">
        <is>
          <t>操作（Thao tác）</t>
        </is>
      </c>
    </row>
    <row r="152">
      <c r="E152" s="9" t="inlineStr">
        <is>
          <t>Đăng ký S=20, xem kết quả.
Phạm vi từng lượt chạy:
- Base: Toàn bộ thủ tục theo đúng thứ tự; các đối chứng cùng fixture được kiểm trong cùng lượt, không bỏ bước</t>
        </is>
      </c>
    </row>
    <row r="153">
      <c r="D153" s="8" t="inlineStr">
        <is>
          <t>期待結果（Kết quả mong đợi）</t>
        </is>
      </c>
    </row>
    <row r="154">
      <c r="E154" s="9" t="inlineStr">
        <is>
          <t>`T=50×30/100=15` → `20&lt;15` sai → Không đỏ. (Nếu dùng M=100 của bản chốt: `T=30` → Đỏ — sai.)</t>
        </is>
      </c>
    </row>
    <row r="155">
      <c r="D155" s="8" t="inlineStr">
        <is>
          <t>証跡（Bằng chứng）</t>
        </is>
      </c>
    </row>
    <row r="156">
      <c r="E156" s="9" t="inlineStr">
        <is>
          <t>
          </t>
        </is>
      </c>
    </row>
    <row r="157">
      <c r="D157" s="8" t="inlineStr">
        <is>
          <t>リセット（Đặt lại）</t>
        </is>
      </c>
    </row>
    <row r="158">
      <c r="E158" s="9" t="inlineStr">
        <is>
          <t>
          </t>
        </is>
      </c>
    </row>
    <row r="159">
      <c r="D159" s="9" t="inlineStr">
        <is>
          <t>
          </t>
        </is>
      </c>
    </row>
    <row r="160">
      <c r="C160" s="9" t="inlineStr">
        <is>
          <t>TC-RS-CALC-013 — Công thức một dòng với A=50</t>
        </is>
      </c>
    </row>
    <row r="161">
      <c r="D161" s="10" t="inlineStr">
        <is>
          <t>Priority: Cao ｜ Status: CONFIRMED ｜ Readiness: UNASSESSED ｜ Requirement ID: tiêu chí nghiệm thu “Công thức theo dòng và phần lẻ” (AC-G16 «Công thức theo dòng và phần lẻ»)</t>
        </is>
      </c>
    </row>
    <row r="162">
      <c r="D162" s="8" t="inlineStr">
        <is>
          <t>前提条件（Điều kiện trước）</t>
        </is>
      </c>
    </row>
    <row r="163">
      <c r="E163" s="9" t="inlineStr">
        <is>
          <t>- Điều kiện: Nguồn có `A=50`; dấu `&lt;`.
- Dữ liệu test: Công thức: (a) `A×0.5`; (b) `A−20`; (c) `A+5`; S = 24, 25, 29, 30, 54, 55</t>
        </is>
      </c>
    </row>
    <row r="164">
      <c r="D164" s="8" t="inlineStr">
        <is>
          <t>操作（Thao tác）</t>
        </is>
      </c>
    </row>
    <row r="165">
      <c r="E165" s="9" t="inlineStr">
        <is>
          <t>Với từng công thức, chạy nút cam, xem kết quả.
Phạm vi từng lượt chạy:
- multiply: Nhân 0.5
- subtract: Trừ 20
- add: Cộng 5</t>
        </is>
      </c>
    </row>
    <row r="166">
      <c r="D166" s="8" t="inlineStr">
        <is>
          <t>期待結果（Kết quả mong đợi）</t>
        </is>
      </c>
    </row>
    <row r="167">
      <c r="E167" s="9" t="inlineStr">
        <is>
          <t>(a) `T=25`: 24 Đỏ; 25 Không đỏ.
(b) `T=30`: 29 Đỏ; 30 Không đỏ.
(c) `T=55`: 54 Đỏ; 55 Không đỏ.</t>
        </is>
      </c>
    </row>
    <row r="168">
      <c r="D168" s="8" t="inlineStr">
        <is>
          <t>証跡（Bằng chứng）</t>
        </is>
      </c>
    </row>
    <row r="169">
      <c r="E169" s="9" t="inlineStr">
        <is>
          <t>
          </t>
        </is>
      </c>
    </row>
    <row r="170">
      <c r="D170" s="8" t="inlineStr">
        <is>
          <t>リセット（Đặt lại）</t>
        </is>
      </c>
    </row>
    <row r="171">
      <c r="E171" s="9" t="inlineStr">
        <is>
          <t>
          </t>
        </is>
      </c>
    </row>
    <row r="172">
      <c r="D172" s="9" t="inlineStr">
        <is>
          <t>
          </t>
        </is>
      </c>
    </row>
    <row r="173">
      <c r="C173" s="9" t="inlineStr">
        <is>
          <t>TC-RS-CALC-014 — Làm tròn theo từng dòng: A=49.7</t>
        </is>
      </c>
    </row>
    <row r="174">
      <c r="D174" s="10" t="inlineStr">
        <is>
          <t>Priority: Cao ｜ Status: CONFIRMED ｜ Readiness: UNASSESSED ｜ Requirement ID: tiêu chí nghiệm thu “Công thức theo dòng và phần lẻ” (AC-G16 «Công thức theo dòng và phần lẻ»)</t>
        </is>
      </c>
    </row>
    <row r="175">
      <c r="D175" s="8" t="inlineStr">
        <is>
          <t>前提条件（Điều kiện trước）</t>
        </is>
      </c>
    </row>
    <row r="176">
      <c r="E176" s="9" t="inlineStr">
        <is>
          <t>- Điều kiện: Nguồn `A=49.7`; dòng 1 `A÷2`; dòng 2 `Kết quả dòng 1 × 0.8`; `&lt;`.
- Dữ liệu test: S = 19.1 và S = 19.2</t>
        </is>
      </c>
    </row>
    <row r="177">
      <c r="D177" s="8" t="inlineStr">
        <is>
          <t>操作（Thao tác）</t>
        </is>
      </c>
    </row>
    <row r="178">
      <c r="E178" s="9" t="inlineStr">
        <is>
          <t>1. Lưu đúng cấu hình: dòng 1 bật xử lý phần lẻ, vị trí 1, làm tròn xuống; dòng 2 không xử lý.
2. Chạy xét với `S=19.1` và `S=19.2`.
Phạm vi từng lượt chạy:
- Base: Toàn bộ thủ tục theo đúng thứ tự; các đối chứng cùng fixture được kiểm trong cùng lượt, không bỏ bước</t>
        </is>
      </c>
    </row>
    <row r="179">
      <c r="D179" s="8" t="inlineStr">
        <is>
          <t>期待結果（Kết quả mong đợi）</t>
        </is>
      </c>
    </row>
    <row r="180">
      <c r="E180" s="9" t="inlineStr">
        <is>
          <t>1. `24.85→24`; `T=24×0.8=19.2`.
2. Với dấu `&lt;`: `S=19.1` Đỏ và `S=19.2` Không đỏ.
3. Không làm tròn dòng 2 thành `19`.</t>
        </is>
      </c>
    </row>
    <row r="181">
      <c r="D181" s="8" t="inlineStr">
        <is>
          <t>証跡（Bằng chứng）</t>
        </is>
      </c>
    </row>
    <row r="182">
      <c r="E182" s="9" t="inlineStr">
        <is>
          <t>
          </t>
        </is>
      </c>
    </row>
    <row r="183">
      <c r="D183" s="8" t="inlineStr">
        <is>
          <t>リセット（Đặt lại）</t>
        </is>
      </c>
    </row>
    <row r="184">
      <c r="E184" s="9" t="inlineStr">
        <is>
          <t>
          </t>
        </is>
      </c>
    </row>
    <row r="185">
      <c r="D185" s="9" t="inlineStr">
        <is>
          <t>
          </t>
        </is>
      </c>
    </row>
    <row r="186">
      <c r="C186" s="9" t="inlineStr">
        <is>
          <t>TC-RS-CALC-015 — Công thức hai dòng theo Figma: (A÷2)×0.8, dòng 1 làm tròn xuống</t>
        </is>
      </c>
    </row>
    <row r="187">
      <c r="D187" s="10" t="inlineStr">
        <is>
          <t>Priority: Cao ｜ Status: CONFIRMED ｜ Readiness: BLOCKED ｜ Requirement ID: tiêu chí nghiệm thu “Công thức theo dòng và phần lẻ” (AC-G16 «Công thức theo dòng và phần lẻ»)</t>
        </is>
      </c>
    </row>
    <row r="188">
      <c r="D188" s="8" t="inlineStr">
        <is>
          <t>前提条件（Điều kiện trước）</t>
        </is>
      </c>
    </row>
    <row r="189">
      <c r="E189" s="9" t="inlineStr">
        <is>
          <t>- Điều kiện: giáo viên có quyền sửa thiết lập; dùng mục số thập phân TD-ITEM-02 (`M=100`) trong lớp fixture duy nhất TD-GRP-05; ba học sinh C15-P1/P2/P3 cùng thuộc phạm vi rule và nguồn trung bình TD-SRC-25; chưa có kết quả đỏ cũ.
- Dữ liệu test: C15-P1 có `S=23.9`, C15-P2 có `S=24`, C15-P3 có `S=24.4`; nguồn reader phải trả `A=61`; quy tắc hai dòng `(A÷2)×0.8`.</t>
        </is>
      </c>
    </row>
    <row r="190">
      <c r="D190" s="8" t="inlineStr">
        <is>
          <t>操作（Thao tác）</t>
        </is>
      </c>
    </row>
    <row r="191">
      <c r="E191" s="9" t="inlineStr">
        <is>
          <t>1. Tạo dòng 1 `A÷2`; chọn **chữ số thập phân thứ 1（小数第1位）** và **Làm tròn xuống（切り捨て）**, tức kết quả dòng 1 được đưa về số nguyên. Tạo dòng 2 `kết quả dòng trước×0.8` và chọn **không xử lý phần lẻ（しない）**.
2. Xác nhận TD-SRC-25/reader trả `A=61`; chạy trong đúng lớp TD-GRP-05 với C15-P1/P2/P3 cho hai biến thể dấu `&lt;` và `≤`, không đổi nguồn hoặc cách làm tròn.
3. Mở lại cấu hình và đối chiếu kết quả của C15-P1/P2/P3.
Phạm vi từng lượt chạy:
- less-than: Nhánh less-than trong thủ tục và Expected của case; thực hiện các bước chuẩn bị chung trước nhánh
- less-or-equal: Nhánh less-or-equal trong thủ tục và Expected của case; thực hiện các bước chuẩn bị chung trước nhánh
- reopen-summary: Nhánh reopen-summary trong thủ tục và Expected của case; thực hiện các bước chuẩn bị chung trước nhánh</t>
        </is>
      </c>
    </row>
    <row r="192">
      <c r="D192" s="8" t="inlineStr">
        <is>
          <t>期待結果（Kết quả mong đợi）</t>
        </is>
      </c>
    </row>
    <row r="193">
      <c r="E193" s="9" t="inlineStr">
        <is>
          <t>Dòng 1 `61÷2=30.5` làm tròn xuống thành `30`; dòng 2 `30×0.8=24`, nên oracle cố định là `T=24`.
- Với dấu `&lt;`: C15-P1=`23.9` Đỏ; C15-P2=`24` **Không đỏ**; C15-P3=`24.4` **Không đỏ**.
- Với dấu `≤`: C15-P1=`23.9` Đỏ; C15-P2=`24` Đỏ; C15-P3=`24.4` **Không đỏ**.
Mở lại cấu hình và phần tóm tắt phải giữ đúng vị trí làm tròn xuống ở dòng 1, không được thay expected theo kết quả thực tế hoặc ghi đè oracle trong evidence. Phương thức không làm tròn dòng 1 là biến thể riêng, không thuộc case này.</t>
        </is>
      </c>
    </row>
    <row r="194">
      <c r="D194" s="8" t="inlineStr">
        <is>
          <t>証跡（Bằng chứng）</t>
        </is>
      </c>
    </row>
    <row r="195">
      <c r="E195" s="9" t="inlineStr">
        <is>
          <t>
          </t>
        </is>
      </c>
    </row>
    <row r="196">
      <c r="D196" s="8" t="inlineStr">
        <is>
          <t>リセット（Đặt lại）</t>
        </is>
      </c>
    </row>
    <row r="197">
      <c r="E197" s="9" t="inlineStr">
        <is>
          <t>
          </t>
        </is>
      </c>
    </row>
    <row r="198">
      <c r="D198" s="9" t="inlineStr">
        <is>
          <t>
          </t>
        </is>
      </c>
    </row>
    <row r="199">
      <c r="C199" s="9" t="inlineStr">
        <is>
          <t>TC-RS-CALC-016 — Ngưỡng âm: A=15, A−20 → T=−5</t>
        </is>
      </c>
    </row>
    <row r="200">
      <c r="D200" s="10" t="inlineStr">
        <is>
          <t>Priority: Cao ｜ Status: CONFIRMED ｜ Readiness: UNASSESSED ｜ Requirement ID: tiêu chí nghiệm thu “Ngưỡng âm” (AC-G18 «Ngưỡng âm»)</t>
        </is>
      </c>
    </row>
    <row r="201">
      <c r="D201" s="8" t="inlineStr">
        <is>
          <t>前提条件（Điều kiện trước）</t>
        </is>
      </c>
    </row>
    <row r="202">
      <c r="E202" s="9" t="inlineStr">
        <is>
          <t>- Điều kiện: quy tắc công thức trung bình − 20; nguồn `A=15`. Biến thể (b) cần mục cho phép điểm âm.
- Dữ liệu test: quy tắc công thức trung bình − 20; (a) Mục thường: S = 0; (b) mục cho phép điểm âm: S = −6, −5</t>
        </is>
      </c>
    </row>
    <row r="203">
      <c r="D203" s="8" t="inlineStr">
        <is>
          <t>操作（Thao tác）</t>
        </is>
      </c>
    </row>
    <row r="204">
      <c r="E204" s="9" t="inlineStr">
        <is>
          <t>(a) Xét S=0 với `&lt;` và `≤`.
(b) Xét −6, −5 với `&lt;` và `≤`.
Phạm vi từng lượt chạy:
- zero-lt: Ngưỡng 0 nhỏ hơn
- zero-le: Ngưỡng 0 nhỏ hơn hoặc bằng
- negative-lt: Ngưỡng âm nhỏ hơn
- negative-le: Ngưỡng âm nhỏ hơn hoặc bằng</t>
        </is>
      </c>
    </row>
    <row r="205">
      <c r="D205" s="8" t="inlineStr">
        <is>
          <t>期待結果（Kết quả mong đợi）</t>
        </is>
      </c>
    </row>
    <row r="206">
      <c r="E206" s="9" t="inlineStr">
        <is>
          <t>(a) `T=−5`: `&lt;` Không đỏ; `≤` Không đỏ (nếu hệ thống ép `T` về 0 thì `≤` sẽ Đỏ — sai).
(b) `&lt;`: −6 Đỏ; −5 Không đỏ. `≤`: −6 Đỏ; −5 Đỏ.</t>
        </is>
      </c>
    </row>
    <row r="207">
      <c r="D207" s="8" t="inlineStr">
        <is>
          <t>証跡（Bằng chứng）</t>
        </is>
      </c>
    </row>
    <row r="208">
      <c r="E208" s="9" t="inlineStr">
        <is>
          <t>
          </t>
        </is>
      </c>
    </row>
    <row r="209">
      <c r="D209" s="8" t="inlineStr">
        <is>
          <t>リセット（Đặt lại）</t>
        </is>
      </c>
    </row>
    <row r="210">
      <c r="E210" s="9" t="inlineStr">
        <is>
          <t>
          </t>
        </is>
      </c>
    </row>
    <row r="211">
      <c r="D211" s="9" t="inlineStr">
        <is>
          <t>
          </t>
        </is>
      </c>
    </row>
    <row r="212">
      <c r="C212" s="9" t="inlineStr">
        <is>
          <t>TC-RS-CALC-017 — Ngưỡng công thức vượt M vẫn hợp lệ</t>
        </is>
      </c>
    </row>
    <row r="213">
      <c r="D213" s="10" t="inlineStr">
        <is>
          <t>Priority: Cao ｜ Status: CONFIRMED ｜ Readiness: UNASSESSED ｜ Requirement ID: tiêu chí nghiệm thu “Công thức theo dòng và phần lẻ” (AC-G16 «Công thức theo dòng và phần lẻ»)</t>
        </is>
      </c>
    </row>
    <row r="214">
      <c r="D214" s="8" t="inlineStr">
        <is>
          <t>前提条件（Điều kiện trước）</t>
        </is>
      </c>
    </row>
    <row r="215">
      <c r="E215" s="9" t="inlineStr">
        <is>
          <t>- Điều kiện: Nguồn `A=80`; công thức `A×1.5`; mục số nguyên (M=100) (M=100).
- Dữ liệu test: mục số nguyên (M=100); S = 100</t>
        </is>
      </c>
    </row>
    <row r="216">
      <c r="D216" s="8" t="inlineStr">
        <is>
          <t>操作（Thao tác）</t>
        </is>
      </c>
    </row>
    <row r="217">
      <c r="E217" s="9" t="inlineStr">
        <is>
          <t>Chạy nút cam; xem kết quả.
Phạm vi từng lượt chạy:
- Base: Toàn bộ thủ tục theo đúng thứ tự; các đối chứng cùng fixture được kiểm trong cùng lượt, không bỏ bước</t>
        </is>
      </c>
    </row>
    <row r="218">
      <c r="D218" s="8" t="inlineStr">
        <is>
          <t>期待結果（Kết quả mong đợi）</t>
        </is>
      </c>
    </row>
    <row r="219">
      <c r="E219" s="9" t="inlineStr">
        <is>
          <t>`T=120`; `100&lt;120` → Đỏ. Không bị Chưa xét được, không ép `T` về 100.</t>
        </is>
      </c>
    </row>
    <row r="220">
      <c r="D220" s="8" t="inlineStr">
        <is>
          <t>証跡（Bằng chứng）</t>
        </is>
      </c>
    </row>
    <row r="221">
      <c r="E221" s="9" t="inlineStr">
        <is>
          <t>
          </t>
        </is>
      </c>
    </row>
    <row r="222">
      <c r="D222" s="8" t="inlineStr">
        <is>
          <t>リセット（Đặt lại）</t>
        </is>
      </c>
    </row>
    <row r="223">
      <c r="E223" s="9" t="inlineStr">
        <is>
          <t>
          </t>
        </is>
      </c>
    </row>
    <row r="224">
      <c r="D224" s="9" t="inlineStr">
        <is>
          <t>
          </t>
        </is>
      </c>
    </row>
    <row r="225">
      <c r="C225" s="9" t="inlineStr">
        <is>
          <t>TC-RS-CALC-018 — Công thức A−0 cho ngưỡng bằng A</t>
        </is>
      </c>
    </row>
    <row r="226">
      <c r="D226" s="10" t="inlineStr">
        <is>
          <t>Priority: Cao ｜ Status: CONFIRMED ｜ Readiness: UNASSESSED ｜ Requirement ID: tiêu chí nghiệm thu “Biên so sánh và cảnh báo” (AC-G07 «Biên so sánh và cảnh báo»)</t>
        </is>
      </c>
    </row>
    <row r="227">
      <c r="D227" s="8" t="inlineStr">
        <is>
          <t>前提条件（Điều kiện trước）</t>
        </is>
      </c>
    </row>
    <row r="228">
      <c r="E228" s="9" t="inlineStr">
        <is>
          <t>- Điều kiện: Nguồn `A=50`; công thức `A−0`, `&lt;`.
- Dữ liệu test: S = 49, 50</t>
        </is>
      </c>
    </row>
    <row r="229">
      <c r="D229" s="8" t="inlineStr">
        <is>
          <t>操作（Thao tác）</t>
        </is>
      </c>
    </row>
    <row r="230">
      <c r="E230" s="9" t="inlineStr">
        <is>
          <t>1. Lưu công thức (quan sát cảnh báo).
2. Chạy nút cam.
Phạm vi từng lượt chạy:
- Base: Toàn bộ thủ tục theo đúng thứ tự; các đối chứng cùng fixture được kiểm trong cùng lượt, không bỏ bước</t>
        </is>
      </c>
    </row>
    <row r="231">
      <c r="D231" s="8" t="inlineStr">
        <is>
          <t>期待結果（Kết quả mong đợi）</t>
        </is>
      </c>
    </row>
    <row r="232">
      <c r="E232" s="9" t="inlineStr">
        <is>
          <t>1. Có cảnh báo giúp hiểu ngưỡng là A (câu chữ TBD), vẫn lưu được.
2. `T=50`: 49 Đỏ; 50 Không đỏ.</t>
        </is>
      </c>
    </row>
    <row r="233">
      <c r="D233" s="8" t="inlineStr">
        <is>
          <t>証跡（Bằng chứng）</t>
        </is>
      </c>
    </row>
    <row r="234">
      <c r="E234" s="9" t="inlineStr">
        <is>
          <t>
          </t>
        </is>
      </c>
    </row>
    <row r="235">
      <c r="D235" s="8" t="inlineStr">
        <is>
          <t>リセット（Đặt lại）</t>
        </is>
      </c>
    </row>
    <row r="236">
      <c r="E236" s="9" t="inlineStr">
        <is>
          <t>
          </t>
        </is>
      </c>
    </row>
    <row r="237">
      <c r="D237" s="9" t="inlineStr">
        <is>
          <t>
          </t>
        </is>
      </c>
    </row>
    <row r="238">
      <c r="C238" s="9" t="inlineStr">
        <is>
          <t>TC-RS-CALC-019 — Định nghĩa phương thức làm tròn, số âm và p=9</t>
        </is>
      </c>
    </row>
    <row r="239">
      <c r="D239" s="10" t="inlineStr">
        <is>
          <t>Priority: TBD ｜ Status: TBD ｜ Readiness: BLOCKED ｜ Requirement ID: tiêu chí nghiệm thu “Công thức theo dòng và phần lẻ” (AC-G16 «Công thức theo dòng và phần lẻ»)</t>
        </is>
      </c>
    </row>
    <row r="240">
      <c r="D240" s="8" t="inlineStr">
        <is>
          <t>前提条件（Điều kiện trước）</t>
        </is>
      </c>
    </row>
    <row r="241">
      <c r="E241" s="9" t="inlineStr">
        <is>
          <t>- Điều kiện: Dùng công thức một dòng `A+0` hoặc `A×1` để đưa giá trị vào bước làm tròn (nguồn dummy có `A` bằng giá trị cần thử).
- Dữ liệu test: Bảng ở Expected Result</t>
        </is>
      </c>
    </row>
    <row r="242">
      <c r="D242" s="8" t="inlineStr">
        <is>
          <t>操作（Thao tác）</t>
        </is>
      </c>
    </row>
    <row r="243">
      <c r="E243" s="9" t="inlineStr">
        <is>
          <t>1. Với từng dòng của Expected Result: đặt `A` (nguồn dummy, dữ liệu giả cho bản tổng hợp đã chốt), chọn xử lý phần lẻ.
2. Chạy lại (nút cam).
3. Đọc `T` qua thông tin giải thích (case “Lưu thông tin giải thích kết quả”) hoặc qua kết quả xét với S sát ngưỡng.
Phạm vi từng lượt chạy:
- positive-none: 29.7 không xử lý
- positive-down: 29.7 xuống p1
- positive-nearest: 29.75 gần nhất p2
- negative-up: -5.2 lên p1
- negative-down: -5.2 xuống p1
- negative-nearest: -5.5 gần nhất p1
- half-positive: 12.5 gần nhất p1
- half-negative: -12.5 gần nhất p1
- half-up: -12.5 lên p1
- half-down: -12.5 xuống p1
- decimal-nearest: 12.345 gần nhất p2
- decimal-up: 12.345 lên p2
- p3: 2.675 gần nhất p3
- p9-nearest: 1.123456789 gần nhất p9
- p9-down: 1.123456789 xuống p9</t>
        </is>
      </c>
    </row>
    <row r="244">
      <c r="D244" s="8" t="inlineStr">
        <is>
          <t>期待結果（Kết quả mong đợi）</t>
        </is>
      </c>
    </row>
    <row r="245">
      <c r="E245" s="9" t="inlineStr">
        <is>
          <t>Các phép thử có fixture/source được quan sát dùng expected dưới đây. Giới hạn `p=9`, miền âm và quy tắc làm tròn âm là PROPOSED/TBD nếu đợt phát hành chưa chốt; thiếu seam thì BLOCKED, không đánh PASS/FAIL.
29.7 không xử lý → 29.7.
29.7 xuống p1 → 29.
29.75 gần nhất p2 → 29.8.
−5.2 lên p1 → −5.
−5.2 xuống p1 → −6.
−5.5 gần nhất p1 → −6.
12.5 gần nhất p1 → 13; −12.5 gần nhất p1 → −13; −12.5 lên p1 → −12; −12.5 xuống p1 → −13.
12.345 gần nhất p2 → 12.3; lên p2 → 12.4.
2.675 gần nhất p3 → 2.68.
1.123456789 gần nhất p9 → 1.12345679; xuống p9 → 1.12345678.</t>
        </is>
      </c>
    </row>
    <row r="246">
      <c r="D246" s="8" t="inlineStr">
        <is>
          <t>証跡（Bằng chứng）</t>
        </is>
      </c>
    </row>
    <row r="247">
      <c r="E247" s="9" t="inlineStr">
        <is>
          <t>
          </t>
        </is>
      </c>
    </row>
    <row r="248">
      <c r="D248" s="8" t="inlineStr">
        <is>
          <t>リセット（Đặt lại）</t>
        </is>
      </c>
    </row>
    <row r="249">
      <c r="E249" s="9" t="inlineStr">
        <is>
          <t>
          </t>
        </is>
      </c>
    </row>
    <row r="250">
      <c r="D250" s="9" t="inlineStr">
        <is>
          <t>
          </t>
        </is>
      </c>
    </row>
    <row r="251">
      <c r="C251" s="9" t="inlineStr">
        <is>
          <t>TC-RS-CALC-020 — Làm tròn ngưỡng, không làm tròn điểm học sinh</t>
        </is>
      </c>
    </row>
    <row r="252">
      <c r="D252" s="10" t="inlineStr">
        <is>
          <t>Priority: Cao ｜ Status: CONFIRMED ｜ Readiness: UNASSESSED ｜ Requirement ID: tiêu chí nghiệm thu “Công thức theo dòng và phần lẻ” (AC-G16 «Công thức theo dòng và phần lẻ»)</t>
        </is>
      </c>
    </row>
    <row r="253">
      <c r="D253" s="8" t="inlineStr">
        <is>
          <t>前提条件（Điều kiện trước）</t>
        </is>
      </c>
    </row>
    <row r="254">
      <c r="E254" s="9" t="inlineStr">
        <is>
          <t>- Điều kiện: mục số thập phân (M=100) với M=99; tỷ lệ 30% (`T_thô=29.7`), `&lt;`.
- Dữ liệu test: mục số thập phân (M=100); S = 29.5</t>
        </is>
      </c>
    </row>
    <row r="255">
      <c r="D255" s="8" t="inlineStr">
        <is>
          <t>操作（Thao tác）</t>
        </is>
      </c>
    </row>
    <row r="256">
      <c r="E256" s="9" t="inlineStr">
        <is>
          <t>(a) Xuống p1.
(b) Gần nhất p1.
Phạm vi từng lượt chạy:
- down: Cắt xuống
- nearest: Làm tròn gần nhất</t>
        </is>
      </c>
    </row>
    <row r="257">
      <c r="D257" s="8" t="inlineStr">
        <is>
          <t>期待結果（Kết quả mong đợi）</t>
        </is>
      </c>
    </row>
    <row r="258">
      <c r="E258" s="9" t="inlineStr">
        <is>
          <t>(a) `T=29`; `29.5&lt;29` sai → Không đỏ. (Nếu làm tròn S thành 29 và giữ `T=29.7` → Đỏ — sai.)
(b) `T=30`; `29.5&lt;30` → Đỏ. (Nếu làm tròn S thành 30 → Không đỏ — sai.)
Điểm lưu vẫn 29.5.</t>
        </is>
      </c>
    </row>
    <row r="259">
      <c r="D259" s="8" t="inlineStr">
        <is>
          <t>証跡（Bằng chứng）</t>
        </is>
      </c>
    </row>
    <row r="260">
      <c r="E260" s="9" t="inlineStr">
        <is>
          <t>
          </t>
        </is>
      </c>
    </row>
    <row r="261">
      <c r="D261" s="8" t="inlineStr">
        <is>
          <t>リセット（Đặt lại）</t>
        </is>
      </c>
    </row>
    <row r="262">
      <c r="E262" s="9" t="inlineStr">
        <is>
          <t>
          </t>
        </is>
      </c>
    </row>
    <row r="263">
      <c r="D263" s="9" t="inlineStr">
        <is>
          <t>
          </t>
        </is>
      </c>
    </row>
    <row r="264">
      <c r="C264" s="9" t="inlineStr">
        <is>
          <t>TC-RS-CALC-021 — Chia 0 phát sinh khi chạy → Chưa xét được</t>
        </is>
      </c>
    </row>
    <row r="265">
      <c r="D265" s="10" t="inlineStr">
        <is>
          <t>Priority: Cao ｜ Status: CONFIRMED ｜ Readiness: UNASSESSED ｜ Requirement ID: đặc tả v2 mục 6.4 “Công thức dùng trung bình”, mục 8.3 “Không tạo được ngưỡng hợp lệ”</t>
        </is>
      </c>
    </row>
    <row r="266">
      <c r="D266" s="8" t="inlineStr">
        <is>
          <t>前提条件（Điều kiện trước）</t>
        </is>
      </c>
    </row>
    <row r="267">
      <c r="E267" s="9" t="inlineStr">
        <is>
          <t>- Điều kiện: quy tắc công thức 100 ÷ trung bình (`100÷A`), `&lt;`, mục số thập phân (M=100).
- Dữ liệu test: mục số thập phân (M=100), quy tắc công thức 100 ÷ trung bình; (a) nhóm có trung bình 0 `A=0`; (b) `A=4`, S = 24; (c) `A=3`, S = 33.33, 33.34</t>
        </is>
      </c>
    </row>
    <row r="268">
      <c r="D268" s="8" t="inlineStr">
        <is>
          <t>操作（Thao tác）</t>
        </is>
      </c>
    </row>
    <row r="269">
      <c r="E269" s="9" t="inlineStr">
        <is>
          <t>Chạy nút cam cho từng nguồn.
Phạm vi từng lượt chạy:
- a0: A0
- a4: A4
- a3: A3</t>
        </is>
      </c>
    </row>
    <row r="270">
      <c r="D270" s="8" t="inlineStr">
        <is>
          <t>期待結果（Kết quả mong đợi）</t>
        </is>
      </c>
    </row>
    <row r="271">
      <c r="E271" s="9" t="inlineStr">
        <is>
          <t>(a) Chưa xét được; không dùng ưu tiên thấp hơn.
(b) `T=25` → 24 Đỏ.
(c) `T=33.333…` → 33.33 Đỏ; 33.34 Không đỏ.</t>
        </is>
      </c>
    </row>
    <row r="272">
      <c r="D272" s="8" t="inlineStr">
        <is>
          <t>証跡（Bằng chứng）</t>
        </is>
      </c>
    </row>
    <row r="273">
      <c r="E273" s="9" t="inlineStr">
        <is>
          <t>
          </t>
        </is>
      </c>
    </row>
    <row r="274">
      <c r="D274" s="8" t="inlineStr">
        <is>
          <t>リセット（Đặt lại）</t>
        </is>
      </c>
    </row>
    <row r="275">
      <c r="E275" s="9" t="inlineStr">
        <is>
          <t>
          </t>
        </is>
      </c>
    </row>
    <row r="276">
      <c r="D276" s="9" t="inlineStr">
        <is>
          <t>
          </t>
        </is>
      </c>
    </row>
    <row r="277">
      <c r="C277" s="9" t="inlineStr">
        <is>
          <t>TC-RS-CALC-022 — Phân nhánh theo trung bình: A = 40 / 50 / 49.99 (dùng A trước làm tròn)</t>
        </is>
      </c>
    </row>
    <row r="278">
      <c r="D278" s="10" t="inlineStr">
        <is>
          <t>Priority: Cao ｜ Status: CONFIRMED ｜ Readiness: UNASSESSED ｜ Requirement ID: tiêu chí nghiệm thu “Giá trị thô từ cùng tập dữ liệu” (AC-G14 «Giá trị thô từ cùng tập dữ liệu»)</t>
        </is>
      </c>
    </row>
    <row r="279">
      <c r="D279" s="8" t="inlineStr">
        <is>
          <t>前提条件（Điều kiện trước）</t>
        </is>
      </c>
    </row>
    <row r="280">
      <c r="E280" s="9" t="inlineStr">
        <is>
          <t>- Điều kiện: Ưu tiên 1: `A≥50` → cố định 30 `&lt;`. Ưu tiên 2: `A&lt;50` → `A×0.5` `&lt;`. mục số thập phân (M=100).
- Dữ liệu test: mục số thập phân (M=100); Nguồn `A=40`, `A=50`, `A=49.99` (bản tổng hợp đã chốt (trung bình 49.99), màn tổng hợp hiện 50.0); S = 19, 20, 24.99, 25, 29, 30</t>
        </is>
      </c>
    </row>
    <row r="281">
      <c r="D281" s="8" t="inlineStr">
        <is>
          <t>操作（Thao tác）</t>
        </is>
      </c>
    </row>
    <row r="282">
      <c r="E282" s="9" t="inlineStr">
        <is>
          <t>1. Với từng nguồn, chạy nút cam, xem kết quả.
2. Với `A=49.99`: bật gần nhất p1 cho dòng `A×0.5`, chạy lại.
Phạm vi từng lượt chạy:
- a40: A40
- a50: A50
- a4999-none: A49.99 không làm tròn
- a4999-round: A49.99 có làm tròn</t>
        </is>
      </c>
    </row>
    <row r="283">
      <c r="D283" s="8" t="inlineStr">
        <is>
          <t>期待結果（Kết quả mong đợi）</t>
        </is>
      </c>
    </row>
    <row r="284">
      <c r="E284" s="9" t="inlineStr">
        <is>
          <t>`A=40` → ưu tiên 2, `T=20`: 19 Đỏ; 20 Không đỏ.
`A=50` → ưu tiên 1, `T=30`: 29 Đỏ; 30 Không đỏ.
`A=49.99` → ưu tiên 2, `T=24.995`: 24.99 Đỏ; 25 Không đỏ; 29 Không đỏ (nếu dùng 50 thì 29 Đỏ — sai).
Bước 2: `T=25`, vẫn ưu tiên 2: 24.99 Đỏ; 29 Không đỏ.</t>
        </is>
      </c>
    </row>
    <row r="285">
      <c r="D285" s="8" t="inlineStr">
        <is>
          <t>証跡（Bằng chứng）</t>
        </is>
      </c>
    </row>
    <row r="286">
      <c r="E286" s="9" t="inlineStr">
        <is>
          <t>
          </t>
        </is>
      </c>
    </row>
    <row r="287">
      <c r="D287" s="8" t="inlineStr">
        <is>
          <t>リセット（Đặt lại）</t>
        </is>
      </c>
    </row>
    <row r="288">
      <c r="E288" s="9" t="inlineStr">
        <is>
          <t>
          </t>
        </is>
      </c>
    </row>
    <row r="289">
      <c r="D289" s="9" t="inlineStr">
        <is>
          <t>
          </t>
        </is>
      </c>
    </row>
    <row r="290">
      <c r="C290" s="9" t="inlineStr">
        <is>
          <t>TC-RS-CALC-023 — Biên nhánh A=60.00 và A=59.96</t>
        </is>
      </c>
    </row>
    <row r="291">
      <c r="D291" s="10" t="inlineStr">
        <is>
          <t>Priority: Cao ｜ Status: CONFIRMED ｜ Readiness: UNASSESSED ｜ Requirement ID: tiêu chí nghiệm thu “Giá trị thô từ cùng tập dữ liệu” (AC-G14 «Giá trị thô từ cùng tập dữ liệu»)</t>
        </is>
      </c>
    </row>
    <row r="292">
      <c r="D292" s="8" t="inlineStr">
        <is>
          <t>前提条件（Điều kiện trước）</t>
        </is>
      </c>
    </row>
    <row r="293">
      <c r="E293" s="9" t="inlineStr">
        <is>
          <t>- Điều kiện: Ưu tiên 1: `A≥60` → cố định 25 `&lt;`. Ưu tiên 2: `A&lt;60` → `A×0.5` `&lt;`. mục số thập phân (M=100).
- Dữ liệu test: mục số thập phân (M=100); hai nguồn có trung bình 60 và 59.96 (`A=60.00`; `A=59.96`); S = 27, 29.99</t>
        </is>
      </c>
    </row>
    <row r="294">
      <c r="D294" s="8" t="inlineStr">
        <is>
          <t>操作（Thao tác）</t>
        </is>
      </c>
    </row>
    <row r="295">
      <c r="E295" s="9" t="inlineStr">
        <is>
          <t>Chạy nút cam với từng nguồn.
Phạm vi từng lượt chạy:
- a60: A60
- a5996: A59.96</t>
        </is>
      </c>
    </row>
    <row r="296">
      <c r="D296" s="8" t="inlineStr">
        <is>
          <t>期待結果（Kết quả mong đợi）</t>
        </is>
      </c>
    </row>
    <row r="297">
      <c r="E297" s="9" t="inlineStr">
        <is>
          <t>`A=60.00` → ưu tiên 1, `T=25`: 27 Không đỏ.
`A=59.96` → ưu tiên 2, `T=29.98`: 27 Đỏ; 29.99 Không đỏ.</t>
        </is>
      </c>
    </row>
    <row r="298">
      <c r="D298" s="8" t="inlineStr">
        <is>
          <t>証跡（Bằng chứng）</t>
        </is>
      </c>
    </row>
    <row r="299">
      <c r="E299" s="9" t="inlineStr">
        <is>
          <t>
          </t>
        </is>
      </c>
    </row>
    <row r="300">
      <c r="D300" s="8" t="inlineStr">
        <is>
          <t>リセット（Đặt lại）</t>
        </is>
      </c>
    </row>
    <row r="301">
      <c r="E301" s="9" t="inlineStr">
        <is>
          <t>
          </t>
        </is>
      </c>
    </row>
    <row r="302">
      <c r="D302" s="9" t="inlineStr">
        <is>
          <t>
          </t>
        </is>
      </c>
    </row>
    <row r="303">
      <c r="C303" s="9" t="inlineStr">
        <is>
          <t>TC-RS-CALC-024 — Tỷ lệ nhóm R = 70% khớp điều kiện ≥ 65%</t>
        </is>
      </c>
    </row>
    <row r="304">
      <c r="D304" s="10" t="inlineStr">
        <is>
          <t>Priority: Cao ｜ Status: CONFIRMED ｜ Readiness: UNASSESSED ｜ Requirement ID: tiêu chí nghiệm thu “Kế thừa tỷ lệ nhóm” (AC-G15 «Kế thừa tỷ lệ nhóm»)</t>
        </is>
      </c>
    </row>
    <row r="305">
      <c r="D305" s="8" t="inlineStr">
        <is>
          <t>前提条件（Điều kiện trước）</t>
        </is>
      </c>
    </row>
    <row r="306">
      <c r="E306" s="9" t="inlineStr">
        <is>
          <t>- Điều kiện: quy tắc theo tỷ lệ điểm của nhóm từ 65% là quy tắc duy nhất.
- Dữ liệu test: quy tắc theo tỷ lệ điểm của nhóm từ 65%; (a) nhóm có tỷ lệ điểm 70% (cùng M) (60/100, 80/100); (b) nguồn 50/100, 70/100; S = 60, 70, 80</t>
        </is>
      </c>
    </row>
    <row r="307">
      <c r="D307" s="8" t="inlineStr">
        <is>
          <t>操作（Thao tác）</t>
        </is>
      </c>
    </row>
    <row r="308">
      <c r="E308" s="9" t="inlineStr">
        <is>
          <t>Chạy nút xanh rồi nút cam cho từng nguồn.
Phạm vi từng lượt chạy:
- r70: R70
- r60: R60</t>
        </is>
      </c>
    </row>
    <row r="309">
      <c r="D309" s="8" t="inlineStr">
        <is>
          <t>期待結果（Kết quả mong đợi）</t>
        </is>
      </c>
    </row>
    <row r="310">
      <c r="E310" s="9" t="inlineStr">
        <is>
          <t>(a) `R=140/200×100=70%` → khớp; `T=70`: 60 Đỏ; 70 Không đỏ; 80 Không đỏ.
(b) `R=120/200×100=60%` → không khớp → cả ba Không áp dụng.</t>
        </is>
      </c>
    </row>
    <row r="311">
      <c r="D311" s="8" t="inlineStr">
        <is>
          <t>証跡（Bằng chứng）</t>
        </is>
      </c>
    </row>
    <row r="312">
      <c r="E312" s="9" t="inlineStr">
        <is>
          <t>
          </t>
        </is>
      </c>
    </row>
    <row r="313">
      <c r="D313" s="8" t="inlineStr">
        <is>
          <t>リセット（Đặt lại）</t>
        </is>
      </c>
    </row>
    <row r="314">
      <c r="E314" s="9" t="inlineStr">
        <is>
          <t>
          </t>
        </is>
      </c>
    </row>
    <row r="315">
      <c r="D315" s="9" t="inlineStr">
        <is>
          <t>
          </t>
        </is>
      </c>
    </row>
    <row r="316">
      <c r="C316" s="9" t="inlineStr">
        <is>
          <t>TC-RS-CALC-025 — Tỷ lệ nhóm 64.99% (hiển thị 65.0) không khớp ≥ 65%</t>
        </is>
      </c>
    </row>
    <row r="317">
      <c r="D317" s="10" t="inlineStr">
        <is>
          <t>Priority: Cao ｜ Status: CONFIRMED ｜ Readiness: BLOCKED ｜ Requirement ID: tiêu chí nghiệm thu “Giá trị thô từ cùng tập dữ liệu” (AC-G14 «Giá trị thô từ cùng tập dữ liệu»)</t>
        </is>
      </c>
    </row>
    <row r="318">
      <c r="D318" s="8" t="inlineStr">
        <is>
          <t>前提条件（Điều kiện trước）</t>
        </is>
      </c>
    </row>
    <row r="319">
      <c r="E319" s="9" t="inlineStr">
        <is>
          <t>- Điều kiện: quy tắc theo tỷ lệ điểm của nhóm từ 65%; mục thập phân.
- Dữ liệu test: quy tắc theo tỷ lệ điểm của nhóm từ 65%; (a) Nguồn 64.98/100 và 65.00/100 → `R=64.99%`; (b) 65/100 và 65/100 → `R=65%`; S = 60</t>
        </is>
      </c>
    </row>
    <row r="320">
      <c r="D320" s="8" t="inlineStr">
        <is>
          <t>操作（Thao tác）</t>
        </is>
      </c>
    </row>
    <row r="321">
      <c r="E321" s="9" t="inlineStr">
        <is>
          <t>Chạy nút xanh rồi nút cam cho từng nguồn.
Phạm vi từng lượt chạy:
- r6499: R64.99
- r65: R65</t>
        </is>
      </c>
    </row>
    <row r="322">
      <c r="D322" s="8" t="inlineStr">
        <is>
          <t>期待結果（Kết quả mong đợi）</t>
        </is>
      </c>
    </row>
    <row r="323">
      <c r="E323" s="9" t="inlineStr">
        <is>
          <t>(a) `R` thô = `64.99%` không khớp `≥65%` → Không áp dụng. Nếu seam chỉ cung cấp `65.0%` đã làm tròn, case bị BLOCKED/NEEDS_EVIDENCE vì thiếu dữ liệu nguồn, không được đổi oracle thành khớp.
(b) Khớp → S=60 Đỏ.</t>
        </is>
      </c>
    </row>
    <row r="324">
      <c r="D324" s="8" t="inlineStr">
        <is>
          <t>証跡（Bằng chứng）</t>
        </is>
      </c>
    </row>
    <row r="325">
      <c r="E325" s="9" t="inlineStr">
        <is>
          <t>
          </t>
        </is>
      </c>
    </row>
    <row r="326">
      <c r="D326" s="8" t="inlineStr">
        <is>
          <t>リセット（Đặt lại）</t>
        </is>
      </c>
    </row>
    <row r="327">
      <c r="E327" s="9" t="inlineStr">
        <is>
          <t>
          </t>
        </is>
      </c>
    </row>
    <row r="328">
      <c r="D328" s="9" t="inlineStr">
        <is>
          <t>
          </t>
        </is>
      </c>
    </row>
    <row r="329">
      <c r="C329" s="9" t="inlineStr">
        <is>
          <t>TC-RS-CALC-026 — Mẫu số trung bình khi có học sinh bị loại khỏi xếp hạng</t>
        </is>
      </c>
    </row>
    <row r="330">
      <c r="D330" s="10" t="inlineStr">
        <is>
          <t>Priority: Cao ｜ Status: CONFIRMED ｜ Readiness: UNASSESSED ｜ Requirement ID: tiêu chí nghiệm thu “Giá trị thô từ cùng tập dữ liệu” (AC-G14 «Giá trị thô từ cùng tập dữ liệu»)</t>
        </is>
      </c>
    </row>
    <row r="331">
      <c r="D331" s="8" t="inlineStr">
        <is>
          <t>前提条件（Điều kiện trước）</t>
        </is>
      </c>
    </row>
    <row r="332">
      <c r="E332" s="9" t="inlineStr">
        <is>
          <t>- Điều kiện: nhóm có học sinh bị loại khỏi xếp hạng; công thức `A×0.5`, `&lt;`.
- Dữ liệu test: nhóm có học sinh bị loại khỏi xếp hạng; S = 22</t>
        </is>
      </c>
    </row>
    <row r="333">
      <c r="D333" s="8" t="inlineStr">
        <is>
          <t>操作（Thao tác）</t>
        </is>
      </c>
    </row>
    <row r="334">
      <c r="E334" s="9" t="inlineStr">
        <is>
          <t>Chạy nút xanh rồi nút cam; ghi `A` đọc được.
Phạm vi từng lượt chạy:
- Base: Toàn bộ thủ tục theo đúng thứ tự; các đối chứng cùng fixture được kiểm trong cùng lượt, không bỏ bước</t>
        </is>
      </c>
    </row>
    <row r="335">
      <c r="D335" s="8" t="inlineStr">
        <is>
          <t>期待結果（Kết quả mong đợi）</t>
        </is>
      </c>
    </row>
    <row r="336">
      <c r="E336" s="9" t="inlineStr">
        <is>
          <t>`A = (60+40+20)/3 = 40` (mẫu số là số người có điểm của cùng bản) → `T=20` → S=22 Không đỏ. Nếu hệ thống dùng số người thuộc xếp hạng (`A=100/2=50`, `T=25` → Đỏ) là sai.</t>
        </is>
      </c>
    </row>
    <row r="337">
      <c r="D337" s="8" t="inlineStr">
        <is>
          <t>証跡（Bằng chứng）</t>
        </is>
      </c>
    </row>
    <row r="338">
      <c r="E338" s="9" t="inlineStr">
        <is>
          <t>
          </t>
        </is>
      </c>
    </row>
    <row r="339">
      <c r="D339" s="8" t="inlineStr">
        <is>
          <t>リセット（Đặt lại）</t>
        </is>
      </c>
    </row>
    <row r="340">
      <c r="E340" s="9" t="inlineStr">
        <is>
          <t>
          </t>
        </is>
      </c>
    </row>
    <row r="341">
      <c r="D341" s="9" t="inlineStr">
        <is>
          <t>
          </t>
        </is>
      </c>
    </row>
    <row r="342">
      <c r="C342" s="9" t="inlineStr">
        <is>
          <t>TC-RS-CALC-027 — Trung bình riêng cho từng đơn vị</t>
        </is>
      </c>
    </row>
    <row r="343">
      <c r="D343" s="10" t="inlineStr">
        <is>
          <t>Priority: Cao ｜ Status: CONFIRMED ｜ Readiness: BLOCKED ｜ Requirement ID: đặc tả v2 mục 5.5 “Chọn bản nguồn”</t>
        </is>
      </c>
    </row>
    <row r="344">
      <c r="D344" s="8" t="inlineStr">
        <is>
          <t>前提条件（Điều kiện trước）</t>
        </is>
      </c>
    </row>
    <row r="345">
      <c r="E345" s="9" t="inlineStr">
        <is>
          <t>- Điều kiện: mục điểm đơn vị (đơn vị U1 có M riêng 40) có công thức `A×0.5`, `&lt;`.
- Dữ liệu test: mục điểm đơn vị (đơn vị U1 có M riêng 40); trung bình riêng theo đơn vị (U1=40, U2=70) (U1 `A=40`, U2 `A=70`); S06 U1 = 25, U2 = 30</t>
        </is>
      </c>
    </row>
    <row r="346">
      <c r="D346" s="8" t="inlineStr">
        <is>
          <t>操作（Thao tác）</t>
        </is>
      </c>
    </row>
    <row r="347">
      <c r="E347" s="9" t="inlineStr">
        <is>
          <t>Chạy nút xanh rồi nút cam.
Phạm vi từng lượt chạy:
- Base: Toàn bộ thủ tục theo đúng thứ tự; các đối chứng cùng fixture được kiểm trong cùng lượt, không bỏ bước</t>
        </is>
      </c>
    </row>
    <row r="348">
      <c r="D348" s="8" t="inlineStr">
        <is>
          <t>期待結果（Kết quả mong đợi）</t>
        </is>
      </c>
    </row>
    <row r="349">
      <c r="E349" s="9" t="inlineStr">
        <is>
          <t>Kỳ vọng theo đặc tả v2: U1 `T=20` → 25 Không đỏ; U2 `T=35` → 30 Đỏ. Nguồn trung bình theo đơn vị chưa tích hợp (đặc tả v2 mục 13.1): nếu không tách được thì ghi nhận, không đánh PASS.</t>
        </is>
      </c>
    </row>
    <row r="350">
      <c r="D350" s="8" t="inlineStr">
        <is>
          <t>証跡（Bằng chứng）</t>
        </is>
      </c>
    </row>
    <row r="351">
      <c r="E351" s="9" t="inlineStr">
        <is>
          <t>
          </t>
        </is>
      </c>
    </row>
    <row r="352">
      <c r="D352" s="8" t="inlineStr">
        <is>
          <t>リセット（Đặt lại）</t>
        </is>
      </c>
    </row>
    <row r="353">
      <c r="E353" s="9" t="inlineStr">
        <is>
          <t>
          </t>
        </is>
      </c>
    </row>
    <row r="354">
      <c r="D354" s="9" t="inlineStr">
        <is>
          <t>
          </t>
        </is>
      </c>
    </row>
    <row r="355">
      <c r="C355" s="9" t="inlineStr">
        <is>
          <t>TC-RS-CALC-028 — Không sai kết quả do sai số dấu phẩy động</t>
        </is>
      </c>
    </row>
    <row r="356">
      <c r="D356" s="10" t="inlineStr">
        <is>
          <t>Priority: Cao ｜ Status: CONFIRMED ｜ Readiness: UNASSESSED ｜ Requirement ID: tiêu chí nghiệm thu “Giữ chính xác giá trị” (AC-G11 «Giữ chính xác giá trị»)</t>
        </is>
      </c>
    </row>
    <row r="357">
      <c r="D357" s="8" t="inlineStr">
        <is>
          <t>前提条件（Điều kiện trước）</t>
        </is>
      </c>
    </row>
    <row r="358">
      <c r="E358" s="9" t="inlineStr">
        <is>
          <t>- Điều kiện: mục số thập phân (M=100); nguồn dummy.
- Dữ liệu test: mục số thập phân (M=100); (a) `A=1.1`, công thức `A×3`, S = 3.3; (b) `A=0.1`, công thức `A+0.2`, S = 0.3</t>
        </is>
      </c>
    </row>
    <row r="359">
      <c r="D359" s="8" t="inlineStr">
        <is>
          <t>操作（Thao tác）</t>
        </is>
      </c>
    </row>
    <row r="360">
      <c r="E360" s="9" t="inlineStr">
        <is>
          <t>Xét với `&lt;` và `≤`.
Phạm vi từng lượt chạy:
- multiply-lt: A1.1 nhân 3 nhỏ hơn
- multiply-le: A1.1 nhân 3 nhỏ hơn hoặc bằng
- add-lt: A0.1 cộng 0.2 nhỏ hơn
- add-le: A0.1 cộng 0.2 nhỏ hơn hoặc bằng</t>
        </is>
      </c>
    </row>
    <row r="361">
      <c r="D361" s="8" t="inlineStr">
        <is>
          <t>期待結果（Kết quả mong đợi）</t>
        </is>
      </c>
    </row>
    <row r="362">
      <c r="E362" s="9" t="inlineStr">
        <is>
          <t>(a) `T=3.3`: `&lt;` Không đỏ; `≤` Đỏ.
(b) `T=0.3`: `&lt;` Không đỏ; `≤` Đỏ.</t>
        </is>
      </c>
    </row>
    <row r="363">
      <c r="D363" s="8" t="inlineStr">
        <is>
          <t>証跡（Bằng chứng）</t>
        </is>
      </c>
    </row>
    <row r="364">
      <c r="E364" s="9" t="inlineStr">
        <is>
          <t>
          </t>
        </is>
      </c>
    </row>
    <row r="365">
      <c r="D365" s="8" t="inlineStr">
        <is>
          <t>リセット（Đặt lại）</t>
        </is>
      </c>
    </row>
    <row r="366">
      <c r="E366" s="9" t="inlineStr">
        <is>
          <t>
          </t>
        </is>
      </c>
    </row>
    <row r="367">
      <c r="D367" s="9" t="inlineStr">
        <is>
          <t>
          </t>
        </is>
      </c>
    </row>
    <row r="368">
      <c r="C368" s="9" t="inlineStr">
        <is>
          <t>TC-RS-CALC-029 — Tràn số không tạo kết luận đỏ/không đỏ</t>
        </is>
      </c>
    </row>
    <row r="369">
      <c r="D369" s="10" t="inlineStr">
        <is>
          <t>Priority: Cao ｜ Status: CONFIRMED ｜ Readiness: UNASSESSED ｜ Requirement ID: tiêu chí nghiệm thu “Giữ chính xác giá trị” (AC-G11 «Giữ chính xác giá trị»)</t>
        </is>
      </c>
    </row>
    <row r="370">
      <c r="D370" s="8" t="inlineStr">
        <is>
          <t>前提条件（Điều kiện trước）</t>
        </is>
      </c>
    </row>
    <row r="371">
      <c r="E371" s="9" t="inlineStr">
        <is>
          <t>- Điều kiện: Công thức.
- Dữ liệu test: (a) `A × 999999999999999999999` (21 chữ số); `A ÷ 0.000000001`.
(b) 20 dòng, mỗi dòng `× 999999999.99999999` (dòng 1: `A × 999999999.99999999`), không xử lý phần lẻ; `A=50`.</t>
        </is>
      </c>
    </row>
    <row r="372">
      <c r="D372" s="8" t="inlineStr">
        <is>
          <t>操作（Thao tác）</t>
        </is>
      </c>
    </row>
    <row r="373">
      <c r="E373" s="9" t="inlineStr">
        <is>
          <t>1. Nhập (a), Lưu.
2. Nhập (b), Lưu, chạy nút cam.
Phạm vi từng lượt chạy:
- constant: Hằng số cực lớn
- divisor: Số chia cực nhỏ
- overflow: Tràn trong lúc tính</t>
        </is>
      </c>
    </row>
    <row r="374">
      <c r="D374" s="8" t="inlineStr">
        <is>
          <t>期待結果（Kết quả mong đợi）</t>
        </is>
      </c>
    </row>
    <row r="375">
      <c r="E375" s="9" t="inlineStr">
        <is>
          <t>1. (a) vượt giới hạn nhập đề xuất (9 chữ số nguyên, 8 chữ số lẻ) → bị từ chối khi lưu, không tự cắt số.
2. (b) nằm trong giới hạn nhập nên lưu được; khi chạy, ngưỡng vượt miền số được hỗ trợ → Chưa xét được (đề xuất `reason_code=numeric_overflow`) hoặc lỗi kỹ thuật được báo. Không có ô nào thành Đỏ/Không đỏ từ giá trị tràn.</t>
        </is>
      </c>
    </row>
    <row r="376">
      <c r="D376" s="8" t="inlineStr">
        <is>
          <t>証跡（Bằng chứng）</t>
        </is>
      </c>
    </row>
    <row r="377">
      <c r="E377" s="9" t="inlineStr">
        <is>
          <t>
          </t>
        </is>
      </c>
    </row>
    <row r="378">
      <c r="D378" s="8" t="inlineStr">
        <is>
          <t>リセット（Đặt lại）</t>
        </is>
      </c>
    </row>
    <row r="379">
      <c r="E379" s="9" t="inlineStr">
        <is>
          <t>
          </t>
        </is>
      </c>
    </row>
    <row r="380">
      <c r="D380" s="9" t="inlineStr">
        <is>
          <t>
          </t>
        </is>
      </c>
    </row>
    <row r="381">
      <c r="C381" s="9" t="inlineStr">
        <is>
          <t>TC-RS-CALC-030 — Công thức cho T=0; ô trống vẫn là Không có điểm</t>
        </is>
      </c>
    </row>
    <row r="382">
      <c r="D382" s="10" t="inlineStr">
        <is>
          <t>Priority: Cao ｜ Status: CONFIRMED ｜ Readiness: UNASSESSED ｜ Requirement ID: đặc tả v2 mục 2.3 “Điểm được đưa vào xét”, mục 6.6 “Ngưỡng âm và cảnh báo biên”</t>
        </is>
      </c>
    </row>
    <row r="383">
      <c r="D383" s="8" t="inlineStr">
        <is>
          <t>前提条件（Điều kiện trước）</t>
        </is>
      </c>
    </row>
    <row r="384">
      <c r="E384" s="9" t="inlineStr">
        <is>
          <t>- Điều kiện: Nguồn `A=20`; công thức `A−20`.
- Dữ liệu test: học sinh S04 (điểm 0) (0), học sinh S05 (ô trống) (trống)</t>
        </is>
      </c>
    </row>
    <row r="385">
      <c r="D385" s="8" t="inlineStr">
        <is>
          <t>操作（Thao tác）</t>
        </is>
      </c>
    </row>
    <row r="386">
      <c r="E386" s="9" t="inlineStr">
        <is>
          <t>Xét với `&lt;` rồi `≤`.
Phạm vi từng lượt chạy:
- lt: Dấu nhỏ hơn
- le: Dấu nhỏ hơn hoặc bằng</t>
        </is>
      </c>
    </row>
    <row r="387">
      <c r="D387" s="8" t="inlineStr">
        <is>
          <t>期待結果（Kết quả mong đợi）</t>
        </is>
      </c>
    </row>
    <row r="388">
      <c r="E388" s="9" t="inlineStr">
        <is>
          <t>`T=0`. `&lt;`: S04 Không đỏ. `≤`: S04 Đỏ. S05: Không có điểm ở cả hai (không bị coi là 0).</t>
        </is>
      </c>
    </row>
    <row r="389">
      <c r="D389" s="8" t="inlineStr">
        <is>
          <t>証跡（Bằng chứng）</t>
        </is>
      </c>
    </row>
    <row r="390">
      <c r="E390" s="9" t="inlineStr">
        <is>
          <t>
          </t>
        </is>
      </c>
    </row>
    <row r="391">
      <c r="D391" s="8" t="inlineStr">
        <is>
          <t>リセット（Đặt lại）</t>
        </is>
      </c>
    </row>
    <row r="392">
      <c r="E392" s="9" t="inlineStr">
        <is>
          <t>
          </t>
        </is>
      </c>
    </row>
    <row r="393">
      <c r="D393" s="9" t="inlineStr">
        <is>
          <t>
          </t>
        </is>
      </c>
    </row>
    <row r="394">
      <c r="C394" s="9" t="inlineStr">
        <is>
          <t>TC-RS-CALC-031 — Nguồn không có mẫu số hợp lệ (tổng điểm tối đa 0, số người có điểm 0) → Chưa xét được</t>
        </is>
      </c>
    </row>
    <row r="395">
      <c r="D395" s="10" t="inlineStr">
        <is>
          <t>Priority: Cao ｜ Status: CONFIRMED ｜ Readiness: UNASSESSED ｜ Requirement ID: tiêu chí nghiệm thu “Giá trị thô từ cùng tập dữ liệu” (AC-G14 «Giá trị thô từ cùng tập dữ liệu»)</t>
        </is>
      </c>
    </row>
    <row r="396">
      <c r="D396" s="8" t="inlineStr">
        <is>
          <t>前提条件（Điều kiện trước）</t>
        </is>
      </c>
    </row>
    <row r="397">
      <c r="E397" s="9" t="inlineStr">
        <is>
          <t>- Điều kiện: Quy tắc 1: quy tắc theo tỷ lệ điểm của nhóm từ 65% (điều kiện tỷ lệ nhóm). Quy tắc 2 (mục khác): công thức `A×0.5`. Cách tạo dữ liệu: hỏi team dev khi chuẩn bị.
- Dữ liệu test: quy tắc theo tỷ lệ điểm của nhóm từ 65%; (a) Bản tổng hợp của nhóm có tổng điểm tối đa = 0; (b) bản tổng hợp tồn tại nhưng không học sinh nào có điểm; S01 = 29</t>
        </is>
      </c>
    </row>
    <row r="398">
      <c r="D398" s="8" t="inlineStr">
        <is>
          <t>操作（Thao tác）</t>
        </is>
      </c>
    </row>
    <row r="399">
      <c r="E399" s="9" t="inlineStr">
        <is>
          <t>Với từng nguồn: chạy nút xanh (nếu cần) rồi nút cam; xem kết quả S01.
Phạm vi từng lượt chạy:
- zero-maximum: Tổng điểm tối đa bằng 0
- zero-count: Số người bằng 0</t>
        </is>
      </c>
    </row>
    <row r="400">
      <c r="D400" s="8" t="inlineStr">
        <is>
          <t>期待結果（Kết quả mong đợi）</t>
        </is>
      </c>
    </row>
    <row r="401">
      <c r="E401" s="9" t="inlineStr">
        <is>
          <t>(a) Điều kiện tỷ lệ nhóm không xác định được → Chưa xét được; không coi `R=0` là không khớp để thành Không áp dụng hay chuyển xuống ưu tiên thấp hơn.
(b) `A` không xác định được → Chưa xét được; không coi `A=0` (nếu coi 0 thì `T=0`, S01 Không đỏ — sai).
Cả hai: ngừng dấu đỏ cũ; không lấy nguồn khác.</t>
        </is>
      </c>
    </row>
    <row r="402">
      <c r="D402" s="8" t="inlineStr">
        <is>
          <t>証跡（Bằng chứng）</t>
        </is>
      </c>
    </row>
    <row r="403">
      <c r="E403" s="9" t="inlineStr">
        <is>
          <t>
          </t>
        </is>
      </c>
    </row>
    <row r="404">
      <c r="D404" s="8" t="inlineStr">
        <is>
          <t>リセット（Đặt lại）</t>
        </is>
      </c>
    </row>
    <row r="405">
      <c r="E405" s="9" t="inlineStr">
        <is>
          <t>
          </t>
        </is>
      </c>
    </row>
    <row r="406">
      <c r="D406" s="9" t="inlineStr">
        <is>
          <t>
          </t>
        </is>
      </c>
    </row>
    <row r="407">
      <c r="C407" s="9" t="inlineStr">
        <is>
          <t>TC-RS-CALC-032 — Tỷ lệ nhóm: tử số và mẫu số lấy cùng tập đóng góp</t>
        </is>
      </c>
    </row>
    <row r="408">
      <c r="D408" s="10" t="inlineStr">
        <is>
          <t>Priority: Cao ｜ Status: CONFIRMED ｜ Readiness: UNASSESSED ｜ Requirement ID: tiêu chí nghiệm thu “Giá trị thô từ cùng tập dữ liệu” (AC-G14 «Giá trị thô từ cùng tập dữ liệu»)</t>
        </is>
      </c>
    </row>
    <row r="409">
      <c r="D409" s="8" t="inlineStr">
        <is>
          <t>前提条件（Điều kiện trước）</t>
        </is>
      </c>
    </row>
    <row r="410">
      <c r="E410" s="9" t="inlineStr">
        <is>
          <t>- Điều kiện: quy tắc theo tỷ lệ điểm của nhóm từ 65% là quy tắc duy nhất. Nhóm tham chiếu có 3 học sinh: 60/100, 80/100 và một học sinh chưa có điểm (M=100).
- Dữ liệu test: quy tắc theo tỷ lệ điểm của nhóm từ 65%; S = 60</t>
        </is>
      </c>
    </row>
    <row r="411">
      <c r="D411" s="8" t="inlineStr">
        <is>
          <t>操作（Thao tác）</t>
        </is>
      </c>
    </row>
    <row r="412">
      <c r="E412" s="9" t="inlineStr">
        <is>
          <t>1. Chạy nút xanh; ghi tổng điểm và tổng điểm tối đa hiển thị ở kết quả tổng hợp.
2. Chạy nút cam; xem kết quả S=60.
Phạm vi từng lượt chạy:
- Base: Toàn bộ thủ tục theo đúng thứ tự; các đối chứng cùng fixture được kiểm trong cùng lượt, không bỏ bước</t>
        </is>
      </c>
    </row>
    <row r="413">
      <c r="D413" s="8" t="inlineStr">
        <is>
          <t>期待結果（Kết quả mong đợi）</t>
        </is>
      </c>
    </row>
    <row r="414">
      <c r="E414" s="9" t="inlineStr">
        <is>
          <t>1. Tổng điểm và tổng điểm tối đa lấy cùng tập học sinh có điểm theo cấu hình tổng hợp.
2. Với cấu hình tổng hợp không tính học sinh chưa có điểm: `R=140/200×100=70%` → khớp `≥65%` → `T=70` → S=60 Đỏ. Ghép tổng điểm của 2 người với tổng tối đa của 3 người (`140/300=46.7%` → Không áp dụng) là sai.</t>
        </is>
      </c>
    </row>
    <row r="415">
      <c r="D415" s="8" t="inlineStr">
        <is>
          <t>証跡（Bằng chứng）</t>
        </is>
      </c>
    </row>
    <row r="416">
      <c r="E416" s="9" t="inlineStr">
        <is>
          <t>
          </t>
        </is>
      </c>
    </row>
    <row r="417">
      <c r="D417" s="8" t="inlineStr">
        <is>
          <t>リセット（Đặt lại）</t>
        </is>
      </c>
    </row>
    <row r="418">
      <c r="E418" s="9" t="inlineStr">
        <is>
          <t>
          </t>
        </is>
      </c>
    </row>
    <row r="419">
      <c r="D419" s="9" t="inlineStr">
        <is>
          <t>
          </t>
        </is>
      </c>
    </row>
  </sheetData>
  <pageMargins left="0.75" right="0.75" top="1" bottom="1" header="0.5" footer="0.5"/>
  <pageSetup fitToHeight="0" fitToWidth="1"/>
</worksheet>
</file>

<file path=xl/worksheets/sheet11.xml><?xml version="1.0" encoding="utf-8"?>
<worksheet xmlns="http://schemas.openxmlformats.org/spreadsheetml/2006/main">
  <sheetPr>
    <outlinePr summaryBelow="1" summaryRight="1"/>
    <pageSetUpPr fitToPage="1"/>
  </sheetPr>
  <dimension ref="A1:F341"/>
  <sheetViews>
    <sheetView showGridLines="0" workbookViewId="0">
      <pane xSplit="4" ySplit="2" topLeftCell="E3" activePane="bottomRight" state="frozen"/>
      <selection pane="topRight"/>
      <selection pane="bottomLeft"/>
      <selection pane="bottomRight" activeCell="A1" sqref="A1"/>
    </sheetView>
  </sheetViews>
  <sheetFormatPr baseColWidth="8" defaultRowHeight="15"/>
  <cols>
    <col width="3.13" customWidth="1" min="1" max="1"/>
    <col width="24" customWidth="1" min="3" max="3"/>
    <col width="24" customWidth="1" min="4" max="4"/>
    <col width="95" customWidth="1" min="5" max="5"/>
    <col width="28" customWidth="1" min="6" max="6"/>
  </cols>
  <sheetData>
    <row r="1" customHeight="1" ht="4">
      <c r="A1" s="2" t="n">
      </c>
      <c r="B1" s="2" t="n">
      </c>
      <c r="C1" s="2" t="n">
      </c>
      <c r="D1" s="2" t="n">
      </c>
      <c r="E1" s="2" t="n">
      </c>
      <c r="F1" s="2" t="n">
      </c>
    </row>
    <row r="2" customHeight="1" ht="28">
      <c r="A2" s="2" t="n">
      </c>
      <c r="B2" s="2" t="n">
      </c>
      <c r="C2" s="11" t="inlineStr">
        <is>
          <t>E. UI/Visual：</t>
        </is>
      </c>
      <c r="D2" s="2" t="n">
      </c>
      <c r="E2" s="2" t="n">
      </c>
      <c r="F2" s="9" t="inlineStr">
        <is>
          <t>Nguồn test-cases.vi.md • Nhập kết quả/evidence khi chạy.</t>
        </is>
      </c>
    </row>
    <row r="3" customHeight="1" ht="4">
      <c r="A3" s="2" t="n">
      </c>
      <c r="B3" s="2" t="n">
      </c>
      <c r="C3" s="2" t="n">
      </c>
      <c r="D3" s="2" t="n">
      </c>
      <c r="E3" s="2" t="n">
      </c>
      <c r="F3" s="2" t="n">
      </c>
    </row>
    <row r="4">
      <c r="C4" s="9" t="inlineStr">
        <is>
          <t>TC-RS-UI-001 — Nhãn trạng thái ở hàng Thiết lập điểm đỏ（赤点設定） trong Thiết lập ô nhập（入力欄設定）</t>
        </is>
      </c>
    </row>
    <row r="5">
      <c r="D5" s="10" t="inlineStr">
        <is>
          <t>Priority: TBD ｜ Status: PROPOSED ｜ Readiness: UNASSESSED ｜ Requirement ID: đặc tả v2 mục 4.1 “Điểm vào và trạng thái trống”</t>
        </is>
      </c>
    </row>
    <row r="6">
      <c r="D6" s="8" t="inlineStr">
        <is>
          <t>前提条件（Điều kiện trước）</t>
        </is>
      </c>
    </row>
    <row r="7">
      <c r="E7" s="9" t="inlineStr">
        <is>
          <t>- Điều kiện: mục số nguyên (M=100) chưa có quy tắc; mục số thập phân (M=100) có quy tắc; mục kiểu lựa chọn A/B/C là mục lựa chọn. tài khoản giáo viên có quyền sửa mục.
- Dữ liệu test: mục số nguyên (M=100), mục số thập phân (M=100), mục kiểu lựa chọn A/B/C</t>
        </is>
      </c>
    </row>
    <row r="8">
      <c r="D8" s="8" t="inlineStr">
        <is>
          <t>操作（Thao tác）</t>
        </is>
      </c>
    </row>
    <row r="9">
      <c r="E9" s="9" t="inlineStr">
        <is>
          <t>1. Mở Thiết lập ô nhập（入力欄設定）.
2. Ghi lại nhãn/ký hiệu ở hàng Thiết lập điểm đỏ（赤点設定） cho từng cột mục.
Phạm vi từng lượt chạy:
- Base: Toàn bộ thủ tục theo đúng thứ tự; các đối chứng cùng fixture được kiểm trong cùng lượt, không bỏ bước</t>
        </is>
      </c>
    </row>
    <row r="10">
      <c r="D10" s="8" t="inlineStr">
        <is>
          <t>期待結果（Kết quả mong đợi）</t>
        </is>
      </c>
    </row>
    <row r="11">
      <c r="E11" s="9" t="inlineStr">
        <is>
          <t>Mục chưa có quy tắc và mục đã có quy tắc được phân biệt được; mục lựa chọn không có thao tác mở thiết lập (đặc tả v2 mục 4.1 “Điểm vào và trạng thái trống”).
Nhãn cụ thể theo Figma (PROPOSED): [設定する] (thiết lập) / 編集 (sửa) + 設定済み (đã thiết lập) / —.</t>
        </is>
      </c>
    </row>
    <row r="12">
      <c r="D12" s="8" t="inlineStr">
        <is>
          <t>証跡（Bằng chứng）</t>
        </is>
      </c>
    </row>
    <row r="13">
      <c r="E13" s="9" t="inlineStr">
        <is>
          <t>
          </t>
        </is>
      </c>
    </row>
    <row r="14">
      <c r="D14" s="8" t="inlineStr">
        <is>
          <t>リセット（Đặt lại）</t>
        </is>
      </c>
    </row>
    <row r="15">
      <c r="E15" s="9" t="inlineStr">
        <is>
          <t>
          </t>
        </is>
      </c>
    </row>
    <row r="16">
      <c r="D16" s="9" t="inlineStr">
        <is>
          <t>
          </t>
        </is>
      </c>
    </row>
    <row r="17">
      <c r="C17" s="9" t="inlineStr">
        <is>
          <t>TC-RS-UI-002 — Cấu trúc màn danh sách Thiết lập điểm đỏ（赤点設定）</t>
        </is>
      </c>
    </row>
    <row r="18">
      <c r="D18" s="10" t="inlineStr">
        <is>
          <t>Priority: TBD ｜ Status: PROPOSED ｜ Readiness: UNASSESSED ｜ Requirement ID: đặc tả v2 mục 4.1 “Điểm vào và trạng thái trống”, mục 4.2 “Nội dung một dòng”</t>
        </is>
      </c>
    </row>
    <row r="19">
      <c r="D19" s="8" t="inlineStr">
        <is>
          <t>前提条件（Điều kiện trước）</t>
        </is>
      </c>
    </row>
    <row r="20">
      <c r="E20" s="9" t="inlineStr">
        <is>
          <t>- Điều kiện: mục số nguyên (M=100) có cặp quy tắc phân nhánh theo trung bình 60 (2 quy tắc).
- Dữ liệu test: mục số nguyên (M=100); cặp quy tắc phân nhánh theo trung bình 60</t>
        </is>
      </c>
    </row>
    <row r="21">
      <c r="D21" s="8" t="inlineStr">
        <is>
          <t>操作（Thao tác）</t>
        </is>
      </c>
    </row>
    <row r="22">
      <c r="E22" s="9" t="inlineStr">
        <is>
          <t>1. Mở Thiết lập nhập điểm（成績入力設定） (URL ở đường dẫn các màn liên quan) → Thiết lập ô nhập（入力欄設定） của kỳ Cuối kỳ học kỳ 1（1学期期末）.
2. Ở hàng Thiết lập điểm đỏ（赤点設定） của cột mục số nguyên (M=100), bấm nút mở thiết lập (Figma: 編集 (sửa)).
3. Trên màn danh sách, đối chiếu lần lượt các mục a–g ở Expected Result.
Phạm vi từng lượt chạy:
- Base: Toàn bộ thủ tục theo đúng thứ tự; các đối chứng cùng fixture được kiểm trong cùng lượt, không bỏ bước</t>
        </is>
      </c>
    </row>
    <row r="23">
      <c r="D23" s="8" t="inlineStr">
        <is>
          <t>期待結果（Kết quả mong đợi）</t>
        </is>
      </c>
    </row>
    <row r="24">
      <c r="E24" s="9" t="inlineStr">
        <is>
          <t>a. Breadcrumb: Thiết lập bảng thành tích（成績帳票設定） - Thiết lập thành tích（成績設定） - Thiết lập nhập điểm（成績入力設定） - Thiết lập điểm đỏ（赤点設定）.
b. Link Quay lại Thiết lập nhập điểm（[成績入力設定へ戻る]）.
c. Khối Giải thích bổ sung（※補足説明※） thu gọn/mở được.
d. Nút Thêm thiết lập chi tiết（詳細設定の追加）.
e. Bảng có các cột Tên thiết lập（設定名称）; Điều kiện áp dụng（適用条件） kèm Sửa（[編集]）; Ngưỡng đỏ（赤点の基準） kèm Sửa（[編集]）; Xóa（削除）; Ưu tiên（優先順位） ▲▼; có 2 dòng theo cặp quy tắc phân nhánh theo trung bình 60.
f. Câu 「上から順に適用条件を確認し、最初に一致した設定を使用します。」 (kiểm điều kiện từ trên xuống, dùng thiết lập khớp đầu tiên).
g. Câu cuối trang 「設定を変更した場合は、成績登録または成績集計の自動算出を再実行してください。」 (đổi thiết lập thì chạy lại đăng ký điểm hoặc tính tự động).</t>
        </is>
      </c>
    </row>
    <row r="25">
      <c r="D25" s="8" t="inlineStr">
        <is>
          <t>証跡（Bằng chứng）</t>
        </is>
      </c>
    </row>
    <row r="26">
      <c r="E26" s="9" t="inlineStr">
        <is>
          <t>
          </t>
        </is>
      </c>
    </row>
    <row r="27">
      <c r="D27" s="8" t="inlineStr">
        <is>
          <t>リセット（Đặt lại）</t>
        </is>
      </c>
    </row>
    <row r="28">
      <c r="E28" s="9" t="inlineStr">
        <is>
          <t>
          </t>
        </is>
      </c>
    </row>
    <row r="29">
      <c r="D29" s="9" t="inlineStr">
        <is>
          <t>
          </t>
        </is>
      </c>
    </row>
    <row r="30">
      <c r="C30" s="9" t="inlineStr">
        <is>
          <t>TC-RS-UI-003 — Định dạng tiêu đề màn danh sách</t>
        </is>
      </c>
    </row>
    <row r="31">
      <c r="D31" s="10" t="inlineStr">
        <is>
          <t>Priority: TBD ｜ Status: CONFIRMED ｜ Readiness: UNASSESSED ｜ Requirement ID: tiêu chí nghiệm thu “Lưu và mở lại nhiều thiết lập” (AC-G04 «Lưu và mở lại nhiều thiết lập»)</t>
        </is>
      </c>
    </row>
    <row r="32">
      <c r="D32" s="8" t="inlineStr">
        <is>
          <t>前提条件（Điều kiện trước）</t>
        </is>
      </c>
    </row>
    <row r="33">
      <c r="E33" s="9" t="inlineStr">
        <is>
          <t>- Điều kiện: mục số thập phân (M=100).
- Dữ liệu test: mục số thập phân (M=100)</t>
        </is>
      </c>
    </row>
    <row r="34">
      <c r="D34" s="8" t="inlineStr">
        <is>
          <t>操作（Thao tác）</t>
        </is>
      </c>
    </row>
    <row r="35">
      <c r="E35" s="9" t="inlineStr">
        <is>
          <t>Mở màn danh sách của mục số thập phân (M=100), đọc tiêu đề.
Phạm vi từng lượt chạy:
- Base: Toàn bộ thủ tục theo đúng thứ tự; các đối chứng cùng fixture được kiểm trong cùng lượt, không bỏ bước</t>
        </is>
      </c>
    </row>
    <row r="36">
      <c r="D36" s="8" t="inlineStr">
        <is>
          <t>期待結果（Kết quả mong đợi）</t>
        </is>
      </c>
    </row>
    <row r="37">
      <c r="E37" s="9" t="inlineStr">
        <is>
          <t>Theo tiêu chí nghiệm thu “Lưu và mở lại nhiều thiết lập”: màn danh sách thể hiện kỳ Cuối kỳ học kỳ 1（1学期期末）, tên mục, kiểu nhập Nhập số – thập phân（数値入力・小数） và Thiết lập điểm đỏ（赤点設定）.
Định dạng tiêu đề theo Figma (PROPOSED): 「1学期期末 ／ 評点（数値入力・小数） の赤点設定」; lệch thì ghi Notes, không FAIL.</t>
        </is>
      </c>
    </row>
    <row r="38">
      <c r="D38" s="8" t="inlineStr">
        <is>
          <t>証跡（Bằng chứng）</t>
        </is>
      </c>
    </row>
    <row r="39">
      <c r="E39" s="9" t="inlineStr">
        <is>
          <t>
          </t>
        </is>
      </c>
    </row>
    <row r="40">
      <c r="D40" s="8" t="inlineStr">
        <is>
          <t>リセット（Đặt lại）</t>
        </is>
      </c>
    </row>
    <row r="41">
      <c r="E41" s="9" t="inlineStr">
        <is>
          <t>
          </t>
        </is>
      </c>
    </row>
    <row r="42">
      <c r="D42" s="9" t="inlineStr">
        <is>
          <t>
          </t>
        </is>
      </c>
    </row>
    <row r="43">
      <c r="C43" s="9" t="inlineStr">
        <is>
          <t>TC-RS-UI-004 — Tóm tắt điều kiện và ngưỡng trên từng dòng danh sách</t>
        </is>
      </c>
    </row>
    <row r="44">
      <c r="D44" s="10" t="inlineStr">
        <is>
          <t>Priority: TBD ｜ Status: PROPOSED ｜ Readiness: UNASSESSED ｜ Requirement ID: đặc tả v2 mục 4.2 “Nội dung một dòng”</t>
        </is>
      </c>
    </row>
    <row r="45">
      <c r="D45" s="8" t="inlineStr">
        <is>
          <t>前提条件（Điều kiện trước）</t>
        </is>
      </c>
    </row>
    <row r="46">
      <c r="E46" s="9" t="inlineStr">
        <is>
          <t>- Điều kiện: mục số nguyên (M=100) có cặp quy tắc phân nhánh theo trung bình 60 và một quy tắc công thức hai dòng (trung bình ÷ 2 × 0.8).
- Dữ liệu test: mục số nguyên (M=100); quy tắc công thức hai dòng (trung bình ÷ 2 × 0.8), cặp quy tắc phân nhánh theo trung bình 60</t>
        </is>
      </c>
    </row>
    <row r="47">
      <c r="D47" s="8" t="inlineStr">
        <is>
          <t>操作（Thao tác）</t>
        </is>
      </c>
    </row>
    <row r="48">
      <c r="E48" s="9" t="inlineStr">
        <is>
          <t>Xem cột Điều kiện áp dụng（適用条件） và Ngưỡng đỏ（赤点の基準） của từng dòng.
Phạm vi từng lượt chạy:
- Base: Toàn bộ thủ tục theo đúng thứ tự; các đối chứng cùng fixture được kiểm trong cùng lượt, không bỏ bước</t>
        </is>
      </c>
    </row>
    <row r="49">
      <c r="D49" s="8" t="inlineStr">
        <is>
          <t>期待結果（Kết quả mong đợi）</t>
        </is>
      </c>
    </row>
    <row r="50">
      <c r="E50" s="9" t="inlineStr">
        <is>
          <t>Mỗi dòng cho biết môn/nguồn/mốc của điều kiện, loại ngưỡng, giá trị, dấu so sánh; dòng công thức cho thấy các dòng tính và xử lý phần lẻ. Định dạng theo Figma (đề xuất).</t>
        </is>
      </c>
    </row>
    <row r="51">
      <c r="D51" s="8" t="inlineStr">
        <is>
          <t>証跡（Bằng chứng）</t>
        </is>
      </c>
    </row>
    <row r="52">
      <c r="E52" s="9" t="inlineStr">
        <is>
          <t>
          </t>
        </is>
      </c>
    </row>
    <row r="53">
      <c r="D53" s="8" t="inlineStr">
        <is>
          <t>リセット（Đặt lại）</t>
        </is>
      </c>
    </row>
    <row r="54">
      <c r="E54" s="9" t="inlineStr">
        <is>
          <t>
          </t>
        </is>
      </c>
    </row>
    <row r="55">
      <c r="D55" s="9" t="inlineStr">
        <is>
          <t>
          </t>
        </is>
      </c>
    </row>
    <row r="56">
      <c r="C56" s="9" t="inlineStr">
        <is>
          <t>TC-RS-UI-005 — Trạng thái danh sách trống</t>
        </is>
      </c>
    </row>
    <row r="57">
      <c r="D57" s="10" t="inlineStr">
        <is>
          <t>Priority: TBD ｜ Status: PROPOSED ｜ Readiness: UNASSESSED ｜ Requirement ID: đặc tả v2 mục 4.1 “Điểm vào và trạng thái trống”</t>
        </is>
      </c>
    </row>
    <row r="58">
      <c r="D58" s="8" t="inlineStr">
        <is>
          <t>前提条件（Điều kiện trước）</t>
        </is>
      </c>
    </row>
    <row r="59">
      <c r="E59" s="9" t="inlineStr">
        <is>
          <t>- Điều kiện: mục số nguyên (M=100) không có quy tắc.
- Dữ liệu test: mục số nguyên (M=100)</t>
        </is>
      </c>
    </row>
    <row r="60">
      <c r="D60" s="8" t="inlineStr">
        <is>
          <t>操作（Thao tác）</t>
        </is>
      </c>
    </row>
    <row r="61">
      <c r="E61" s="9" t="inlineStr">
        <is>
          <t>Mở danh sách.
Phạm vi từng lượt chạy:
- Base: Toàn bộ thủ tục theo đúng thứ tự; các đối chứng cùng fixture được kiểm trong cùng lượt, không bỏ bước</t>
        </is>
      </c>
    </row>
    <row r="62">
      <c r="D62" s="8" t="inlineStr">
        <is>
          <t>期待結果（Kết quả mong đợi）</t>
        </is>
      </c>
    </row>
    <row r="63">
      <c r="E63" s="9" t="inlineStr">
        <is>
          <t>Hiển thị câu báo không có thiết lập và nút thêm; không có dòng mẫu.</t>
        </is>
      </c>
    </row>
    <row r="64">
      <c r="D64" s="8" t="inlineStr">
        <is>
          <t>証跡（Bằng chứng）</t>
        </is>
      </c>
    </row>
    <row r="65">
      <c r="E65" s="9" t="inlineStr">
        <is>
          <t>
          </t>
        </is>
      </c>
    </row>
    <row r="66">
      <c r="D66" s="8" t="inlineStr">
        <is>
          <t>リセット（Đặt lại）</t>
        </is>
      </c>
    </row>
    <row r="67">
      <c r="E67" s="9" t="inlineStr">
        <is>
          <t>
          </t>
        </is>
      </c>
    </row>
    <row r="68">
      <c r="D68" s="9" t="inlineStr">
        <is>
          <t>
          </t>
        </is>
      </c>
    </row>
    <row r="69">
      <c r="C69" s="9" t="inlineStr">
        <is>
          <t>TC-RS-UI-006 — Hộp xác nhận khi xóa quy tắc cuối</t>
        </is>
      </c>
    </row>
    <row r="70">
      <c r="D70" s="10" t="inlineStr">
        <is>
          <t>Priority: TBD ｜ Status: PROPOSED ｜ Readiness: UNASSESSED ｜ Requirement ID: đặc tả v2 mục 4.4 “Lưu, đổi thứ tự và xóa”</t>
        </is>
      </c>
    </row>
    <row r="71">
      <c r="D71" s="8" t="inlineStr">
        <is>
          <t>前提条件（Điều kiện trước）</t>
        </is>
      </c>
    </row>
    <row r="72">
      <c r="E72" s="9" t="inlineStr">
        <is>
          <t>- Điều kiện: mục số nguyên (M=100) chỉ có quy tắc “Cố định 30” (dưới 30).
- Dữ liệu test: mục số nguyên (M=100); quy tắc “Cố định 30” (dưới 30)</t>
        </is>
      </c>
    </row>
    <row r="73">
      <c r="D73" s="8" t="inlineStr">
        <is>
          <t>操作（Thao tác）</t>
        </is>
      </c>
    </row>
    <row r="74">
      <c r="E74" s="9" t="inlineStr">
        <is>
          <t>Bấm Xóa（削除） ở dòng duy nhất.
Phạm vi từng lượt chạy:
- Base: Toàn bộ thủ tục theo đúng thứ tự; các đối chứng cùng fixture được kiểm trong cùng lượt, không bỏ bước</t>
        </is>
      </c>
    </row>
    <row r="75">
      <c r="D75" s="8" t="inlineStr">
        <is>
          <t>期待結果（Kết quả mong đợi）</t>
        </is>
      </c>
    </row>
    <row r="76">
      <c r="E76" s="9" t="inlineStr">
        <is>
          <t>Hộp xác nhận nêu đây là thiết lập cuối, kết quả trước còn dùng tới lần chạy lại, điểm được giữ; có Hủy và Xóa.</t>
        </is>
      </c>
    </row>
    <row r="77">
      <c r="D77" s="8" t="inlineStr">
        <is>
          <t>証跡（Bằng chứng）</t>
        </is>
      </c>
    </row>
    <row r="78">
      <c r="E78" s="9" t="inlineStr">
        <is>
          <t>
          </t>
        </is>
      </c>
    </row>
    <row r="79">
      <c r="D79" s="8" t="inlineStr">
        <is>
          <t>リセット（Đặt lại）</t>
        </is>
      </c>
    </row>
    <row r="80">
      <c r="E80" s="9" t="inlineStr">
        <is>
          <t>
          </t>
        </is>
      </c>
    </row>
    <row r="81">
      <c r="D81" s="9" t="inlineStr">
        <is>
          <t>
          </t>
        </is>
      </c>
    </row>
    <row r="82">
      <c r="C82" s="9" t="inlineStr">
        <is>
          <t>TC-RS-UI-007 — Dòng quy tắc mới chỉ có điều kiện, chưa có ngưỡng</t>
        </is>
      </c>
    </row>
    <row r="83">
      <c r="D83" s="10" t="inlineStr">
        <is>
          <t>Priority: Cao ｜ Status: CONFIRMED ｜ Readiness: BLOCKED ｜ Requirement ID: đặc tả v2 mục 4.4 “Lưu, đổi thứ tự và xóa”; AC-G04 «Lưu và mở lại nhiều thiết lập»</t>
        </is>
      </c>
    </row>
    <row r="84">
      <c r="D84" s="8" t="inlineStr">
        <is>
          <t>前提条件（Điều kiện trước）</t>
        </is>
      </c>
    </row>
    <row r="85">
      <c r="E85" s="9" t="inlineStr">
        <is>
          <t>- Điều kiện: trường A/năm 2026, mục số nguyên TD-ITEM-01 (M=100), S01=29; giáo viên có quyền sửa và chạy xét. Rule ưu tiên 1 chỉ lưu điều kiện Toàn bộ, chưa có ngưỡng; rule đối chứng ưu tiên 2 Toàn bộ, T=20, dấu `&lt;`. Ghi identity hai rule và dựng lại fixture trước mỗi biến thể; baseline sau xét là Không đỏ theo rule đối chứng. Cách biểu diễn enum/schema vẫn là PROPOSED.
- Dữ liệu test: form ngưỡng ở tab A sẽ nhập T=40 nhưng chưa lưu; tab B dùng để xóa rule nhập dở. Phạm vi trích xuất chỉ có ô S01=29 này. Đây là fixture của `FUNC-014/incomplete-deleted-stale`, không thay ngưỡng 30 dùng chung.</t>
        </is>
      </c>
    </row>
    <row r="86">
      <c r="D86" s="8" t="inlineStr">
        <is>
          <t>操作（Thao tác）</t>
        </is>
      </c>
    </row>
    <row r="87">
      <c r="E87" s="9" t="inlineStr">
        <is>
          <t>1. Với `incomplete-row`, quay về danh sách, xem dòng nhập dở và thao tác mở thiết lập ngưỡng; chạy xét và đọc rule đối chứng T=20 đã dùng cho S01.
2. Với `incomplete-deleted-stale`, reset fixture và xác nhận baseline Không đỏ/T=20. Mở form ngưỡng của rule nhập dở ở tab A, nhập T=40 nhưng chưa lưu; xóa rule đó ở tab B rồi gửi lưu tab A. Reload danh sách và đọc trạng thái rule.
3. Chạy xét lại thành công; đọc identity rule/ngưỡng đã dùng và trích xuất S01 một lượt tắt lọc, một lượt bật lọc đỏ. Ghi kết quả riêng cho hai biến thể.
Phạm vi từng lượt chạy:
- incomplete-row: Nhánh incomplete-row trong thủ tục và Expected của case; thực hiện các bước chuẩn bị chung trước nhánh
- incomplete-deleted-stale: Nhánh incomplete-deleted-stale trong thủ tục và Expected của case; thực hiện các bước chuẩn bị chung trước nhánh</t>
        </is>
      </c>
    </row>
    <row r="88">
      <c r="D88" s="8" t="inlineStr">
        <is>
          <t>期待結果（Kết quả mong đợi）</t>
        </is>
      </c>
    </row>
    <row r="89">
      <c r="E89" s="9" t="inlineStr">
        <is>
          <t>1. `incomplete-row`: dòng hiển thị chưa có ngưỡng, có link mở thiết lập ngưỡng và câu báo không dùng để xét. Bộ xét chọn rule đối chứng T=20, S01=29 Không đỏ; không tạo ngưỡng 0 ngầm.
2. `incomplete-deleted-stale`: dòng đã xóa không xuất hiện lại; gửi T=40 từ form cũ không phục hồi rule trong bộ xét. Sau lần xét lại, identity rule đối chứng và T=20 giữ đúng, S01=29 **Không đỏ**. Lượt tắt lọc hiện 29 không dấu đỏ; lượt bật lọc không có S01. Nếu rule 40 bị phục hồi thì 29&lt;40 sẽ Đỏ và biến thể phải FAIL.
3. Schema/enum là cách hiện thực đề xuất. Nếu chưa xác minh được form cũ, đường chạy xét hoặc reader rule/ngưỡng thì giữ biến thể BLOCKED, không suy PASS chỉ từ danh sách.</t>
        </is>
      </c>
    </row>
    <row r="90">
      <c r="D90" s="8" t="inlineStr">
        <is>
          <t>証跡（Bằng chứng）</t>
        </is>
      </c>
    </row>
    <row r="91">
      <c r="E91" s="9" t="inlineStr">
        <is>
          <t>
          </t>
        </is>
      </c>
    </row>
    <row r="92">
      <c r="D92" s="8" t="inlineStr">
        <is>
          <t>リセット（Đặt lại）</t>
        </is>
      </c>
    </row>
    <row r="93">
      <c r="E93" s="9" t="inlineStr">
        <is>
          <t>
          </t>
        </is>
      </c>
    </row>
    <row r="94">
      <c r="D94" s="9" t="inlineStr">
        <is>
          <t>
          </t>
        </is>
      </c>
    </row>
    <row r="95">
      <c r="C95" s="9" t="inlineStr">
        <is>
          <t>TC-RS-UI-008 — Màn Điều kiện áp dụng（適用条件設定）: bố cục và chuyển Toàn bộ/Bộ lọc</t>
        </is>
      </c>
    </row>
    <row r="96">
      <c r="D96" s="10" t="inlineStr">
        <is>
          <t>Priority: TBD ｜ Status: PROPOSED ｜ Readiness: UNASSESSED ｜ Requirement ID: đặc tả v2 mục 5.1 “Đối tượng áp dụng”</t>
        </is>
      </c>
    </row>
    <row r="97">
      <c r="D97" s="8" t="inlineStr">
        <is>
          <t>前提条件（Điều kiện trước）</t>
        </is>
      </c>
    </row>
    <row r="98">
      <c r="E98" s="9" t="inlineStr">
        <is>
          <t>- Điều kiện: Mở thêm quy tắc cho mục số thập phân (M=100).
- Dữ liệu test: mục số thập phân (M=100)</t>
        </is>
      </c>
    </row>
    <row r="99">
      <c r="D99" s="8" t="inlineStr">
        <is>
          <t>操作（Thao tác）</t>
        </is>
      </c>
    </row>
    <row r="100">
      <c r="E100" s="9" t="inlineStr">
        <is>
          <t>1. Đối chiếu bố cục và đọc nguyên văn hướng dẫn điều kiện.
2. Chọn Toàn bộ đối tượng（全員が対象）.
3. Chọn Giới hạn bằng bộ lọc（特定条件で絞り込む）, thêm hai điều kiện cùng loại và hai điều kiện khác loại.
Phạm vi từng lượt chạy:
- Base: Toàn bộ thủ tục theo đúng thứ tự; các đối chứng cùng fixture được kiểm trong cùng lượt, không bỏ bước</t>
        </is>
      </c>
    </row>
    <row r="101">
      <c r="D101" s="8" t="inlineStr">
        <is>
          <t>期待結果（Kết quả mong đợi）</t>
        </is>
      </c>
    </row>
    <row r="102">
      <c r="E102" s="9" t="inlineStr">
        <is>
          <t>1. Có các phần tử như Source.
2. Không hiện vùng Điều kiện lọc（絞り込み条件）.
3. Hiện vùng lọc, thêm được điều kiện và câu 「※同じ種類の条件はいずれか1つ、種類が違う条件はすべて満たす生徒が対象となります。」 (cùng loại chỉ cần thỏa một điều kiện, khác loại phải thỏa tất cả). Hướng dẫn phải phân biệt OR trong cùng loại bộ lọc với AND giữa các loại điều kiện; không dùng câu này để thay thế phép AND giữa các điều kiện nguồn A/R trong cùng rule.</t>
        </is>
      </c>
    </row>
    <row r="103">
      <c r="D103" s="8" t="inlineStr">
        <is>
          <t>証跡（Bằng chứng）</t>
        </is>
      </c>
    </row>
    <row r="104">
      <c r="E104" s="9" t="inlineStr">
        <is>
          <t>
          </t>
        </is>
      </c>
    </row>
    <row r="105">
      <c r="D105" s="8" t="inlineStr">
        <is>
          <t>リセット（Đặt lại）</t>
        </is>
      </c>
    </row>
    <row r="106">
      <c r="E106" s="9" t="inlineStr">
        <is>
          <t>
          </t>
        </is>
      </c>
    </row>
    <row r="107">
      <c r="D107" s="9" t="inlineStr">
        <is>
          <t>
          </t>
        </is>
      </c>
    </row>
    <row r="108">
      <c r="C108" s="9" t="inlineStr">
        <is>
          <t>TC-RS-UI-009 — Khối điều kiện Trung bình（平均点） và nguồn tham chiếu, không có ô chọn "kết quả tổng hợp dùng để tham chiếu"</t>
        </is>
      </c>
    </row>
    <row r="109">
      <c r="D109" s="10" t="inlineStr">
        <is>
          <t>Priority: TBD ｜ Status: CONFIRMED ｜ Readiness: UNASSESSED ｜ Requirement ID: đặc tả v2 mục 3 “Bản đồ màn hình và luồng thao tác”, mục 5.4 “Bộ thông tin nguồn”, mục 5.5 “Chọn bản nguồn”</t>
        </is>
      </c>
    </row>
    <row r="110">
      <c r="D110" s="8" t="inlineStr">
        <is>
          <t>前提条件（Điều kiện trước）</t>
        </is>
      </c>
    </row>
    <row r="111">
      <c r="E111" s="9" t="inlineStr">
        <is>
          <t>- Điều kiện: Màn Điều kiện áp dụng, Giới hạn bằng bộ lọc.
- Dữ liệu test: —</t>
        </is>
      </c>
    </row>
    <row r="112">
      <c r="D112" s="8" t="inlineStr">
        <is>
          <t>操作（Thao tác）</t>
        </is>
      </c>
    </row>
    <row r="113">
      <c r="E113" s="9" t="inlineStr">
        <is>
          <t>Thêm điều kiện Trung bình（平均点）, xem các ô.
Phạm vi từng lượt chạy:
- Base: Toàn bộ thủ tục theo đúng thứ tự; các đối chứng cùng fixture được kiểm trong cùng lượt, không bỏ bước</t>
        </is>
      </c>
    </row>
    <row r="114">
      <c r="D114" s="8" t="inlineStr">
        <is>
          <t>期待結果（Kết quả mong đợi）</t>
        </is>
      </c>
    </row>
    <row r="115">
      <c r="E115" s="9" t="inlineStr">
        <is>
          <t>CONFIRMED: có ba ô nguồn (thời kỳ, thiết lập tổng hợp thứ hạng, nhóm tham chiếu); **không** có ô chọn kết quả tổng hợp cụ thể/bản chốt.
PROPOSED: câu mục tham chiếu, bố cục ô mốc + đơn vị 点 (điểm) + dấu.</t>
        </is>
      </c>
    </row>
    <row r="116">
      <c r="D116" s="8" t="inlineStr">
        <is>
          <t>証跡（Bằng chứng）</t>
        </is>
      </c>
    </row>
    <row r="117">
      <c r="E117" s="9" t="inlineStr">
        <is>
          <t>
          </t>
        </is>
      </c>
    </row>
    <row r="118">
      <c r="D118" s="8" t="inlineStr">
        <is>
          <t>リセット（Đặt lại）</t>
        </is>
      </c>
    </row>
    <row r="119">
      <c r="E119" s="9" t="inlineStr">
        <is>
          <t>
          </t>
        </is>
      </c>
    </row>
    <row r="120">
      <c r="D120" s="9" t="inlineStr">
        <is>
          <t>
          </t>
        </is>
      </c>
    </row>
    <row r="121">
      <c r="C121" s="9" t="inlineStr">
        <is>
          <t>TC-RS-UI-010 — Khối điều kiện Tỷ lệ điểm của nhóm（集団の得点率）</t>
        </is>
      </c>
    </row>
    <row r="122">
      <c r="D122" s="10" t="inlineStr">
        <is>
          <t>Priority: TBD ｜ Status: PROPOSED ｜ Readiness: UNASSESSED ｜ Requirement ID: đặc tả v2 mục 5.3 “Tỷ lệ nhóm — kế thừa kết quả tổng hợp thứ hạng hiện có”</t>
        </is>
      </c>
    </row>
    <row r="123">
      <c r="D123" s="8" t="inlineStr">
        <is>
          <t>前提条件（Điều kiện trước）</t>
        </is>
      </c>
    </row>
    <row r="124">
      <c r="E124" s="9" t="inlineStr">
        <is>
          <t>- Điều kiện: Màn Điều kiện áp dụng.
- Dữ liệu test: —</t>
        </is>
      </c>
    </row>
    <row r="125">
      <c r="D125" s="8" t="inlineStr">
        <is>
          <t>操作（Thao tác）</t>
        </is>
      </c>
    </row>
    <row r="126">
      <c r="E126" s="9" t="inlineStr">
        <is>
          <t>Thêm điều kiện Tỷ lệ điểm của nhóm（集団の得点率）.
Phạm vi từng lượt chạy:
- Base: Toàn bộ thủ tục theo đúng thứ tự; các đối chứng cùng fixture được kiểm trong cùng lượt, không bỏ bước</t>
        </is>
      </c>
    </row>
    <row r="127">
      <c r="D127" s="8" t="inlineStr">
        <is>
          <t>期待結果（Kết quả mong đợi）</t>
        </is>
      </c>
    </row>
    <row r="128">
      <c r="E128" s="9" t="inlineStr">
        <is>
          <t>Có ba ô nguồn như UI-009, ô mốc với đơn vị %, dấu so sánh. Không có tùy chọn cách tính A/B (Q&amp;A nghiệp vụ đã xác nhận câu “Tỷ lệ nhóm có cần xử lý riêng khi các lớp khác điểm tối đa không?” — CONFIRMED).</t>
        </is>
      </c>
    </row>
    <row r="129">
      <c r="D129" s="8" t="inlineStr">
        <is>
          <t>証跡（Bằng chứng）</t>
        </is>
      </c>
    </row>
    <row r="130">
      <c r="E130" s="9" t="inlineStr">
        <is>
          <t>
          </t>
        </is>
      </c>
    </row>
    <row r="131">
      <c r="D131" s="8" t="inlineStr">
        <is>
          <t>リセット（Đặt lại）</t>
        </is>
      </c>
    </row>
    <row r="132">
      <c r="E132" s="9" t="inlineStr">
        <is>
          <t>
          </t>
        </is>
      </c>
    </row>
    <row r="133">
      <c r="D133" s="9" t="inlineStr">
        <is>
          <t>
          </t>
        </is>
      </c>
    </row>
    <row r="134">
      <c r="C134" s="9" t="inlineStr">
        <is>
          <t>TC-RS-UI-011 — Màn Ngưỡng（基準設定）: ba loại, dấu so sánh và câu giải thích đổi theo dấu</t>
        </is>
      </c>
    </row>
    <row r="135">
      <c r="D135" s="10" t="inlineStr">
        <is>
          <t>Priority: TBD ｜ Status: PROPOSED ｜ Readiness: UNASSESSED ｜ Requirement ID: đặc tả v2 mục 6.1 “Thành phần chung của màn ngưỡng”</t>
        </is>
      </c>
    </row>
    <row r="136">
      <c r="D136" s="8" t="inlineStr">
        <is>
          <t>前提条件（Điều kiện trước）</t>
        </is>
      </c>
    </row>
    <row r="137">
      <c r="E137" s="9" t="inlineStr">
        <is>
          <t>- Điều kiện: Mở ngưỡng của một quy tắc.
- Dữ liệu test: —</t>
        </is>
      </c>
    </row>
    <row r="138">
      <c r="D138" s="8" t="inlineStr">
        <is>
          <t>操作（Thao tác）</t>
        </is>
      </c>
    </row>
    <row r="139">
      <c r="E139" s="9" t="inlineStr">
        <is>
          <t>1. Xem ba lựa chọn loại.
2. Đổi Dấu so sánh（比較条件） giữa Nhỏ hơn（未満） và Nhỏ hơn hoặc bằng（以下）.
Phạm vi từng lượt chạy:
- lt: Dấu nhỏ hơn
- le: Dấu nhỏ hơn hoặc bằng</t>
        </is>
      </c>
    </row>
    <row r="140">
      <c r="D140" s="8" t="inlineStr">
        <is>
          <t>期待結果（Kết quả mong đợi）</t>
        </is>
      </c>
    </row>
    <row r="141">
      <c r="E141" s="9" t="inlineStr">
        <is>
          <t>1. Có Điểm cố định（固定点数）, Tỷ lệ điểm tối đa（得点率）, Công thức（計算式） (theo phạm vi phát hành — xem UI-025).
2. Câu giải thích dưới dấu đổi theo lựa chọn.</t>
        </is>
      </c>
    </row>
    <row r="142">
      <c r="D142" s="8" t="inlineStr">
        <is>
          <t>証跡（Bằng chứng）</t>
        </is>
      </c>
    </row>
    <row r="143">
      <c r="E143" s="9" t="inlineStr">
        <is>
          <t>
          </t>
        </is>
      </c>
    </row>
    <row r="144">
      <c r="D144" s="8" t="inlineStr">
        <is>
          <t>リセット（Đặt lại）</t>
        </is>
      </c>
    </row>
    <row r="145">
      <c r="E145" s="9" t="inlineStr">
        <is>
          <t>
          </t>
        </is>
      </c>
    </row>
    <row r="146">
      <c r="D146" s="9" t="inlineStr">
        <is>
          <t>
          </t>
        </is>
      </c>
    </row>
    <row r="147">
      <c r="C147" s="9" t="inlineStr">
        <is>
          <t>TC-RS-UI-012 — Mặc định khi tạo quy tắc mới</t>
        </is>
      </c>
    </row>
    <row r="148">
      <c r="D148" s="10" t="inlineStr">
        <is>
          <t>Priority: TBD ｜ Status: PROPOSED ｜ Readiness: UNASSESSED ｜ Requirement ID: đặc tả v2 mục 6.1 “Thành phần chung của màn ngưỡng”</t>
        </is>
      </c>
    </row>
    <row r="149">
      <c r="D149" s="8" t="inlineStr">
        <is>
          <t>前提条件（Điều kiện trước）</t>
        </is>
      </c>
    </row>
    <row r="150">
      <c r="E150" s="9" t="inlineStr">
        <is>
          <t>- Điều kiện: Thêm quy tắc mới, lưu điều kiện, mở ngưỡng.
- Dữ liệu test: —</t>
        </is>
      </c>
    </row>
    <row r="151">
      <c r="D151" s="8" t="inlineStr">
        <is>
          <t>操作（Thao tác）</t>
        </is>
      </c>
    </row>
    <row r="152">
      <c r="E152" s="9" t="inlineStr">
        <is>
          <t>Quan sát giá trị ban đầu.
Phạm vi từng lượt chạy:
- Base: Toàn bộ thủ tục theo đúng thứ tự; các đối chứng cùng fixture được kiểm trong cùng lượt, không bỏ bước</t>
        </is>
      </c>
    </row>
    <row r="153">
      <c r="D153" s="8" t="inlineStr">
        <is>
          <t>期待結果（Kết quả mong đợi）</t>
        </is>
      </c>
    </row>
    <row r="154">
      <c r="E154" s="9" t="inlineStr">
        <is>
          <t>Loại = Điểm cố định（固定点数）; dấu = Nhỏ hơn（未満）; ô Điểm chuẩn（基準点） trống; tỷ lệ/công thức (nếu mở) mặc định Không xử lý phần lẻ（しない）.
Quy tắc mới được thêm ở cuối danh sách (PROPOSED).</t>
        </is>
      </c>
    </row>
    <row r="155">
      <c r="D155" s="8" t="inlineStr">
        <is>
          <t>証跡（Bằng chứng）</t>
        </is>
      </c>
    </row>
    <row r="156">
      <c r="E156" s="9" t="inlineStr">
        <is>
          <t>
          </t>
        </is>
      </c>
    </row>
    <row r="157">
      <c r="D157" s="8" t="inlineStr">
        <is>
          <t>リセット（Đặt lại）</t>
        </is>
      </c>
    </row>
    <row r="158">
      <c r="E158" s="9" t="inlineStr">
        <is>
          <t>
          </t>
        </is>
      </c>
    </row>
    <row r="159">
      <c r="D159" s="9" t="inlineStr">
        <is>
          <t>
          </t>
        </is>
      </c>
    </row>
    <row r="160">
      <c r="C160" s="9" t="inlineStr">
        <is>
          <t>TC-RS-UI-013 — Ngưỡng cố định không hiển thị nguồn trung bình</t>
        </is>
      </c>
    </row>
    <row r="161">
      <c r="D161" s="10" t="inlineStr">
        <is>
          <t>Priority: TBD ｜ Status: CONFIRMED ｜ Readiness: UNASSESSED ｜ Requirement ID: đặc tả v2 mục 5.6 “Khi nào không cần nguồn?”</t>
        </is>
      </c>
    </row>
    <row r="162">
      <c r="D162" s="8" t="inlineStr">
        <is>
          <t>前提条件（Điều kiện trước）</t>
        </is>
      </c>
    </row>
    <row r="163">
      <c r="E163" s="9" t="inlineStr">
        <is>
          <t>- Điều kiện: Mở ngưỡng, chọn Điểm cố định（固定点数）.
- Dữ liệu test: —</t>
        </is>
      </c>
    </row>
    <row r="164">
      <c r="D164" s="8" t="inlineStr">
        <is>
          <t>操作（Thao tác）</t>
        </is>
      </c>
    </row>
    <row r="165">
      <c r="E165" s="9" t="inlineStr">
        <is>
          <t>Xem màn.
Phạm vi từng lượt chạy:
- Base: Toàn bộ thủ tục theo đúng thứ tự; các đối chứng cùng fixture được kiểm trong cùng lượt, không bỏ bước</t>
        </is>
      </c>
    </row>
    <row r="166">
      <c r="D166" s="8" t="inlineStr">
        <is>
          <t>期待結果（Kết quả mong đợi）</t>
        </is>
      </c>
    </row>
    <row r="167">
      <c r="E167" s="9" t="inlineStr">
        <is>
          <t>CONFIRMED: không có khối Trung bình tham chiếu（参照する平均点）; lưu không yêu cầu chọn nguồn.
PROPOSED: ô Điểm chuẩn（基準点） + đơn vị 点 (điểm), câu 「30点未満を赤点とします。30点は赤点になりません。」 (dưới 30 là đỏ; 30 không đỏ) đổi theo giá trị/dấu, câu 「判定には登録済みの最終点数を使用します。」 (xét dùng điểm cuối đã đăng ký).</t>
        </is>
      </c>
    </row>
    <row r="168">
      <c r="D168" s="8" t="inlineStr">
        <is>
          <t>証跡（Bằng chứng）</t>
        </is>
      </c>
    </row>
    <row r="169">
      <c r="E169" s="9" t="inlineStr">
        <is>
          <t>
          </t>
        </is>
      </c>
    </row>
    <row r="170">
      <c r="D170" s="8" t="inlineStr">
        <is>
          <t>リセット（Đặt lại）</t>
        </is>
      </c>
    </row>
    <row r="171">
      <c r="E171" s="9" t="inlineStr">
        <is>
          <t>
          </t>
        </is>
      </c>
    </row>
    <row r="172">
      <c r="D172" s="9" t="inlineStr">
        <is>
          <t>
          </t>
        </is>
      </c>
    </row>
    <row r="173">
      <c r="C173" s="9" t="inlineStr">
        <is>
          <t>TC-RS-UI-014 — Màn Tỷ lệ điểm tối đa（得点率）: mô tả M và xử lý phần lẻ</t>
        </is>
      </c>
    </row>
    <row r="174">
      <c r="D174" s="10" t="inlineStr">
        <is>
          <t>Priority: TBD ｜ Status: PROPOSED ｜ Readiness: UNASSESSED ｜ Requirement ID: đặc tả v2 mục 5.6 “Khi nào không cần nguồn?”, mục 6.3 “Tỷ lệ điểm tối đa”, mục 6.5 “Xử lý phần lẻ”</t>
        </is>
      </c>
    </row>
    <row r="175">
      <c r="D175" s="8" t="inlineStr">
        <is>
          <t>前提条件（Điều kiện trước）</t>
        </is>
      </c>
    </row>
    <row r="176">
      <c r="E176" s="9" t="inlineStr">
        <is>
          <t>- Điều kiện: Mở ngưỡng, chọn Tỷ lệ điểm tối đa（得点率）.
- Dữ liệu test: mục số nguyên (M=100)</t>
        </is>
      </c>
    </row>
    <row r="177">
      <c r="D177" s="8" t="inlineStr">
        <is>
          <t>操作（Thao tác）</t>
        </is>
      </c>
    </row>
    <row r="178">
      <c r="E178" s="9" t="inlineStr">
        <is>
          <t>1. Xem màn.
2. Chọn Có（する） ở Xử lý phần lẻ.
Phạm vi từng lượt chạy:
- Base: Toàn bộ thủ tục theo đúng thứ tự; các đối chứng cùng fixture được kiểm trong cùng lượt, không bỏ bước</t>
        </is>
      </c>
    </row>
    <row r="179">
      <c r="D179" s="8" t="inlineStr">
        <is>
          <t>期待結果（Kết quả mong đợi）</t>
        </is>
      </c>
    </row>
    <row r="180">
      <c r="E180" s="9" t="inlineStr">
        <is>
          <t>Không có khối nguồn trung bình (đặc tả v2 mục 5.6 “Khi nào không cần nguồn?”); Xử lý phần lẻ có Không（しない）/Có（する）, mặc định Không; khi Có thì hiện ô vị trí chữ số và phương thức.
Mô tả M theo Figma (PROPOSED): câu chung 「対象の授業・時期・単元に適用される満点を使用」 (dùng điểm tối đa áp dụng cho lớp/kỳ/đơn vị).</t>
        </is>
      </c>
    </row>
    <row r="181">
      <c r="D181" s="8" t="inlineStr">
        <is>
          <t>証跡（Bằng chứng）</t>
        </is>
      </c>
    </row>
    <row r="182">
      <c r="E182" s="9" t="inlineStr">
        <is>
          <t>
          </t>
        </is>
      </c>
    </row>
    <row r="183">
      <c r="D183" s="8" t="inlineStr">
        <is>
          <t>リセット（Đặt lại）</t>
        </is>
      </c>
    </row>
    <row r="184">
      <c r="E184" s="9" t="inlineStr">
        <is>
          <t>
          </t>
        </is>
      </c>
    </row>
    <row r="185">
      <c r="D185" s="9" t="inlineStr">
        <is>
          <t>
          </t>
        </is>
      </c>
    </row>
    <row r="186">
      <c r="C186" s="9" t="inlineStr">
        <is>
          <t>TC-RS-UI-015 — Màn Công thức: thứ tự khối nguồn trung bình và dòng công thức</t>
        </is>
      </c>
    </row>
    <row r="187">
      <c r="D187" s="10" t="inlineStr">
        <is>
          <t>Priority: TBD ｜ Status: PROPOSED ｜ Readiness: UNASSESSED ｜ Requirement ID: đặc tả v2 mục 5.6 “Khi nào không cần nguồn?”, mục 6.4 “Công thức dùng trung bình”</t>
        </is>
      </c>
    </row>
    <row r="188">
      <c r="D188" s="8" t="inlineStr">
        <is>
          <t>前提条件（Điều kiện trước）</t>
        </is>
      </c>
    </row>
    <row r="189">
      <c r="E189" s="9" t="inlineStr">
        <is>
          <t>- Điều kiện: Mở ngưỡng, chọn Công thức（計算式）.
- Dữ liệu test: —</t>
        </is>
      </c>
    </row>
    <row r="190">
      <c r="D190" s="8" t="inlineStr">
        <is>
          <t>操作（Thao tác）</t>
        </is>
      </c>
    </row>
    <row r="191">
      <c r="E191" s="9" t="inlineStr">
        <is>
          <t>Ghi lại thứ tự các khối từ trên xuống.
Phạm vi từng lượt chạy:
- Base: Toàn bộ thủ tục theo đúng thứ tự; các đối chứng cùng fixture được kiểm trong cùng lượt, không bỏ bước</t>
        </is>
      </c>
    </row>
    <row r="192">
      <c r="D192" s="8" t="inlineStr">
        <is>
          <t>期待結果（Kết quả mong đợi）</t>
        </is>
      </c>
    </row>
    <row r="193">
      <c r="E193" s="9" t="inlineStr">
        <is>
          <t>Khối nguồn chỉ hiện với Công thức, không hiện với cố định/tỷ lệ (đặc tả v2 mục 5.6 “Khi nào không cần nguồn?”).
Thứ tự khối theo Figma (PROPOSED): khối Trung bình tham chiếu（参照する平均点） nằm trước bảng dòng công thức và trước Xét điểm đỏ（赤点の判定）. Đặc tả v2 không quy định thứ tự; lệch thì ghi Notes, không FAIL.</t>
        </is>
      </c>
    </row>
    <row r="194">
      <c r="D194" s="8" t="inlineStr">
        <is>
          <t>証跡（Bằng chứng）</t>
        </is>
      </c>
    </row>
    <row r="195">
      <c r="E195" s="9" t="inlineStr">
        <is>
          <t>
          </t>
        </is>
      </c>
    </row>
    <row r="196">
      <c r="D196" s="8" t="inlineStr">
        <is>
          <t>リセット（Đặt lại）</t>
        </is>
      </c>
    </row>
    <row r="197">
      <c r="E197" s="9" t="inlineStr">
        <is>
          <t>
          </t>
        </is>
      </c>
    </row>
    <row r="198">
      <c r="D198" s="9" t="inlineStr">
        <is>
          <t>
          </t>
        </is>
      </c>
    </row>
    <row r="199">
      <c r="C199" s="9" t="inlineStr">
        <is>
          <t>TC-RS-UI-016 — Bảng dòng công thức</t>
        </is>
      </c>
    </row>
    <row r="200">
      <c r="D200" s="10" t="inlineStr">
        <is>
          <t>Priority: TBD ｜ Status: PROPOSED ｜ Readiness: UNASSESSED ｜ Requirement ID: đặc tả v2 mục 6.4 “Công thức dùng trung bình”</t>
        </is>
      </c>
    </row>
    <row r="201">
      <c r="D201" s="8" t="inlineStr">
        <is>
          <t>前提条件（Điều kiện trước）</t>
        </is>
      </c>
    </row>
    <row r="202">
      <c r="E202" s="9" t="inlineStr">
        <is>
          <t>- Điều kiện: Công thức.
- Dữ liệu test: quy tắc công thức hai dòng (trung bình ÷ 2 × 0.8)</t>
        </is>
      </c>
    </row>
    <row r="203">
      <c r="D203" s="8" t="inlineStr">
        <is>
          <t>操作（Thao tác）</t>
        </is>
      </c>
    </row>
    <row r="204">
      <c r="E204" s="9" t="inlineStr">
        <is>
          <t>1. Nhập quy tắc công thức hai dòng (trung bình ÷ 2 × 0.8).
2. Thêm/xóa dòng.
Phạm vi từng lượt chạy:
- Base: Toàn bộ thủ tục theo đúng thứ tự; các đối chứng cùng fixture được kiểm trong cùng lượt, không bỏ bước</t>
        </is>
      </c>
    </row>
    <row r="205">
      <c r="D205" s="8" t="inlineStr">
        <is>
          <t>期待結果（Kết quả mong đợi）</t>
        </is>
      </c>
    </row>
    <row r="206">
      <c r="E206" s="9" t="inlineStr">
        <is>
          <t>Có đủ cột; chọn Kết quả phép tính（式の結果） thì hiện ô chọn dòng; mỗi dòng có Xử lý phần lẻ riêng; thêm/xóa dòng được; có câu dòng cuối là ngưỡng.</t>
        </is>
      </c>
    </row>
    <row r="207">
      <c r="D207" s="8" t="inlineStr">
        <is>
          <t>証跡（Bằng chứng）</t>
        </is>
      </c>
    </row>
    <row r="208">
      <c r="E208" s="9" t="inlineStr">
        <is>
          <t>
          </t>
        </is>
      </c>
    </row>
    <row r="209">
      <c r="D209" s="8" t="inlineStr">
        <is>
          <t>リセット（Đặt lại）</t>
        </is>
      </c>
    </row>
    <row r="210">
      <c r="E210" s="9" t="inlineStr">
        <is>
          <t>
          </t>
        </is>
      </c>
    </row>
    <row r="211">
      <c r="D211" s="9" t="inlineStr">
        <is>
          <t>
          </t>
        </is>
      </c>
    </row>
    <row r="212">
      <c r="C212" s="9" t="inlineStr">
        <is>
          <t>TC-RS-UI-017 — Thông báo lỗi vượt điểm tối đa và chia 0</t>
        </is>
      </c>
    </row>
    <row r="213">
      <c r="D213" s="10" t="inlineStr">
        <is>
          <t>Priority: TBD ｜ Status: PROPOSED ｜ Readiness: UNASSESSED ｜ Requirement ID: đặc tả v2 mục 8.4 “Lỗi kỹ thuật và thông báo”</t>
        </is>
      </c>
    </row>
    <row r="214">
      <c r="D214" s="8" t="inlineStr">
        <is>
          <t>前提条件（Điều kiện trước）</t>
        </is>
      </c>
    </row>
    <row r="215">
      <c r="E215" s="9" t="inlineStr">
        <is>
          <t>- Điều kiện: mục số nguyên (M=100).
- Dữ liệu test: mục số nguyên (M=100); Cố định N=120; công thức `A ÷ 0`</t>
        </is>
      </c>
    </row>
    <row r="216">
      <c r="D216" s="8" t="inlineStr">
        <is>
          <t>操作（Thao tác）</t>
        </is>
      </c>
    </row>
    <row r="217">
      <c r="E217" s="9" t="inlineStr">
        <is>
          <t>1. Lưu N=120.
2. Lưu công thức chia 0.
Phạm vi từng lượt chạy:
- maximum: N120
- divide-zero: Công thức chia 0</t>
        </is>
      </c>
    </row>
    <row r="218">
      <c r="D218" s="8" t="inlineStr">
        <is>
          <t>期待結果（Kết quả mong đợi）</t>
        </is>
      </c>
    </row>
    <row r="219">
      <c r="E219" s="9" t="inlineStr">
        <is>
          <t>1. Không lưu được. Đầu vùng nhập có 「基準点が対象の満点を超えています。対象の満点以下の値を入力してください。」 (điểm chuẩn vượt điểm tối đa của đối tượng; hãy nhập giá trị không vượt điểm tối đa); tại ô Điểm chuẩn（基準点） có 「対象の満点（100点）以下の値を入力してください。」 và dòng 「対象の満点：100点」 (điểm tối đa của đối tượng: 100); giá trị 120 còn giữ.
2. Không lưu được. Đầu vùng nhập có 「式1：0で割ることはできません。右辺の値を変更してください。」 (dòng 1: không thể chia cho 0; đổi giá trị vế phải); tại dòng 1 có 「0で割ることはできません。右辺の値を変更してください。」; các giá trị đã nhập còn giữ.</t>
        </is>
      </c>
    </row>
    <row r="220">
      <c r="D220" s="8" t="inlineStr">
        <is>
          <t>証跡（Bằng chứng）</t>
        </is>
      </c>
    </row>
    <row r="221">
      <c r="E221" s="9" t="inlineStr">
        <is>
          <t>
          </t>
        </is>
      </c>
    </row>
    <row r="222">
      <c r="D222" s="8" t="inlineStr">
        <is>
          <t>リセット（Đặt lại）</t>
        </is>
      </c>
    </row>
    <row r="223">
      <c r="E223" s="9" t="inlineStr">
        <is>
          <t>
          </t>
        </is>
      </c>
    </row>
    <row r="224">
      <c r="D224" s="9" t="inlineStr">
        <is>
          <t>
          </t>
        </is>
      </c>
    </row>
    <row r="225">
      <c r="C225" s="9" t="inlineStr">
        <is>
          <t>TC-RS-UI-018 — Màn Tổng hợp thành tích（成績集計）: nút xanh/cam và lần chạy trước</t>
        </is>
      </c>
    </row>
    <row r="226">
      <c r="D226" s="10" t="inlineStr">
        <is>
          <t>Priority: TBD ｜ Status: IMPLEMENTED ｜ Readiness: UNASSESSED ｜ Requirement ID: đặc tả v2 mục 7.2 “Bảng sự kiện”</t>
        </is>
      </c>
    </row>
    <row r="227">
      <c r="D227" s="8" t="inlineStr">
        <is>
          <t>前提条件（Điều kiện trước）</t>
        </is>
      </c>
    </row>
    <row r="228">
      <c r="E228" s="9" t="inlineStr">
        <is>
          <t>- Điều kiện: tài khoản có quyền chạy hàng loạt; trường có tính tự động.
- Dữ liệu test: tài khoản có quyền chạy hàng loạt</t>
        </is>
      </c>
    </row>
    <row r="229">
      <c r="D229" s="8" t="inlineStr">
        <is>
          <t>操作（Thao tác）</t>
        </is>
      </c>
    </row>
    <row r="230">
      <c r="E230" s="9" t="inlineStr">
        <is>
          <t>Mở Tổng hợp thành tích（成績集計）.
Phạm vi từng lượt chạy:
- Base: Toàn bộ thủ tục theo đúng thứ tự; các đối chứng cùng fixture được kiểm trong cùng lượt, không bỏ bước</t>
        </is>
      </c>
    </row>
    <row r="231">
      <c r="D231" s="8" t="inlineStr">
        <is>
          <t>期待結果（Kết quả mong đợi）</t>
        </is>
      </c>
    </row>
    <row r="232">
      <c r="E232" s="9" t="inlineStr">
        <is>
          <t>Mỗi khối có Thực hiện tổng hợp（集計実行） và Thực hiện tính toán tự động（自動算出実行） kèm thời điểm chạy trước, như màn hiện có.</t>
        </is>
      </c>
    </row>
    <row r="233">
      <c r="D233" s="8" t="inlineStr">
        <is>
          <t>証跡（Bằng chứng）</t>
        </is>
      </c>
    </row>
    <row r="234">
      <c r="E234" s="9" t="inlineStr">
        <is>
          <t>
          </t>
        </is>
      </c>
    </row>
    <row r="235">
      <c r="D235" s="8" t="inlineStr">
        <is>
          <t>リセット（Đặt lại）</t>
        </is>
      </c>
    </row>
    <row r="236">
      <c r="E236" s="9" t="inlineStr">
        <is>
          <t>
          </t>
        </is>
      </c>
    </row>
    <row r="237">
      <c r="D237" s="9" t="inlineStr">
        <is>
          <t>
          </t>
        </is>
      </c>
    </row>
    <row r="238">
      <c r="C238" s="9" t="inlineStr">
        <is>
          <t>TC-RS-UI-019 — Thông báo kết quả sau khi chạy: hoàn tất, chưa xét được, thất bại một phần</t>
        </is>
      </c>
    </row>
    <row r="239">
      <c r="D239" s="10" t="inlineStr">
        <is>
          <t>Priority: TBD ｜ Status: PROPOSED ｜ Readiness: UNASSESSED ｜ Requirement ID: tiêu chí nghiệm thu “Lưu thành công và thông báo an toàn” (AC-G26 «Lưu thành công và thông báo an toàn»)</t>
        </is>
      </c>
    </row>
    <row r="240">
      <c r="D240" s="8" t="inlineStr">
        <is>
          <t>前提条件（Điều kiện trước）</t>
        </is>
      </c>
    </row>
    <row r="241">
      <c r="E241" s="9" t="inlineStr">
        <is>
          <t>- Điều kiện: Như case “Chưa có kết quả tổng hợp → Chưa xét được, không thay bằng 0 hay nhóm khác” (thiếu nguồn) và case “Batch hoàn tất một phần: báo đúng phạm vi đã/không cập nhật” (lỗi một phần).
- Dữ liệu test: nguồn chưa có kết quả tổng hợp</t>
        </is>
      </c>
    </row>
    <row r="242">
      <c r="D242" s="8" t="inlineStr">
        <is>
          <t>操作（Thao tác）</t>
        </is>
      </c>
    </row>
    <row r="243">
      <c r="E243" s="9" t="inlineStr">
        <is>
          <t>1. Chạy nút cam khi thiếu nguồn.
2. Chạy khi có lỗi một phần (theo cách giả lập được team dev cho phép).
Phạm vi từng lượt chạy:
- missing: Thiếu nguồn
- partial: Lỗi một phần</t>
        </is>
      </c>
    </row>
    <row r="244">
      <c r="D244" s="8" t="inlineStr">
        <is>
          <t>期待結果（Kết quả mong đợi）</t>
        </is>
      </c>
    </row>
    <row r="245">
      <c r="E245" s="9" t="inlineStr">
        <is>
          <t>1. Thông báo hoàn tất nêu có mục chưa xét được, phạm vi và lý do, và kết quả trước không còn dùng.
2. Thông báo nêu phạm vi đã cập nhật / chưa cập nhật và hướng dẫn chạy lại; không báo hoàn tất toàn bộ.</t>
        </is>
      </c>
    </row>
    <row r="246">
      <c r="D246" s="8" t="inlineStr">
        <is>
          <t>証跡（Bằng chứng）</t>
        </is>
      </c>
    </row>
    <row r="247">
      <c r="E247" s="9" t="inlineStr">
        <is>
          <t>
          </t>
        </is>
      </c>
    </row>
    <row r="248">
      <c r="D248" s="8" t="inlineStr">
        <is>
          <t>リセット（Đặt lại）</t>
        </is>
      </c>
    </row>
    <row r="249">
      <c r="E249" s="9" t="inlineStr">
        <is>
          <t>
          </t>
        </is>
      </c>
    </row>
    <row r="250">
      <c r="D250" s="9" t="inlineStr">
        <is>
          <t>
          </t>
        </is>
      </c>
    </row>
    <row r="251">
      <c r="C251" s="9" t="inlineStr">
        <is>
          <t>TC-RS-UI-020 — Trích xuất: vị trí và nhãn tùy chọn đỏ</t>
        </is>
      </c>
    </row>
    <row r="252">
      <c r="D252" s="10" t="inlineStr">
        <is>
          <t>Priority: Cao ｜ Status: CONFIRMED ｜ Readiness: UNASSESSED ｜ Requirement ID: đặc tả v2 mục 9.1 “Thiết lập”</t>
        </is>
      </c>
    </row>
    <row r="253">
      <c r="D253" s="8" t="inlineStr">
        <is>
          <t>前提条件（Điều kiện trước）</t>
        </is>
      </c>
    </row>
    <row r="254">
      <c r="E254" s="9" t="inlineStr">
        <is>
          <t>- Điều kiện: tài khoản phụ trách đầu ra (trích xuất, công khai, phiếu điểm); mục số nguyên (M=100) có quy tắc.
- Dữ liệu test: mục số nguyên (M=100); cấu hình trích xuất: lọc, ký hiệu “*” phía trước, tô màu</t>
        </is>
      </c>
    </row>
    <row r="255">
      <c r="D255" s="8" t="inlineStr">
        <is>
          <t>操作（Thao tác）</t>
        </is>
      </c>
    </row>
    <row r="256">
      <c r="E256" s="9" t="inlineStr">
        <is>
          <t>1. Mở Trích xuất thành tích（成績抽出）→ Thiết lập mục hiển thị（表示項目設定）→ chi tiết mục Điểm đánh giá（評点） kỳ Cuối kỳ học kỳ 1（1学期期末）.
2. Ghi lại vị trí và nhãn các tùy chọn đỏ.
Phạm vi từng lượt chạy:
- Base: Toàn bộ thủ tục theo đúng thứ tự; các đối chứng cùng fixture được kiểm trong cùng lượt, không bỏ bước</t>
        </is>
      </c>
    </row>
    <row r="257">
      <c r="D257" s="8" t="inlineStr">
        <is>
          <t>期待結果（Kết quả mong đợi）</t>
        </is>
      </c>
    </row>
    <row r="258">
      <c r="E258" s="9" t="inlineStr">
        <is>
          <t>Theo specification v2 mục 9.1, có bốn tùy chọn độc lập: lọc học sinh có điểm đỏ, ký hiệu phía trước, ký hiệu phía sau và tô màu ô; màu chỉ chọn từ bảng màu hiện có. Vị trí và nhãn cụ thể trên UI theo Figma chỉ là tham khảo, không thay đổi oracle nghiệp vụ.
Không đánh giá nhãn/vị trí cụ thể của Figma như một oracle riêng; chỉ kiểm tra đủ bốn tùy chọn nghiệp vụ và việc lưu/mở lại đúng giá trị.</t>
        </is>
      </c>
    </row>
    <row r="259">
      <c r="D259" s="8" t="inlineStr">
        <is>
          <t>証跡（Bằng chứng）</t>
        </is>
      </c>
    </row>
    <row r="260">
      <c r="E260" s="9" t="inlineStr">
        <is>
          <t>
          </t>
        </is>
      </c>
    </row>
    <row r="261">
      <c r="D261" s="8" t="inlineStr">
        <is>
          <t>リセット（Đặt lại）</t>
        </is>
      </c>
    </row>
    <row r="262">
      <c r="E262" s="9" t="inlineStr">
        <is>
          <t>
          </t>
        </is>
      </c>
    </row>
    <row r="263">
      <c r="D263" s="9" t="inlineStr">
        <is>
          <t>
          </t>
        </is>
      </c>
    </row>
    <row r="264">
      <c r="C264" s="9" t="inlineStr">
        <is>
          <t>TC-RS-UI-021 — Trích xuất: kết quả 0 học sinh và hiển thị ô đỏ số thập phân</t>
        </is>
      </c>
    </row>
    <row r="265">
      <c r="D265" s="10" t="inlineStr">
        <is>
          <t>Priority: TBD ｜ Status: PROPOSED ｜ Readiness: UNASSESSED ｜ Requirement ID: tiêu chí nghiệm thu “Lọc khi trích xuất” (AC-G29 «Lọc khi trích xuất»)</t>
        </is>
      </c>
    </row>
    <row r="266">
      <c r="D266" s="8" t="inlineStr">
        <is>
          <t>前提条件（Điều kiện trước）</t>
        </is>
      </c>
    </row>
    <row r="267">
      <c r="E267" s="9" t="inlineStr">
        <is>
          <t>- Điều kiện: cấu hình trích xuất: lọc, ký hiệu “*” phía trước, tô màu.
- Dữ liệu test: cấu hình trích xuất: lọc, ký hiệu “*” phía trước, tô màu; (a) Không ô đỏ nào; (b) học sinh điểm 23.9 Đỏ (mục thập phân)</t>
        </is>
      </c>
    </row>
    <row r="268">
      <c r="D268" s="8" t="inlineStr">
        <is>
          <t>操作（Thao tác）</t>
        </is>
      </c>
    </row>
    <row r="269">
      <c r="E269" s="9" t="inlineStr">
        <is>
          <t>Chạy trích xuất cho (a), (b).
Phạm vi từng lượt chạy:
- empty: Fixture a không ô đỏ
- decimal: Fixture b điểm thập phân 23.9</t>
        </is>
      </c>
    </row>
    <row r="270">
      <c r="D270" s="8" t="inlineStr">
        <is>
          <t>期待結果（Kết quả mong đợi）</t>
        </is>
      </c>
    </row>
    <row r="271">
      <c r="E271" s="9" t="inlineStr">
        <is>
          <t>(a) Không lỗi; hiện thông báo không có học sinh khớp.
(b) Ô hiện `*23.9` (giữ nguyên giá trị điểm).</t>
        </is>
      </c>
    </row>
    <row r="272">
      <c r="D272" s="8" t="inlineStr">
        <is>
          <t>証跡（Bằng chứng）</t>
        </is>
      </c>
    </row>
    <row r="273">
      <c r="E273" s="9" t="inlineStr">
        <is>
          <t>
          </t>
        </is>
      </c>
    </row>
    <row r="274">
      <c r="D274" s="8" t="inlineStr">
        <is>
          <t>リセット（Đặt lại）</t>
        </is>
      </c>
    </row>
    <row r="275">
      <c r="E275" s="9" t="inlineStr">
        <is>
          <t>
          </t>
        </is>
      </c>
    </row>
    <row r="276">
      <c r="D276" s="9" t="inlineStr">
        <is>
          <t>
          </t>
        </is>
      </c>
    </row>
    <row r="277">
      <c r="C277" s="9" t="inlineStr">
        <is>
          <t>TC-RS-UI-022 — Công khai: dòng cách hiển thị đỏ theo mục có thiết lập, kể cả khi 0 học sinh đỏ hoặc vừa xóa thiết lập cuối</t>
        </is>
      </c>
    </row>
    <row r="278">
      <c r="D278" s="10" t="inlineStr">
        <is>
          <t>Priority: Cao ｜ Status: CONFIRMED ｜ Readiness: UNASSESSED ｜ Requirement ID: tiêu chí nghiệm thu “Cấu hình công khai và ẩn điểm” (AC-G32 «Cấu hình công khai và ẩn điểm»)</t>
        </is>
      </c>
    </row>
    <row r="279">
      <c r="D279" s="8" t="inlineStr">
        <is>
          <t>前提条件（Điều kiện trước）</t>
        </is>
      </c>
    </row>
    <row r="280">
      <c r="E280" s="9" t="inlineStr">
        <is>
          <t>- Điều kiện: mục số nguyên (M=100) có quy tắc nhưng không ô nào đỏ; mục Tri thức – kỹ năng（知識・技能） chưa từng có quy tắc và chưa từng đặt cách hiển thị đỏ. tài khoản phụ trách đầu ra (trích xuất, công khai, phiếu điểm).
- Dữ liệu test: mục số nguyên (M=100); quy tắc “Cố định 30” (dưới 30)</t>
        </is>
      </c>
    </row>
    <row r="281">
      <c r="D281" s="8" t="inlineStr">
        <is>
          <t>操作（Thao tác）</t>
        </is>
      </c>
    </row>
    <row r="282">
      <c r="E282" s="9" t="inlineStr">
        <is>
          <t>1. Mở Thiết lập công khai thành tích（成績公開設定）→ khung Thành tích（成績）.
2. Ở dòng của Điểm đánh giá（評点）, chọn `*` phía trước, bấm Đăng ký（登録する）.
3. Xóa quy tắc cuối của mục số nguyên (M=100) (chỉ còn quy tắc “Cố định 30” (dưới 30) thì xóa quy tắc “Cố định 30” (dưới 30)), **không** chạy lại; mở lại khung Thành tích（成績）.
Phạm vi từng lượt chạy:
- Base: Toàn bộ thủ tục theo đúng thứ tự; các đối chứng cùng fixture được kiểm trong cùng lượt, không bỏ bước</t>
        </is>
      </c>
    </row>
    <row r="283">
      <c r="D283" s="8" t="inlineStr">
        <is>
          <t>期待結果（Kết quả mong đợi）</t>
        </is>
      </c>
    </row>
    <row r="284">
      <c r="E284" s="9" t="inlineStr">
        <is>
          <t>1. Mục Điểm đánh giá（評点） có dòng cách hiển thị đỏ dù 0 học sinh đỏ; mục Tri thức – kỹ năng（知識・技能） không có dòng.
2. Lưu được; mở lại vẫn là `*` phía trước.
3. Dòng của Điểm đánh giá（評点） vẫn hiện với lựa chọn `*` phía trước đã lưu; cấu hình trình bày không bị xóa theo thao tác xóa quy tắc.</t>
        </is>
      </c>
    </row>
    <row r="285">
      <c r="D285" s="8" t="inlineStr">
        <is>
          <t>証跡（Bằng chứng）</t>
        </is>
      </c>
    </row>
    <row r="286">
      <c r="E286" s="9" t="inlineStr">
        <is>
          <t>
          </t>
        </is>
      </c>
    </row>
    <row r="287">
      <c r="D287" s="8" t="inlineStr">
        <is>
          <t>リセット（Đặt lại）</t>
        </is>
      </c>
    </row>
    <row r="288">
      <c r="E288" s="9" t="inlineStr">
        <is>
          <t>
          </t>
        </is>
      </c>
    </row>
    <row r="289">
      <c r="D289" s="9" t="inlineStr">
        <is>
          <t>
          </t>
        </is>
      </c>
    </row>
    <row r="290">
      <c r="C290" s="9" t="inlineStr">
        <is>
          <t>TC-RS-UI-023 — Công khai: danh sách tùy chọn hiển thị đỏ</t>
        </is>
      </c>
    </row>
    <row r="291">
      <c r="D291" s="10" t="inlineStr">
        <is>
          <t>Priority: Cao ｜ Status: CONFIRMED ｜ Readiness: UNASSESSED ｜ Requirement ID: đặc tả v2 mục 10.1 “Phạm vi và tùy chọn”</t>
        </is>
      </c>
    </row>
    <row r="292">
      <c r="D292" s="8" t="inlineStr">
        <is>
          <t>前提条件（Điều kiện trước）</t>
        </is>
      </c>
    </row>
    <row r="293">
      <c r="E293" s="9" t="inlineStr">
        <is>
          <t>- Điều kiện: Như UI-022.
- Dữ liệu test: —</t>
        </is>
      </c>
    </row>
    <row r="294">
      <c r="D294" s="8" t="inlineStr">
        <is>
          <t>操作（Thao tác）</t>
        </is>
      </c>
    </row>
    <row r="295">
      <c r="E295" s="9" t="inlineStr">
        <is>
          <t>Mở danh sách chọn của dòng đỏ.
Phạm vi từng lượt chạy:
- Base: Toàn bộ thủ tục theo đúng thứ tự; các đối chứng cùng fixture được kiểm trong cùng lượt, không bỏ bước</t>
        </is>
      </c>
    </row>
    <row r="296">
      <c r="D296" s="8" t="inlineStr">
        <is>
          <t>期待結果（Kết quả mong đợi）</t>
        </is>
      </c>
    </row>
    <row r="297">
      <c r="E297" s="9" t="inlineStr">
        <is>
          <t>Theo specification v2 mục 10.1 và Q&amp;A Q16, danh sách chỉ có Kèm ngoặc, `*` phía trước và `*` phía sau; không có ô chữ tự do và không có màu nền riêng. Không đưa tùy chọn Nguyên trạng（そのまま表示） vào oracle vì không thuộc danh sách đã chốt trong specification/Q&amp;A.</t>
        </is>
      </c>
    </row>
    <row r="298">
      <c r="D298" s="8" t="inlineStr">
        <is>
          <t>証跡（Bằng chứng）</t>
        </is>
      </c>
    </row>
    <row r="299">
      <c r="E299" s="9" t="inlineStr">
        <is>
          <t>
          </t>
        </is>
      </c>
    </row>
    <row r="300">
      <c r="D300" s="8" t="inlineStr">
        <is>
          <t>リセット（Đặt lại）</t>
        </is>
      </c>
    </row>
    <row r="301">
      <c r="E301" s="9" t="inlineStr">
        <is>
          <t>
          </t>
        </is>
      </c>
    </row>
    <row r="302">
      <c r="D302" s="9" t="inlineStr">
        <is>
          <t>
          </t>
        </is>
      </c>
    </row>
    <row r="303">
      <c r="C303" s="9" t="inlineStr">
        <is>
          <t>TC-RS-UI-024 — Phiếu điểm: hộp Thiết lập hiển thị tùy chọn mục đăng ký điểm（成績登録項目オプション表示設定）</t>
        </is>
      </c>
    </row>
    <row r="304">
      <c r="D304" s="10" t="inlineStr">
        <is>
          <t>Priority: Cao ｜ Status: CONFIRMED ｜ Readiness: UNASSESSED ｜ Requirement ID: tiêu chí nghiệm thu “Tùy chọn trên phiếu” (AC-G35 «Tùy chọn trên phiếu»)</t>
        </is>
      </c>
    </row>
    <row r="305">
      <c r="D305" s="8" t="inlineStr">
        <is>
          <t>前提条件（Điều kiện trước）</t>
        </is>
      </c>
    </row>
    <row r="306">
      <c r="E306" s="9" t="inlineStr">
        <is>
          <t>- Điều kiện: tài khoản phụ trách đầu ra (trích xuất, công khai, phiếu điểm); mẫu phiếu có ô Điểm đánh giá（評点）.
- Dữ liệu test: cấu hình phiếu điểm: ký tự “※” phía trước</t>
        </is>
      </c>
    </row>
    <row r="307">
      <c r="D307" s="8" t="inlineStr">
        <is>
          <t>操作（Thao tác）</t>
        </is>
      </c>
    </row>
    <row r="308">
      <c r="E308" s="9" t="inlineStr">
        <is>
          <t>1. Mở hộp tùy chọn của ô, chọn Thiết lập（設定する）.
2. Ghi lại thứ tự dòng và các lựa chọn của dòng Thiết lập điểm đỏ（赤点設定）.
Phạm vi từng lượt chạy:
- Base: Toàn bộ thủ tục theo đúng thứ tự; các đối chứng cùng fixture được kiểm trong cùng lượt, không bỏ bước</t>
        </is>
      </c>
    </row>
    <row r="309">
      <c r="D309" s="8" t="inlineStr">
        <is>
          <t>期待結果（Kết quả mong đợi）</t>
        </is>
      </c>
    </row>
    <row r="310">
      <c r="E310" s="9" t="inlineStr">
        <is>
          <t>CONFIRMED: dòng đỏ nằm sau các dòng checkbox và trước Trường hợp ô trống（空欄の場合）; lựa chọn của dòng đỏ là Nguyên trạng（そのまま表示）, Kèm ngoặc（カッコ付き）, Ký tự phía trước（前に任意の文字）, Ký tự phía sau（後ろに任意の文字）; không có Ẩn（表示しない）/Gạch chéo（斜線）.
PROPOSED: nhãn dòng 「赤点設定」 (thiết lập điểm đỏ) và câu ghi chú.</t>
        </is>
      </c>
    </row>
    <row r="311">
      <c r="D311" s="8" t="inlineStr">
        <is>
          <t>証跡（Bằng chứng）</t>
        </is>
      </c>
    </row>
    <row r="312">
      <c r="E312" s="9" t="inlineStr">
        <is>
          <t>
          </t>
        </is>
      </c>
    </row>
    <row r="313">
      <c r="D313" s="8" t="inlineStr">
        <is>
          <t>リセット（Đặt lại）</t>
        </is>
      </c>
    </row>
    <row r="314">
      <c r="E314" s="9" t="inlineStr">
        <is>
          <t>
          </t>
        </is>
      </c>
    </row>
    <row r="315">
      <c r="D315" s="9" t="inlineStr">
        <is>
          <t>
          </t>
        </is>
      </c>
    </row>
    <row r="316">
      <c r="C316" s="9" t="inlineStr">
        <is>
          <t>TC-RS-UI-026 — Bộ chọn hiệu ứng đỏ của điểm thường và điểm đơn vị hiển thị độc lập</t>
        </is>
      </c>
    </row>
    <row r="317">
      <c r="D317" s="10" t="inlineStr">
        <is>
          <t>Priority: Cao ｜ Status: CONFIRMED ｜ Readiness: UNASSESSED ｜ Requirement ID: tiêu chí nghiệm thu “Cấu hình công khai và ẩn điểm” (AC-G32 «Cấu hình công khai và ẩn điểm»)</t>
        </is>
      </c>
    </row>
    <row r="318">
      <c r="D318" s="8" t="inlineStr">
        <is>
          <t>前提条件（Điều kiện trước）</t>
        </is>
      </c>
    </row>
    <row r="319">
      <c r="E319" s="9" t="inlineStr">
        <is>
          <t>- Điều kiện: Có một cấu hình công khai chứa cả mục điểm thường và mục điểm đơn vị; tài khoản có quyền sửa cấu hình công khai.
- Dữ liệu test: mục thường và mục đơn vị cùng có kết quả đỏ; lựa chọn hiển thị khác nhau cho hai loại.</t>
        </is>
      </c>
    </row>
    <row r="320">
      <c r="D320" s="8" t="inlineStr">
        <is>
          <t>操作（Thao tác）</t>
        </is>
      </c>
    </row>
    <row r="321">
      <c r="E321" s="9" t="inlineStr">
        <is>
          <t>1. Mở màn hình cấu hình công khai và đến khu vực hiển thị điểm đỏ.
2. Kiểm tra panel điểm thường và panel điểm đơn vị.
3. Chọn hiệu ứng khác nhau cho hai panel, lưu, đóng và mở lại.
Phạm vi từng lượt chạy:
- Base: Toàn bộ thủ tục theo đúng thứ tự; các đối chứng cùng fixture được kiểm trong cùng lượt, không bỏ bước</t>
        </is>
      </c>
    </row>
    <row r="322">
      <c r="D322" s="8" t="inlineStr">
        <is>
          <t>期待結果（Kết quả mong đợi）</t>
        </is>
      </c>
    </row>
    <row r="323">
      <c r="E323" s="9" t="inlineStr">
        <is>
          <t>1. Cả hai panel đều hiển thị bộ chọn tương ứng; panel điểm đơn vị không bị nền hoặc lớp khác che.
2. Có thể thao tác hai bộ chọn độc lập.
3. Sau khi mở lại, mỗi panel giữ đúng lựa chọn của mình; lựa chọn điểm thường không ghi đè lựa chọn điểm đơn vị và ngược lại.</t>
        </is>
      </c>
    </row>
    <row r="324">
      <c r="D324" s="8" t="inlineStr">
        <is>
          <t>証跡（Bằng chứng）</t>
        </is>
      </c>
    </row>
    <row r="325">
      <c r="E325" s="9" t="inlineStr">
        <is>
          <t>
          </t>
        </is>
      </c>
    </row>
    <row r="326">
      <c r="D326" s="8" t="inlineStr">
        <is>
          <t>リセット（Đặt lại）</t>
        </is>
      </c>
    </row>
    <row r="327">
      <c r="E327" s="9" t="inlineStr">
        <is>
          <t>
          </t>
        </is>
      </c>
    </row>
    <row r="328">
      <c r="D328" s="9" t="inlineStr">
        <is>
          <t>
          </t>
        </is>
      </c>
    </row>
    <row r="329">
      <c r="C329" s="9" t="inlineStr">
        <is>
          <t>TC-RS-UI-025 — Loại ngưỡng/điều kiện chưa thuộc phạm vi phát hành không hiện như đang hoạt động</t>
        </is>
      </c>
    </row>
    <row r="330">
      <c r="D330" s="10" t="inlineStr">
        <is>
          <t>Priority: TBD ｜ Status: CONFIRMED ｜ Readiness: UNASSESSED ｜ Requirement ID: tiêu chí nghiệm thu “Phạm vi từng đợt” (AC-G40 «Phạm vi từng đợt»)</t>
        </is>
      </c>
    </row>
    <row r="331">
      <c r="D331" s="8" t="inlineStr">
        <is>
          <t>前提条件（Điều kiện trước）</t>
        </is>
      </c>
    </row>
    <row r="332">
      <c r="E332" s="9" t="inlineStr">
        <is>
          <t>- Điều kiện: Có danh sách phạm vi phát hành (đặc tả v2 mục 1.4, mục 13.1).
- Dữ liệu test: —</t>
        </is>
      </c>
    </row>
    <row r="333">
      <c r="D333" s="8" t="inlineStr">
        <is>
          <t>操作（Thao tác）</t>
        </is>
      </c>
    </row>
    <row r="334">
      <c r="E334" s="9" t="inlineStr">
        <is>
          <t>1. Mở màn Điều kiện áp dụng（適用条件設定）, xem các loại điều kiện.
2. Mở màn Ngưỡng đỏ（赤点の基準）, xem các loại ngưỡng.
3. Với loại không có trong danh sách phát hành (ví dụ Công thức（計算式）, điều kiện Trung bình（平均点））: nếu chọn được thì thử Lưu.
Phạm vi từng lượt chạy:
- Base: Toàn bộ thủ tục theo đúng thứ tự; các đối chứng cùng fixture được kiểm trong cùng lượt, không bỏ bước</t>
        </is>
      </c>
    </row>
    <row r="335">
      <c r="D335" s="8" t="inlineStr">
        <is>
          <t>期待結果（Kết quả mong đợi）</t>
        </is>
      </c>
    </row>
    <row r="336">
      <c r="E336" s="9" t="inlineStr">
        <is>
          <t>Loại ngoài phạm vi không hiện như lựa chọn dùng được; không lưu được cấu hình dùng loại đó.</t>
        </is>
      </c>
    </row>
    <row r="337">
      <c r="D337" s="8" t="inlineStr">
        <is>
          <t>証跡（Bằng chứng）</t>
        </is>
      </c>
    </row>
    <row r="338">
      <c r="E338" s="9" t="inlineStr">
        <is>
          <t>
          </t>
        </is>
      </c>
    </row>
    <row r="339">
      <c r="D339" s="8" t="inlineStr">
        <is>
          <t>リセット（Đặt lại）</t>
        </is>
      </c>
    </row>
    <row r="340">
      <c r="E340" s="9" t="inlineStr">
        <is>
          <t>
          </t>
        </is>
      </c>
    </row>
    <row r="341">
      <c r="D341" s="9" t="inlineStr">
        <is>
          <t>
          </t>
        </is>
      </c>
    </row>
  </sheetData>
  <pageMargins left="0.75" right="0.75" top="1" bottom="1" header="0.5" footer="0.5"/>
  <pageSetup fitToHeight="0" fitToWidth="1"/>
</worksheet>
</file>

<file path=xl/worksheets/sheet12.xml><?xml version="1.0" encoding="utf-8"?>
<worksheet xmlns="http://schemas.openxmlformats.org/spreadsheetml/2006/main">
  <sheetPr>
    <outlinePr summaryBelow="1" summaryRight="1"/>
    <pageSetUpPr fitToPage="1"/>
  </sheetPr>
  <dimension ref="A1:F250"/>
  <sheetViews>
    <sheetView showGridLines="0" workbookViewId="0">
      <pane xSplit="4" ySplit="2" topLeftCell="E3" activePane="bottomRight" state="frozen"/>
      <selection pane="topRight"/>
      <selection pane="bottomLeft"/>
      <selection pane="bottomRight" activeCell="A1" sqref="A1"/>
    </sheetView>
  </sheetViews>
  <sheetFormatPr baseColWidth="8" defaultRowHeight="15"/>
  <cols>
    <col width="3.13" customWidth="1" min="1" max="1"/>
    <col width="24" customWidth="1" min="3" max="3"/>
    <col width="24" customWidth="1" min="4" max="4"/>
    <col width="95" customWidth="1" min="5" max="5"/>
    <col width="28" customWidth="1" min="6" max="6"/>
  </cols>
  <sheetData>
    <row r="1" customHeight="1" ht="4">
      <c r="A1" s="2" t="n">
      </c>
      <c r="B1" s="2" t="n">
      </c>
      <c r="C1" s="2" t="n">
      </c>
      <c r="D1" s="2" t="n">
      </c>
      <c r="E1" s="2" t="n">
      </c>
      <c r="F1" s="2" t="n">
      </c>
    </row>
    <row r="2" customHeight="1" ht="28">
      <c r="A2" s="2" t="n">
      </c>
      <c r="B2" s="2" t="n">
      </c>
      <c r="C2" s="11" t="inlineStr">
        <is>
          <t>F. State/Error：</t>
        </is>
      </c>
      <c r="D2" s="2" t="n">
      </c>
      <c r="E2" s="2" t="n">
      </c>
      <c r="F2" s="9" t="inlineStr">
        <is>
          <t>Nguồn test-cases.vi.md • Nhập kết quả/evidence khi chạy.</t>
        </is>
      </c>
    </row>
    <row r="3" customHeight="1" ht="4">
      <c r="A3" s="2" t="n">
      </c>
      <c r="B3" s="2" t="n">
      </c>
      <c r="C3" s="2" t="n">
      </c>
      <c r="D3" s="2" t="n">
      </c>
      <c r="E3" s="2" t="n">
      </c>
      <c r="F3" s="2" t="n">
      </c>
    </row>
    <row r="4">
      <c r="C4" s="9" t="inlineStr">
        <is>
          <t>TC-RS-ERR-001 — Hiển thị theo từng trạng thái kết quả ở ba đầu ra</t>
        </is>
      </c>
    </row>
    <row r="5">
      <c r="D5" s="10" t="inlineStr">
        <is>
          <t>Priority: Cao ｜ Status: CONFIRMED ｜ Readiness: UNASSESSED ｜ Requirement ID: tiêu chí nghiệm thu “Trạng thái sau lần chạy” (AC-G20 «Trạng thái sau lần chạy»)</t>
        </is>
      </c>
    </row>
    <row r="6">
      <c r="D6" s="8" t="inlineStr">
        <is>
          <t>前提条件（Điều kiện trước）</t>
        </is>
      </c>
    </row>
    <row r="7">
      <c r="E7" s="9" t="inlineStr">
        <is>
          <t>- Điều kiện: Chuẩn bị bảy ô cùng mục mục số nguyên (M=100): (1) Đỏ; (2) Không đỏ; (3) Chưa từng xét (ô mới, chưa có lượt xét); (4) Chưa xét được (như case “Chưa có kết quả tổng hợp → Chưa xét được, không thay bằng 0 hay nhóm khác”); (5) Không áp dụng (như case “Không quy tắc nào khớp khi đủ dữ liệu → Không áp dụng”); (6) Không có điểm (S05); (7) Đang chờ chạy lại: Đỏ trước đó, sau đó đổi ngưỡng và chưa chạy lại.
- Dữ liệu test: mục số nguyên (M=100); cấu hình trích xuất: lọc, ký hiệu “*” phía trước, tô màu, cấu hình công khai: “*” phía trước, cấu hình phiếu điểm: ký tự “※” phía trước</t>
        </is>
      </c>
    </row>
    <row r="8">
      <c r="D8" s="8" t="inlineStr">
        <is>
          <t>操作（Thao tác）</t>
        </is>
      </c>
    </row>
    <row r="9">
      <c r="E9" s="9" t="inlineStr">
        <is>
          <t>1. Chạy trích xuất có lọc đỏ và xuất Excel.
2. Xem màn học sinh công khai.
3. Xuất PDF phiếu.
Phạm vi từng lượt chạy:
- extract: Trích xuất cả bảy trạng thái không lọc
- publish: Công khai cả bảy trạng thái
- report: Phiếu điểm cả bảy trạng thái</t>
        </is>
      </c>
    </row>
    <row r="10">
      <c r="D10" s="8" t="inlineStr">
        <is>
          <t>期待結果（Kết quả mong đợi）</t>
        </is>
      </c>
    </row>
    <row r="11">
      <c r="E11" s="9" t="inlineStr">
        <is>
          <t>Chỉ ô (1) và (7) có dấu đỏ và làm học sinh thỏa lọc đỏ. Ô (2)–(6) không có dấu đỏ, không thỏa lọc; (3), (4), (5) không được hiển thị như "đạt". Ba đầu ra cho cùng kết luận.</t>
        </is>
      </c>
    </row>
    <row r="12">
      <c r="D12" s="8" t="inlineStr">
        <is>
          <t>証跡（Bằng chứng）</t>
        </is>
      </c>
    </row>
    <row r="13">
      <c r="E13" s="9" t="inlineStr">
        <is>
          <t>
          </t>
        </is>
      </c>
    </row>
    <row r="14">
      <c r="D14" s="8" t="inlineStr">
        <is>
          <t>リセット（Đặt lại）</t>
        </is>
      </c>
    </row>
    <row r="15">
      <c r="E15" s="9" t="inlineStr">
        <is>
          <t>
          </t>
        </is>
      </c>
    </row>
    <row r="16">
      <c r="D16" s="9" t="inlineStr">
        <is>
          <t>
          </t>
        </is>
      </c>
    </row>
    <row r="17">
      <c r="C17" s="9" t="inlineStr">
        <is>
          <t>TC-RS-ERR-002 — Lỗi kỹ thuật khi lưu kết quả khác với Chưa xét được; không báo thành công giả</t>
        </is>
      </c>
    </row>
    <row r="18">
      <c r="D18" s="10" t="inlineStr">
        <is>
          <t>Priority: Cao ｜ Status: CONFIRMED ｜ Readiness: BLOCKED ｜ Requirement ID: tiêu chí nghiệm thu “Lưu thành công và thông báo an toàn” (AC-G26 «Lưu thành công và thông báo an toàn»)</t>
        </is>
      </c>
    </row>
    <row r="19">
      <c r="D19" s="8" t="inlineStr">
        <is>
          <t>前提条件（Điều kiện trước）</t>
        </is>
      </c>
    </row>
    <row r="20">
      <c r="E20" s="9" t="inlineStr">
        <is>
          <t>- Điều kiện: chuẩn bị bản reset **độc lập cho từng biến thể và từng đường** nhập trực tiếp, Đăng ký thành tích bằng CSV（成績CSV登録） và liên kết điểm thi. Mỗi bản có điểm Toán 24 đang Đỏ, Ngữ văn 20 đang Đỏ và bằng chứng điểm/kết quả trước thao tác; file CSV và bài thi đã chấm phải ánh xạ tới đúng ô Toán của S01 (M=100). Chuẩn bị hai seam lỗi riêng trên từng đường, cho cả xóa và sửa nếu build hỗ trợ: lỗi lưu điểm và lỗi ghi kết quả đỏ; ghi thời điểm lỗi và ranh giới giao dịch thực tế. Chưa có seam/đường đọc đáng tin thì giữ biến thể tương ứng BLOCKED.
- Dữ liệu test: S01, Toán 24 → sửa thành 35 (không đỏ nếu xét thành công), Ngữ văn 20 giữ nguyên; rule “Cố định 30” với dấu `&lt;`. Biến thể xóa dùng cùng điểm ban đầu nhưng bản reset khác biến thể sửa.</t>
        </is>
      </c>
    </row>
    <row r="21">
      <c r="D21" s="8" t="inlineStr">
        <is>
          <t>操作（Thao tác）</t>
        </is>
      </c>
    </row>
    <row r="22">
      <c r="E22" s="9" t="inlineStr">
        <is>
          <t>1. Với `*-success-delete`, dùng ba bản reset riêng và xóa ô Toán lần lượt bằng nhập trực tiếp, Đăng ký thành tích bằng CSV（成績CSV登録） và liên kết điểm thi; không giả lập lỗi.
2. Với `*-delete-save-failure`, reset trước từng lượt, xóa ô Toán qua đúng đường tương ứng và gây lỗi **lưu điểm**. Với `*-delete-result-write-failure`, dùng ba bản reset khác, xóa ô Toán nhưng gây lỗi **ghi kết quả đỏ** sau đường xử lý điểm. Mỗi biến thể có Run ID, baseline, response và đọc lại riêng; không dùng kết quả của lỗi lưu điểm làm baseline cho lỗi ghi kết quả.
3. Với `*-edit-save-failure`, reset trước từng lượt, sửa Toán 24→35 qua từng đường và gây lỗi **lưu điểm**. Với `*-edit-result-write-failure`, dùng các bản reset khác, sửa cùng giá trị nhưng gây lỗi **ghi kết quả đỏ** sau đường xử lý điểm. Không dùng trạng thái từ biến thể xóa làm baseline sửa.
4. Sau mỗi biến thể, đọc lại điểm và kết quả đỏ của đúng ô Toán, ô Ngữ văn không đích và ba đầu ra; lưu thông báo, trạng thái giao dịch/response và identity để đối chiếu. Không dùng thông báo thành công hay một dấu UI làm bằng chứng duy nhất cho ghi điểm/kết quả.
Phạm vi từng lượt chạy:
- direct-success-delete: Nhánh direct-success-delete trong thủ tục và Expected của case; thực hiện các bước chuẩn bị chung trước nhánh
- csv-success-delete: Nhánh csv-success-delete trong thủ tục và Expected của case; thực hiện các bước chuẩn bị chung trước nhánh
- linked-success-delete: Nhánh linked-success-delete trong thủ tục và Expected của case; thực hiện các bước chuẩn bị chung trước nhánh
- direct-delete-save-failure: Nhánh direct-delete-save-failure trong thủ tục và Expected của case; thực hiện các bước chuẩn bị chung trước nhánh
- csv-delete-save-failure: Nhánh csv-delete-save-failure trong thủ tục và Expected của case; thực hiện các bước chuẩn bị chung trước nhánh
- linked-delete-save-failure: Nhánh linked-delete-save-failure trong thủ tục và Expected của case; thực hiện các bước chuẩn bị chung trước nhánh
- direct-delete-result-write-failure: Nhánh direct-delete-result-write-failure trong thủ tục và Expected của case; thực hiện các bước chuẩn bị chung trước nhánh
- csv-delete-result-write-failure: Nhánh csv-delete-result-write-failure trong thủ tục và Expected của case; thực hiện các bước chuẩn bị chung trước nhánh
- linked-delete-result-write-failure: Nhánh linked-delete-result-write-failure trong thủ tục và Expected của case; thực hiện các bước chuẩn bị chung trước nhánh
- direct-edit-save-failure: Nhánh direct-edit-save-failure trong thủ tục và Expected của case; thực hiện các bước chuẩn bị chung trước nhánh
- csv-edit-save-failure: Nhánh csv-edit-save-failure trong thủ tục và Expected của case; thực hiện các bước chuẩn bị chung trước nhánh
- linked-edit-save-failure: Nhánh linked-edit-save-failure trong thủ tục và Expected của case; thực hiện các bước chuẩn bị chung trước nhánh
- direct-edit-result-write-failure: Nhánh direct-edit-result-write-failure trong thủ tục và Expected của case; thực hiện các bước chuẩn bị chung trước nhánh
- csv-edit-result-write-failure: Nhánh csv-edit-result-write-failure trong thủ tục và Expected của case; thực hiện các bước chuẩn bị chung trước nhánh
- linked-edit-result-write-failure: Nhánh linked-edit-result-write-failure trong thủ tục và Expected của case; thực hiện các bước chuẩn bị chung trước nhánh</t>
        </is>
      </c>
    </row>
    <row r="23">
      <c r="D23" s="8" t="inlineStr">
        <is>
          <t>期待結果（Kết quả mong đợi）</t>
        </is>
      </c>
    </row>
    <row r="24">
      <c r="E24" s="9" t="inlineStr">
        <is>
          <t>1. Mỗi đường xóa thành công chỉ xóa điểm/kết quả Toán của identity đích; Ngữ văn vẫn Đỏ và S01 vẫn qua bộ lọc nhờ Ngữ văn. CSV phải ánh xạ đúng ô.
2. Với `*-delete-save-failure`, không báo đã xóa/xét thành công; đối chiếu điểm và kết quả Toán với baseline 24/Đỏ. Với `*-delete-result-write-failure`, cũng không báo thành công giả và phải phân biệt điểm đã bị xóa hay chưa theo ranh giới giao dịch thực tế; không tự coi ô là trống/Chưa xét được hoặc mặc định rollback. Đọc lại điểm, kết quả và trạng thái giao dịch của **từng** biến thể; nếu ranh giới commit hoặc trạng thái nhất quán chưa quan sát được thì giữ đúng biến thể BLOCKED, ghi giá trị thực tế của hai ô và không sửa oracle theo kết quả chạy.
3. Với lỗi **sửa điểm 24→35**, không báo đã sửa và xét thành công giả. Lỗi lưu điểm phải được đối chiếu với điểm/kết quả trước đó; lỗi ghi kết quả phải phân biệt điểm đã lưu hay chưa theo ranh giới giao dịch hiện có. Không trình bày kết quả cũ Đỏ như kết luận mới đã hoàn tất cho điểm 35, cũng không tự đánh dấu Chưa xét được do lỗi kỹ thuật. Nếu ranh giới ghi/đọc hoặc trạng thái nhất quán chưa quan sát được, giữ đúng biến thể BLOCKED và ghi giá trị thực tế của cả hai ô thay vì tự đổi oracle thành PASS.
4. Ngữ văn 20 và kết quả Đỏ của ô không đích giữ nguyên ở mọi lượt. Thông báo thất bại không chứa lỗi SQL, stack trace hay dữ liệu ngoài quyền.</t>
        </is>
      </c>
    </row>
    <row r="25">
      <c r="D25" s="8" t="inlineStr">
        <is>
          <t>証跡（Bằng chứng）</t>
        </is>
      </c>
    </row>
    <row r="26">
      <c r="E26" s="9" t="inlineStr">
        <is>
          <t>
          </t>
        </is>
      </c>
    </row>
    <row r="27">
      <c r="D27" s="8" t="inlineStr">
        <is>
          <t>リセット（Đặt lại）</t>
        </is>
      </c>
    </row>
    <row r="28">
      <c r="E28" s="9" t="inlineStr">
        <is>
          <t>
          </t>
        </is>
      </c>
    </row>
    <row r="29">
      <c r="D29" s="9" t="inlineStr">
        <is>
          <t>
          </t>
        </is>
      </c>
    </row>
    <row r="30">
      <c r="C30" s="9" t="inlineStr">
        <is>
          <t>TC-RS-ERR-003 — Batch hoàn tất một phần: báo đúng phạm vi đã/không cập nhật</t>
        </is>
      </c>
    </row>
    <row r="31">
      <c r="D31" s="10" t="inlineStr">
        <is>
          <t>Priority: Cao ｜ Status: CONFIRMED ｜ Readiness: BLOCKED ｜ Requirement ID: tiêu chí nghiệm thu “Batch hoàn tất một phần” (AC-G27 «Batch hoàn tất một phần»)</t>
        </is>
      </c>
    </row>
    <row r="32">
      <c r="D32" s="8" t="inlineStr">
        <is>
          <t>前提条件（Điều kiện trước）</t>
        </is>
      </c>
    </row>
    <row r="33">
      <c r="E33" s="9" t="inlineStr">
        <is>
          <t>- Điều kiện: Batch dùng `TD-GRP-03`: BATCH-GA1 và BATCH-GA2 cùng khối 1; giả lập lỗi riêng ở BATCH-GA2.
- Dữ liệu test: BATCH-S01 thuộc BATCH-GA1, BATCH-S02 thuộc BATCH-GA2, BATCH-S03 thuộc BATCH-GC ngoài batch; mỗi học sinh có identity ô điểm fixture riêng. Không dùng S01/G-A hoặc lớp master làm bằng chứng nếu chưa chứng minh mapping.</t>
        </is>
      </c>
    </row>
    <row r="34">
      <c r="D34" s="8" t="inlineStr">
        <is>
          <t>操作（Thao tác）</t>
        </is>
      </c>
    </row>
    <row r="35">
      <c r="E35" s="9" t="inlineStr">
        <is>
          <t>1. Chạy nút cam cho khối.
2. Xem thông báo và kết quả từng lớp.
3. Gỡ giả lập lỗi, chạy lại nút cam chỉ cho phạm vi BATCH-GA2.
4. Xem kết quả hai lớp.
5. Chạy nút cam cho BATCH-GA1; khi chưa xong, giáo viên sửa và lưu điểm BATCH-S01. Chờ batch xong, xem thông báo/tiến độ và kết quả BATCH-S01.
Phạm vi từng lượt chạy:
- partial-G-A2-failure: Nhánh partial-G-A2-failure trong thủ tục và Expected của case; thực hiện các bước chuẩn bị chung trước nhánh
- retry-G-A2-only: Nhánh retry-G-A2-only trong thủ tục và Expected của case; thực hiện các bước chuẩn bị chung trước nhánh
- concurrent-score-write: Nhánh concurrent-score-write trong thủ tục và Expected của case; thực hiện các bước chuẩn bị chung trước nhánh</t>
        </is>
      </c>
    </row>
    <row r="36">
      <c r="D36" s="8" t="inlineStr">
        <is>
          <t>期待結果（Kết quả mong đợi）</t>
        </is>
      </c>
    </row>
    <row r="37">
      <c r="E37" s="9" t="inlineStr">
        <is>
          <t>1–2. G-A1 cập nhật; G-A2 giữ trạng thái trước lượt. Thông báo cho biết phạm vi đã cập nhật, chưa cập nhật và cần chạy lại; không báo hoàn tất toàn bộ; không suy số lớp đã xử lý thành số ô đã xét. Không hứa rollback toàn lượt. Không tự retry vô hạn. G-C ngoài batch không bị tính vào kết quả.
3–4. BATCH-GA2 được cập nhật; BATCH-GA1 giữ kết quả của bước 1, mỗi ô chỉ có một kết quả hiệu lực, không trùng.
5. Phần của BATCH-S01 trong lượt batch (đã bị lần lưu mới thay thế) không được tính là cập nhật thành công, cũng không được tính là Chưa xét được; BATCH-S01 giữ kết quả của lần lưu mới. (PROPOSED theo thiết kế DB v2 mục 6.3 “Xóa/tạo lại, nguồn tham chiếu và lỗi”) Tiến độ ghi phần này là `superseded`; deadlock/timeout rollback toàn transaction đó và chỉ retry hữu hạn theo job hiện có.</t>
        </is>
      </c>
    </row>
    <row r="38">
      <c r="D38" s="8" t="inlineStr">
        <is>
          <t>証跡（Bằng chứng）</t>
        </is>
      </c>
    </row>
    <row r="39">
      <c r="E39" s="9" t="inlineStr">
        <is>
          <t>
          </t>
        </is>
      </c>
    </row>
    <row r="40">
      <c r="D40" s="8" t="inlineStr">
        <is>
          <t>リセット（Đặt lại）</t>
        </is>
      </c>
    </row>
    <row r="41">
      <c r="E41" s="9" t="inlineStr">
        <is>
          <t>
          </t>
        </is>
      </c>
    </row>
    <row r="42">
      <c r="D42" s="9" t="inlineStr">
        <is>
          <t>
          </t>
        </is>
      </c>
    </row>
    <row r="43">
      <c r="C43" s="9" t="inlineStr">
        <is>
          <t>TC-RS-ERR-004 — Đã xếp hàng không phải đã hoàn tất; bấm chạy trùng</t>
        </is>
      </c>
    </row>
    <row r="44">
      <c r="D44" s="10" t="inlineStr">
        <is>
          <t>Priority: Cao ｜ Status: CONFIRMED ｜ Readiness: UNASSESSED ｜ Requirement ID: tiêu chí nghiệm thu “Batch hoàn tất một phần” (AC-G27 «Batch hoàn tất một phần»)</t>
        </is>
      </c>
    </row>
    <row r="45">
      <c r="D45" s="8" t="inlineStr">
        <is>
          <t>前提条件（Điều kiện trước）</t>
        </is>
      </c>
    </row>
    <row r="46">
      <c r="E46" s="9" t="inlineStr">
        <is>
          <t>- Điều kiện: tài khoản có quyền chạy hàng loạt. Đã đổi ngưỡng, chưa chạy lại.
- Dữ liệu test: quy tắc “Cố định 30” (dưới 30)</t>
        </is>
      </c>
    </row>
    <row r="47">
      <c r="D47" s="8" t="inlineStr">
        <is>
          <t>操作（Thao tác）</t>
        </is>
      </c>
    </row>
    <row r="48">
      <c r="E48" s="9" t="inlineStr">
        <is>
          <t>1. Bấm Thực hiện tính toán tự động（自動算出実行）, đọc thông báo ngay khi request trả về.
2. Bấm lại lần nữa khi lượt đầu chưa xong.
3. Sau khi xong, xem kết quả.
Phạm vi từng lượt chạy:
- Base: Toàn bộ thủ tục theo đúng thứ tự; các đối chứng cùng fixture được kiểm trong cùng lượt, không bỏ bước</t>
        </is>
      </c>
    </row>
    <row r="49">
      <c r="D49" s="8" t="inlineStr">
        <is>
          <t>期待結果（Kết quả mong đợi）</t>
        </is>
      </c>
    </row>
    <row r="50">
      <c r="E50" s="9" t="inlineStr">
        <is>
          <t>1. Nếu xử lý chạy nền: thông báo là đã nhận/xếp hàng, không phải đã hoàn tất; kết quả chưa đổi cho tới khi xử lý xong.
2. Chống trùng theo cơ chế hiện có (không tạo hai lượt ghi chồng gây kết quả sai).
3. Một kết quả hiện hành cho mỗi ô, đúng theo ngưỡng mới.</t>
        </is>
      </c>
    </row>
    <row r="51">
      <c r="D51" s="8" t="inlineStr">
        <is>
          <t>証跡（Bằng chứng）</t>
        </is>
      </c>
    </row>
    <row r="52">
      <c r="E52" s="9" t="inlineStr">
        <is>
          <t>
          </t>
        </is>
      </c>
    </row>
    <row r="53">
      <c r="D53" s="8" t="inlineStr">
        <is>
          <t>リセット（Đặt lại）</t>
        </is>
      </c>
    </row>
    <row r="54">
      <c r="E54" s="9" t="inlineStr">
        <is>
          <t>
          </t>
        </is>
      </c>
    </row>
    <row r="55">
      <c r="D55" s="9" t="inlineStr">
        <is>
          <t>
          </t>
        </is>
      </c>
    </row>
    <row r="56">
      <c r="C56" s="9" t="inlineStr">
        <is>
          <t>TC-RS-ERR-005 — Thông báo lỗi không lộ SQL, stack trace hoặc dữ liệu ngoài quyền</t>
        </is>
      </c>
    </row>
    <row r="57">
      <c r="D57" s="10" t="inlineStr">
        <is>
          <t>Priority: Cao ｜ Status: CONFIRMED ｜ Readiness: UNASSESSED ｜ Requirement ID: tiêu chí nghiệm thu “Lưu thành công và thông báo an toàn” (AC-G26 «Lưu thành công và thông báo an toàn»)</t>
        </is>
      </c>
    </row>
    <row r="58">
      <c r="D58" s="8" t="inlineStr">
        <is>
          <t>前提条件（Điều kiện trước）</t>
        </is>
      </c>
    </row>
    <row r="59">
      <c r="E59" s="9" t="inlineStr">
        <is>
          <t>- Điều kiện: Các tình huống lỗi của ERR-002, ERR-003, ERR-006, ERR-009.
- Dữ liệu test: —</t>
        </is>
      </c>
    </row>
    <row r="60">
      <c r="D60" s="8" t="inlineStr">
        <is>
          <t>操作（Thao tác）</t>
        </is>
      </c>
    </row>
    <row r="61">
      <c r="E61" s="9" t="inlineStr">
        <is>
          <t>Thu thập mọi thông báo lỗi hiển thị cho người dùng trong các case trên.
Phạm vi từng lượt chạy:
- save-error: Lỗi lưu theo ERR-002
- batch-error: Lỗi batch theo ERR-003
- permission-error: Lỗi quyền theo ERR-006
- input-error: Lỗi dữ liệu theo ERR-009</t>
        </is>
      </c>
    </row>
    <row r="62">
      <c r="D62" s="8" t="inlineStr">
        <is>
          <t>期待結果（Kết quả mong đợi）</t>
        </is>
      </c>
    </row>
    <row r="63">
      <c r="E63" s="9" t="inlineStr">
        <is>
          <t>Không có câu SQL, stack trace, đường dẫn file server hoặc tên/điểm học sinh ngoài quyền người thao tác.</t>
        </is>
      </c>
    </row>
    <row r="64">
      <c r="D64" s="8" t="inlineStr">
        <is>
          <t>証跡（Bằng chứng）</t>
        </is>
      </c>
    </row>
    <row r="65">
      <c r="E65" s="9" t="inlineStr">
        <is>
          <t>
          </t>
        </is>
      </c>
    </row>
    <row r="66">
      <c r="D66" s="8" t="inlineStr">
        <is>
          <t>リセット（Đặt lại）</t>
        </is>
      </c>
    </row>
    <row r="67">
      <c r="E67" s="9" t="inlineStr">
        <is>
          <t>
          </t>
        </is>
      </c>
    </row>
    <row r="68">
      <c r="D68" s="9" t="inlineStr">
        <is>
          <t>
          </t>
        </is>
      </c>
    </row>
    <row r="69">
      <c r="C69" s="9" t="inlineStr">
        <is>
          <t>TC-RS-ERR-006 — Gửi request lưu quy tắc trực tiếp khi không có quyền sửa mục</t>
        </is>
      </c>
    </row>
    <row r="70">
      <c r="D70" s="10" t="inlineStr">
        <is>
          <t>Priority: Cao ｜ Status: CONFIRMED ｜ Readiness: UNASSESSED ｜ Requirement ID: tiêu chí nghiệm thu “Quyền thao tác và phạm vi dữ liệu” (AC-G01 «Quyền thao tác và phạm vi dữ liệu»)</t>
        </is>
      </c>
    </row>
    <row r="71">
      <c r="D71" s="8" t="inlineStr">
        <is>
          <t>前提条件（Điều kiện trước）</t>
        </is>
      </c>
    </row>
    <row r="72">
      <c r="E72" s="9" t="inlineStr">
        <is>
          <t>- Điều kiện: tài khoản giáo viên không có quyền sửa mục; mục chỉ dành nội bộ có một quy tắc. Có bản ghi request lưu/xóa/đổi thứ tự hợp lệ lấy từ tài khoản giáo viên có quyền sửa mục.
- Dữ liệu test: tài khoản giáo viên không có quyền sửa mục, mục chỉ dành nội bộ</t>
        </is>
      </c>
    </row>
    <row r="73">
      <c r="D73" s="8" t="inlineStr">
        <is>
          <t>操作（Thao tác）</t>
        </is>
      </c>
    </row>
    <row r="74">
      <c r="E74" s="9" t="inlineStr">
        <is>
          <t>Dùng phiên tài khoản giáo viên không có quyền sửa mục gửi lại các request POST lưu, xóa, đổi thứ tự quy tắc của mục chỉ dành nội bộ.
Phạm vi từng lượt chạy:
- save: Gửi lưu
- delete: Gửi xóa
- reorder: Gửi đổi thứ tự</t>
        </is>
      </c>
    </row>
    <row r="75">
      <c r="D75" s="8" t="inlineStr">
        <is>
          <t>期待結果（Kết quả mong đợi）</t>
        </is>
      </c>
    </row>
    <row r="76">
      <c r="E76" s="9" t="inlineStr">
        <is>
          <t>Mọi request bị từ chối; cấu hình không đổi; không có lượt xét phát sinh.</t>
        </is>
      </c>
    </row>
    <row r="77">
      <c r="D77" s="8" t="inlineStr">
        <is>
          <t>証跡（Bằng chứng）</t>
        </is>
      </c>
    </row>
    <row r="78">
      <c r="E78" s="9" t="inlineStr">
        <is>
          <t>
          </t>
        </is>
      </c>
    </row>
    <row r="79">
      <c r="D79" s="8" t="inlineStr">
        <is>
          <t>リセット（Đặt lại）</t>
        </is>
      </c>
    </row>
    <row r="80">
      <c r="E80" s="9" t="inlineStr">
        <is>
          <t>
          </t>
        </is>
      </c>
    </row>
    <row r="81">
      <c r="D81" s="9" t="inlineStr">
        <is>
          <t>
          </t>
        </is>
      </c>
    </row>
    <row r="82">
      <c r="C82" s="9" t="inlineStr">
        <is>
          <t>TC-RS-ERR-007 — Giả mạo ID khác trường/năm hoặc nguồn không được phép</t>
        </is>
      </c>
    </row>
    <row r="83">
      <c r="D83" s="10" t="inlineStr">
        <is>
          <t>Priority: Cao ｜ Status: CONFIRMED ｜ Readiness: UNASSESSED ｜ Requirement ID: tiêu chí nghiệm thu “Quyền thao tác và phạm vi dữ liệu” (AC-G01 «Quyền thao tác và phạm vi dữ liệu»)</t>
        </is>
      </c>
    </row>
    <row r="84">
      <c r="D84" s="8" t="inlineStr">
        <is>
          <t>前提条件（Điều kiện trước）</t>
        </is>
      </c>
    </row>
    <row r="85">
      <c r="E85" s="9" t="inlineStr">
        <is>
          <t>- Điều kiện: tài khoản của trường B (trường B) và tài khoản giáo viên có quyền sửa mục (trường A). Ghi lại cấu hình, điểm và kết quả đỏ của trường A trước khi chạy.
- Dữ liệu test: trường B (trường khác), tài khoản của trường B</t>
        </is>
      </c>
    </row>
    <row r="86">
      <c r="D86" s="8" t="inlineStr">
        <is>
          <t>操作（Thao tác）</t>
        </is>
      </c>
    </row>
    <row r="87">
      <c r="E87" s="9" t="inlineStr">
        <is>
          <t>1. tài khoản của trường B mở URL/gửi request xem, lưu, xóa quy tắc với ID mục/quy tắc của trường A.
2. tài khoản giáo viên có quyền sửa mục lưu quy tắc của trường A nhưng sửa request để nguồn tổng hợp trỏ tới thiết lập tổng hợp của trường B hoặc năm 2025.
3. tài khoản giáo viên có quyền sửa mục lưu quy tắc của trường A nhưng sửa request: ID lớp/nhóm trong bộ lọc và ID đơn vị thuộc trường B hoặc năm 2025.
Phạm vi từng lượt chạy:
- read-school: Đọc mục trường khác
- save-school: Lưu mục trường khác
- delete-school: Xóa mục trường khác
- source-school: Nguồn trường khác
- source-year: Nguồn năm khác
- class-school: Lớp trường khác
- class-year: Lớp năm khác
- group-school: Nhóm trường khác
- group-year: Nhóm năm khác
- unit-school: Đơn vị trường khác
- unit-year: Đơn vị năm khác</t>
        </is>
      </c>
    </row>
    <row r="88">
      <c r="D88" s="8" t="inlineStr">
        <is>
          <t>期待結果（Kết quả mong đợi）</t>
        </is>
      </c>
    </row>
    <row r="89">
      <c r="E89" s="9" t="inlineStr">
        <is>
          <t>1. Bị từ chối, không đọc được dữ liệu trường A.
2. Bị từ chối khi lưu; không có quy tắc tham chiếu nguồn ngoài phạm vi.
3. Bị từ chối khi lưu; không có quy tắc mang ID lớp/nhóm/đơn vị ngoài phạm vi.
Sau cả ba bước: cấu hình, điểm và kết quả đỏ của trường A giống lúc trước khi chạy.</t>
        </is>
      </c>
    </row>
    <row r="90">
      <c r="D90" s="8" t="inlineStr">
        <is>
          <t>証跡（Bằng chứng）</t>
        </is>
      </c>
    </row>
    <row r="91">
      <c r="E91" s="9" t="inlineStr">
        <is>
          <t>
          </t>
        </is>
      </c>
    </row>
    <row r="92">
      <c r="D92" s="8" t="inlineStr">
        <is>
          <t>リセット（Đặt lại）</t>
        </is>
      </c>
    </row>
    <row r="93">
      <c r="E93" s="9" t="inlineStr">
        <is>
          <t>
          </t>
        </is>
      </c>
    </row>
    <row r="94">
      <c r="D94" s="9" t="inlineStr">
        <is>
          <t>
          </t>
        </is>
      </c>
    </row>
    <row r="95">
      <c r="C95" s="9" t="inlineStr">
        <is>
          <t>TC-RS-ERR-008 — Gọi trực tiếp request chạy tính toán hàng loạt khi không có quyền chạy</t>
        </is>
      </c>
    </row>
    <row r="96">
      <c r="D96" s="10" t="inlineStr">
        <is>
          <t>Priority: Cao ｜ Status: CONFIRMED ｜ Readiness: UNASSESSED ｜ Requirement ID: tiêu chí nghiệm thu “Quyền thao tác và phạm vi dữ liệu” (AC-G01 «Quyền thao tác và phạm vi dữ liệu»)</t>
        </is>
      </c>
    </row>
    <row r="97">
      <c r="D97" s="8" t="inlineStr">
        <is>
          <t>前提条件（Điều kiện trước）</t>
        </is>
      </c>
    </row>
    <row r="98">
      <c r="E98" s="9" t="inlineStr">
        <is>
          <t>- Điều kiện: tài khoản sửa được mục nhưng không có quyền chạy hàng loạt; bản ghi request chạy nút cam hợp lệ từ tài khoản có quyền chạy hàng loạt.
- Dữ liệu test: tài khoản sửa được mục nhưng không có quyền chạy hàng loạt; endpoint/request URL lấy từ route hiện hành của build, không ghi URL giả định vào oracle.</t>
        </is>
      </c>
    </row>
    <row r="99">
      <c r="D99" s="8" t="inlineStr">
        <is>
          <t>操作（Thao tác）</t>
        </is>
      </c>
    </row>
    <row r="100">
      <c r="E100" s="9" t="inlineStr">
        <is>
          <t>Dùng phiên tài khoản sửa được mục nhưng không có quyền chạy hàng loạt gửi request chạy tính toán hàng loạt cho khối 1.
Phạm vi từng lượt chạy:
- Base: Toàn bộ thủ tục theo đúng thứ tự; các đối chứng cùng fixture được kiểm trong cùng lượt, không bỏ bước</t>
        </is>
      </c>
    </row>
    <row r="101">
      <c r="D101" s="8" t="inlineStr">
        <is>
          <t>期待結果（Kết quả mong đợi）</t>
        </is>
      </c>
    </row>
    <row r="102">
      <c r="E102" s="9" t="inlineStr">
        <is>
          <t>Kỳ vọng theo đặc tả v2: bị từ chối, không xếp hàng/không xét. Nếu chưa xác định được route hoặc seam request ở build đang kiểm, ghi BLOCKED/NEEDS_EVIDENCE thay vì READY; không biến việc thiếu URL thành kết quả đạt.</t>
        </is>
      </c>
    </row>
    <row r="103">
      <c r="D103" s="8" t="inlineStr">
        <is>
          <t>証跡（Bằng chứng）</t>
        </is>
      </c>
    </row>
    <row r="104">
      <c r="E104" s="9" t="inlineStr">
        <is>
          <t>
          </t>
        </is>
      </c>
    </row>
    <row r="105">
      <c r="D105" s="8" t="inlineStr">
        <is>
          <t>リセット（Đặt lại）</t>
        </is>
      </c>
    </row>
    <row r="106">
      <c r="E106" s="9" t="inlineStr">
        <is>
          <t>
          </t>
        </is>
      </c>
    </row>
    <row r="107">
      <c r="D107" s="9" t="inlineStr">
        <is>
          <t>
          </t>
        </is>
      </c>
    </row>
    <row r="108">
      <c r="C108" s="9" t="inlineStr">
        <is>
          <t>TC-RS-ERR-009 — Server kiểm miền giá trị khi bỏ qua kiểm tra phía trình duyệt</t>
        </is>
      </c>
    </row>
    <row r="109">
      <c r="D109" s="10" t="inlineStr">
        <is>
          <t>Priority: TBD ｜ Status: CONFIRMED ｜ Readiness: UNASSESSED ｜ Requirement ID: tiêu chí nghiệm thu “Giữ chính xác giá trị” (AC-G11 «Giữ chính xác giá trị»); tiêu chí nghiệm thu “Công thức theo dòng và phần lẻ” (AC-G16 «Công thức theo dòng và phần lẻ»)</t>
        </is>
      </c>
    </row>
    <row r="110">
      <c r="D110" s="8" t="inlineStr">
        <is>
          <t>前提条件（Điều kiện trước）</t>
        </is>
      </c>
    </row>
    <row r="111">
      <c r="E111" s="9" t="inlineStr">
        <is>
          <t>- Điều kiện: tài khoản giáo viên có quyền sửa mục; bản ghi request lưu ngưỡng hợp lệ.
- Dữ liệu test: N cố định = 101, −1; tỷ lệ = 101; mẫu số cố định = 0; N = `NaN`, `Infinity`, `1e400`, chuỗi rỗng; công thức có phép toán/hàm không được phép (ví dụ `^`, `max`) hoặc chuỗi biểu thức tự do thay cho các dòng; điều kiện áp dụng (khi có schema, PROPOSED theo thiết kế DB v2 mục 3.2 “`apply_condition`”): JSON `null`, chuỗi rỗng, object rỗng, khóa lạ, cả hai array rỗng</t>
        </is>
      </c>
    </row>
    <row r="112">
      <c r="D112" s="8" t="inlineStr">
        <is>
          <t>操作（Thao tác）</t>
        </is>
      </c>
    </row>
    <row r="113">
      <c r="E113" s="9" t="inlineStr">
        <is>
          <t>Sửa request (bỏ kiểm tra JS) và gửi từng giá trị.
Phạm vi từng lượt chạy:
- above: N101
- negative: N âm
- ratio-above: Tỷ lệ 101
- divide-zero: Chia 0
- nan: NaN
- infinity: Infinity
- exponent: 1e400
- empty: N trống
- power: Phép toán mũ
- max: Hàm max
- expression: Biểu thức tự do
- null: JSON null
- empty-string: Chuỗi rỗng
- object: Object rỗng
- unknown-key: Khóa không biết
- arrays: Mảng rỗng</t>
        </is>
      </c>
    </row>
    <row r="114">
      <c r="D114" s="8" t="inlineStr">
        <is>
          <t>期待結果（Kết quả mong đợi）</t>
        </is>
      </c>
    </row>
    <row r="115">
      <c r="E115" s="9" t="inlineStr">
        <is>
          <t>Mọi giá trị trên bị server từ chối; cấu hình đã lưu không đổi. Công thức chỉ nhận các dòng với phép toán và toán hạng được hỗ trợ; không lưu biểu thức tự do.</t>
        </is>
      </c>
    </row>
    <row r="116">
      <c r="D116" s="8" t="inlineStr">
        <is>
          <t>証跡（Bằng chứng）</t>
        </is>
      </c>
    </row>
    <row r="117">
      <c r="E117" s="9" t="inlineStr">
        <is>
          <t>
          </t>
        </is>
      </c>
    </row>
    <row r="118">
      <c r="D118" s="8" t="inlineStr">
        <is>
          <t>リセット（Đặt lại）</t>
        </is>
      </c>
    </row>
    <row r="119">
      <c r="E119" s="9" t="inlineStr">
        <is>
          <t>
          </t>
        </is>
      </c>
    </row>
    <row r="120">
      <c r="D120" s="9" t="inlineStr">
        <is>
          <t>
          </t>
        </is>
      </c>
    </row>
    <row r="121">
      <c r="C121" s="9" t="inlineStr">
        <is>
          <t>TC-RS-ERR-010 — Server không tin cờ đỏ hoặc ngưỡng do trình duyệt gửi lên</t>
        </is>
      </c>
    </row>
    <row r="122">
      <c r="D122" s="10" t="inlineStr">
        <is>
          <t>Priority: Cao ｜ Status: CONFIRMED ｜ Readiness: BLOCKED ｜ Requirement ID: tiêu chí nghiệm thu “Excel khớp và dùng kết luận server” (AC-G31 «Excel khớp và dùng kết luận server»)</t>
        </is>
      </c>
    </row>
    <row r="123">
      <c r="D123" s="8" t="inlineStr">
        <is>
          <t>前提条件（Điều kiện trước）</t>
        </is>
      </c>
    </row>
    <row r="124">
      <c r="E124" s="9" t="inlineStr">
        <is>
          <t>- Điều kiện: S03 của trường A/năm 2026 có điểm server `31`, quy tắc `&lt;30`, kết luận Không đỏ; S01=29 Đỏ là control trong bộ lọc. Cấu hình trích xuất gồm lọc học sinh có điểm đỏ, ký hiệu “*” phía trước và tô màu. Ghi identity trường/năm/mục của S03, S01 và một trường B/năm khác ngoài quyền tài khoản; endpoint/field thực tế chỉ dùng sau khi được xác minh, chưa giả định `output_excel` nhận mọi field.
- Dữ liệu test: lượt không lọc chứa S03=31 không dấu/màu đỏ; lượt có lọc chỉ chứa S01, loại S03. Các request sửa độc lập từ baseline tương ứng, không sửa dữ liệu server.</t>
        </is>
      </c>
    </row>
    <row r="125">
      <c r="D125" s="8" t="inlineStr">
        <is>
          <t>操作（Thao tác）</t>
        </is>
      </c>
    </row>
    <row r="126">
      <c r="E126" s="9" t="inlineStr">
        <is>
          <t>1. Đăng nhập tài khoản phụ trách đầu ra; chụp request/response hợp lệ và file Trích xuất thành tích（成績抽出） không lọc: S03=31 Không đỏ. Chụp riêng lượt bật lọc: S01 có mặt, S03 vắng mặt. Ghi endpoint, field được chấp nhận, identity trường/năm/mục và quyền thật trước khi sửa request.
2. Từ **request không lọc**, gửi từng payload độc lập nếu endpoint nhận field đó: (a) gán S03 cờ đỏ/dấu `*`/màu đỏ; (b) gán điểm S03=10 thay vì điểm server 31; (c) gán ngưỡng 50 thay vì ngưỡng server 30. Không thay đồng thời các field giữa các biến thể.
3. Từ **request có lọc**, chèn identity S03 (Không đỏ) vào danh sách được yêu cầu, giữ bộ lọc bật. Từ request hợp lệ riêng, sửa identity sang trường B hoặc năm ngoài quyền. Gửi từng request, lưu payload/response và file Excel nếu có.
Phạm vi từng lượt chạy:
- forged-red-flag: Bước 2a chỉ sửa cờ đỏ của S03
- forged-prefix: Bước 2a chỉ sửa dấu trước thành * cho S03
- forged-color: Bước 2a chỉ sửa màu đỏ cho S03
- forged-score: Bước 2b chỉ sửa điểm thành 10
- forged-threshold: Bước 2c chỉ sửa ngưỡng thành 50
- out-of-scope-student: Bước 3 chèn S03 vào lượt có lọc
- out-of-scope-school: Bước 3 identity trường B ngoài quyền, giữ năm hợp lệ
- out-of-scope-year: Bước 3 identity năm ngoài quyền, giữ trường A</t>
        </is>
      </c>
    </row>
    <row r="127">
      <c r="D127" s="8" t="inlineStr">
        <is>
          <t>期待結果（Kết quả mong đợi）</t>
        </is>
      </c>
    </row>
    <row r="128">
      <c r="E128" s="9" t="inlineStr">
        <is>
          <t>Ở các biến thể không lọc, server từ chối payload giả hoặc Excel vẫn cho S03=31, Không đỏ, không có `*`/màu đỏ; điểm 10, ngưỡng 50 và cờ giả không đổi kết luận server. Ở request **có lọc**, S03 không được đưa vào Excel dù identity được chèn vào payload; S01 vẫn có mặt. Request trường/năm ngoài quyền bị từ chối hoặc không trả dữ liệu ngoài quyền. Nếu endpoint không nhận field giả, ghi rõ biến thể chưa kiểm được/BLOCKED và seam cần kiểm; không dùng NOT_APPLICABLE để suy rằng nghĩa vụ server đã PASS. Chỉ đánh PASS từng biến thể khi có payload thật được endpoint xử lý cùng response/file và dữ liệu tin cậy đối chiếu.</t>
        </is>
      </c>
    </row>
    <row r="129">
      <c r="D129" s="8" t="inlineStr">
        <is>
          <t>証跡（Bằng chứng）</t>
        </is>
      </c>
    </row>
    <row r="130">
      <c r="E130" s="9" t="inlineStr">
        <is>
          <t>
          </t>
        </is>
      </c>
    </row>
    <row r="131">
      <c r="D131" s="8" t="inlineStr">
        <is>
          <t>リセット（Đặt lại）</t>
        </is>
      </c>
    </row>
    <row r="132">
      <c r="E132" s="9" t="inlineStr">
        <is>
          <t>
          </t>
        </is>
      </c>
    </row>
    <row r="133">
      <c r="D133" s="9" t="inlineStr">
        <is>
          <t>
          </t>
        </is>
      </c>
    </row>
    <row r="134">
      <c r="C134" s="9" t="inlineStr">
        <is>
          <t>TC-RS-ERR-011 — Lượt cũ hoàn tất muộn không ghi đè kết quả của điểm/cấu hình mới hơn</t>
        </is>
      </c>
    </row>
    <row r="135">
      <c r="D135" s="10" t="inlineStr">
        <is>
          <t>Priority: Cao ｜ Status: CONFIRMED ｜ Readiness: UNASSESSED ｜ Requirement ID: tiêu chí nghiệm thu “Nhận diện ô điểm” (AC-G03 «Nhận diện ô điểm»); tiêu chí nghiệm thu “Đúng phạm vi tham chiếu” (AC-G12 «Đúng phạm vi tham chiếu»); tiêu chí nghiệm thu “Giữ kết quả trước khi chạy lại” (AC-G21 «Giữ kết quả trước khi chạy lại và xóa rule cuối»); tiêu chí nghiệm thu “Kết quả chung và thứ tự cập nhật” (AC-G22 «Kết quả chung và thứ tự cập nhật»)</t>
        </is>
      </c>
    </row>
    <row r="136">
      <c r="D136" s="8" t="inlineStr">
        <is>
          <t>前提条件（Điều kiện trước）</t>
        </is>
      </c>
    </row>
    <row r="137">
      <c r="E137" s="9" t="inlineStr">
        <is>
          <t>- Điều kiện: Batch lớn đang chạy cho khối 1; quy tắc “Cố định 30” (dưới 30) trên mục của S01; nguồn trung bình của cặp quy tắc phân nhánh theo trung bình 60 đã có một bản tổng hợp.
- Dữ liệu test: học sinh S01 (điểm 29); quy tắc “Cố định 30” (dưới 30); cặp quy tắc phân nhánh theo trung bình 60</t>
        </is>
      </c>
    </row>
    <row r="138">
      <c r="D138" s="8" t="inlineStr">
        <is>
          <t>操作（Thao tác）</t>
        </is>
      </c>
    </row>
    <row r="139">
      <c r="E139" s="9" t="inlineStr">
        <is>
          <t>1. Khi batch chưa xong, sửa S01 từ 29 thành 40 và lưu.
2. Chờ batch xong, xem S01.
3. Chạy lại batch; khi chưa xong, đổi ngưỡng quy tắc “Cố định 30” (dưới 30) thành 45, lưu, rồi đăng ký lại điểm S01 (40). Chờ batch cũ xong, xem S01.
4. Với mục dùng cặp quy tắc phân nhánh theo trung bình 60: bắt đầu batch; khi chưa xong, bấm Thực hiện tổng hợp（集計実行） cho cùng phạm vi, chờ cả hai xong. SELECT kết quả và bản nguồn được ghi nhận cho các ô của lượt batch.
5. Khôi phục ngưỡng 30, S01 = 29 (Đỏ). Bắt đầu batch; khi batch đã đọc điểm 29 nhưng chưa xong, sửa S01 thành 40 và lưu, rồi sửa lại 29 và lưu. Chờ batch cũ xong, SELECT kết quả S01.
6. Lặp bước 5 nhưng thay bằng: xóa trống ô S01 và lưu, rồi nhập lại 29 và lưu.
7. S01 = 40 (Không đỏ). Bắt đầu batch; khi chưa xong, chỉ đổi ngưỡng quy tắc “Cố định 30” (dưới 30) thành 45 và lưu, không đăng ký lại điểm. Chờ batch cũ xong, xem S01; sau đó chạy lại batch và xem S01.
Phạm vi từng lượt chạy:
- score-update: Nhánh score-update trong thủ tục và Expected của case; thực hiện các bước chuẩn bị chung trước nhánh
- rule-update: Nhánh rule-update trong thủ tục và Expected của case; thực hiện các bước chuẩn bị chung trước nhánh
- aggregation-snapshot-update: Nhánh aggregation-snapshot-update trong thủ tục và Expected của case; thực hiện các bước chuẩn bị chung trước nhánh
- edit-away-and-back: Nhánh edit-away-and-back trong thủ tục và Expected của case; thực hiện các bước chuẩn bị chung trước nhánh
- delete-and-recreate: Nhánh delete-and-recreate trong thủ tục và Expected của case; thực hiện các bước chuẩn bị chung trước nhánh
- rule-update-without-score-write: Nhánh rule-update-without-score-write trong thủ tục và Expected của case; thực hiện các bước chuẩn bị chung trước nhánh</t>
        </is>
      </c>
    </row>
    <row r="140">
      <c r="D140" s="8" t="inlineStr">
        <is>
          <t>期待結果（Kết quả mong đợi）</t>
        </is>
      </c>
    </row>
    <row r="141">
      <c r="E141" s="9" t="inlineStr">
        <is>
          <t>1–2. S01 = 40 và Không đỏ; batch cũ không ghi lại kết quả Đỏ của điểm 29.
3. S01 Đỏ theo cấu hình mới (`40&lt;45`); batch cũ không ghi đè bằng kết quả theo ngưỡng 30.
4. Mọi ô của một lượt batch dùng cùng một bản nguồn (hoặc toàn bản cũ, hoặc toàn bản mới); không có lượt báo thành công mà ghép điểm/kết quả của hai thời điểm.
5–6. Kết quả hiện hành của S01 là kết quả của lần lưu cuối (29 → Đỏ, xét bởi lần đăng ký sau cùng); lượt batch cũ không ghi đè dù giá trị điểm cuối trùng với giá trị batch đã đọc. Ô chỉ có một dòng kết quả hiện hành.
7. Sau khi chỉ lưu ngưỡng: kết quả trước được giữ tới lần xét lại (tiêu chí nghiệm thu “Giữ kết quả trước khi chạy lại”). Chạy lại batch → S01 Đỏ theo ngưỡng 45. (PROPOSED theo thiết kế DB v2 mục 6.2 “Đăng ký thường và batch”) Lượt batch cũ bị từ chối ghi vì phiên bản danh sách quy tắc (`red_score_revision`) đã đổi, nên không ghi kết quả theo ngưỡng 30 sau khi ngưỡng mới đã được lưu.
8. (PROPOSED) SELECT `write_version`, `judged_version`, `rule_revision` của S01: `judged_version` bằng phiên bản của lần ghi hoàn tất sau cùng; lượt cũ không làm giảm hay ghi đè các giá trị này.</t>
        </is>
      </c>
    </row>
    <row r="142">
      <c r="D142" s="8" t="inlineStr">
        <is>
          <t>証跡（Bằng chứng）</t>
        </is>
      </c>
    </row>
    <row r="143">
      <c r="E143" s="9" t="inlineStr">
        <is>
          <t>
          </t>
        </is>
      </c>
    </row>
    <row r="144">
      <c r="D144" s="8" t="inlineStr">
        <is>
          <t>リセット（Đặt lại）</t>
        </is>
      </c>
    </row>
    <row r="145">
      <c r="E145" s="9" t="inlineStr">
        <is>
          <t>
          </t>
        </is>
      </c>
    </row>
    <row r="146">
      <c r="D146" s="9" t="inlineStr">
        <is>
          <t>
          </t>
        </is>
      </c>
    </row>
    <row r="147">
      <c r="C147" s="9" t="inlineStr">
        <is>
          <t>TC-RS-ERR-012 — Nhập CSV lựa chọn điểm tối đa của lớp</t>
        </is>
      </c>
    </row>
    <row r="148">
      <c r="D148" s="10" t="inlineStr">
        <is>
          <t>Priority: TBD ｜ Status: TBD ｜ Readiness: UNASSESSED ｜ Requirement ID: tiêu chí nghiệm thu “Trigger khi đổi điểm tối đa/đơn vị” (AC-G24 «Trigger khi đổi điểm tối đa/đơn vị»)</t>
        </is>
      </c>
    </row>
    <row r="149">
      <c r="D149" s="8" t="inlineStr">
        <is>
          <t>前提条件（Điều kiện trước）</t>
        </is>
      </c>
    </row>
    <row r="150">
      <c r="E150" s="9" t="inlineStr">
        <is>
          <t>- Điều kiện: mục điểm đơn vị (đơn vị U1 có M riêng 40), quy tắc tỷ lệ 30% (30%); S06 U1=14 Không đỏ với M=40.
- Dữ liệu test: mục điểm đơn vị (đơn vị U1 có M riêng 40), quy tắc tỷ lệ 30%; CSV gán lựa chọn M=50 cho lớp G-B</t>
        </is>
      </c>
    </row>
    <row r="151">
      <c r="D151" s="8" t="inlineStr">
        <is>
          <t>操作（Thao tác）</t>
        </is>
      </c>
    </row>
    <row r="152">
      <c r="E152" s="9" t="inlineStr">
        <is>
          <t>1. Nhập CSV lựa chọn điểm tối đa.
2. Xem kết quả S06 U1.
Phạm vi từng lượt chạy:
- Base: Toàn bộ thủ tục theo đúng thứ tự; các đối chứng cùng fixture được kiểm trong cùng lượt, không bỏ bước</t>
        </is>
      </c>
    </row>
    <row r="153">
      <c r="D153" s="8" t="inlineStr">
        <is>
          <t>期待結果（Kết quả mong đợi）</t>
        </is>
      </c>
    </row>
    <row r="154">
      <c r="E154" s="9" t="inlineStr">
        <is>
          <t>TBD (chưa chốt): có cần xét lại ngay (`T=15` → Đỏ) hay giữ kết quả trước tới lần chạy lại. Ghi hành vi thực tế.</t>
        </is>
      </c>
    </row>
    <row r="155">
      <c r="D155" s="8" t="inlineStr">
        <is>
          <t>証跡（Bằng chứng）</t>
        </is>
      </c>
    </row>
    <row r="156">
      <c r="E156" s="9" t="inlineStr">
        <is>
          <t>
          </t>
        </is>
      </c>
    </row>
    <row r="157">
      <c r="D157" s="8" t="inlineStr">
        <is>
          <t>リセット（Đặt lại）</t>
        </is>
      </c>
    </row>
    <row r="158">
      <c r="E158" s="9" t="inlineStr">
        <is>
          <t>
          </t>
        </is>
      </c>
    </row>
    <row r="159">
      <c r="D159" s="9" t="inlineStr">
        <is>
          <t>
          </t>
        </is>
      </c>
    </row>
    <row r="160">
      <c r="C160" s="9" t="inlineStr">
        <is>
          <t>TC-RS-ERR-013 — Trích xuất: ô vừa thỏa điều kiện màu khác vừa là ô đỏ</t>
        </is>
      </c>
    </row>
    <row r="161">
      <c r="D161" s="10" t="inlineStr">
        <is>
          <t>Priority: TBD ｜ Status: TBD ｜ Readiness: UNASSESSED ｜ Requirement ID: tiêu chí nghiệm thu “Hiển thị ô trích xuất” (AC-G30 «Hiển thị ô trích xuất»)</t>
        </is>
      </c>
    </row>
    <row r="162">
      <c r="D162" s="8" t="inlineStr">
        <is>
          <t>前提条件（Điều kiện trước）</t>
        </is>
      </c>
    </row>
    <row r="163">
      <c r="E163" s="9" t="inlineStr">
        <is>
          <t>- Điều kiện: Mục có điều kiện Khoảng điểm（点数範囲） 0–30 tô Vàng（黄） và điều kiện đỏ tô Đỏ（赤）, ký hiệu `*`.
- Dữ liệu test: học sinh S01 (điểm 29) (29)</t>
        </is>
      </c>
    </row>
    <row r="164">
      <c r="D164" s="8" t="inlineStr">
        <is>
          <t>操作（Thao tác）</t>
        </is>
      </c>
    </row>
    <row r="165">
      <c r="E165" s="9" t="inlineStr">
        <is>
          <t>Chạy trích xuất, xuất Excel.
Phạm vi từng lượt chạy:
- Base: Toàn bộ thủ tục theo đúng thứ tự; các đối chứng cùng fixture được kiểm trong cùng lượt, không bỏ bước</t>
        </is>
      </c>
    </row>
    <row r="166">
      <c r="D166" s="8" t="inlineStr">
        <is>
          <t>期待結果（Kết quả mong đợi）</t>
        </is>
      </c>
    </row>
    <row r="167">
      <c r="E167" s="9" t="inlineStr">
        <is>
          <t>TBD (chưa chốt) cho màu cuối. CONFIRMED phần không tranh chấp: điều kiện Khoảng điểm vẫn giữ nghĩa cũ; màn hình và Excel cho cùng kết quả.</t>
        </is>
      </c>
    </row>
    <row r="168">
      <c r="D168" s="8" t="inlineStr">
        <is>
          <t>証跡（Bằng chứng）</t>
        </is>
      </c>
    </row>
    <row r="169">
      <c r="E169" s="9" t="inlineStr">
        <is>
          <t>
          </t>
        </is>
      </c>
    </row>
    <row r="170">
      <c r="D170" s="8" t="inlineStr">
        <is>
          <t>リセット（Đặt lại）</t>
        </is>
      </c>
    </row>
    <row r="171">
      <c r="E171" s="9" t="inlineStr">
        <is>
          <t>
          </t>
        </is>
      </c>
    </row>
    <row r="172">
      <c r="D172" s="9" t="inlineStr">
        <is>
          <t>
          </t>
        </is>
      </c>
    </row>
    <row r="173">
      <c r="C173" s="9" t="inlineStr">
        <is>
          <t>TC-RS-ERR-014 — Mục bị ẩn theo thiết lập ẩn mục nhập</t>
        </is>
      </c>
    </row>
    <row r="174">
      <c r="D174" s="10" t="inlineStr">
        <is>
          <t>Priority: TBD ｜ Status: TBD ｜ Readiness: UNASSESSED ｜ Requirement ID: tiêu chí nghiệm thu “Cấu hình công khai và ẩn điểm” (AC-G32 «Cấu hình công khai và ẩn điểm»)</t>
        </is>
      </c>
    </row>
    <row r="175">
      <c r="D175" s="8" t="inlineStr">
        <is>
          <t>前提条件（Điều kiện trước）</t>
        </is>
      </c>
    </row>
    <row r="176">
      <c r="E176" s="9" t="inlineStr">
        <is>
          <t>- Điều kiện: mục số nguyên (M=100) có quy tắc, bị ẩn cho G-B qua Thiết lập ẩn mục nhập（入力項目の非表示設定）.
- Dữ liệu test: mục số nguyên (M=100); học sinh S06 (điểm dự kiến 24)</t>
        </is>
      </c>
    </row>
    <row r="177">
      <c r="D177" s="8" t="inlineStr">
        <is>
          <t>操作（Thao tác）</t>
        </is>
      </c>
    </row>
    <row r="178">
      <c r="E178" s="9" t="inlineStr">
        <is>
          <t>Chạy xét; xem ba đầu ra cho S06.
Phạm vi từng lượt chạy:
- extract: Trích xuất
- publish: Công khai
- report: Phiếu điểm</t>
        </is>
      </c>
    </row>
    <row r="179">
      <c r="D179" s="8" t="inlineStr">
        <is>
          <t>期待結果（Kết quả mong đợi）</t>
        </is>
      </c>
    </row>
    <row r="180">
      <c r="E180" s="9" t="inlineStr">
        <is>
          <t>Có xét hay không: TBD (chưa chốt). CONFIRMED phần không tranh chấp: không đầu ra nào làm hiện lại điểm đang bị ẩn.</t>
        </is>
      </c>
    </row>
    <row r="181">
      <c r="D181" s="8" t="inlineStr">
        <is>
          <t>証跡（Bằng chứng）</t>
        </is>
      </c>
    </row>
    <row r="182">
      <c r="E182" s="9" t="inlineStr">
        <is>
          <t>
          </t>
        </is>
      </c>
    </row>
    <row r="183">
      <c r="D183" s="8" t="inlineStr">
        <is>
          <t>リセット（Đặt lại）</t>
        </is>
      </c>
    </row>
    <row r="184">
      <c r="E184" s="9" t="inlineStr">
        <is>
          <t>
          </t>
        </is>
      </c>
    </row>
    <row r="185">
      <c r="D185" s="9" t="inlineStr">
        <is>
          <t>
          </t>
        </is>
      </c>
    </row>
    <row r="186">
      <c r="C186" s="9" t="inlineStr">
        <is>
          <t>TC-RS-ERR-015 — Bản ghi điểm bị xóa rồi tạo lại không kế thừa kết quả cũ</t>
        </is>
      </c>
    </row>
    <row r="187">
      <c r="D187" s="10" t="inlineStr">
        <is>
          <t>Priority: Cao ｜ Status: CONFIRMED ｜ Readiness: UNASSESSED ｜ Requirement ID: tiêu chí nghiệm thu “Nhận diện ô điểm” (AC-G03 «Nhận diện ô điểm»); tiêu chí nghiệm thu “Không dùng lại kết quả cho đối tượng mới” (AC-G39 «Không dùng lại kết quả cho đối tượng mới»)</t>
        </is>
      </c>
    </row>
    <row r="188">
      <c r="D188" s="8" t="inlineStr">
        <is>
          <t>前提条件（Điều kiện trước）</t>
        </is>
      </c>
    </row>
    <row r="189">
      <c r="E189" s="9" t="inlineStr">
        <is>
          <t>- Điều kiện: S01 Đỏ ở mục điểm đơn vị (đơn vị U1 có M riêng 40) U1.
- Dữ liệu test: mục điểm đơn vị (đơn vị U1 có M riêng 40)</t>
        </is>
      </c>
    </row>
    <row r="190">
      <c r="D190" s="8" t="inlineStr">
        <is>
          <t>操作（Thao tác）</t>
        </is>
      </c>
    </row>
    <row r="191">
      <c r="E191" s="9" t="inlineStr">
        <is>
          <t>1. Bỏ sử dụng đơn vị U1 cho lớp (hoặc thay khung điểm theo thao tác hiện có) để ô bị xóa/ngừng hoạt động.
2. Tạo lại ô, nhập 35, lưu.
3. Xem đầu ra.
4. Đưa ô về Đỏ (nhập 29, lưu). Xóa ô (hoặc xóa mềm theo thao tác hiện có), rồi kích hoạt lại/tạo lại ô với **cùng giá trị 29** nhưng không qua đường xét (nếu có thao tác như vậy, ví dụ khôi phục); xem đầu ra. Sau đó đăng ký lại điểm và xem.
5. Bắt đầu batch cho lớp khi ô đang Đỏ; khi batch chưa xong, xóa ô rồi tạo lại và nhập 35. Chờ batch cũ xong, xem đầu ra và SELECT.
Phạm vi từng lượt chạy:
- recreate35: Bước 1–3 xóa rồi tạo lại 35
- same29: Bước 4 xóa rồi khôi phục cùng 29
- old-batch: Bước 5 batch cũ sau tạo lại</t>
        </is>
      </c>
    </row>
    <row r="192">
      <c r="D192" s="8" t="inlineStr">
        <is>
          <t>期待結果（Kết quả mong đợi）</t>
        </is>
      </c>
    </row>
    <row r="193">
      <c r="E193" s="9" t="inlineStr">
        <is>
          <t>Sau bước 1: không còn dấu đỏ của ô cũ. Sau bước 2: ô mới được xét theo 35 → Không đỏ; không mang kết quả Đỏ cũ.
4. Kích hoạt lại/nhập lại cùng giá trị không làm kết quả Đỏ trước khi xóa sống lại; ô chỉ có kết quả của lần xét sau khi tạo lại.
5. Lượt batch cũ không ghi kết quả vào ô đã tạo lại; ô giữ kết quả của lần đăng ký 35 (Không đỏ). (PROPOSED theo thiết kế DB v2 mục 4.4 “Cập nhật và hiệu lực kết quả”, mục 6.3 “Xóa/tạo lại, nguồn tham chiếu và lỗi”) Khi xóa: `cell_generation` mới, `judgment_status`=4 và thông tin quy tắc/ngưỡng/nguồn cũ bị xóa trong cùng transaction; dòng điều khiển được giữ; tạo lại dùng thế hệ mới.</t>
        </is>
      </c>
    </row>
    <row r="194">
      <c r="D194" s="8" t="inlineStr">
        <is>
          <t>証跡（Bằng chứng）</t>
        </is>
      </c>
    </row>
    <row r="195">
      <c r="E195" s="9" t="inlineStr">
        <is>
          <t>
          </t>
        </is>
      </c>
    </row>
    <row r="196">
      <c r="D196" s="8" t="inlineStr">
        <is>
          <t>リセット（Đặt lại）</t>
        </is>
      </c>
    </row>
    <row r="197">
      <c r="E197" s="9" t="inlineStr">
        <is>
          <t>
          </t>
        </is>
      </c>
    </row>
    <row r="198">
      <c r="D198" s="9" t="inlineStr">
        <is>
          <t>
          </t>
        </is>
      </c>
    </row>
    <row r="199">
      <c r="C199" s="9" t="inlineStr">
        <is>
          <t>TC-RS-ERR-016 — Chưa xét được: sửa nguồn nhưng chỉ lưu cấu hình vẫn chưa có kết luận; xét lại mới có</t>
        </is>
      </c>
    </row>
    <row r="200">
      <c r="D200" s="10" t="inlineStr">
        <is>
          <t>Priority: Cao ｜ Status: CONFIRMED ｜ Readiness: UNASSESSED ｜ Requirement ID: tiêu chí nghiệm thu “Trạng thái sau lần chạy” (AC-G20 «Trạng thái sau lần chạy»)</t>
        </is>
      </c>
    </row>
    <row r="201">
      <c r="D201" s="8" t="inlineStr">
        <is>
          <t>前提条件（Điều kiện trước）</t>
        </is>
      </c>
    </row>
    <row r="202">
      <c r="E202" s="9" t="inlineStr">
        <is>
          <t>- Điều kiện: Ô S01 Chưa xét được (như case “Chưa có kết quả tổng hợp → Chưa xét được, không thay bằng 0 hay nhóm khác”: công thức `A×0.5`, nguồn chưa tổng hợp). Nguồn không có bản chốt.
- Dữ liệu test: học sinh S01 (điểm 29); nguồn sau tổng hợp có `A=62` (giá trị như bản tổng hợp mới nhất chưa chốt (trung bình 62))</t>
        </is>
      </c>
    </row>
    <row r="203">
      <c r="D203" s="8" t="inlineStr">
        <is>
          <t>操作（Thao tác）</t>
        </is>
      </c>
    </row>
    <row r="204">
      <c r="E204" s="9" t="inlineStr">
        <is>
          <t>1. Chạy Thực hiện tổng hợp（集計実行） cho nguồn để có `A=62`; mở lại và lưu thiết lập quy tắc (không đổi nội dung). Xem đầu ra.
2. Chạy nút cam. Xem đầu ra.
Phạm vi từng lượt chạy:
- Base: Toàn bộ thủ tục theo đúng thứ tự; các đối chứng cùng fixture được kiểm trong cùng lượt, không bỏ bước</t>
        </is>
      </c>
    </row>
    <row r="205">
      <c r="D205" s="8" t="inlineStr">
        <is>
          <t>期待結果（Kết quả mong đợi）</t>
        </is>
      </c>
    </row>
    <row r="206">
      <c r="E206" s="9" t="inlineStr">
        <is>
          <t>1. Vẫn Chưa xét được; không có dấu đỏ.
2. `T=62×0.5=31` → S01=29 Đỏ.</t>
        </is>
      </c>
    </row>
    <row r="207">
      <c r="D207" s="8" t="inlineStr">
        <is>
          <t>証跡（Bằng chứng）</t>
        </is>
      </c>
    </row>
    <row r="208">
      <c r="E208" s="9" t="inlineStr">
        <is>
          <t>
          </t>
        </is>
      </c>
    </row>
    <row r="209">
      <c r="D209" s="8" t="inlineStr">
        <is>
          <t>リセット（Đặt lại）</t>
        </is>
      </c>
    </row>
    <row r="210">
      <c r="E210" s="9" t="inlineStr">
        <is>
          <t>
          </t>
        </is>
      </c>
    </row>
    <row r="211">
      <c r="D211" s="9" t="inlineStr">
        <is>
          <t>
          </t>
        </is>
      </c>
    </row>
    <row r="212">
      <c r="C212" s="9" t="inlineStr">
        <is>
          <t>TC-RS-ERR-017 — Tên quy tắc và ký hiệu hiển thị như chữ, không bị thực thi</t>
        </is>
      </c>
    </row>
    <row r="213">
      <c r="D213" s="10" t="inlineStr">
        <is>
          <t>Priority: Cao ｜ Status: CONFIRMED ｜ Readiness: UNASSESSED ｜ Requirement ID: tiêu chí nghiệm thu “Lưu thành công và thông báo an toàn” (AC-G26 «Lưu thành công và thông báo an toàn»)</t>
        </is>
      </c>
    </row>
    <row r="214">
      <c r="D214" s="8" t="inlineStr">
        <is>
          <t>前提条件（Điều kiện trước）</t>
        </is>
      </c>
    </row>
    <row r="215">
      <c r="E215" s="9" t="inlineStr">
        <is>
          <t>- Điều kiện: Đăng nhập tài khoản giáo viên có quyền sửa mục và tài khoản phụ trách đầu ra (trích xuất, công khai, phiếu điểm).
- Dữ liệu test: Tên quy tắc `&lt;b&gt;X&lt;/b&gt;&lt;script&gt;alert(1)&lt;/script&gt;`; ký hiệu đầu ở trích xuất `&lt;`; ký tự phía trước ở phiếu điểm `&amp;`; học sinh S01 (điểm 29)</t>
        </is>
      </c>
    </row>
    <row r="216">
      <c r="D216" s="8" t="inlineStr">
        <is>
          <t>操作（Thao tác）</t>
        </is>
      </c>
    </row>
    <row r="217">
      <c r="E217" s="9" t="inlineStr">
        <is>
          <t>1. Lưu quy tắc với tên trên; xem danh sách, form sửa, hộp xác nhận xóa, thông báo sau chạy.
2. Lưu ký hiệu/ký tự trên ở trích xuất và phiếu điểm; xem màn, Excel, PDF.
Phạm vi từng lượt chạy:
- rule-name: Bước 1 các nơi hiển thị tên
- extract: Bước 2 màn trích xuất và Excel
- report: Bước 2 PDF phiếu</t>
        </is>
      </c>
    </row>
    <row r="218">
      <c r="D218" s="8" t="inlineStr">
        <is>
          <t>期待結果（Kết quả mong đợi）</t>
        </is>
      </c>
    </row>
    <row r="219">
      <c r="E219" s="9" t="inlineStr">
        <is>
          <t>Chuỗi hiển thị đúng như đã nhập dưới dạng chữ; không có hộp alert, không đổi định dạng HTML. Trích xuất và Excel: ô S01 là `&lt;29`; PDF phiếu: `&amp;29`.</t>
        </is>
      </c>
    </row>
    <row r="220">
      <c r="D220" s="8" t="inlineStr">
        <is>
          <t>証跡（Bằng chứng）</t>
        </is>
      </c>
    </row>
    <row r="221">
      <c r="E221" s="9" t="inlineStr">
        <is>
          <t>
          </t>
        </is>
      </c>
    </row>
    <row r="222">
      <c r="D222" s="8" t="inlineStr">
        <is>
          <t>リセット（Đặt lại）</t>
        </is>
      </c>
    </row>
    <row r="223">
      <c r="E223" s="9" t="inlineStr">
        <is>
          <t>
          </t>
        </is>
      </c>
    </row>
    <row r="224">
      <c r="D224" s="9" t="inlineStr">
        <is>
          <t>
          </t>
        </is>
      </c>
    </row>
    <row r="225">
      <c r="C225" s="9" t="inlineStr">
        <is>
          <t>TC-RS-ERR-018 — Hai lượt xét lần đầu đồng thời hoặc gửi lại thao tác hoàn tất chỉ tạo một kết quả</t>
        </is>
      </c>
    </row>
    <row r="226">
      <c r="D226" s="10" t="inlineStr">
        <is>
          <t>Priority: Cao ｜ Status: CONFIRMED ｜ Readiness: UNASSESSED ｜ Requirement ID: tiêu chí nghiệm thu “Kết quả chung và thứ tự cập nhật” (AC-G22 «Kết quả chung và thứ tự cập nhật»)</t>
        </is>
      </c>
    </row>
    <row r="227">
      <c r="D227" s="8" t="inlineStr">
        <is>
          <t>前提条件（Điều kiện trước）</t>
        </is>
      </c>
    </row>
    <row r="228">
      <c r="E228" s="9" t="inlineStr">
        <is>
          <t>- Điều kiện: Ô S01 của mục số nguyên (M=100) chưa từng được xét (chưa có dòng kết quả); quy tắc “Cố định 30” (dưới 30) là quy tắc duy nhất; có cách cho hai lượt chạy gần như cùng lúc.
- Dữ liệu test: mục số nguyên (M=100); quy tắc “Cố định 30” (dưới 30); học sinh S01 (điểm 29) (29); tài khoản có quyền chạy hàng loạt, tài khoản giáo viên nhập điểm lớp G-A, G-B, G-C</t>
        </is>
      </c>
    </row>
    <row r="229">
      <c r="D229" s="8" t="inlineStr">
        <is>
          <t>操作（Thao tác）</t>
        </is>
      </c>
    </row>
    <row r="230">
      <c r="E230" s="9" t="inlineStr">
        <is>
          <t>1. Cùng lúc: giáo viên lưu điểm S01 = 29 trên Đăng ký thành tích（成績登録） và người có quyền bấm nút cam cho G-A.
2. Xem kết quả S01 ở ba đầu ra; SELECT dòng kết quả của ô.
3. Lặp lại thao tác hoàn tất lần nữa với cùng dữ liệu (gửi lại form đăng ký, hoặc chạy lại job của cùng lượt nếu môi trường cho phép); xem lại và SELECT.
Phạm vi từng lượt chạy:
- concurrent: Bước 1–2 hai lượt lần đầu
- replay-form: Bước 3 gửi lại form sau baseline bước 1–2
- replay-job: Bước 3 chạy lại job cùng lượt nếu có seam, không có seam thì BLOCKED</t>
        </is>
      </c>
    </row>
    <row r="231">
      <c r="D231" s="8" t="inlineStr">
        <is>
          <t>期待結果（Kết quả mong đợi）</t>
        </is>
      </c>
    </row>
    <row r="232">
      <c r="E232" s="9" t="inlineStr">
        <is>
          <t>1–2. S01 Đỏ; ô có đúng một kết quả hiện hành; ký hiệu đỏ không bị nhân đôi ở đầu ra (không có `**29`, `((29))`).
3. Không phát sinh dòng hoặc thao tác ghi thứ hai; kết quả không đổi.</t>
        </is>
      </c>
    </row>
    <row r="233">
      <c r="D233" s="8" t="inlineStr">
        <is>
          <t>証跡（Bằng chứng）</t>
        </is>
      </c>
    </row>
    <row r="234">
      <c r="E234" s="9" t="inlineStr">
        <is>
          <t>
          </t>
        </is>
      </c>
    </row>
    <row r="235">
      <c r="D235" s="8" t="inlineStr">
        <is>
          <t>リセット（Đặt lại）</t>
        </is>
      </c>
    </row>
    <row r="236">
      <c r="E236" s="9" t="inlineStr">
        <is>
          <t>
          </t>
        </is>
      </c>
    </row>
    <row r="237">
      <c r="D237" s="9" t="inlineStr">
        <is>
          <t>
          </t>
        </is>
      </c>
    </row>
    <row r="238">
      <c r="C238" s="9" t="inlineStr">
        <is>
          <t>TC-RS-ERR-019 — Đăng ký lần đầu đồng thời hai mục khác nhau của cùng học sinh giữ đủ cả hai</t>
        </is>
      </c>
    </row>
    <row r="239">
      <c r="D239" s="10" t="inlineStr">
        <is>
          <t>Priority: Cao ｜ Status: CONFIRMED ｜ Readiness: UNASSESSED ｜ Requirement ID: tiêu chí nghiệm thu “Kết quả chung và thứ tự cập nhật” (AC-G22 «Kết quả chung và thứ tự cập nhật»)</t>
        </is>
      </c>
    </row>
    <row r="240">
      <c r="D240" s="8" t="inlineStr">
        <is>
          <t>前提条件（Điều kiện trước）</t>
        </is>
      </c>
    </row>
    <row r="241">
      <c r="E241" s="9" t="inlineStr">
        <is>
          <t>- Điều kiện: Cùng học sinh S01, lớp G-A, cùng kỳ Cuối kỳ học kỳ 1（1学期期末）, điểm thường; hai mục số khác nhau (mục số nguyên (M=100) và một mục số thứ hai của cùng khung) đều có quy tắc cố định 30 `&lt;`; chưa có dòng điểm vật lý nào của S01 cho kỳ này.
- Dữ liệu test: mục số nguyên (M=100); quy tắc “Cố định 30” (dưới 30); học sinh S01 (điểm 29); tài khoản giáo viên nhập điểm lớp G-A, G-B, G-C (hai phiên đăng nhập)</t>
        </is>
      </c>
    </row>
    <row r="242">
      <c r="D242" s="8" t="inlineStr">
        <is>
          <t>操作（Thao tác）</t>
        </is>
      </c>
    </row>
    <row r="243">
      <c r="E243" s="9" t="inlineStr">
        <is>
          <t>1. Hai phiên cùng lúc: phiên 1 lưu S01 = 29 cho mục số nguyên (M=100); phiên 2 lưu S01 = 45 cho mục thứ hai.
2. Mở lại Đăng ký thành tích（成績登録）; xem trích xuất; SELECT dòng điểm của S01 (trường/năm/học sinh/lớp/kỳ/đơn vị) và dòng kết quả của hai ô.
Phạm vi từng lượt chạy:
- Base: Toàn bộ thủ tục theo đúng thứ tự; các đối chứng cùng fixture được kiểm trong cùng lượt, không bỏ bước</t>
        </is>
      </c>
    </row>
    <row r="244">
      <c r="D244" s="8" t="inlineStr">
        <is>
          <t>期待結果（Kết quả mong đợi）</t>
        </is>
      </c>
    </row>
    <row r="245">
      <c r="E245" s="9" t="inlineStr">
        <is>
          <t>- Cả hai điểm được giữ: mục số nguyên (M=100) = 29 (Đỏ), mục thứ hai = 45 (Không đỏ).
- Chỉ một dòng điểm vật lý cho S01/G-A/kỳ/điểm thường; không có dòng trùng; không mất điểm hoặc kết quả của mục nào.</t>
        </is>
      </c>
    </row>
    <row r="246">
      <c r="D246" s="8" t="inlineStr">
        <is>
          <t>証跡（Bằng chứng）</t>
        </is>
      </c>
    </row>
    <row r="247">
      <c r="E247" s="9" t="inlineStr">
        <is>
          <t>
          </t>
        </is>
      </c>
    </row>
    <row r="248">
      <c r="D248" s="8" t="inlineStr">
        <is>
          <t>リセット（Đặt lại）</t>
        </is>
      </c>
    </row>
    <row r="249">
      <c r="E249" s="9" t="inlineStr">
        <is>
          <t>
          </t>
        </is>
      </c>
    </row>
    <row r="250">
      <c r="D250" s="9" t="inlineStr">
        <is>
          <t>
          </t>
        </is>
      </c>
    </row>
  </sheetData>
  <pageMargins left="0.75" right="0.75" top="1" bottom="1" header="0.5" footer="0.5"/>
  <pageSetup fitToHeight="0" fitToWidth="1"/>
</worksheet>
</file>

<file path=xl/worksheets/sheet13.xml><?xml version="1.0" encoding="utf-8"?>
<worksheet xmlns="http://schemas.openxmlformats.org/spreadsheetml/2006/main">
  <sheetPr>
    <outlinePr summaryBelow="1" summaryRight="1"/>
    <pageSetUpPr fitToPage="1"/>
  </sheetPr>
  <dimension ref="A1:F250"/>
  <sheetViews>
    <sheetView showGridLines="0" workbookViewId="0">
      <pane xSplit="4" ySplit="2" topLeftCell="E3" activePane="bottomRight" state="frozen"/>
      <selection pane="topRight"/>
      <selection pane="bottomLeft"/>
      <selection pane="bottomRight" activeCell="A1" sqref="A1"/>
    </sheetView>
  </sheetViews>
  <sheetFormatPr baseColWidth="8" defaultRowHeight="15"/>
  <cols>
    <col width="3.13" customWidth="1" min="1" max="1"/>
    <col width="24" customWidth="1" min="3" max="3"/>
    <col width="24" customWidth="1" min="4" max="4"/>
    <col width="95" customWidth="1" min="5" max="5"/>
    <col width="28" customWidth="1" min="6" max="6"/>
  </cols>
  <sheetData>
    <row r="1" customHeight="1" ht="4">
      <c r="A1" s="2" t="n">
      </c>
      <c r="B1" s="2" t="n">
      </c>
      <c r="C1" s="2" t="n">
      </c>
      <c r="D1" s="2" t="n">
      </c>
      <c r="E1" s="2" t="n">
      </c>
      <c r="F1" s="2" t="n">
      </c>
    </row>
    <row r="2" customHeight="1" ht="28">
      <c r="A2" s="2" t="n">
      </c>
      <c r="B2" s="2" t="n">
      </c>
      <c r="C2" s="11" t="inlineStr">
        <is>
          <t>G. Data/Persistence：</t>
        </is>
      </c>
      <c r="D2" s="2" t="n">
      </c>
      <c r="E2" s="2" t="n">
      </c>
      <c r="F2" s="9" t="inlineStr">
        <is>
          <t>Nguồn test-cases.vi.md • Nhập kết quả/evidence khi chạy.</t>
        </is>
      </c>
    </row>
    <row r="3" customHeight="1" ht="4">
      <c r="A3" s="2" t="n">
      </c>
      <c r="B3" s="2" t="n">
      </c>
      <c r="C3" s="2" t="n">
      </c>
      <c r="D3" s="2" t="n">
      </c>
      <c r="E3" s="2" t="n">
      </c>
      <c r="F3" s="2" t="n">
      </c>
    </row>
    <row r="4">
      <c r="C4" s="9" t="inlineStr">
        <is>
          <t>TC-RS-DATA-001 — Cấu hình lưu và mở lại đầy đủ, không cắt/làm tròn âm thầm</t>
        </is>
      </c>
    </row>
    <row r="5">
      <c r="D5" s="10" t="inlineStr">
        <is>
          <t>Priority: TBD ｜ Status: CONFIRMED ｜ Readiness: UNASSESSED ｜ Requirement ID: tiêu chí nghiệm thu “Lưu và mở lại nhiều thiết lập” (AC-G04 «Lưu và mở lại nhiều thiết lập»); tiêu chí nghiệm thu “Giữ chính xác giá trị” (AC-G11 «Giữ chính xác giá trị»)</t>
        </is>
      </c>
    </row>
    <row r="6">
      <c r="D6" s="8" t="inlineStr">
        <is>
          <t>前提条件（Điều kiện trước）</t>
        </is>
      </c>
    </row>
    <row r="7">
      <c r="E7" s="9" t="inlineStr">
        <is>
          <t>- Điều kiện: mục số thập phân (M=100).
- Dữ liệu test: mục số thập phân (M=100); quy tắc “Cố định 30” (dưới 30) với N=29.5; quy tắc tỷ lệ 30% làm tròn xuống; quy tắc công thức hai dòng (trung bình ÷ 2 × 0.8); quy tắc có bộ lọc kết hợp (khối 1 hoặc 2, nhóm Nâng cao)</t>
        </is>
      </c>
    </row>
    <row r="8">
      <c r="D8" s="8" t="inlineStr">
        <is>
          <t>操作（Thao tác）</t>
        </is>
      </c>
    </row>
    <row r="9">
      <c r="E9" s="9" t="inlineStr">
        <is>
          <t>1. Lưu từng quy tắc.
2. Tải lại trang, mở từng quy tắc.
3. SELECT cấu hình (khi có schema).
Phạm vi từng lượt chạy:
- fixed: Cố định 29.5
- ratio: Tỷ lệ 30 phần trăm cắt xuống
- formula: Công thức hai dòng
- filter: Bộ lọc kết hợp</t>
        </is>
      </c>
    </row>
    <row r="10">
      <c r="D10" s="8" t="inlineStr">
        <is>
          <t>期待結果（Kết quả mong đợi）</t>
        </is>
      </c>
    </row>
    <row r="11">
      <c r="E11" s="9" t="inlineStr">
        <is>
          <t>Mọi trường (tên, phạm vi, bộ lọc, điều kiện, loại, N, p, cách làm tròn, toán hạng, so sánh, thứ tự) trùng giá trị đã nhập.</t>
        </is>
      </c>
    </row>
    <row r="12">
      <c r="D12" s="8" t="inlineStr">
        <is>
          <t>証跡（Bằng chứng）</t>
        </is>
      </c>
    </row>
    <row r="13">
      <c r="E13" s="9" t="inlineStr">
        <is>
          <t>
          </t>
        </is>
      </c>
    </row>
    <row r="14">
      <c r="D14" s="8" t="inlineStr">
        <is>
          <t>リセット（Đặt lại）</t>
        </is>
      </c>
    </row>
    <row r="15">
      <c r="E15" s="9" t="inlineStr">
        <is>
          <t>
          </t>
        </is>
      </c>
    </row>
    <row r="16">
      <c r="D16" s="9" t="inlineStr">
        <is>
          <t>
          </t>
        </is>
      </c>
    </row>
    <row r="17">
      <c r="C17" s="9" t="inlineStr">
        <is>
          <t>TC-RS-DATA-002 — Kết quả lưu theo định danh ô; mỗi ô chỉ một kết quả hiện hành</t>
        </is>
      </c>
    </row>
    <row r="18">
      <c r="D18" s="10" t="inlineStr">
        <is>
          <t>Priority: Cao ｜ Status: CONFIRMED ｜ Readiness: UNASSESSED ｜ Requirement ID: tiêu chí nghiệm thu “Nhận diện ô điểm” (AC-G03 «Nhận diện ô điểm»)</t>
        </is>
      </c>
    </row>
    <row r="19">
      <c r="D19" s="8" t="inlineStr">
        <is>
          <t>前提条件（Điều kiện trước）</t>
        </is>
      </c>
    </row>
    <row r="20">
      <c r="E20" s="9" t="inlineStr">
        <is>
          <t>- Điều kiện: Đã xét S01 (mục số nguyên (M=100)) và S06 U1/U2 (mục điểm đơn vị (đơn vị U1 có M riêng 40)).
- Dữ liệu test: mục số nguyên (M=100); học sinh S01 (điểm 29), mục điểm đơn vị (đơn vị U1 có M riêng 40); quy tắc “Cố định 30” (dưới 30) (bước 4)</t>
        </is>
      </c>
    </row>
    <row r="21">
      <c r="D21" s="8" t="inlineStr">
        <is>
          <t>操作（Thao tác）</t>
        </is>
      </c>
    </row>
    <row r="22">
      <c r="E22" s="9" t="inlineStr">
        <is>
          <t>1. SELECT `red_score_results` theo `school_id`, `year`, `evaluate_frame_item_id`, `group_id`, `student_id`, `tangen_id` của các ô.
2. Chạy lại nút cam, SELECT lại.
3. `SHOW INDEX FROM red_score_results`.
4. Chuẩn bị hai mục cùng tên Điểm đánh giá（評点） ở hai kỳ khác nhau; chỉ mục kỳ 1 có quy tắc “Cố định 30” (dưới 30). Đăng ký S01 = 25 ở cả hai mục, xem đầu ra và SELECT.
5. Đổi tên mục kỳ 1 và đổi thứ tự cột mục trên khung đánh giá (nếu màn hỗ trợ); xem đầu ra và SELECT lại, chưa chạy xét.
Phạm vi từng lượt chạy:
- Base: Toàn bộ thủ tục theo đúng thứ tự; các đối chứng cùng fixture được kiểm trong cùng lượt, không bỏ bước</t>
        </is>
      </c>
    </row>
    <row r="23">
      <c r="D23" s="8" t="inlineStr">
        <is>
          <t>期待結果（Kết quả mong đợi）</t>
        </is>
      </c>
    </row>
    <row r="24">
      <c r="E24" s="9" t="inlineStr">
        <is>
          <t>1–3. Mỗi ô (trường, năm, mục trên khung đánh giá — gồm kỳ/thời điểm, lớp, học sinh, đơn vị) có đúng một dòng hiện hành; U1/U2 của S06 là hai dòng; ô điểm thường có `tangen_id=0`. Chạy lại không tạo dòng thứ hai.
4. Ô kỳ 1 Đỏ; ô kỳ 2 không có dấu đỏ (không mượn quy tắc hay kết quả của mục cùng tên); hai kết quả gắn đúng `evaluate_frame_item_id` của từng mục.
5. Kết quả Đỏ vẫn gắn với đúng mục kỳ 1 (không theo số thứ tự cột hay tên mục).</t>
        </is>
      </c>
    </row>
    <row r="25">
      <c r="D25" s="8" t="inlineStr">
        <is>
          <t>証跡（Bằng chứng）</t>
        </is>
      </c>
    </row>
    <row r="26">
      <c r="E26" s="9" t="inlineStr">
        <is>
          <t>
          </t>
        </is>
      </c>
    </row>
    <row r="27">
      <c r="D27" s="8" t="inlineStr">
        <is>
          <t>リセット（Đặt lại）</t>
        </is>
      </c>
    </row>
    <row r="28">
      <c r="E28" s="9" t="inlineStr">
        <is>
          <t>
          </t>
        </is>
      </c>
    </row>
    <row r="29">
      <c r="D29" s="9" t="inlineStr">
        <is>
          <t>
          </t>
        </is>
      </c>
    </row>
    <row r="30">
      <c r="C30" s="9" t="inlineStr">
        <is>
          <t>TC-RS-DATA-003 — Sáu trạng thái phân biệt được khi lưu</t>
        </is>
      </c>
    </row>
    <row r="31">
      <c r="D31" s="10" t="inlineStr">
        <is>
          <t>Priority: Cao ｜ Status: CONFIRMED ｜ Readiness: UNASSESSED ｜ Requirement ID: tiêu chí nghiệm thu “Trạng thái sau lần chạy” (AC-G20 «Trạng thái sau lần chạy»)</t>
        </is>
      </c>
    </row>
    <row r="32">
      <c r="D32" s="8" t="inlineStr">
        <is>
          <t>前提条件（Điều kiện trước）</t>
        </is>
      </c>
    </row>
    <row r="33">
      <c r="E33" s="9" t="inlineStr">
        <is>
          <t>- Điều kiện: Có ô ở mỗi trạng thái: Đỏ (S01), Không đỏ (S03), Chưa từng xét (ô mới chưa chạy), Chưa xét được (case “Chưa có kết quả tổng hợp → Chưa xét được, không thay bằng 0 hay nhóm khác”), Không áp dụng (case “Không quy tắc nào khớp khi đủ dữ liệu → Không áp dụng”), Không có điểm (S05).
- Dữ liệu test: quy tắc “Cố định 30” (dưới 30); học sinh S01 (điểm 29), học sinh S03 (điểm 31), học sinh S05 (ô trống)</t>
        </is>
      </c>
    </row>
    <row r="34">
      <c r="D34" s="8" t="inlineStr">
        <is>
          <t>操作（Thao tác）</t>
        </is>
      </c>
    </row>
    <row r="35">
      <c r="E35" s="9" t="inlineStr">
        <is>
          <t>1. SELECT `judgment_status`, `is_red`, `red_score_setting_id`, `reason_code` của các ô.
2. Đổi ngưỡng quy tắc “Cố định 30” (dưới 30) thành 35 (chỉ lưu), SELECT lại ô S03.
Phạm vi từng lượt chạy:
- Base: Toàn bộ thủ tục theo đúng thứ tự; các đối chứng cùng fixture được kiểm trong cùng lượt, không bỏ bước</t>
        </is>
      </c>
    </row>
    <row r="36">
      <c r="D36" s="8" t="inlineStr">
        <is>
          <t>期待結果（Kết quả mong đợi）</t>
        </is>
      </c>
    </row>
    <row r="37">
      <c r="E37" s="9" t="inlineStr">
        <is>
          <t>1. Sáu trạng thái phân biệt được, không gộp Chưa xét được với Không áp dụng hay Không đỏ. Việc dùng cột, mã số, `reason_code` hoặc `red_score_setting_id` cụ thể là phần thiết kế DB cần đối chiếu khi schema được chốt; không dùng mapping đề xuất làm business oracle. Bất kể cách lưu, kết quả quan sát phải phân biệt rõ sáu trạng thái và trạng thái Đang chờ chạy lại.
2. Dòng của S03 giữ nguyên (đang chờ chạy lại không có trạng thái riêng).</t>
        </is>
      </c>
    </row>
    <row r="38">
      <c r="D38" s="8" t="inlineStr">
        <is>
          <t>証跡（Bằng chứng）</t>
        </is>
      </c>
    </row>
    <row r="39">
      <c r="E39" s="9" t="inlineStr">
        <is>
          <t>
          </t>
        </is>
      </c>
    </row>
    <row r="40">
      <c r="D40" s="8" t="inlineStr">
        <is>
          <t>リセット（Đặt lại）</t>
        </is>
      </c>
    </row>
    <row r="41">
      <c r="E41" s="9" t="inlineStr">
        <is>
          <t>
          </t>
        </is>
      </c>
    </row>
    <row r="42">
      <c r="D42" s="9" t="inlineStr">
        <is>
          <t>
          </t>
        </is>
      </c>
    </row>
    <row r="43">
      <c r="C43" s="9" t="inlineStr">
        <is>
          <t>TC-RS-DATA-004 — Xóa quy tắc không xóa dây chuyền kết quả hay điểm</t>
        </is>
      </c>
    </row>
    <row r="44">
      <c r="D44" s="10" t="inlineStr">
        <is>
          <t>Priority: Cao ｜ Status: CONFIRMED ｜ Readiness: UNASSESSED ｜ Requirement ID: đặc tả v2 mục 4.1 “Điểm vào và trạng thái trống”, mục 12.2 “Điểm tích hợp chính”</t>
        </is>
      </c>
    </row>
    <row r="45">
      <c r="D45" s="8" t="inlineStr">
        <is>
          <t>前提条件（Điều kiện trước）</t>
        </is>
      </c>
    </row>
    <row r="46">
      <c r="E46" s="9" t="inlineStr">
        <is>
          <t>- Điều kiện: quy tắc “Cố định 30” (dưới 30); S01 Đỏ.
- Dữ liệu test: quy tắc “Cố định 30” (dưới 30); học sinh S01 (điểm 29)</t>
        </is>
      </c>
    </row>
    <row r="47">
      <c r="D47" s="8" t="inlineStr">
        <is>
          <t>操作（Thao tác）</t>
        </is>
      </c>
    </row>
    <row r="48">
      <c r="E48" s="9" t="inlineStr">
        <is>
          <t>1. Xóa quy tắc “Cố định 30” (dưới 30).
2. SELECT kết quả và điểm của S01.
Phạm vi từng lượt chạy:
- Base: Toàn bộ thủ tục theo đúng thứ tự; các đối chứng cùng fixture được kiểm trong cùng lượt, không bỏ bước</t>
        </is>
      </c>
    </row>
    <row r="49">
      <c r="D49" s="8" t="inlineStr">
        <is>
          <t>期待結果（Kết quả mong đợi）</t>
        </is>
      </c>
    </row>
    <row r="50">
      <c r="E50" s="9" t="inlineStr">
        <is>
          <t>Kết quả S01 vẫn còn; điểm 29 giữ nguyên.</t>
        </is>
      </c>
    </row>
    <row r="51">
      <c r="D51" s="8" t="inlineStr">
        <is>
          <t>証跡（Bằng chứng）</t>
        </is>
      </c>
    </row>
    <row r="52">
      <c r="E52" s="9" t="inlineStr">
        <is>
          <t>
          </t>
        </is>
      </c>
    </row>
    <row r="53">
      <c r="D53" s="8" t="inlineStr">
        <is>
          <t>リセット（Đặt lại）</t>
        </is>
      </c>
    </row>
    <row r="54">
      <c r="E54" s="9" t="inlineStr">
        <is>
          <t>
          </t>
        </is>
      </c>
    </row>
    <row r="55">
      <c r="D55" s="9" t="inlineStr">
        <is>
          <t>
          </t>
        </is>
      </c>
    </row>
    <row r="56">
      <c r="C56" s="9" t="inlineStr">
        <is>
          <t>TC-RS-DATA-005 — Xét điểm đỏ không ghi đè điểm học sinh</t>
        </is>
      </c>
    </row>
    <row r="57">
      <c r="D57" s="10" t="inlineStr">
        <is>
          <t>Priority: Cao ｜ Status: CONFIRMED ｜ Readiness: UNASSESSED ｜ Requirement ID: đặc tả v2 mục 6.4 “Công thức dùng trung bình”, mục 7.1 “Trình tự cho một ô”</t>
        </is>
      </c>
    </row>
    <row r="58">
      <c r="D58" s="8" t="inlineStr">
        <is>
          <t>前提条件（Điều kiện trước）</t>
        </is>
      </c>
    </row>
    <row r="59">
      <c r="E59" s="9" t="inlineStr">
        <is>
          <t>- Điều kiện: học sinh S01–S09 có điểm. quy tắc công thức hai dòng (trung bình ÷ 2 × 0.8) (có làm tròn).
- Dữ liệu test: quy tắc công thức hai dòng (trung bình ÷ 2 × 0.8); học sinh S01–S09</t>
        </is>
      </c>
    </row>
    <row r="60">
      <c r="D60" s="8" t="inlineStr">
        <is>
          <t>操作（Thao tác）</t>
        </is>
      </c>
    </row>
    <row r="61">
      <c r="E61" s="9" t="inlineStr">
        <is>
          <t>1. SELECT điểm trước.
2. Chạy nút cam.
3. SELECT điểm sau.
Phạm vi từng lượt chạy:
- Base: Toàn bộ thủ tục theo đúng thứ tự; các đối chứng cùng fixture được kiểm trong cùng lượt, không bỏ bước</t>
        </is>
      </c>
    </row>
    <row r="62">
      <c r="D62" s="8" t="inlineStr">
        <is>
          <t>期待結果（Kết quả mong đợi）</t>
        </is>
      </c>
    </row>
    <row r="63">
      <c r="E63" s="9" t="inlineStr">
        <is>
          <t>Mọi điểm giữ nguyên (kể cả S09=29.5).</t>
        </is>
      </c>
    </row>
    <row r="64">
      <c r="D64" s="8" t="inlineStr">
        <is>
          <t>証跡（Bằng chứng）</t>
        </is>
      </c>
    </row>
    <row r="65">
      <c r="E65" s="9" t="inlineStr">
        <is>
          <t>
          </t>
        </is>
      </c>
    </row>
    <row r="66">
      <c r="D66" s="8" t="inlineStr">
        <is>
          <t>リセット（Đặt lại）</t>
        </is>
      </c>
    </row>
    <row r="67">
      <c r="E67" s="9" t="inlineStr">
        <is>
          <t>
          </t>
        </is>
      </c>
    </row>
    <row r="68">
      <c r="D68" s="9" t="inlineStr">
        <is>
          <t>
          </t>
        </is>
      </c>
    </row>
    <row r="69">
      <c r="C69" s="9" t="inlineStr">
        <is>
          <t>TC-RS-DATA-007 — Cấu hình trình bày ở từng đầu ra lưu riêng, không làm đổi quy tắc/kết quả</t>
        </is>
      </c>
    </row>
    <row r="70">
      <c r="D70" s="10" t="inlineStr">
        <is>
          <t>Priority: Cao ｜ Status: CONFIRMED ｜ Readiness: UNASSESSED ｜ Requirement ID: đặc tả v2 mục 9.1 “Thiết lập”, mục 10.1 “Phạm vi và tùy chọn”, mục 11.1 “Tùy chọn hiển thị đỏ”</t>
        </is>
      </c>
    </row>
    <row r="71">
      <c r="D71" s="8" t="inlineStr">
        <is>
          <t>前提条件（Điều kiện trước）</t>
        </is>
      </c>
    </row>
    <row r="72">
      <c r="E72" s="9" t="inlineStr">
        <is>
          <t>- Điều kiện: cấu hình trích xuất: lọc, ký hiệu “*” phía trước, tô màu, cấu hình công khai: “*” phía trước, cấu hình phiếu điểm: ký tự “※” phía trước.
- Dữ liệu test: cấu hình trích xuất: lọc, ký hiệu “*” phía trước, tô màu, cấu hình công khai: “*” phía trước, cấu hình phiếu điểm: ký tự “※” phía trước</t>
        </is>
      </c>
    </row>
    <row r="73">
      <c r="D73" s="8" t="inlineStr">
        <is>
          <t>操作（Thao tác）</t>
        </is>
      </c>
    </row>
    <row r="74">
      <c r="E74" s="9" t="inlineStr">
        <is>
          <t>1. Đổi từng cấu hình đầu ra, lưu.
2. Kiểm quy tắc và kết quả xét.
Phạm vi từng lượt chạy:
- extract: Cấu hình trích xuất
- publish: Cấu hình công khai
- report: Cấu hình phiếu điểm</t>
        </is>
      </c>
    </row>
    <row r="75">
      <c r="D75" s="8" t="inlineStr">
        <is>
          <t>期待結果（Kết quả mong đợi）</t>
        </is>
      </c>
    </row>
    <row r="76">
      <c r="E76" s="9" t="inlineStr">
        <is>
          <t>Quy tắc và kết quả không đổi; cấu hình mỗi đầu ra độc lập (đổi công khai không đổi trích xuất).</t>
        </is>
      </c>
    </row>
    <row r="77">
      <c r="D77" s="8" t="inlineStr">
        <is>
          <t>証跡（Bằng chứng）</t>
        </is>
      </c>
    </row>
    <row r="78">
      <c r="E78" s="9" t="inlineStr">
        <is>
          <t>
          </t>
        </is>
      </c>
    </row>
    <row r="79">
      <c r="D79" s="8" t="inlineStr">
        <is>
          <t>リセット（Đặt lại）</t>
        </is>
      </c>
    </row>
    <row r="80">
      <c r="E80" s="9" t="inlineStr">
        <is>
          <t>
          </t>
        </is>
      </c>
    </row>
    <row r="81">
      <c r="D81" s="9" t="inlineStr">
        <is>
          <t>
          </t>
        </is>
      </c>
    </row>
    <row r="82">
      <c r="C82" s="9" t="inlineStr">
        <is>
          <t>TC-RS-DATA-008 — Lưu thông tin giải thích kết quả</t>
        </is>
      </c>
    </row>
    <row r="83">
      <c r="D83" s="10" t="inlineStr">
        <is>
          <t>Priority: TBD ｜ Status: PROPOSED ｜ Readiness: UNASSESSED ｜ Requirement ID: đặc tả v2 mục 12.1 “Dữ liệu cấu hình và kết quả cần quản lý”</t>
        </is>
      </c>
    </row>
    <row r="84">
      <c r="D84" s="8" t="inlineStr">
        <is>
          <t>前提条件（Điều kiện trước）</t>
        </is>
      </c>
    </row>
    <row r="85">
      <c r="E85" s="9" t="inlineStr">
        <is>
          <t>- Điều kiện: Có ô Đỏ, ô Chưa xét được, ô Không áp dụng và (nếu tạo được) một ô chưa từng xét đã có dòng điều khiển; một ô dùng quy tắc Tỷ lệ (quy tắc tỷ lệ 30%); một ô dùng quy tắc có nguồn trung bình (quy tắc công thức hai dòng (trung bình ÷ 2 × 0.8)).
- Dữ liệu test: học sinh S01 (điểm 29); quy tắc tỷ lệ 30%; quy tắc công thức hai dòng (trung bình ÷ 2 × 0.8)</t>
        </is>
      </c>
    </row>
    <row r="86">
      <c r="D86" s="8" t="inlineStr">
        <is>
          <t>操作（Thao tác）</t>
        </is>
      </c>
    </row>
    <row r="87">
      <c r="E87" s="9" t="inlineStr">
        <is>
          <t>1. SELECT `red_score_setting_id`, `reason_code`, `judgment_context`, `judged_at` của ô Đỏ (S01), ô Chưa xét được, ô Không áp dụng, ô chưa từng xét, ô Tỷ lệ và ô có nguồn.
2. Làm ô S01 chuyển từ Đỏ sang Không áp dụng (như case “Xóa quy tắc cuối: giữ kết quả tới lần chạy lại; chạy lại → Không áp dụng”), SELECT lại.
Phạm vi từng lượt chạy:
- Base: Toàn bộ thủ tục theo đúng thứ tự; các đối chứng cùng fixture được kiểm trong cùng lượt, không bỏ bước</t>
        </is>
      </c>
    </row>
    <row r="88">
      <c r="D88" s="8" t="inlineStr">
        <is>
          <t>期待結果（Kết quả mong đợi）</t>
        </is>
      </c>
    </row>
    <row r="89">
      <c r="E89" s="9" t="inlineStr">
        <is>
          <t>1. Ô Đỏ: có quy tắc được chọn; `judgment_context` có `score`="29", `threshold` dạng tử/mẫu (30/1), `compare_type`=1, `sources` rỗng với quy tắc cố định. Ô Chưa xét được: có `reason_code` (ví dụ `source_missing`). `judged_at` có giá trị cho cả ô Chưa xét được và Không áp dụng; NULL ở ô chưa từng xét. Ô có điểm hợp lệ: `judgment_context` có `grade_id` (ID dòng điểm nguồn). Ô Tỷ lệ: `judgment_context` có `maximum`. Ô có nguồn: `sources[]` có `usage`, `kind`, `reference`, `population_key`; với nhóm môn học（科目グループ） có thêm `resolved_population_type`/`resolved_population_ref_id` nhưng vẫn giữ loại/ID đã chọn. Không có tên học sinh, thông tin liên hệ hay câu lỗi SQL.
2. Sau khi chuyển sang Không áp dụng: không còn giữ ngưỡng, dấu so sánh hay nguồn của lần Đỏ trước.</t>
        </is>
      </c>
    </row>
    <row r="90">
      <c r="D90" s="8" t="inlineStr">
        <is>
          <t>証跡（Bằng chứng）</t>
        </is>
      </c>
    </row>
    <row r="91">
      <c r="E91" s="9" t="inlineStr">
        <is>
          <t>
          </t>
        </is>
      </c>
    </row>
    <row r="92">
      <c r="D92" s="8" t="inlineStr">
        <is>
          <t>リセット（Đặt lại）</t>
        </is>
      </c>
    </row>
    <row r="93">
      <c r="E93" s="9" t="inlineStr">
        <is>
          <t>
          </t>
        </is>
      </c>
    </row>
    <row r="94">
      <c r="D94" s="9" t="inlineStr">
        <is>
          <t>
          </t>
        </is>
      </c>
    </row>
    <row r="95">
      <c r="C95" s="9" t="inlineStr">
        <is>
          <t>TC-RS-DATA-010 — Sao chép mẫu phiếu điểm giữ lựa chọn hiển thị đỏ</t>
        </is>
      </c>
    </row>
    <row r="96">
      <c r="D96" s="10" t="inlineStr">
        <is>
          <t>Priority: Cao ｜ Status: CONFIRMED ｜ Readiness: UNASSESSED ｜ Requirement ID: tiêu chí nghiệm thu “Lưu, sao chép và PDF phiếu” (AC-G37 «Lưu, sao chép và PDF phiếu»)</t>
        </is>
      </c>
    </row>
    <row r="97">
      <c r="D97" s="8" t="inlineStr">
        <is>
          <t>前提条件（Điều kiện trước）</t>
        </is>
      </c>
    </row>
    <row r="98">
      <c r="E98" s="9" t="inlineStr">
        <is>
          <t>- Điều kiện: Mẫu phiếu A có cấu hình phiếu điểm: ký tự “※” phía trước; mẫu phiếu B chỉ bật điều kiện đỏ (các dòng khác không dùng).
- Dữ liệu test: cấu hình phiếu điểm: ký tự “※” phía trước</t>
        </is>
      </c>
    </row>
    <row r="99">
      <c r="D99" s="8" t="inlineStr">
        <is>
          <t>操作（Thao tác）</t>
        </is>
      </c>
    </row>
    <row r="100">
      <c r="E100" s="9" t="inlineStr">
        <is>
          <t>1. Sao chép mẫu A và mẫu B.
2. Mở dòng Thiết lập điểm đỏ（赤点設定） ở từng bản sao.
3. Xuất PDF bản sao với S01.
Phạm vi từng lượt chạy:
- template-a: Sao chép và xuất mẫu A
- template-b: Sao chép và xuất mẫu B</t>
        </is>
      </c>
    </row>
    <row r="101">
      <c r="D101" s="8" t="inlineStr">
        <is>
          <t>期待結果（Kết quả mong đợi）</t>
        </is>
      </c>
    </row>
    <row r="102">
      <c r="E102" s="9" t="inlineStr">
        <is>
          <t>1–2. Bản sao giữ lựa chọn Ký tự phía trước（前に任意の文字） `※`; mẫu chỉ dùng điều kiện đỏ vẫn còn hiệu lực.
3. PDF: ô S01 hiển thị `※29`. Không sao chép kết quả xét của học sinh.</t>
        </is>
      </c>
    </row>
    <row r="103">
      <c r="D103" s="8" t="inlineStr">
        <is>
          <t>証跡（Bằng chứng）</t>
        </is>
      </c>
    </row>
    <row r="104">
      <c r="E104" s="9" t="inlineStr">
        <is>
          <t>
          </t>
        </is>
      </c>
    </row>
    <row r="105">
      <c r="D105" s="8" t="inlineStr">
        <is>
          <t>リセット（Đặt lại）</t>
        </is>
      </c>
    </row>
    <row r="106">
      <c r="E106" s="9" t="inlineStr">
        <is>
          <t>
          </t>
        </is>
      </c>
    </row>
    <row r="107">
      <c r="D107" s="9" t="inlineStr">
        <is>
          <t>
          </t>
        </is>
      </c>
    </row>
    <row r="108">
      <c r="C108" s="9" t="inlineStr">
        <is>
          <t>TC-RS-DATA-011 — Bảng/cột mới theo quy tắc schema của BLEND</t>
        </is>
      </c>
    </row>
    <row r="109">
      <c r="D109" s="10" t="inlineStr">
        <is>
          <t>Priority: TBD ｜ Status: CONFIRMED ｜ Readiness: UNASSESSED ｜ Requirement ID: đặc tả v2 mục 12.1 “Dữ liệu cấu hình và kết quả cần quản lý”, mục 12.3 “Không chuyển đổi dữ liệu đỏ cũ”</t>
        </is>
      </c>
    </row>
    <row r="110">
      <c r="D110" s="8" t="inlineStr">
        <is>
          <t>前提条件（Điều kiện trước）</t>
        </is>
      </c>
    </row>
    <row r="111">
      <c r="E111" s="9" t="inlineStr">
        <is>
          <t>- Điều kiện: Build có migration của tính năng.
- Dữ liệu test: quyền đọc DB local (chỉ SELECT/SHOW)</t>
        </is>
      </c>
    </row>
    <row r="112">
      <c r="D112" s="8" t="inlineStr">
        <is>
          <t>操作（Thao tác）</t>
        </is>
      </c>
    </row>
    <row r="113">
      <c r="E113" s="9" t="inlineStr">
        <is>
          <t>1. `SHOW CREATE TABLE` và `SHOW FULL COLUMNS` cho `red_score_settings`, `red_score_results`.
2. `SHOW CREATE TABLE` cho `grade_publish_conf_grade_items` và `grade_evaluate_frame_items`; so với bản trước migration (hoặc DDL gốc trong source).
Phạm vi từng lượt chạy:
- Base: Toàn bộ thủ tục theo đúng thứ tự; các đối chứng cùng fixture được kiểm trong cùng lượt, không bỏ bước</t>
        </is>
      </c>
    </row>
    <row r="114">
      <c r="D114" s="8" t="inlineStr">
        <is>
          <t>期待結果（Kết quả mong đợi）</t>
        </is>
      </c>
    </row>
    <row r="115">
      <c r="E115" s="9" t="inlineStr">
        <is>
          <t>1. Có phạm vi trường/năm, cột audit và comment theo quy tắc schema hiện hành. Đối chiếu thêm với thiết kế (PROPOSED): InnoDB, `utf8mb4`/`utf8mb4_general_ci`, không khai báo foreign key, có `idx_red_score_settings_01`, `uk_red_score_results_01`, `idx_red_score_results_01`, `setting_status` mặc định 0 và phân biệt rõ trạng thái 0/1/2; `red_score_results` có thêm `cell_generation`, `write_version` (mặc định 0), `judged_version`, `rule_revision` (cho phép NULL); bảng/cột cũ (`red_score`, `changed_red_score`) không đổi.
2. (PROPOSED) Chỉ thêm `red_score_display_type TINYINT UNSIGNED NOT NULL DEFAULT 0` vào `grade_publish_conf_grade_items` và `red_score_revision BIGINT UNSIGNED NOT NULL DEFAULT 0` vào `grade_evaluate_frame_items`; không đổi kiểu/khóa/collation của cột có sẵn, không thêm index hay foreign key. Thiết lập đỏ của Trích xuất thành tích（成績抽出） và Công cụ phiếu điểm（通知表ツール） không có cột/bảng mới (dùng JSON `grade_extract_conf.extract_setting` và phần lưu bảng/điều kiện phiếu điểm hiện có).</t>
        </is>
      </c>
    </row>
    <row r="116">
      <c r="D116" s="8" t="inlineStr">
        <is>
          <t>証跡（Bằng chứng）</t>
        </is>
      </c>
    </row>
    <row r="117">
      <c r="E117" s="9" t="inlineStr">
        <is>
          <t>
          </t>
        </is>
      </c>
    </row>
    <row r="118">
      <c r="D118" s="8" t="inlineStr">
        <is>
          <t>リセット（Đặt lại）</t>
        </is>
      </c>
    </row>
    <row r="119">
      <c r="E119" s="9" t="inlineStr">
        <is>
          <t>
          </t>
        </is>
      </c>
    </row>
    <row r="120">
      <c r="D120" s="9" t="inlineStr">
        <is>
          <t>
          </t>
        </is>
      </c>
    </row>
    <row r="121">
      <c r="C121" s="9" t="inlineStr">
        <is>
          <t>TC-RS-DATA-012 — Lưu, đọc lại và sao chép hiệu ứng đỏ theo dòng mục của cấu hình công khai</t>
        </is>
      </c>
    </row>
    <row r="122">
      <c r="D122" s="10" t="inlineStr">
        <is>
          <t>Priority: TBD ｜ Status: PROPOSED ｜ Readiness: UNASSESSED ｜ Requirement ID: đặc tả v2 mục 10.1 “Phạm vi và tùy chọn”</t>
        </is>
      </c>
    </row>
    <row r="123">
      <c r="D123" s="8" t="inlineStr">
        <is>
          <t>前提条件（Điều kiện trước）</t>
        </is>
      </c>
    </row>
    <row r="124">
      <c r="E124" s="9" t="inlineStr">
        <is>
          <t>- Điều kiện: Build có migration thêm `red_score_display_type`; cấu hình công khai tạo trước khi migrate (dòng cũ) và hai cấu hình X, Y theo hai cấu hình công khai cùng một mục.
- Dữ liệu test: hai cấu hình công khai cùng một mục, cấu hình công khai có mục điểm thường và mục điểm đơn vị; quyền đọc DB local (chỉ SELECT/SHOW); tài khoản phụ trách đầu ra (trích xuất, công khai, phiếu điểm), tài khoản của trường B</t>
        </is>
      </c>
    </row>
    <row r="125">
      <c r="D125" s="8" t="inlineStr">
        <is>
          <t>操作（Thao tác）</t>
        </is>
      </c>
    </row>
    <row r="126">
      <c r="E126" s="9" t="inlineStr">
        <is>
          <t>1. SELECT `grade_publish_conf_id`, `year`, `evaluate_item_id`, `tangen_flg`, `red_score_display_type` của X, Y và của cấu hình cũ.
2. Mở cấu hình cũ trên màn, xem màn học sinh của cấu hình đó.
3. Sao chép X; SELECT dòng của bản sao.
4. Gửi request lưu với `red_score_display_type`=4, và với ID cấu hình công khai của trường B (tài khoản của trường B / trường B (trường khác)).
Phạm vi từng lượt chạy:
- read-copy: Bước 1–3 đọc cấu hình cũ và sao chép
- invalid-enum: Bước 4 giá trị 4
- foreign-school: Bước 4 ID trường B</t>
        </is>
      </c>
    </row>
    <row r="127">
      <c r="D127" s="8" t="inlineStr">
        <is>
          <t>期待結果（Kết quả mong đợi）</t>
        </is>
      </c>
    </row>
    <row r="128">
      <c r="E128" s="9" t="inlineStr">
        <is>
          <t>1. X: 1 (ngoặc) ở dòng mục số nguyên (M=100); Y: 2 (`*` trước); dòng thường/đơn vị tách theo `tangen_flg`. Không có cột hiệu ứng trong bảng kết quả của học sinh.
2. Dòng cũ có giá trị 0; hiển thị giữ như trước khi có chức năng.
3. Bản sao có ID cấu hình mới và giữ giá trị 1; không có dòng kết quả học sinh nào được sao chép.
4. Bị từ chối; giá trị đã lưu không đổi.</t>
        </is>
      </c>
    </row>
    <row r="129">
      <c r="D129" s="8" t="inlineStr">
        <is>
          <t>証跡（Bằng chứng）</t>
        </is>
      </c>
    </row>
    <row r="130">
      <c r="E130" s="9" t="inlineStr">
        <is>
          <t>
          </t>
        </is>
      </c>
    </row>
    <row r="131">
      <c r="D131" s="8" t="inlineStr">
        <is>
          <t>リセット（Đặt lại）</t>
        </is>
      </c>
    </row>
    <row r="132">
      <c r="E132" s="9" t="inlineStr">
        <is>
          <t>
          </t>
        </is>
      </c>
    </row>
    <row r="133">
      <c r="D133" s="9" t="inlineStr">
        <is>
          <t>
          </t>
        </is>
      </c>
    </row>
    <row r="134">
      <c r="C134" s="9" t="inlineStr">
        <is>
          <t>TC-RS-DATA-013 — Phiên bản quy tắc, dòng điều khiển và thế hệ ô được cập nhật đúng sự kiện</t>
        </is>
      </c>
    </row>
    <row r="135">
      <c r="D135" s="10" t="inlineStr">
        <is>
          <t>Priority: TBD ｜ Status: PROPOSED ｜ Readiness: UNASSESSED ｜ Requirement ID: đặc tả v2 mục 7.5 “Phạm vi một lượt và thứ tự hoàn tất”, mục 12.1 “Dữ liệu cấu hình và kết quả cần quản lý”</t>
        </is>
      </c>
    </row>
    <row r="136">
      <c r="D136" s="8" t="inlineStr">
        <is>
          <t>前提条件（Điều kiện trước）</t>
        </is>
      </c>
    </row>
    <row r="137">
      <c r="E137" s="9" t="inlineStr">
        <is>
          <t>- Điều kiện: Build có migration v2. mục số nguyên (M=100) có quy tắc “Cố định 30” (dưới 30) và cặp quy tắc cùng áp dụng (dưới 20 và dưới 30); S01 = 29 đã được xét (Đỏ); ô S02 chưa từng xét.
- Dữ liệu test: mục số nguyên (M=100); quy tắc “Cố định 30” (dưới 30), cặp quy tắc cùng áp dụng (dưới 20 và dưới 30); học sinh S01 (điểm 29), học sinh S02 (điểm 30); quyền đọc DB local (chỉ SELECT/SHOW)</t>
        </is>
      </c>
    </row>
    <row r="138">
      <c r="D138" s="8" t="inlineStr">
        <is>
          <t>操作（Thao tác）</t>
        </is>
      </c>
    </row>
    <row r="139">
      <c r="E139" s="9" t="inlineStr">
        <is>
          <t>1. SELECT `red_score_revision` của mục mục số nguyên (M=100) trên `grade_evaluate_frame_items`; SELECT `cell_generation`, `write_version`, `judged_version`, `rule_revision`, `judgment_status` của S01.
2. Chuỗi revision độc lập: trên fixture A, lần lượt thêm quy tắc; sửa ngưỡng; đổi thứ tự; xóa quy tắc. SELECT `red_score_revision` và kết quả S01 sau mỗi thao tác, chưa chạy xét.
3. Chuỗi xóa cuối độc lập trên fixture B: tạo S01=29 Đỏ, xóa tới quy tắc cuối, rồi chạy lại; không dùng kết quả của chuỗi revision A làm baseline.
4. Chuỗi reservation độc lập trên fixture C: đặt batch S01 nhưng chưa hoàn tất, SELECT S01; chỉ đánh giá trạng thái theo R18 §7.5/§8.2, không mặc định payload cũ được giữ.
5. Chuỗi cell-generation độc lập trên fixture D: lưu điểm S02 lần đầu, rồi xóa trống ô S01; SELECT từng ô.
Phạm vi từng lượt chạy:
- revision: Bước 1–2 fixture A, SELECT sau từng sự kiện
- delete-last-rule: Bước 1 và 3 fixture B độc lập
- reservation: Bước 1 và 4 fixture C độc lập
- cell-generation: Bước 1 và 5 fixture D độc lập</t>
        </is>
      </c>
    </row>
    <row r="140">
      <c r="D140" s="8" t="inlineStr">
        <is>
          <t>期待結果（Kết quả mong đợi）</t>
        </is>
      </c>
    </row>
    <row r="141">
      <c r="E141" s="9" t="inlineStr">
        <is>
          <t>1. Có giá trị ban đầu; `judged_version` của S01 bằng phiên bản của lần ghi hoàn tất.
2. Trên fixture A, `red_score_revision` tăng sau mỗi thao tác cấu hình; kết quả S01 chỉ được đối chiếu trước khi có trigger chạy lại.
3. Trên fixture B, sau xóa rule cuối và chạy lại, S01 chuyển theo trạng thái Không áp dụng/đã ngừng kết quả cũ của G20/G21; không đọc kết quả từ fixture A.
4. Trên fixture C, ghi nhận chính sách trạng thái thực tế; không dùng “payload đỏ vẫn còn” làm expected cố định khi phiên bản lệch.
5. Trên fixture D, có đúng một dòng điều khiển cho mỗi ô; sau khi hoàn tất có trạng thái và `judged_at`.
6. Trên fixture D, `cell_generation` mới và thông tin rule/ngưỡng/nguồn cũ bị xóa theo trạng thái xóa ô; dòng điều khiển được giữ.</t>
        </is>
      </c>
    </row>
    <row r="142">
      <c r="D142" s="8" t="inlineStr">
        <is>
          <t>証跡（Bằng chứng）</t>
        </is>
      </c>
    </row>
    <row r="143">
      <c r="E143" s="9" t="inlineStr">
        <is>
          <t>
          </t>
        </is>
      </c>
    </row>
    <row r="144">
      <c r="D144" s="8" t="inlineStr">
        <is>
          <t>リセット（Đặt lại）</t>
        </is>
      </c>
    </row>
    <row r="145">
      <c r="E145" s="9" t="inlineStr">
        <is>
          <t>
          </t>
        </is>
      </c>
    </row>
    <row r="146">
      <c r="D146" s="9" t="inlineStr">
        <is>
          <t>
          </t>
        </is>
      </c>
    </row>
    <row r="147">
      <c r="C147" s="9" t="inlineStr">
        <is>
          <t>TC-RS-DATA-014 — Legacy: báo cáo riêng trường vẫn giữ cách dùng điểm đỏ cũ</t>
        </is>
      </c>
    </row>
    <row r="148">
      <c r="D148" s="10" t="inlineStr">
        <is>
          <t>Priority: Cao ｜ Status: CONFIRMED ｜ Readiness: UNASSESSED ｜ Requirement ID: AC-G38 «Bảo toàn điểm đỏ cũ»</t>
        </is>
      </c>
    </row>
    <row r="149">
      <c r="D149" s="8" t="inlineStr">
        <is>
          <t>前提条件（Điều kiện trước）</t>
        </is>
      </c>
    </row>
    <row r="150">
      <c r="E150" s="9" t="inlineStr">
        <is>
          <t>- Có dữ liệu legacy `red_score` trước khi bật cấu hình mới; có cùng mục được cấu hình rule mới.</t>
        </is>
      </c>
    </row>
    <row r="151">
      <c r="D151" s="8" t="inlineStr">
        <is>
          <t>操作（Thao tác）</t>
        </is>
      </c>
    </row>
    <row r="152">
      <c r="E152" s="9" t="inlineStr">
        <is>
          <t>1. Xem báo cáo riêng trường trước và sau khi cấu hình/chạy rule mới.
2. Đối chiếu giá trị legacy và kết luận của rule mới.
Phạm vi từng lượt chạy:
- Base: Toàn bộ thủ tục theo đúng thứ tự; các đối chứng cùng fixture được kiểm trong cùng lượt, không bỏ bước</t>
        </is>
      </c>
    </row>
    <row r="153">
      <c r="D153" s="8" t="inlineStr">
        <is>
          <t>期待結果（Kết quả mong đợi）</t>
        </is>
      </c>
    </row>
    <row r="154">
      <c r="E154" s="9" t="inlineStr">
        <is>
          <t>Legacy không bị chuyển thành rule mới, reset hoặc dùng thay cho rule mới; hai nguồn được giữ riêng và báo cáo legacy vẫn giữ cách dùng cũ.</t>
        </is>
      </c>
    </row>
    <row r="155">
      <c r="D155" s="8" t="inlineStr">
        <is>
          <t>証跡（Bằng chứng）</t>
        </is>
      </c>
    </row>
    <row r="156">
      <c r="E156" s="9" t="inlineStr">
        <is>
          <t>
          </t>
        </is>
      </c>
    </row>
    <row r="157">
      <c r="D157" s="8" t="inlineStr">
        <is>
          <t>リセット（Đặt lại）</t>
        </is>
      </c>
    </row>
    <row r="158">
      <c r="E158" s="9" t="inlineStr">
        <is>
          <t>
          </t>
        </is>
      </c>
    </row>
    <row r="159">
      <c r="D159" s="9" t="inlineStr">
        <is>
          <t>
          </t>
        </is>
      </c>
    </row>
    <row r="160">
      <c r="C160" s="9" t="inlineStr">
        <is>
          <t>TC-RS-DATA-015 — Sao chép cấu hình giữ riêng legacy và không sao chép kết quả cá nhân</t>
        </is>
      </c>
    </row>
    <row r="161">
      <c r="D161" s="10" t="inlineStr">
        <is>
          <t>Priority: Cao ｜ Status: CONFIRMED ｜ Readiness: BLOCKED ｜ Requirement ID: AC-G38 «Bảo toàn điểm đỏ cũ»; AC-G39 «Không dùng lại kết quả cho đối tượng mới»</t>
        </is>
      </c>
    </row>
    <row r="162">
      <c r="D162" s="8" t="inlineStr">
        <is>
          <t>前提条件（Điều kiện trước）</t>
        </is>
      </c>
    </row>
    <row r="163">
      <c r="E163" s="9" t="inlineStr">
        <is>
          <t>- Nguồn: trường A / năm 2026 / mục Toán / nhóm G-A, có rule mới `&lt;30`, ngưỡng legacy `red_score=25` đang được báo cáo riêng, và S01 có kết quả Đỏ đã chốt. Đích: trường A / năm 2026 / mục Toán tương ứng / nhóm G-B, chưa có legacy/kết quả cá nhân; mapping môn Toán và identity ô đích khác nguồn. Có chức năng sao chép cấu hình trong phạm vi đợt.</t>
        </is>
      </c>
    </row>
    <row r="164">
      <c r="D164" s="8" t="inlineStr">
        <is>
          <t>操作（Thao tác）</t>
        </is>
      </c>
    </row>
    <row r="165">
      <c r="E165" s="9" t="inlineStr">
        <is>
          <t>1. Ghi snapshot trước thao tác: rule, mapping mục/môn/nhóm, legacy và kết quả riêng của S01 ở nguồn.
2. Sao chép cấu hình sang mục/đối tượng đích; ghi identity nguồn/đích và mapping thực tế.
3. Mở cấu hình, legacy và kết quả của đích; không dùng dữ liệu nguồn làm baseline cho đích.
Phạm vi từng lượt chạy:
- Base: Toàn bộ thủ tục theo đúng thứ tự; các đối chứng cùng fixture được kiểm trong cùng lượt, không bỏ bước</t>
        </is>
      </c>
    </row>
    <row r="166">
      <c r="D166" s="8" t="inlineStr">
        <is>
          <t>期待結果（Kết quả mong đợi）</t>
        </is>
      </c>
    </row>
    <row r="167">
      <c r="E167" s="9" t="inlineStr">
        <is>
          <t>Cấu hình `&lt;30` được ánh xạ theo identity đích. Ngưỡng legacy `red_score=25` có mapping hợp lệ cũng được sao chép theo đường legacy hiện hữu: nguồn và đích đều đọc ra 25 tại cấu hình/báo cáo legacy riêng; không xóa, đổi nghĩa hoặc biến thành rule/fallback mới. Nếu đường sao chép legacy của build chưa được xác minh, giữ nhánh BLOCKED và ghi seam/mapping thiếu. Đích không có kết quả đỏ/bản chốt **cá nhân** của S01 nguồn; chỉ lần xét mới trên identity đích mới tạo kết quả cá nhân ở đích.</t>
        </is>
      </c>
    </row>
    <row r="168">
      <c r="D168" s="8" t="inlineStr">
        <is>
          <t>証跡（Bằng chứng）</t>
        </is>
      </c>
    </row>
    <row r="169">
      <c r="E169" s="9" t="inlineStr">
        <is>
          <t>
          </t>
        </is>
      </c>
    </row>
    <row r="170">
      <c r="D170" s="8" t="inlineStr">
        <is>
          <t>リセット（Đặt lại）</t>
        </is>
      </c>
    </row>
    <row r="171">
      <c r="E171" s="9" t="inlineStr">
        <is>
          <t>
          </t>
        </is>
      </c>
    </row>
    <row r="172">
      <c r="D172" s="9" t="inlineStr">
        <is>
          <t>
          </t>
        </is>
      </c>
    </row>
    <row r="173">
      <c r="C173" s="9" t="inlineStr">
        <is>
          <t>TC-RS-DATA-016 — Kế thừa năm mới không dùng bản chốt hoặc kết quả cá nhân của năm cũ</t>
        </is>
      </c>
    </row>
    <row r="174">
      <c r="D174" s="10" t="inlineStr">
        <is>
          <t>Priority: Cao ｜ Status: CONFIRMED ｜ Readiness: BLOCKED ｜ Requirement ID: AC-G38 «Bảo toàn điểm đỏ cũ»; AC-G39 «Không dùng lại kết quả cho đối tượng mới»</t>
        </is>
      </c>
    </row>
    <row r="175">
      <c r="D175" s="8" t="inlineStr">
        <is>
          <t>前提条件（Điều kiện trước）</t>
        </is>
      </c>
    </row>
    <row r="176">
      <c r="E176" s="9" t="inlineStr">
        <is>
          <t>- Nguồn: TD-LEGACY-01 tại trường A/năm 2025/kỳ Cuối kỳ học kỳ 1/mục Toán/nhóm G-A có rule mới `&lt;30`, ngưỡng legacy `red_score=25`, snapshot và kết quả cá nhân Đỏ của S01. Đích: cùng trường/năm 2026/kỳ tương ứng/mục Toán/nhóm được ánh xạ G-A→G-A năm mới, ban đầu không có ngưỡng legacy hay kết quả cá nhân; ghi identity học sinh đích riêng. Đường tạo/kế thừa năm cần provision và xác minh mapping thực tế.</t>
        </is>
      </c>
    </row>
    <row r="177">
      <c r="D177" s="8" t="inlineStr">
        <is>
          <t>操作（Thao tác）</t>
        </is>
      </c>
    </row>
    <row r="178">
      <c r="E178" s="9" t="inlineStr">
        <is>
          <t>1. Chụp riêng rule mới, giá trị legacy 25 tại nguồn, snapshot và kết quả cá nhân S01 năm 2025; ghi đích chưa có legacy/kết quả.
2. Tạo năm 2026/kế thừa cấu hình; ghi mapping kỳ/mục Toán/môn Toán/nhóm G-A, identity ô và học sinh đích thực tế.
3. Đọc lại ngưỡng/báo cáo legacy của hai năm; mở kết quả cá nhân năm 2026 **trước** khi chạy xét, rồi chạy xét riêng ở đích.
Phạm vi từng lượt chạy:
- Base: Toàn bộ thủ tục theo đúng thứ tự; các đối chứng cùng fixture được kiểm trong cùng lượt, không bỏ bước</t>
        </is>
      </c>
    </row>
    <row r="179">
      <c r="D179" s="8" t="inlineStr">
        <is>
          <t>期待結果（Kết quả mong đợi）</t>
        </is>
      </c>
    </row>
    <row r="180">
      <c r="E180" s="9" t="inlineStr">
        <is>
          <t>Rule mới `&lt;30` và ngưỡng legacy **25** được kế thừa đúng mapping: nguồn vẫn 25, đích đọc 25 ở cấu hình/báo cáo legacy riêng; không thành rule/fallback mới. Trước lần xét mới, đích không có snapshot/kết quả **cá nhân** của S01 năm 2025; sau lần xét riêng, kết quả chỉ mang identity năm 2026. Nếu chưa xác minh được seam kế thừa/mapping hoặc reader legacy ở đích thì BLOCKED, không chỉ kiểm nguồn giữ nguyên.</t>
        </is>
      </c>
    </row>
    <row r="181">
      <c r="D181" s="8" t="inlineStr">
        <is>
          <t>証跡（Bằng chứng）</t>
        </is>
      </c>
    </row>
    <row r="182">
      <c r="E182" s="9" t="inlineStr">
        <is>
          <t>
          </t>
        </is>
      </c>
    </row>
    <row r="183">
      <c r="D183" s="8" t="inlineStr">
        <is>
          <t>リセット（Đặt lại）</t>
        </is>
      </c>
    </row>
    <row r="184">
      <c r="E184" s="9" t="inlineStr">
        <is>
          <t>
          </t>
        </is>
      </c>
    </row>
    <row r="185">
      <c r="D185" s="9" t="inlineStr">
        <is>
          <t>
          </t>
        </is>
      </c>
    </row>
    <row r="186">
      <c r="C186" s="9" t="inlineStr">
        <is>
          <t>TC-RS-DATA-017 — Xuất/nhập cấu hình giữ legacy riêng và không nhập kết quả cá nhân</t>
        </is>
      </c>
    </row>
    <row r="187">
      <c r="D187" s="10" t="inlineStr">
        <is>
          <t>Priority: Cao ｜ Status: CONFIRMED ｜ Readiness: BLOCKED ｜ Requirement ID: AC-G38 «Bảo toàn điểm đỏ cũ»; AC-G39 «Không dùng lại kết quả cho đối tượng mới»</t>
        </is>
      </c>
    </row>
    <row r="188">
      <c r="D188" s="8" t="inlineStr">
        <is>
          <t>前提条件（Điều kiện trước）</t>
        </is>
      </c>
    </row>
    <row r="189">
      <c r="E189" s="9" t="inlineStr">
        <is>
          <t>- Nguồn: TD-LEGACY-01 trường A/năm 2025/kỳ Cuối kỳ học kỳ 1/mục Toán/nhóm G-A. File cấu hình xuất phải chứa mapping kỳ/môn Toán/mục Toán/nhóm G-A **và giá trị legacy `red_score=25`**, không chỉ metadata/tên field; rule mới `&lt;30` nằm ở phần cấu hình mới riêng. Snapshot/kết quả cá nhân Đỏ của S01 làm đối chứng âm, không thuộc payload cấu hình được phép nhập. Đích: trường A/năm 2026/kỳ, môn, mục, nhóm tương ứng được ánh xạ, ban đầu chưa có legacy/kết quả cá nhân; quyền nhập hợp lệ.</t>
        </is>
      </c>
    </row>
    <row r="190">
      <c r="D190" s="8" t="inlineStr">
        <is>
          <t>操作（Thao tác）</t>
        </is>
      </c>
    </row>
    <row r="191">
      <c r="E191" s="9" t="inlineStr">
        <is>
          <t>1. Ghi file xuất thật, vị trí giá trị legacy 25, mapping nguồn→đích và sự vắng mặt của snapshot/kết quả cá nhân trong phần cấu hình.
2. Nhập file vào trường/năm đích bằng đường import được hỗ trợ; ghi response/lỗi ánh xạ nếu có.
3. Đọc lại legacy ở nguồn và đích qua cấu hình/báo cáo riêng, rule mới và kết quả cá nhân đích trước/sau lần xét riêng.
Phạm vi từng lượt chạy:
- Base: Toàn bộ thủ tục theo đúng thứ tự; các đối chứng cùng fixture được kiểm trong cùng lượt, không bỏ bước</t>
        </is>
      </c>
    </row>
    <row r="192">
      <c r="D192" s="8" t="inlineStr">
        <is>
          <t>期待結果（Kết quả mong đợi）</t>
        </is>
      </c>
    </row>
    <row r="193">
      <c r="E193" s="9" t="inlineStr">
        <is>
          <t>Chỉ payload cấu hình có mapping hợp lệ được nhập: ngưỡng legacy nguồn 25 vẫn là 25, file chứa 25 và đích đọc ra **25** ở cấu hình/báo cáo legacy riêng; rule mới `&lt;30` giữ riêng, không dùng 25 như fallback. Snapshot/kết quả **cá nhân** của S01 nguồn không được nhập hoặc gắn vào identity đích trước lần xét riêng; kết quả mới phải mang identity đích. Nếu format/đường import hoặc reader legacy chưa xác minh thì BLOCKED đúng nhánh, ghi seam thiếu, không suy giá trị từ metadata trống.</t>
        </is>
      </c>
    </row>
    <row r="194">
      <c r="D194" s="8" t="inlineStr">
        <is>
          <t>証跡（Bằng chứng）</t>
        </is>
      </c>
    </row>
    <row r="195">
      <c r="E195" s="9" t="inlineStr">
        <is>
          <t>
          </t>
        </is>
      </c>
    </row>
    <row r="196">
      <c r="D196" s="8" t="inlineStr">
        <is>
          <t>リセット（Đặt lại）</t>
        </is>
      </c>
    </row>
    <row r="197">
      <c r="E197" s="9" t="inlineStr">
        <is>
          <t>
          </t>
        </is>
      </c>
    </row>
    <row r="198">
      <c r="D198" s="9" t="inlineStr">
        <is>
          <t>
          </t>
        </is>
      </c>
    </row>
    <row r="199">
      <c r="C199" s="9" t="inlineStr">
        <is>
          <t>TC-RS-DATA-018 — Khôi phục/thay khung không gắn kết quả vào ô mới</t>
        </is>
      </c>
    </row>
    <row r="200">
      <c r="D200" s="10" t="inlineStr">
        <is>
          <t>Priority: Cao ｜ Status: CONFIRMED ｜ Readiness: BLOCKED ｜ Requirement ID: AC-G38 «Bảo toàn điểm đỏ cũ»; AC-G39 «Không dùng lại kết quả cho đối tượng mới»</t>
        </is>
      </c>
    </row>
    <row r="201">
      <c r="D201" s="8" t="inlineStr">
        <is>
          <t>前提条件（Điều kiện trước）</t>
        </is>
      </c>
    </row>
    <row r="202">
      <c r="E202" s="9" t="inlineStr">
        <is>
          <t>- Nguồn: TD-LEGACY-01, ô cũ trường A/năm 2025/kỳ Cuối kỳ học kỳ 1/mục Toán/nhóm G-A có rule mới `&lt;30`, ngưỡng legacy 25, snapshot và kết quả cá nhân Đỏ. Đích: ô/khung tạo lại có identity mới, cùng kỳ/môn Toán/mục Toán/nhóm G-A theo mapping được hỗ trợ, ban đầu chưa có legacy/kết quả cá nhân; đường khôi phục cần provision.</t>
        </is>
      </c>
    </row>
    <row r="203">
      <c r="D203" s="8" t="inlineStr">
        <is>
          <t>操作（Thao tác）</t>
        </is>
      </c>
    </row>
    <row r="204">
      <c r="E204" s="9" t="inlineStr">
        <is>
          <t>1. Chụp identity, rule mới, ngưỡng legacy 25 và kết quả cá nhân ô cũ; ghi ô đích chưa có các giá trị đó.
2. Khôi phục/thay khung theo đường được hỗ trợ; ghi mapping kỳ/môn/mục/nhóm và ô cũ → ô mới, không tự ghép theo tên giống nhau.
3. Đọc lại ngưỡng/báo cáo legacy nguồn và đích, rule mới và kết quả cá nhân ô mới trước/sau khi xét riêng; kiểm ba đầu ra theo identity ô.
Phạm vi từng lượt chạy:
- Base: Toàn bộ thủ tục theo đúng thứ tự; các đối chứng cùng fixture được kiểm trong cùng lượt, không bỏ bước</t>
        </is>
      </c>
    </row>
    <row r="205">
      <c r="D205" s="8" t="inlineStr">
        <is>
          <t>期待結果（Kết quả mong đợi）</t>
        </is>
      </c>
    </row>
    <row r="206">
      <c r="E206" s="9" t="inlineStr">
        <is>
          <t>Nguồn giữ ngưỡng legacy **25**; ô/khung mới có mapping hợp lệ cũng đọc **25** qua cấu hình/báo cáo legacy riêng, không thành rule/fallback mới. Ô mới **không** nhận snapshot/kết quả cá nhân của ô cũ trước lần xét riêng; sau đó kết quả phải mang identity ô mới. Nếu chưa xác minh đường khôi phục/mapping hoặc reader legacy ở đích thì BLOCKED, không bỏ nhánh.</t>
        </is>
      </c>
    </row>
    <row r="207">
      <c r="D207" s="8" t="inlineStr">
        <is>
          <t>証跡（Bằng chứng）</t>
        </is>
      </c>
    </row>
    <row r="208">
      <c r="E208" s="9" t="inlineStr">
        <is>
          <t>
          </t>
        </is>
      </c>
    </row>
    <row r="209">
      <c r="D209" s="8" t="inlineStr">
        <is>
          <t>リセット（Đặt lại）</t>
        </is>
      </c>
    </row>
    <row r="210">
      <c r="E210" s="9" t="inlineStr">
        <is>
          <t>
          </t>
        </is>
      </c>
    </row>
    <row r="211">
      <c r="D211" s="9" t="inlineStr">
        <is>
          <t>
          </t>
        </is>
      </c>
    </row>
    <row r="212">
      <c r="C212" s="9" t="inlineStr">
        <is>
          <t>TC-RS-DATA-019 — Đồng bộ cấu hình không đồng nghĩa đã xét</t>
        </is>
      </c>
    </row>
    <row r="213">
      <c r="D213" s="10" t="inlineStr">
        <is>
          <t>Priority: Cao ｜ Status: CONFIRMED ｜ Readiness: BLOCKED ｜ Requirement ID: AC-G38 «Bảo toàn điểm đỏ cũ»; AC-G39 «Không dùng lại kết quả cho đối tượng mới»</t>
        </is>
      </c>
    </row>
    <row r="214">
      <c r="D214" s="8" t="inlineStr">
        <is>
          <t>前提条件（Điều kiện trước）</t>
        </is>
      </c>
    </row>
    <row r="215">
      <c r="E215" s="9" t="inlineStr">
        <is>
          <t>- Nguồn: TD-LEGACY-01 trường A/năm 2025/kỳ Cuối kỳ học kỳ 1/mục Toán/nhóm G-A có rule mới `&lt;30`, ngưỡng legacy 25, snapshot và kết quả cá nhân Đỏ của S01. Đích: cùng trường/năm 2026/kỳ tương ứng/môn Toán/mục Toán/nhóm được ánh xạ G-A→G-A năm mới, ban đầu không có legacy, snapshot hoặc kết quả nguồn; đường sync cấu hình cần provision.</t>
        </is>
      </c>
    </row>
    <row r="216">
      <c r="D216" s="8" t="inlineStr">
        <is>
          <t>操作（Thao tác）</t>
        </is>
      </c>
    </row>
    <row r="217">
      <c r="E217" s="9" t="inlineStr">
        <is>
          <t>1. Ghi mapping kỳ/môn/mục/nhóm, identity nguồn/đích, giá trị legacy nguồn 25 và snapshot/kết quả cá nhân nguồn; ghi trạng thái đích ban đầu.
2. Đồng bộ cấu hình; đọc lại rule mới và ngưỡng/báo cáo legacy ở cả nguồn lẫn đích.
3. Mở kết quả cá nhân và ba đầu ra của đích **trước** khi chạy xét, sau đó chạy xét riêng ở đích và đọc lại.
Phạm vi từng lượt chạy:
- Base: Toàn bộ thủ tục theo đúng thứ tự; các đối chứng cùng fixture được kiểm trong cùng lượt, không bỏ bước</t>
        </is>
      </c>
    </row>
    <row r="218">
      <c r="D218" s="8" t="inlineStr">
        <is>
          <t>期待結果（Kết quả mong đợi）</t>
        </is>
      </c>
    </row>
    <row r="219">
      <c r="E219" s="9" t="inlineStr">
        <is>
          <t>Đồng bộ cấu hình có mapping hợp lệ giữ ngưỡng legacy **25** ở nguồn và đưa **25** tới cấu hình/báo cáo legacy riêng của đích; không thành rule/fallback mới. Trước lần xét riêng, đích chưa được coi là đã xét và không dùng snapshot/kết quả **cá nhân** nguồn; sau đó kết quả chỉ thuộc identity đích. Nếu seam sync/mapping hoặc reader legacy ở đích chưa xác minh thì BLOCKED, không coi chỉ bảo toàn nguồn là đủ.</t>
        </is>
      </c>
    </row>
    <row r="220">
      <c r="D220" s="8" t="inlineStr">
        <is>
          <t>証跡（Bằng chứng）</t>
        </is>
      </c>
    </row>
    <row r="221">
      <c r="E221" s="9" t="inlineStr">
        <is>
          <t>
          </t>
        </is>
      </c>
    </row>
    <row r="222">
      <c r="D222" s="8" t="inlineStr">
        <is>
          <t>リセット（Đặt lại）</t>
        </is>
      </c>
    </row>
    <row r="223">
      <c r="E223" s="9" t="inlineStr">
        <is>
          <t>
          </t>
        </is>
      </c>
    </row>
    <row r="224">
      <c r="D224" s="9" t="inlineStr">
        <is>
          <t>
          </t>
        </is>
      </c>
    </row>
    <row r="225">
      <c r="C225" s="9" t="inlineStr">
        <is>
          <t>TC-RS-DATA-006 — Giá trị legacy giữ nguyên khi thay đổi rule mới</t>
        </is>
      </c>
    </row>
    <row r="226">
      <c r="D226" s="10" t="inlineStr">
        <is>
          <t>Priority: Cao ｜ Status: CONFIRMED ｜ Readiness: UNASSESSED ｜ Requirement ID: AC-G38 «Bảo toàn điểm đỏ cũ»</t>
        </is>
      </c>
    </row>
    <row r="227">
      <c r="D227" s="8" t="inlineStr">
        <is>
          <t>前提条件（Điều kiện trước）</t>
        </is>
      </c>
    </row>
    <row r="228">
      <c r="E228" s="9" t="inlineStr">
        <is>
          <t>- Có giá trị và kết quả legacy trước khi thêm rule mới.</t>
        </is>
      </c>
    </row>
    <row r="229">
      <c r="D229" s="8" t="inlineStr">
        <is>
          <t>操作（Thao tác）</t>
        </is>
      </c>
    </row>
    <row r="230">
      <c r="E230" s="9" t="inlineStr">
        <is>
          <t>1. Thêm, sửa, xóa và chạy rule mới.
2. Đọc lại giá trị legacy và kết quả legacy.
Phạm vi từng lượt chạy:
- Base: Toàn bộ thủ tục theo đúng thứ tự; các đối chứng cùng fixture được kiểm trong cùng lượt, không bỏ bước</t>
        </is>
      </c>
    </row>
    <row r="231">
      <c r="D231" s="8" t="inlineStr">
        <is>
          <t>期待結果（Kết quả mong đợi）</t>
        </is>
      </c>
    </row>
    <row r="232">
      <c r="E232" s="9" t="inlineStr">
        <is>
          <t>Giá trị legacy không bị sửa, xóa hoặc dùng lại làm kết quả cá nhân của rule mới.</t>
        </is>
      </c>
    </row>
    <row r="233">
      <c r="D233" s="8" t="inlineStr">
        <is>
          <t>証跡（Bằng chứng）</t>
        </is>
      </c>
    </row>
    <row r="234">
      <c r="E234" s="9" t="inlineStr">
        <is>
          <t>
          </t>
        </is>
      </c>
    </row>
    <row r="235">
      <c r="D235" s="8" t="inlineStr">
        <is>
          <t>リセット（Đặt lại）</t>
        </is>
      </c>
    </row>
    <row r="236">
      <c r="E236" s="9" t="inlineStr">
        <is>
          <t>
          </t>
        </is>
      </c>
    </row>
    <row r="237">
      <c r="D237" s="9" t="inlineStr">
        <is>
          <t>
          </t>
        </is>
      </c>
    </row>
    <row r="238">
      <c r="C238" s="9" t="inlineStr">
        <is>
          <t>TC-RS-DATA-009 — Copy, kế thừa năm, import/export và sync không mang kết quả cũ</t>
        </is>
      </c>
    </row>
    <row r="239">
      <c r="D239" s="10" t="inlineStr">
        <is>
          <t>Priority: Cao ｜ Status: CONFIRMED ｜ Readiness: UNASSESSED ｜ Requirement ID: AC-G38 «Bảo toàn điểm đỏ cũ»; AC-G39 «Không dùng lại kết quả cho đối tượng mới»</t>
        </is>
      </c>
    </row>
    <row r="240">
      <c r="D240" s="8" t="inlineStr">
        <is>
          <t>前提条件（Điều kiện trước）</t>
        </is>
      </c>
    </row>
    <row r="241">
      <c r="E241" s="9" t="inlineStr">
        <is>
          <t>- Nguồn có cấu hình, bản chốt và kết quả cá nhân legacy; đích là năm mới/đối tượng mới.</t>
        </is>
      </c>
    </row>
    <row r="242">
      <c r="D242" s="8" t="inlineStr">
        <is>
          <t>操作（Thao tác）</t>
        </is>
      </c>
    </row>
    <row r="243">
      <c r="E243" s="9" t="inlineStr">
        <is>
          <t>1. Thực hiện từng đường copy, kế thừa năm, import/export và sync.
2. Kiểm tra cấu hình, mapping identity, bản chốt và kết quả trước khi chạy xét ở đích.
Phạm vi từng lượt chạy:
- copy: Đường copy, fixture DATA-015
- year: Đường kế thừa năm, fixture DATA-016
- import-export: Đường xuất nhập, fixture DATA-017
- sync: Đường đồng bộ, fixture DATA-019</t>
        </is>
      </c>
    </row>
    <row r="244">
      <c r="D244" s="8" t="inlineStr">
        <is>
          <t>期待結果（Kết quả mong đợi）</t>
        </is>
      </c>
    </row>
    <row r="245">
      <c r="E245" s="9" t="inlineStr">
        <is>
          <t>Chỉ phần được phép copy/sync được chuyển; không chuyển kết quả cá nhân hoặc bản chốt legacy sang identity đích. Mapping đúng; đích chỉ có kết quả sau lượt xét riêng.</t>
        </is>
      </c>
    </row>
    <row r="246">
      <c r="D246" s="8" t="inlineStr">
        <is>
          <t>証跡（Bằng chứng）</t>
        </is>
      </c>
    </row>
    <row r="247">
      <c r="E247" s="9" t="inlineStr">
        <is>
          <t>
          </t>
        </is>
      </c>
    </row>
    <row r="248">
      <c r="D248" s="8" t="inlineStr">
        <is>
          <t>リセット（Đặt lại）</t>
        </is>
      </c>
    </row>
    <row r="249">
      <c r="E249" s="9" t="inlineStr">
        <is>
          <t>
          </t>
        </is>
      </c>
    </row>
    <row r="250">
      <c r="D250" s="9" t="inlineStr">
        <is>
          <t>
          </t>
        </is>
      </c>
    </row>
  </sheetData>
  <pageMargins left="0.75" right="0.75" top="1" bottom="1" header="0.5" footer="0.5"/>
  <pageSetup fitToHeight="0" fitToWidth="1"/>
</worksheet>
</file>

<file path=xl/worksheets/sheet14.xml><?xml version="1.0" encoding="utf-8"?>
<worksheet xmlns="http://schemas.openxmlformats.org/spreadsheetml/2006/main">
  <sheetPr>
    <outlinePr summaryBelow="1" summaryRight="1"/>
    <pageSetUpPr fitToPage="1"/>
  </sheetPr>
  <dimension ref="A1:F224"/>
  <sheetViews>
    <sheetView showGridLines="0" workbookViewId="0">
      <pane xSplit="4" ySplit="2" topLeftCell="E3" activePane="bottomRight" state="frozen"/>
      <selection pane="topRight"/>
      <selection pane="bottomLeft"/>
      <selection pane="bottomRight" activeCell="A1" sqref="A1"/>
    </sheetView>
  </sheetViews>
  <sheetFormatPr baseColWidth="8" defaultRowHeight="15"/>
  <cols>
    <col width="3.13" customWidth="1" min="1" max="1"/>
    <col width="24" customWidth="1" min="3" max="3"/>
    <col width="24" customWidth="1" min="4" max="4"/>
    <col width="95" customWidth="1" min="5" max="5"/>
    <col width="28" customWidth="1" min="6" max="6"/>
  </cols>
  <sheetData>
    <row r="1" customHeight="1" ht="4">
      <c r="A1" s="2" t="n">
      </c>
      <c r="B1" s="2" t="n">
      </c>
      <c r="C1" s="2" t="n">
      </c>
      <c r="D1" s="2" t="n">
      </c>
      <c r="E1" s="2" t="n">
      </c>
      <c r="F1" s="2" t="n">
      </c>
    </row>
    <row r="2" customHeight="1" ht="28">
      <c r="A2" s="2" t="n">
      </c>
      <c r="B2" s="2" t="n">
      </c>
      <c r="C2" s="11" t="inlineStr">
        <is>
          <t>H. Regression：</t>
        </is>
      </c>
      <c r="D2" s="2" t="n">
      </c>
      <c r="E2" s="2" t="n">
      </c>
      <c r="F2" s="9" t="inlineStr">
        <is>
          <t>Nguồn test-cases.vi.md • Nhập kết quả/evidence khi chạy.</t>
        </is>
      </c>
    </row>
    <row r="3" customHeight="1" ht="4">
      <c r="A3" s="2" t="n">
      </c>
      <c r="B3" s="2" t="n">
      </c>
      <c r="C3" s="2" t="n">
      </c>
      <c r="D3" s="2" t="n">
      </c>
      <c r="E3" s="2" t="n">
      </c>
      <c r="F3" s="2" t="n">
      </c>
    </row>
    <row r="4">
      <c r="C4" s="9" t="inlineStr">
        <is>
          <t>TC-RS-REG-001 — Điểm do tính tự động（自動計算） tạo ra không đổi khi có quy tắc đỏ</t>
        </is>
      </c>
    </row>
    <row r="5">
      <c r="D5" s="10" t="inlineStr">
        <is>
          <t>Priority: Cao ｜ Status: CONFIRMED ｜ Readiness: UNASSESSED ｜ Requirement ID: đặc tả v2 mục 7.1 “Trình tự cho một ô”, mục 12.2 “Điểm tích hợp chính”</t>
        </is>
      </c>
    </row>
    <row r="6">
      <c r="D6" s="8" t="inlineStr">
        <is>
          <t>前提条件（Điều kiện trước）</t>
        </is>
      </c>
    </row>
    <row r="7">
      <c r="E7" s="9" t="inlineStr">
        <is>
          <t>- Điều kiện: mục số nguyên có thêm tính tự động có quy tắc tính tự động; baseline điểm tự động của khối 1. Thêm quy tắc “Cố định 30” (dưới 30).
- Dữ liệu test: mục số nguyên có thêm tính tự động, quy tắc “Cố định 30” (dưới 30)</t>
        </is>
      </c>
    </row>
    <row r="8">
      <c r="D8" s="8" t="inlineStr">
        <is>
          <t>操作（Thao tác）</t>
        </is>
      </c>
    </row>
    <row r="9">
      <c r="E9" s="9" t="inlineStr">
        <is>
          <t>1. Chạy nút cam cho khối 1.
2. So điểm của mục số nguyên có thêm tính tự động với baseline.
Phạm vi từng lượt chạy:
- Base: Toàn bộ thủ tục theo đúng thứ tự; các đối chứng cùng fixture được kiểm trong cùng lượt, không bỏ bước</t>
        </is>
      </c>
    </row>
    <row r="10">
      <c r="D10" s="8" t="inlineStr">
        <is>
          <t>期待結果（Kết quả mong đợi）</t>
        </is>
      </c>
    </row>
    <row r="11">
      <c r="E11" s="9" t="inlineStr">
        <is>
          <t>Mọi điểm tự động bằng baseline; chỉ có thêm kết quả đỏ.</t>
        </is>
      </c>
    </row>
    <row r="12">
      <c r="D12" s="8" t="inlineStr">
        <is>
          <t>証跡（Bằng chứng）</t>
        </is>
      </c>
    </row>
    <row r="13">
      <c r="E13" s="9" t="inlineStr">
        <is>
          <t>
          </t>
        </is>
      </c>
    </row>
    <row r="14">
      <c r="D14" s="8" t="inlineStr">
        <is>
          <t>リセット（Đặt lại）</t>
        </is>
      </c>
    </row>
    <row r="15">
      <c r="E15" s="9" t="inlineStr">
        <is>
          <t>
          </t>
        </is>
      </c>
    </row>
    <row r="16">
      <c r="D16" s="9" t="inlineStr">
        <is>
          <t>
          </t>
        </is>
      </c>
    </row>
    <row r="17">
      <c r="C17" s="9" t="inlineStr">
        <is>
          <t>TC-RS-REG-002 — Quy tắc đỏ không kế thừa hành vi "không khớp thì ghi NULL" của AutoRating</t>
        </is>
      </c>
    </row>
    <row r="18">
      <c r="D18" s="10" t="inlineStr">
        <is>
          <t>Priority: Cao ｜ Status: CONFIRMED ｜ Readiness: UNASSESSED ｜ Requirement ID: đặc tả v2 mục 12.2 “Điểm tích hợp chính”</t>
        </is>
      </c>
    </row>
    <row r="19">
      <c r="D19" s="8" t="inlineStr">
        <is>
          <t>前提条件（Điều kiện trước）</t>
        </is>
      </c>
    </row>
    <row r="20">
      <c r="E20" s="9" t="inlineStr">
        <is>
          <t>- Điều kiện: mục số nguyên (M=100) chỉ có quy tắc có bộ lọc kết hợp (khối 1 hoặc 2, nhóm Nâng cao); S07=20 không khớp (như case “Không quy tắc nào khớp khi đủ dữ liệu → Không áp dụng”). Mục không có quy tắc tính tự động.
- Dữ liệu test: mục số nguyên (M=100); quy tắc có bộ lọc kết hợp (khối 1 hoặc 2, nhóm Nâng cao), học sinh S07 (điểm 35, cờ Chưa dự thi（未受験）)</t>
        </is>
      </c>
    </row>
    <row r="21">
      <c r="D21" s="8" t="inlineStr">
        <is>
          <t>操作（Thao tác）</t>
        </is>
      </c>
    </row>
    <row r="22">
      <c r="E22" s="9" t="inlineStr">
        <is>
          <t>1. Đăng ký S07=20; chạy nút cam.
2. Xem điểm S07 trên màn nhập điểm và DB.
Phạm vi từng lượt chạy:
- Base: Toàn bộ thủ tục theo đúng thứ tự; các đối chứng cùng fixture được kiểm trong cùng lượt, không bỏ bước</t>
        </is>
      </c>
    </row>
    <row r="23">
      <c r="D23" s="8" t="inlineStr">
        <is>
          <t>期待結果（Kết quả mong đợi）</t>
        </is>
      </c>
    </row>
    <row r="24">
      <c r="E24" s="9" t="inlineStr">
        <is>
          <t>Điểm S07 vẫn 20 (không bị xóa/NULL); kết quả là Không áp dụng.</t>
        </is>
      </c>
    </row>
    <row r="25">
      <c r="D25" s="8" t="inlineStr">
        <is>
          <t>証跡（Bằng chứng）</t>
        </is>
      </c>
    </row>
    <row r="26">
      <c r="E26" s="9" t="inlineStr">
        <is>
          <t>
          </t>
        </is>
      </c>
    </row>
    <row r="27">
      <c r="D27" s="8" t="inlineStr">
        <is>
          <t>リセット（Đặt lại）</t>
        </is>
      </c>
    </row>
    <row r="28">
      <c r="E28" s="9" t="inlineStr">
        <is>
          <t>
          </t>
        </is>
      </c>
    </row>
    <row r="29">
      <c r="D29" s="9" t="inlineStr">
        <is>
          <t>
          </t>
        </is>
      </c>
    </row>
    <row r="30">
      <c r="C30" s="9" t="inlineStr">
        <is>
          <t>TC-RS-REG-003 — Ô nhập tay được AutoRating bỏ qua vẫn giữ giá trị tay và vẫn được xét đỏ</t>
        </is>
      </c>
    </row>
    <row r="31">
      <c r="D31" s="10" t="inlineStr">
        <is>
          <t>Priority: Cao ｜ Status: CONFIRMED ｜ Readiness: UNASSESSED ｜ Requirement ID: tiêu chí nghiệm thu “Dùng điểm cuối cùng” (AC-G19 «Dùng điểm cuối cùng»)</t>
        </is>
      </c>
    </row>
    <row r="32">
      <c r="D32" s="8" t="inlineStr">
        <is>
          <t>前提条件（Điều kiện trước）</t>
        </is>
      </c>
    </row>
    <row r="33">
      <c r="E33" s="9" t="inlineStr">
        <is>
          <t>- Điều kiện: mục số nguyên có thêm tính tự động + quy tắc “Cố định 30” (dưới 30); S08 nhập tay 28.
- Dữ liệu test: mục số nguyên có thêm tính tự động, quy tắc “Cố định 30” (dưới 30); học sinh S08 (sửa tay 28 thành 35)</t>
        </is>
      </c>
    </row>
    <row r="34">
      <c r="D34" s="8" t="inlineStr">
        <is>
          <t>操作（Thao tác）</t>
        </is>
      </c>
    </row>
    <row r="35">
      <c r="E35" s="9" t="inlineStr">
        <is>
          <t>1. Lưu S08=28 bằng nhập tay; chạy nút cam.
2. Xem điểm và kết quả đỏ.
Phạm vi từng lượt chạy:
- Base: Toàn bộ thủ tục theo đúng thứ tự; các đối chứng cùng fixture được kiểm trong cùng lượt, không bỏ bước</t>
        </is>
      </c>
    </row>
    <row r="36">
      <c r="D36" s="8" t="inlineStr">
        <is>
          <t>期待結果（Kết quả mong đợi）</t>
        </is>
      </c>
    </row>
    <row r="37">
      <c r="E37" s="9" t="inlineStr">
        <is>
          <t>Điểm S08 vẫn 28 (không bị AutoRating ghi đè); S08 Đỏ.</t>
        </is>
      </c>
    </row>
    <row r="38">
      <c r="D38" s="8" t="inlineStr">
        <is>
          <t>証跡（Bằng chứng）</t>
        </is>
      </c>
    </row>
    <row r="39">
      <c r="E39" s="9" t="inlineStr">
        <is>
          <t>
          </t>
        </is>
      </c>
    </row>
    <row r="40">
      <c r="D40" s="8" t="inlineStr">
        <is>
          <t>リセット（Đặt lại）</t>
        </is>
      </c>
    </row>
    <row r="41">
      <c r="E41" s="9" t="inlineStr">
        <is>
          <t>
          </t>
        </is>
      </c>
    </row>
    <row r="42">
      <c r="D42" s="9" t="inlineStr">
        <is>
          <t>
          </t>
        </is>
      </c>
    </row>
    <row r="43">
      <c r="C43" s="9" t="inlineStr">
        <is>
          <t>TC-RS-REG-004 — Nút cam/nút xanh của trường đang dùng AutoRating hoạt động như trước</t>
        </is>
      </c>
    </row>
    <row r="44">
      <c r="D44" s="10" t="inlineStr">
        <is>
          <t>Priority: TBD ｜ Status: CONFIRMED ｜ Readiness: UNASSESSED ｜ Requirement ID: đặc tả v2 mục 1.3 “Quyền sử dụng”, mục 7.4 “Quy trình vận hành khi dùng trung bình/tỷ lệ nhóm”</t>
        </is>
      </c>
    </row>
    <row r="45">
      <c r="D45" s="8" t="inlineStr">
        <is>
          <t>前提条件（Điều kiện trước）</t>
        </is>
      </c>
    </row>
    <row r="46">
      <c r="E46" s="9" t="inlineStr">
        <is>
          <t>- Điều kiện: Trường có AutoRating active; tài khoản có quyền chạy hàng loạt. Baseline: phạm vi chọn được và danh sách lớp được xếp hàng.
- Dữ liệu test: mục số nguyên có thêm tính tự động</t>
        </is>
      </c>
    </row>
    <row r="47">
      <c r="D47" s="8" t="inlineStr">
        <is>
          <t>操作（Thao tác）</t>
        </is>
      </c>
    </row>
    <row r="48">
      <c r="E48" s="9" t="inlineStr">
        <is>
          <t>1. Mở màn, chọn cùng phạm vi như baseline.
2. Chạy nút cam rồi nút xanh.
Phạm vi từng lượt chạy:
- orange: Nút cam
- green: Nút xanh</t>
        </is>
      </c>
    </row>
    <row r="49">
      <c r="D49" s="8" t="inlineStr">
        <is>
          <t>期待結果（Kết quả mong đợi）</t>
        </is>
      </c>
    </row>
    <row r="50">
      <c r="E50" s="9" t="inlineStr">
        <is>
          <t>Nút hiện, phạm vi chọn và danh sách lớp xếp hàng như baseline; AutoRating tính như baseline (REG-001).</t>
        </is>
      </c>
    </row>
    <row r="51">
      <c r="D51" s="8" t="inlineStr">
        <is>
          <t>証跡（Bằng chứng）</t>
        </is>
      </c>
    </row>
    <row r="52">
      <c r="E52" s="9" t="inlineStr">
        <is>
          <t>
          </t>
        </is>
      </c>
    </row>
    <row r="53">
      <c r="D53" s="8" t="inlineStr">
        <is>
          <t>リセット（Đặt lại）</t>
        </is>
      </c>
    </row>
    <row r="54">
      <c r="E54" s="9" t="inlineStr">
        <is>
          <t>
          </t>
        </is>
      </c>
    </row>
    <row r="55">
      <c r="D55" s="9" t="inlineStr">
        <is>
          <t>
          </t>
        </is>
      </c>
    </row>
    <row r="56">
      <c r="C56" s="9" t="inlineStr">
        <is>
          <t>TC-RS-REG-005 — Kết quả tổng hợp thứ hạng（順位集計） không đổi khi có quy tắc đỏ đọc nguồn</t>
        </is>
      </c>
    </row>
    <row r="57">
      <c r="D57" s="10" t="inlineStr">
        <is>
          <t>Priority: TBD ｜ Status: CONFIRMED ｜ Readiness: UNASSESSED ｜ Requirement ID: đặc tả v2 mục 5.5 “Chọn bản nguồn”, mục 7.4 “Quy trình vận hành khi dùng trung bình/tỷ lệ nhóm”, mục 12.2 “Điểm tích hợp chính”</t>
        </is>
      </c>
    </row>
    <row r="58">
      <c r="D58" s="8" t="inlineStr">
        <is>
          <t>前提条件（Điều kiện trước）</t>
        </is>
      </c>
    </row>
    <row r="59">
      <c r="E59" s="9" t="inlineStr">
        <is>
          <t>- Điều kiện: cặp quy tắc phân nhánh theo trung bình 60 và quy tắc theo tỷ lệ điểm của nhóm từ 65% đang dùng nguồn của khối 1. Baseline: kết quả tổng hợp (trung bình, thứ hạng, số người) chạy trên build cũ với cùng dữ liệu.
- Dữ liệu test: cặp quy tắc phân nhánh theo trung bình 60, quy tắc theo tỷ lệ điểm của nhóm từ 65%</t>
        </is>
      </c>
    </row>
    <row r="60">
      <c r="D60" s="8" t="inlineStr">
        <is>
          <t>操作（Thao tác）</t>
        </is>
      </c>
    </row>
    <row r="61">
      <c r="E61" s="9" t="inlineStr">
        <is>
          <t>1. Chạy nút xanh rồi nút cam cho khối 1.
2. So trung bình, thứ hạng, số người với baseline.
Phạm vi từng lượt chạy:
- Base: Toàn bộ thủ tục theo đúng thứ tự; các đối chứng cùng fixture được kiểm trong cùng lượt, không bỏ bước</t>
        </is>
      </c>
    </row>
    <row r="62">
      <c r="D62" s="8" t="inlineStr">
        <is>
          <t>期待結果（Kết quả mong đợi）</t>
        </is>
      </c>
    </row>
    <row r="63">
      <c r="E63" s="9" t="inlineStr">
        <is>
          <t>Trung bình, thứ hạng, số người bằng baseline; nút cam không ghi lại kết quả tổng hợp.</t>
        </is>
      </c>
    </row>
    <row r="64">
      <c r="D64" s="8" t="inlineStr">
        <is>
          <t>証跡（Bằng chứng）</t>
        </is>
      </c>
    </row>
    <row r="65">
      <c r="E65" s="9" t="inlineStr">
        <is>
          <t>
          </t>
        </is>
      </c>
    </row>
    <row r="66">
      <c r="D66" s="8" t="inlineStr">
        <is>
          <t>リセット（Đặt lại）</t>
        </is>
      </c>
    </row>
    <row r="67">
      <c r="E67" s="9" t="inlineStr">
        <is>
          <t>
          </t>
        </is>
      </c>
    </row>
    <row r="68">
      <c r="D68" s="9" t="inlineStr">
        <is>
          <t>
          </t>
        </is>
      </c>
    </row>
    <row r="69">
      <c r="C69" s="9" t="inlineStr">
        <is>
          <t>TC-RS-REG-006 — Trích xuất: mẫu hiện có không cấu hình đỏ cho kết quả như trước</t>
        </is>
      </c>
    </row>
    <row r="70">
      <c r="D70" s="10" t="inlineStr">
        <is>
          <t>Priority: Cao ｜ Status: CONFIRMED ｜ Readiness: UNASSESSED ｜ Requirement ID: đặc tả v2 mục 9.1 “Thiết lập”, mục 9.2 “Kết quả và ví dụ”, mục 9.3 “Xuất file”</t>
        </is>
      </c>
    </row>
    <row r="71">
      <c r="D71" s="8" t="inlineStr">
        <is>
          <t>前提条件（Điều kiện trước）</t>
        </is>
      </c>
    </row>
    <row r="72">
      <c r="E72" s="9" t="inlineStr">
        <is>
          <t>- Điều kiện: Ba mẫu trích xuất hiện có (có Khoảng điểm（点数範囲） tô màu, có lọc, có ký hiệu). Baseline màn và Excel. Mục có quy tắc “Cố định 30” (dưới 30).
- Dữ liệu test: quy tắc “Cố định 30” (dưới 30); học sinh S01–S10</t>
        </is>
      </c>
    </row>
    <row r="73">
      <c r="D73" s="8" t="inlineStr">
        <is>
          <t>操作（Thao tác）</t>
        </is>
      </c>
    </row>
    <row r="74">
      <c r="E74" s="9" t="inlineStr">
        <is>
          <t>1. Chạy lại ba mẫu, xuất Excel, so với baseline.
2. Mở màn tạo mẫu trích xuất mới, Thiết lập công khai thành tích（成績公開設定） chưa từng lưu hiệu ứng đỏ, và dòng Thiết lập điểm đỏ（赤点設定） của một bảng phiếu điểm mới.
Phạm vi từng lượt chạy:
- color: Mẫu tô màu
- filter: Mẫu lọc
- symbol: Mẫu ký hiệu
- defaults: Bước 2 các cấu hình mới, phần đề xuất</t>
        </is>
      </c>
    </row>
    <row r="75">
      <c r="D75" s="8" t="inlineStr">
        <is>
          <t>期待結果（Kết quả mong đợi）</t>
        </is>
      </c>
    </row>
    <row r="76">
      <c r="E76" s="9" t="inlineStr">
        <is>
          <t>1. Danh sách học sinh, giá trị, ký hiệu, màu và định dạng Excel bằng baseline (mẫu chưa bật tùy chọn đỏ).
2. (PROPOSED) Trích xuất: lọc đỏ và các hiệu ứng đỏ mặc định TẮT; công khai: chưa chọn hiệu ứng đỏ nào, và khi chưa cấu hình thì màn học sinh vẫn hiển thị như hiện có dù mục có ô Đỏ; phiếu điểm: Nguyên trạng（そのまま表示）.</t>
        </is>
      </c>
    </row>
    <row r="77">
      <c r="D77" s="8" t="inlineStr">
        <is>
          <t>証跡（Bằng chứng）</t>
        </is>
      </c>
    </row>
    <row r="78">
      <c r="E78" s="9" t="inlineStr">
        <is>
          <t>
          </t>
        </is>
      </c>
    </row>
    <row r="79">
      <c r="D79" s="8" t="inlineStr">
        <is>
          <t>リセット（Đặt lại）</t>
        </is>
      </c>
    </row>
    <row r="80">
      <c r="E80" s="9" t="inlineStr">
        <is>
          <t>
          </t>
        </is>
      </c>
    </row>
    <row r="81">
      <c r="D81" s="9" t="inlineStr">
        <is>
          <t>
          </t>
        </is>
      </c>
    </row>
    <row r="82">
      <c r="C82" s="9" t="inlineStr">
        <is>
          <t>TC-RS-REG-007 — Công khai: hiệu ứng Điểm dự kiến（見込点） và thiết lập khác được giữ</t>
        </is>
      </c>
    </row>
    <row r="83">
      <c r="D83" s="10" t="inlineStr">
        <is>
          <t>Priority: Cao ｜ Status: CONFIRMED ｜ Readiness: UNASSESSED ｜ Requirement ID: tiêu chí nghiệm thu “Kết hợp hiệu ứng công khai” (AC-G33 «Kết hợp hiệu ứng công khai»)</t>
        </is>
      </c>
    </row>
    <row r="84">
      <c r="D84" s="8" t="inlineStr">
        <is>
          <t>前提条件（Điều kiện trước）</t>
        </is>
      </c>
    </row>
    <row r="85">
      <c r="E85" s="9" t="inlineStr">
        <is>
          <t>- Điều kiện: cấu hình công khai: “*” phía trước. S06 (dự kiến, Đỏ). Một học sinh khác có điểm dự kiến, Không đỏ. Baseline màn học sinh.
- Dữ liệu test: cấu hình công khai: “*” phía trước; học sinh S06 (điểm dự kiến 24)</t>
        </is>
      </c>
    </row>
    <row r="86">
      <c r="D86" s="8" t="inlineStr">
        <is>
          <t>操作（Thao tác）</t>
        </is>
      </c>
    </row>
    <row r="87">
      <c r="E87" s="9" t="inlineStr">
        <is>
          <t>1. Xem màn học sinh.
2. Làm S06 chuyển Chưa xét được (như case “Chưa có kết quả tổng hợp → Chưa xét được, không thay bằng 0 hay nhóm khác”), xem lại.
3. Xóa quy tắc cuối, mở Thiết lập công khai thành tích（成績公開設定）.
Phạm vi từng lượt chạy:
- Base: Toàn bộ thủ tục theo đúng thứ tự; các đối chứng cùng fixture được kiểm trong cùng lượt, không bỏ bước</t>
        </is>
      </c>
    </row>
    <row r="88">
      <c r="D88" s="8" t="inlineStr">
        <is>
          <t>期待結果（Kết quả mong đợi）</t>
        </is>
      </c>
    </row>
    <row r="89">
      <c r="E89" s="9" t="inlineStr">
        <is>
          <t>1. Học sinh Không đỏ hiển thị như baseline (ngoặc dự kiến).
2. S06 bỏ `*` đỏ nhưng giữ ngoặc dự kiến: `(24)`.
3. Cấu hình hiển thị đã lưu không bị xóa. Nền và định dạng khác như baseline.</t>
        </is>
      </c>
    </row>
    <row r="90">
      <c r="D90" s="8" t="inlineStr">
        <is>
          <t>証跡（Bằng chứng）</t>
        </is>
      </c>
    </row>
    <row r="91">
      <c r="E91" s="9" t="inlineStr">
        <is>
          <t>
          </t>
        </is>
      </c>
    </row>
    <row r="92">
      <c r="D92" s="8" t="inlineStr">
        <is>
          <t>リセット（Đặt lại）</t>
        </is>
      </c>
    </row>
    <row r="93">
      <c r="E93" s="9" t="inlineStr">
        <is>
          <t>
          </t>
        </is>
      </c>
    </row>
    <row r="94">
      <c r="D94" s="9" t="inlineStr">
        <is>
          <t>
          </t>
        </is>
      </c>
    </row>
    <row r="95">
      <c r="C95" s="9" t="inlineStr">
        <is>
          <t>TC-RS-REG-008 — Công khai: điểm ẩn, lịch và đối tượng công khai được giữ</t>
        </is>
      </c>
    </row>
    <row r="96">
      <c r="D96" s="10" t="inlineStr">
        <is>
          <t>Priority: Cao ｜ Status: CONFIRMED ｜ Readiness: READY ｜ Requirement ID: tiêu chí nghiệm thu “Cấu hình công khai và ẩn điểm” (AC-G32 «Cấu hình công khai và ẩn điểm»)</t>
        </is>
      </c>
    </row>
    <row r="97">
      <c r="D97" s="8" t="inlineStr">
        <is>
          <t>前提条件（Điều kiện trước）</t>
        </is>
      </c>
    </row>
    <row r="98">
      <c r="E98" s="9" t="inlineStr">
        <is>
          <t>- Điều kiện: S06 Đỏ, mục đặt Không hiển thị（表示しない） cho điểm dự kiến; lịch công khai đang mở cho HR2; một lịch đã đóng.
- Dữ liệu test: học sinh S06 (điểm dự kiến 24), tài khoản học sinh S06 theo TD-ROLE-06; TD-ROLE-05 thuộc S01 và không dùng cho case này.</t>
        </is>
      </c>
    </row>
    <row r="99">
      <c r="D99" s="8" t="inlineStr">
        <is>
          <t>操作（Thao tác）</t>
        </is>
      </c>
    </row>
    <row r="100">
      <c r="E100" s="9" t="inlineStr">
        <is>
          <t>1. Xem màn học sinh, API, PDF của S06.
2. Xem khi lịch đóng.
Phạm vi từng lượt chạy:
- web-open: Màn web lịch mở
- api-open: API lịch mở
- pdf-open: PDF lịch mở
- web-closed: Màn web lịch đóng
- api-closed: API lịch đóng
- pdf-closed: PDF lịch đóng</t>
        </is>
      </c>
    </row>
    <row r="101">
      <c r="D101" s="8" t="inlineStr">
        <is>
          <t>期待結果（Kết quả mong đợi）</t>
        </is>
      </c>
    </row>
    <row r="102">
      <c r="E102" s="9" t="inlineStr">
        <is>
          <t>1. Điểm vẫn ẩn; không có dấu đỏ riêng lẻ.
2. Không xem được như baseline.</t>
        </is>
      </c>
    </row>
    <row r="103">
      <c r="D103" s="8" t="inlineStr">
        <is>
          <t>証跡（Bằng chứng）</t>
        </is>
      </c>
    </row>
    <row r="104">
      <c r="E104" s="9" t="inlineStr">
        <is>
          <t>
          </t>
        </is>
      </c>
    </row>
    <row r="105">
      <c r="D105" s="8" t="inlineStr">
        <is>
          <t>リセット（Đặt lại）</t>
        </is>
      </c>
    </row>
    <row r="106">
      <c r="E106" s="9" t="inlineStr">
        <is>
          <t>
          </t>
        </is>
      </c>
    </row>
    <row r="107">
      <c r="D107" s="9" t="inlineStr">
        <is>
          <t>
          </t>
        </is>
      </c>
    </row>
    <row r="108">
      <c r="C108" s="9" t="inlineStr">
        <is>
          <t>TC-RS-REG-009 — Phiếu điểm: các điều kiện hiển thị hiện có giữ hành vi</t>
        </is>
      </c>
    </row>
    <row r="109">
      <c r="D109" s="10" t="inlineStr">
        <is>
          <t>Priority: Cao ｜ Status: CONFIRMED ｜ Readiness: UNASSESSED ｜ Requirement ID: tiêu chí nghiệm thu “Phiếu dừng ở điều kiện khớp đầu tiên” (AC-G36 «Phiếu dừng ở điều kiện khớp đầu tiên»)</t>
        </is>
      </c>
    </row>
    <row r="110">
      <c r="D110" s="8" t="inlineStr">
        <is>
          <t>前提条件（Điều kiện trước）</t>
        </is>
      </c>
    </row>
    <row r="111">
      <c r="E111" s="9" t="inlineStr">
        <is>
          <t>- Điều kiện: Hai bảng điểm hiện có: (a) dùng điều kiện môn cụ thể và ô trống; (b) dùng checkbox Chưa dự thi（未受験） với ẩn. Baseline PDF. Mục có quy tắc “Cố định 30” (dưới 30); hai bảng chưa bật dòng đỏ.
- Dữ liệu test: quy tắc “Cố định 30” (dưới 30); học sinh S05 (ô trống), học sinh S07 (điểm 35, cờ Chưa dự thi（未受験）)</t>
        </is>
      </c>
    </row>
    <row r="112">
      <c r="D112" s="8" t="inlineStr">
        <is>
          <t>操作（Thao tác）</t>
        </is>
      </c>
    </row>
    <row r="113">
      <c r="E113" s="9" t="inlineStr">
        <is>
          <t>Xuất PDF hai bảng, so với baseline.
Phạm vi từng lượt chạy:
- subject-empty: Bảng a môn cụ thể và ô trống
- notexam-hidden: Bảng b chưa dự thi và ẩn</t>
        </is>
      </c>
    </row>
    <row r="114">
      <c r="D114" s="8" t="inlineStr">
        <is>
          <t>期待結果（Kết quả mong đợi）</t>
        </is>
      </c>
    </row>
    <row r="115">
      <c r="E115" s="9" t="inlineStr">
        <is>
          <t>PDF bằng baseline (cùng ký hiệu, ô ẩn, ô trống).</t>
        </is>
      </c>
    </row>
    <row r="116">
      <c r="D116" s="8" t="inlineStr">
        <is>
          <t>証跡（Bằng chứng）</t>
        </is>
      </c>
    </row>
    <row r="117">
      <c r="E117" s="9" t="inlineStr">
        <is>
          <t>
          </t>
        </is>
      </c>
    </row>
    <row r="118">
      <c r="D118" s="8" t="inlineStr">
        <is>
          <t>リセット（Đặt lại）</t>
        </is>
      </c>
    </row>
    <row r="119">
      <c r="E119" s="9" t="inlineStr">
        <is>
          <t>
          </t>
        </is>
      </c>
    </row>
    <row r="120">
      <c r="D120" s="9" t="inlineStr">
        <is>
          <t>
          </t>
        </is>
      </c>
    </row>
    <row r="121">
      <c r="C121" s="9" t="inlineStr">
        <is>
          <t>TC-RS-REG-010 — PDF phiếu: bố cục template không đổi khi có dấu đỏ</t>
        </is>
      </c>
    </row>
    <row r="122">
      <c r="D122" s="10" t="inlineStr">
        <is>
          <t>Priority: Cao ｜ Status: CONFIRMED ｜ Readiness: UNASSESSED ｜ Requirement ID: tiêu chí nghiệm thu “Lưu, sao chép và PDF phiếu” (AC-G37 «Lưu, sao chép và PDF phiếu»)</t>
        </is>
      </c>
    </row>
    <row r="123">
      <c r="D123" s="8" t="inlineStr">
        <is>
          <t>前提条件（Điều kiện trước）</t>
        </is>
      </c>
    </row>
    <row r="124">
      <c r="E124" s="9" t="inlineStr">
        <is>
          <t>- Điều kiện: cấu hình phiếu điểm: ký tự “※” phía trước với ký tự `※`; ô hẹp nhất của template chứa điểm 3 chữ số (ví dụ 100 nếu có quy tắc `≤100`, hoặc 29.5 cho mục thập phân).
- Dữ liệu test: cấu hình phiếu điểm: ký tự “※” phía trước; học sinh S01 (điểm 29), học sinh S09 (mục số thập phân 29.5)</t>
        </is>
      </c>
    </row>
    <row r="125">
      <c r="D125" s="8" t="inlineStr">
        <is>
          <t>操作（Thao tác）</t>
        </is>
      </c>
    </row>
    <row r="126">
      <c r="E126" s="9" t="inlineStr">
        <is>
          <t>Xuất PDF; so với baseline.
Phạm vi từng lượt chạy:
- Base: Toàn bộ thủ tục theo đúng thứ tự; các đối chứng cùng fixture được kiểm trong cùng lượt, không bỏ bước</t>
        </is>
      </c>
    </row>
    <row r="127">
      <c r="D127" s="8" t="inlineStr">
        <is>
          <t>期待結果（Kết quả mong đợi）</t>
        </is>
      </c>
    </row>
    <row r="128">
      <c r="E128" s="9" t="inlineStr">
        <is>
          <t>Dấu hiển thị đủ trong ô; không mất ký tự, không nền đỏ; các phần khác bằng baseline.</t>
        </is>
      </c>
    </row>
    <row r="129">
      <c r="D129" s="8" t="inlineStr">
        <is>
          <t>証跡（Bằng chứng）</t>
        </is>
      </c>
    </row>
    <row r="130">
      <c r="E130" s="9" t="inlineStr">
        <is>
          <t>
          </t>
        </is>
      </c>
    </row>
    <row r="131">
      <c r="D131" s="8" t="inlineStr">
        <is>
          <t>リセット（Đặt lại）</t>
        </is>
      </c>
    </row>
    <row r="132">
      <c r="E132" s="9" t="inlineStr">
        <is>
          <t>
          </t>
        </is>
      </c>
    </row>
    <row r="133">
      <c r="D133" s="9" t="inlineStr">
        <is>
          <t>
          </t>
        </is>
      </c>
    </row>
    <row r="134">
      <c r="C134" s="9" t="inlineStr">
        <is>
          <t>TC-RS-REG-013 — Các màn điểm tối đa lưu và xếp hàng như trước</t>
        </is>
      </c>
    </row>
    <row r="135">
      <c r="D135" s="10" t="inlineStr">
        <is>
          <t>Priority: TBD ｜ Status: CONFIRMED ｜ Readiness: UNASSESSED ｜ Requirement ID: tiêu chí nghiệm thu “Trigger khi đổi điểm tối đa/đơn vị” (AC-G24 «Trigger khi đổi điểm tối đa/đơn vị»)</t>
        </is>
      </c>
    </row>
    <row r="136">
      <c r="D136" s="8" t="inlineStr">
        <is>
          <t>前提条件（Điều kiện trước）</t>
        </is>
      </c>
    </row>
    <row r="137">
      <c r="E137" s="9" t="inlineStr">
        <is>
          <t>- Điều kiện: Baseline trên build cũ: giá trị lưu, thông báo và danh sách job khi thực hiện ba bước dưới với cùng dữ liệu. mục điểm đơn vị (đơn vị U1 có M riêng 40) có quy tắc tỷ lệ 30%.
- Dữ liệu test: quy tắc tỷ lệ 30%; mục điểm đơn vị (đơn vị U1 có M riêng 40)</t>
        </is>
      </c>
    </row>
    <row r="138">
      <c r="D138" s="8" t="inlineStr">
        <is>
          <t>操作（Thao tác）</t>
        </is>
      </c>
    </row>
    <row r="139">
      <c r="E139" s="9" t="inlineStr">
        <is>
          <t>1. Đổi định nghĩa M ở Thiết lập điểm tối đa（満点設定）, lưu, mở lại.
2. Đổi Giá trị tối đa（最大値）, lưu, mở lại.
3. Lưu ở Thiết lập điểm tối đa hàng loạt（満点一括設定） lựa chọn M=50 cho G-B; xem danh sách job.
Phạm vi từng lượt chạy:
- definition: Đổi định nghĩa M
- maximum: Đổi Giá trị tối đa
- batch: Lưu điểm tối đa hàng loạt</t>
        </is>
      </c>
    </row>
    <row r="140">
      <c r="D140" s="8" t="inlineStr">
        <is>
          <t>期待結果（Kết quả mong đợi）</t>
        </is>
      </c>
    </row>
    <row r="141">
      <c r="E141" s="9" t="inlineStr">
        <is>
          <t>Giá trị lưu, thông báo và danh sách job (lớp/kỳ được xếp hàng) bằng baseline.</t>
        </is>
      </c>
    </row>
    <row r="142">
      <c r="D142" s="8" t="inlineStr">
        <is>
          <t>証跡（Bằng chứng）</t>
        </is>
      </c>
    </row>
    <row r="143">
      <c r="E143" s="9" t="inlineStr">
        <is>
          <t>
          </t>
        </is>
      </c>
    </row>
    <row r="144">
      <c r="D144" s="8" t="inlineStr">
        <is>
          <t>リセット（Đặt lại）</t>
        </is>
      </c>
    </row>
    <row r="145">
      <c r="E145" s="9" t="inlineStr">
        <is>
          <t>
          </t>
        </is>
      </c>
    </row>
    <row r="146">
      <c r="D146" s="9" t="inlineStr">
        <is>
          <t>
          </t>
        </is>
      </c>
    </row>
    <row r="147">
      <c r="C147" s="9" t="inlineStr">
        <is>
          <t>TC-RS-REG-014 — Batch không phát sinh truy vấn theo từng ô（N+1）</t>
        </is>
      </c>
    </row>
    <row r="148">
      <c r="D148" s="10" t="inlineStr">
        <is>
          <t>Priority: TBD ｜ Status: CONFIRMED ｜ Readiness: UNASSESSED ｜ Requirement ID: đặc tả v2 mục 12.2 “Điểm tích hợp chính”</t>
        </is>
      </c>
    </row>
    <row r="149">
      <c r="D149" s="8" t="inlineStr">
        <is>
          <t>前提条件（Điều kiện trước）</t>
        </is>
      </c>
    </row>
    <row r="150">
      <c r="E150" s="9" t="inlineStr">
        <is>
          <t>- Điều kiện: Khối có ít nhất 2 cỡ dữ liệu khác nhau (ví dụ 10 và 100 học sinh) trên môi trường local; bật log truy vấn.
- Dữ liệu test: môi trường test (trường A, năm học 2026)</t>
        </is>
      </c>
    </row>
    <row r="151">
      <c r="D151" s="8" t="inlineStr">
        <is>
          <t>操作（Thao tác）</t>
        </is>
      </c>
    </row>
    <row r="152">
      <c r="E152" s="9" t="inlineStr">
        <is>
          <t>Chạy batch với từng cỡ dữ liệu; đếm truy vấn liên quan đến quy tắc/nguồn/kết quả đỏ.
Phạm vi từng lượt chạy:
- size10: Cỡ 10 học sinh
- size100: Cỡ 100 học sinh, đối chiếu log cả hai cỡ</t>
        </is>
      </c>
    </row>
    <row r="153">
      <c r="D153" s="8" t="inlineStr">
        <is>
          <t>期待結果（Kết quả mong đợi）</t>
        </is>
      </c>
    </row>
    <row r="154">
      <c r="E154" s="9" t="inlineStr">
        <is>
          <t>Số truy vấn đọc quy tắc/nguồn/M không tăng tuyến tính theo số ô. Thời gian chạy chỉ ghi lại để so, không có ngưỡng pass/fail (tài liệu chưa đặt ngưỡng).</t>
        </is>
      </c>
    </row>
    <row r="155">
      <c r="D155" s="8" t="inlineStr">
        <is>
          <t>証跡（Bằng chứng）</t>
        </is>
      </c>
    </row>
    <row r="156">
      <c r="E156" s="9" t="inlineStr">
        <is>
          <t>
          </t>
        </is>
      </c>
    </row>
    <row r="157">
      <c r="D157" s="8" t="inlineStr">
        <is>
          <t>リセット（Đặt lại）</t>
        </is>
      </c>
    </row>
    <row r="158">
      <c r="E158" s="9" t="inlineStr">
        <is>
          <t>
          </t>
        </is>
      </c>
    </row>
    <row r="159">
      <c r="D159" s="9" t="inlineStr">
        <is>
          <t>
          </t>
        </is>
      </c>
    </row>
    <row r="160">
      <c r="C160" s="9" t="inlineStr">
        <is>
          <t>TC-RS-REG-015 — Quyền học sinh/phụ huynh giữ nguyên</t>
        </is>
      </c>
    </row>
    <row r="161">
      <c r="D161" s="10" t="inlineStr">
        <is>
          <t>Priority: Cao ｜ Status: CONFIRMED ｜ Readiness: UNASSESSED ｜ Requirement ID: tiêu chí nghiệm thu “Đúng người, lịch và đầu ra công khai” (AC-G34 «Đúng người, lịch và đầu ra công khai»)</t>
        </is>
      </c>
    </row>
    <row r="162">
      <c r="D162" s="8" t="inlineStr">
        <is>
          <t>前提条件（Điều kiện trước）</t>
        </is>
      </c>
    </row>
    <row r="163">
      <c r="E163" s="9" t="inlineStr">
        <is>
          <t>- Điều kiện: tài khoản học sinh S01 (S01), tài khoản phụ huynh của học sinh S01 (phụ huynh của S01). Tài khoản học sinh/phụ huynh test lấy theo kênh được phép.
- Dữ liệu test: tài khoản học sinh S01, tài khoản phụ huynh của học sinh S01</t>
        </is>
      </c>
    </row>
    <row r="164">
      <c r="D164" s="8" t="inlineStr">
        <is>
          <t>操作（Thao tác）</t>
        </is>
      </c>
    </row>
    <row r="165">
      <c r="E165" s="9" t="inlineStr">
        <is>
          <t>1. Đăng nhập S01, xem màn.
2. Đổi ID học sinh trong URL/request API sang S02.
3. Mở URL màn cấu hình đỏ.
4. Đăng nhập phụ huynh của S01, xem màn và PDF công khai.
5. Đổi ID học sinh trong URL/request API sang S02.
Phạm vi từng lượt chạy:
- student: Bước 1–3 tài khoản học sinh
- parent: Bước 4–5 tài khoản phụ huynh</t>
        </is>
      </c>
    </row>
    <row r="166">
      <c r="D166" s="8" t="inlineStr">
        <is>
          <t>期待結果（Kết quả mong đợi）</t>
        </is>
      </c>
    </row>
    <row r="167">
      <c r="E167" s="9" t="inlineStr">
        <is>
          <t>1. Chỉ thấy dữ liệu S01.
2. Bị từ chối.
3. Bị từ chối.
4. Chỉ thấy dữ liệu S01; dấu đỏ và điểm ẩn giống màn học sinh.
5. Bị từ chối.</t>
        </is>
      </c>
    </row>
    <row r="168">
      <c r="D168" s="8" t="inlineStr">
        <is>
          <t>証跡（Bằng chứng）</t>
        </is>
      </c>
    </row>
    <row r="169">
      <c r="E169" s="9" t="inlineStr">
        <is>
          <t>
          </t>
        </is>
      </c>
    </row>
    <row r="170">
      <c r="D170" s="8" t="inlineStr">
        <is>
          <t>リセット（Đặt lại）</t>
        </is>
      </c>
    </row>
    <row r="171">
      <c r="E171" s="9" t="inlineStr">
        <is>
          <t>
          </t>
        </is>
      </c>
    </row>
    <row r="172">
      <c r="D172" s="9" t="inlineStr">
        <is>
          <t>
          </t>
        </is>
      </c>
    </row>
    <row r="173">
      <c r="C173" s="9" t="inlineStr">
        <is>
          <t>TC-RS-REG-016 — Đăng ký điểm: xử lý điểm liên quan và giao dịch giữ như trước</t>
        </is>
      </c>
    </row>
    <row r="174">
      <c r="D174" s="10" t="inlineStr">
        <is>
          <t>Priority: Cao ｜ Status: CONFIRMED ｜ Readiness: UNASSESSED ｜ Requirement ID: đặc tả v2 mục 7.5 “Phạm vi một lượt và thứ tự hoàn tất”, mục 8.4 “Lỗi kỹ thuật và thông báo”</t>
        </is>
      </c>
    </row>
    <row r="175">
      <c r="D175" s="8" t="inlineStr">
        <is>
          <t>前提条件（Điều kiện trước）</t>
        </is>
      </c>
    </row>
    <row r="176">
      <c r="E176" s="9" t="inlineStr">
        <is>
          <t>- Điều kiện: Mục có môn chính/môn con và quan điểm, có quy tắc tính tự động（自動計算設定） (mục số nguyên có thêm tính tự động) để các bước sau tính tự động chạy; baseline điểm môn chính, điểm quan điểm được sao chép và tín chỉ（単位） sau khi lưu điểm môn con. quy tắc “Cố định 30” (dưới 30) ở mục môn chính và ở mục nhận điểm sao chép theo quan điểm.
- Dữ liệu test: quy tắc “Cố định 30” (dưới 30); mục số nguyên (M=100); mục số nguyên có thêm tính tự động</t>
        </is>
      </c>
    </row>
    <row r="177">
      <c r="D177" s="8" t="inlineStr">
        <is>
          <t>操作（Thao tác）</t>
        </is>
      </c>
    </row>
    <row r="178">
      <c r="E178" s="9" t="inlineStr">
        <is>
          <t>1. Lưu điểm môn con qua đường ghi điểm “Màn lớp NB 成績登録 (đăng ký điểm)”, đường ghi điểm “CSV lớp NB”, đường ghi điểm “HR成績CSV一括登録 (đăng ký điểm hàng loạt bằng CSV)”.
2. So điểm môn chính, điểm quan điểm được sao chép và tín chỉ với baseline.
3. Xem kết quả đỏ của ô môn chính và ô nhận điểm sao chép; chọn dữ liệu sao cho giá trị trung gian (trước bước môn chính/phụ hoặc sao chép) và giá trị cuối nằm khác phía ngưỡng 30.
Phạm vi từng lượt chạy:
- direct: Màn đăng ký NB, đủ bước 1–3
- csv: CSV lớp NB, đủ bước 1–3
- hr-csv: CSV lớp chủ nhiệm hàng loạt, đủ bước 1–3</t>
        </is>
      </c>
    </row>
    <row r="179">
      <c r="D179" s="8" t="inlineStr">
        <is>
          <t>期待結果（Kết quả mong đợi）</t>
        </is>
      </c>
    </row>
    <row r="180">
      <c r="E180" s="9" t="inlineStr">
        <is>
          <t>1–2. Điểm môn chính, điểm quan điểm được sao chép và tín chỉ bằng baseline; thông báo và hành vi lỗi của từng đường như baseline.
3. Ô môn chính và ô nhận điểm sao chép được xét theo giá trị cuối sau các bước sau tính tự động, không theo giá trị trung gian (đặc tả v2 mục 7.5 “Phạm vi một lượt và thứ tự hoàn tất”).</t>
        </is>
      </c>
    </row>
    <row r="181">
      <c r="D181" s="8" t="inlineStr">
        <is>
          <t>証跡（Bằng chứng）</t>
        </is>
      </c>
    </row>
    <row r="182">
      <c r="E182" s="9" t="inlineStr">
        <is>
          <t>
          </t>
        </is>
      </c>
    </row>
    <row r="183">
      <c r="D183" s="8" t="inlineStr">
        <is>
          <t>リセット（Đặt lại）</t>
        </is>
      </c>
    </row>
    <row r="184">
      <c r="E184" s="9" t="inlineStr">
        <is>
          <t>
          </t>
        </is>
      </c>
    </row>
    <row r="185">
      <c r="D185" s="9" t="inlineStr">
        <is>
          <t>
          </t>
        </is>
      </c>
    </row>
    <row r="186">
      <c r="C186" s="9" t="inlineStr">
        <is>
          <t>TC-RS-REG-017 — Thiết lập ô nhập（入力欄設定）: các hàng hiện có không bị ảnh hưởng</t>
        </is>
      </c>
    </row>
    <row r="187">
      <c r="D187" s="10" t="inlineStr">
        <is>
          <t>Priority: TBD ｜ Status: CONFIRMED ｜ Readiness: UNASSESSED ｜ Requirement ID: đặc tả v2 mục 4.1 “Điểm vào và trạng thái trống”, mục 12.2 “Điểm tích hợp chính”</t>
        </is>
      </c>
    </row>
    <row r="188">
      <c r="D188" s="8" t="inlineStr">
        <is>
          <t>前提条件（Điều kiện trước）</t>
        </is>
      </c>
    </row>
    <row r="189">
      <c r="E189" s="9" t="inlineStr">
        <is>
          <t>- Điều kiện: Baseline màn với nhiều mục; có mục có tính tự động và mục bị ẩn.
- Dữ liệu test: mục số nguyên (M=100), mục số nguyên có thêm tính tự động</t>
        </is>
      </c>
    </row>
    <row r="190">
      <c r="D190" s="8" t="inlineStr">
        <is>
          <t>操作（Thao tác）</t>
        </is>
      </c>
    </row>
    <row r="191">
      <c r="E191" s="9" t="inlineStr">
        <is>
          <t>1. Mở màn, so bố cục với baseline.
2. Bấm link ở hàng Tính tự động（自動計算） và Thiết lập ẩn mục nhập（入力項目の非表示設定）.
3. Sửa một giá trị ở hàng khác, lưu.
Phạm vi từng lượt chạy:
- Base: Toàn bộ thủ tục theo đúng thứ tự; các đối chứng cùng fixture được kiểm trong cùng lượt, không bỏ bước</t>
        </is>
      </c>
    </row>
    <row r="192">
      <c r="D192" s="8" t="inlineStr">
        <is>
          <t>期待結果（Kết quả mong đợi）</t>
        </is>
      </c>
    </row>
    <row r="193">
      <c r="E193" s="9" t="inlineStr">
        <is>
          <t>Cột thẳng hàng, link mở đúng màn của đúng mục, lưu các hàng khác như baseline.</t>
        </is>
      </c>
    </row>
    <row r="194">
      <c r="D194" s="8" t="inlineStr">
        <is>
          <t>証跡（Bằng chứng）</t>
        </is>
      </c>
    </row>
    <row r="195">
      <c r="E195" s="9" t="inlineStr">
        <is>
          <t>
          </t>
        </is>
      </c>
    </row>
    <row r="196">
      <c r="D196" s="8" t="inlineStr">
        <is>
          <t>リセット（Đặt lại）</t>
        </is>
      </c>
    </row>
    <row r="197">
      <c r="E197" s="9" t="inlineStr">
        <is>
          <t>
          </t>
        </is>
      </c>
    </row>
    <row r="198">
      <c r="D198" s="9" t="inlineStr">
        <is>
          <t>
          </t>
        </is>
      </c>
    </row>
    <row r="199">
      <c r="C199" s="9" t="inlineStr">
        <is>
          <t>TC-RS-REG-011 — Consumer legacy giữ hành vi sau khi thêm rule đỏ</t>
        </is>
      </c>
    </row>
    <row r="200">
      <c r="D200" s="10" t="inlineStr">
        <is>
          <t>Priority: Cao ｜ Status: CONFIRMED ｜ Readiness: UNASSESSED ｜ Requirement ID: AC-G38 «Bảo toàn điểm đỏ cũ»</t>
        </is>
      </c>
    </row>
    <row r="201">
      <c r="D201" s="8" t="inlineStr">
        <is>
          <t>前提条件（Điều kiện trước）</t>
        </is>
      </c>
    </row>
    <row r="202">
      <c r="E202" s="9" t="inlineStr">
        <is>
          <t>- Consumer/báo cáo hiện có đang hiển thị giá trị legacy trước khi bật rule mới.</t>
        </is>
      </c>
    </row>
    <row r="203">
      <c r="D203" s="8" t="inlineStr">
        <is>
          <t>操作（Thao tác）</t>
        </is>
      </c>
    </row>
    <row r="204">
      <c r="E204" s="9" t="inlineStr">
        <is>
          <t>1. Thêm và chạy rule đỏ mới.
2. Mở consumer/báo cáo legacy cùng kỳ.
Phạm vi từng lượt chạy:
- Base: Toàn bộ thủ tục theo đúng thứ tự; các đối chứng cùng fixture được kiểm trong cùng lượt, không bỏ bước</t>
        </is>
      </c>
    </row>
    <row r="205">
      <c r="D205" s="8" t="inlineStr">
        <is>
          <t>期待結果（Kết quả mong đợi）</t>
        </is>
      </c>
    </row>
    <row r="206">
      <c r="E206" s="9" t="inlineStr">
        <is>
          <t>Consumer legacy giữ hành vi và giá trị trước đó, trừ phần tích hợp đỏ được xác nhận riêng; không đọc nhầm payload kết quả cá nhân mới.</t>
        </is>
      </c>
    </row>
    <row r="207">
      <c r="D207" s="8" t="inlineStr">
        <is>
          <t>証跡（Bằng chứng）</t>
        </is>
      </c>
    </row>
    <row r="208">
      <c r="E208" s="9" t="inlineStr">
        <is>
          <t>
          </t>
        </is>
      </c>
    </row>
    <row r="209">
      <c r="D209" s="8" t="inlineStr">
        <is>
          <t>リセット（Đặt lại）</t>
        </is>
      </c>
    </row>
    <row r="210">
      <c r="E210" s="9" t="inlineStr">
        <is>
          <t>
          </t>
        </is>
      </c>
    </row>
    <row r="211">
      <c r="D211" s="9" t="inlineStr">
        <is>
          <t>
          </t>
        </is>
      </c>
    </row>
    <row r="212">
      <c r="C212" s="9" t="inlineStr">
        <is>
          <t>TC-RS-REG-012 — Các luồng chuyển cấu hình không làm mất legacy</t>
        </is>
      </c>
    </row>
    <row r="213">
      <c r="D213" s="10" t="inlineStr">
        <is>
          <t>Priority: Cao ｜ Status: CONFIRMED ｜ Readiness: UNASSESSED ｜ Requirement ID: AC-G38 «Bảo toàn điểm đỏ cũ»; AC-G39 «Không dùng lại kết quả cho đối tượng mới»</t>
        </is>
      </c>
    </row>
    <row r="214">
      <c r="D214" s="8" t="inlineStr">
        <is>
          <t>前提条件（Điều kiện trước）</t>
        </is>
      </c>
    </row>
    <row r="215">
      <c r="E215" s="9" t="inlineStr">
        <is>
          <t>- Có dữ liệu legacy và kết quả cá nhân ở nguồn; thực hiện một đường chuyển cấu hình được hỗ trợ.</t>
        </is>
      </c>
    </row>
    <row r="216">
      <c r="D216" s="8" t="inlineStr">
        <is>
          <t>操作（Thao tác）</t>
        </is>
      </c>
    </row>
    <row r="217">
      <c r="E217" s="9" t="inlineStr">
        <is>
          <t>1. Chuyển cấu hình qua copy/năm mới/import hoặc sync.
2. Đọc lại nguồn và đích trên consumer/báo cáo.
Phạm vi từng lượt chạy:
- copy: Đường copy DATA-015
- year: Đường năm mới DATA-016
- import: Đường import DATA-017
- sync: Đường sync DATA-019</t>
        </is>
      </c>
    </row>
    <row r="218">
      <c r="D218" s="8" t="inlineStr">
        <is>
          <t>期待結果（Kết quả mong đợi）</t>
        </is>
      </c>
    </row>
    <row r="219">
      <c r="E219" s="9" t="inlineStr">
        <is>
          <t>Legacy ở nguồn vẫn nguyên vẹn; đích không nhận kết quả cá nhân ngoài mapping hợp lệ và không dùng lại kết quả nguồn.</t>
        </is>
      </c>
    </row>
    <row r="220">
      <c r="D220" s="8" t="inlineStr">
        <is>
          <t>証跡（Bằng chứng）</t>
        </is>
      </c>
    </row>
    <row r="221">
      <c r="E221" s="9" t="inlineStr">
        <is>
          <t>
          </t>
        </is>
      </c>
    </row>
    <row r="222">
      <c r="D222" s="8" t="inlineStr">
        <is>
          <t>リセット（Đặt lại）</t>
        </is>
      </c>
    </row>
    <row r="223">
      <c r="E223" s="9" t="inlineStr">
        <is>
          <t>
          </t>
        </is>
      </c>
    </row>
    <row r="224">
      <c r="D224" s="9" t="inlineStr">
        <is>
          <t>
          </t>
        </is>
      </c>
    </row>
  </sheetData>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2026-10-01T10:10:07Z</dcterms:created>
  <dcterms:modified xmlns:dcterms="http://purl.org/dc/terms/" xmlns:xsi="http://www.w3.org/2001/XMLSchema-instance" xsi:type="dcterms:W3CDTF">2026-10-01T10:10:07Z</dcterms:modified>
</cp:coreProperties>
</file>