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ns0:workbook xmlns:ns0="http://schemas.openxmlformats.org/spreadsheetml/2006/main" xmlns:ns1="http://schemas.openxmlformats.org/officeDocument/2006/relationships">
  <ns0:workbookPr filterPrivacy="1"/>
  <ns0:sheets>
    <ns0:sheet name="Tổng quan" sheetId="1" state="visible" ns1:id="rId1"/>
    <ns0:sheet name="Kiểm thử" sheetId="2" state="visible" ns1:id="rId2"/>
    <ns0:sheet name="Chi tiết" sheetId="3" state="visible" ns1:id="rId3"/>
  </ns0:sheets>
  <ns0:definedNames>
    <ns0:definedName name="_xlnm.Print_Area" localSheetId="0">'Tổng quan'!$A$1:$B$245</ns0:definedName>
    <ns0:definedName name="_xlnm._FilterDatabase" localSheetId="1" hidden="1">'Kiểm thử'!$A$4:$G$573</ns0:definedName>
    <ns0:definedName name="_xlnm.Print_Titles" localSheetId="1">'Kiểm thử'!$4:$4</ns0:definedName>
    <ns0:definedName name="_xlnm.Print_Area" localSheetId="1">'Kiểm thử'!$A$1:$G$573</ns0:definedName>
    <ns0:definedName name="_xlnm.Print_Titles" localSheetId="2">'Chi tiết'!$4:$4</ns0:definedName>
    <ns0:definedName name="_xlnm.Print_Area" localSheetId="2">'Chi tiết'!$A$1:$C$1827</ns0:definedName>
  </ns0:definedNames>
  <ns0:calcPr calcId="124519" calcMode="auto" fullCalcOnLoad="1"/>
</ns0:workbook>
</file>

<file path=xl/styles.xml><?xml version="1.0" encoding="utf-8"?>
<styleSheet xmlns="http://schemas.openxmlformats.org/spreadsheetml/2006/main">
  <numFmts count="1">
    <numFmt numFmtId="164" formatCode="0.0%"/>
  </numFmts>
  <fonts count="10">
    <font>
      <name val="Carlito"/>
      <sz val="11"/>
    </font>
    <font>
      <name val="Arial"/>
      <color rgb="FF172033"/>
      <sz val="11"/>
    </font>
    <font>
      <name val="Arial"/>
      <b val="1"/>
      <color rgb="FF172033"/>
      <sz val="15"/>
    </font>
    <font>
      <name val="Arial"/>
      <b val="1"/>
      <color rgb="FF172033"/>
      <sz val="11"/>
    </font>
    <font>
      <name val="Arial"/>
      <b val="1"/>
      <color rgb="FFFFFFFF"/>
      <sz val="11"/>
    </font>
    <font>
      <name val="Arial"/>
      <color rgb="FF475569"/>
      <sz val="11"/>
    </font>
    <font>
      <name val="Arial"/>
      <color rgb="00172033"/>
      <sz val="11"/>
    </font>
    <font>
      <name val="Arial"/>
      <sz val="11"/>
    </font>
    <font>
      <name val="Arial"/>
      <b val="1"/>
      <color rgb="00172033"/>
      <sz val="15"/>
    </font>
    <font>
      <name val="Arial"/>
      <color rgb="001D4ED8"/>
      <sz val="11"/>
      <u val="single"/>
    </font>
  </fonts>
  <fills count="7">
    <fill>
      <patternFill/>
    </fill>
    <fill>
      <patternFill patternType="gray125"/>
    </fill>
    <fill>
      <patternFill patternType="solid">
        <fgColor rgb="FFFFF3CD"/>
      </patternFill>
    </fill>
    <fill>
      <patternFill patternType="solid">
        <fgColor rgb="FF334155"/>
      </patternFill>
    </fill>
    <fill>
      <patternFill patternType="solid">
        <fgColor rgb="FFF1F5F9"/>
      </patternFill>
    </fill>
    <fill>
      <patternFill patternType="solid">
        <fgColor rgb="00FFF3CD"/>
      </patternFill>
    </fill>
    <fill>
      <patternFill patternType="solid">
        <fgColor rgb="00F1F5F9"/>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1" fillId="4" borderId="0" applyAlignment="1" pivotButton="0" quotePrefix="0" xfId="0">
      <alignment vertical="top" wrapText="1"/>
    </xf>
    <xf numFmtId="0" fontId="1" fillId="4" borderId="0" applyAlignment="1" pivotButton="0" quotePrefix="0" xfId="0">
      <alignment horizontal="left" vertical="top" wrapText="1"/>
    </xf>
    <xf numFmtId="3" fontId="1" fillId="4" borderId="0" applyAlignment="1" pivotButton="0" quotePrefix="0" xfId="0">
      <alignment horizontal="left" vertical="top" wrapText="1"/>
    </xf>
    <xf numFmtId="164" fontId="1" fillId="4" borderId="0" applyAlignment="1" pivotButton="0" quotePrefix="0" xfId="0">
      <alignment horizontal="left" vertical="top" wrapText="1"/>
    </xf>
    <xf numFmtId="0" fontId="5" fillId="0" borderId="0" applyAlignment="1" pivotButton="0" quotePrefix="0" xfId="0">
      <alignment vertical="top" wrapText="1"/>
    </xf>
    <xf numFmtId="0" fontId="4" fillId="3" borderId="0" applyAlignment="1" pivotButton="0" quotePrefix="0" xfId="0">
      <alignment horizontal="center" vertical="top" wrapText="1"/>
    </xf>
    <xf numFmtId="0" fontId="4" fillId="3" borderId="0" applyAlignment="1" pivotButton="0" quotePrefix="0" xfId="0">
      <alignment horizontal="center" vertical="center" wrapText="1"/>
    </xf>
    <xf numFmtId="3" fontId="1" fillId="4" borderId="0" applyAlignment="1" pivotButton="0" quotePrefix="0" xfId="0">
      <alignment horizontal="left" vertical="top" wrapText="1"/>
    </xf>
    <xf numFmtId="164" fontId="1" fillId="4" borderId="0" applyAlignment="1" pivotButton="0" quotePrefix="0" xfId="0">
      <alignment horizontal="left" vertical="top" wrapText="1"/>
    </xf>
    <xf numFmtId="0" fontId="6" fillId="0" borderId="0" applyAlignment="1" pivotButton="0" quotePrefix="0" xfId="0">
      <alignment vertical="top" wrapText="1"/>
    </xf>
    <xf numFmtId="0" fontId="6" fillId="5" borderId="0" applyAlignment="1" applyProtection="1" pivotButton="0" quotePrefix="0" xfId="0">
      <alignment vertical="top" wrapText="1"/>
      <protection locked="0" hidden="0"/>
    </xf>
    <xf numFmtId="3" fontId="6" fillId="6" borderId="0" applyAlignment="1" pivotButton="0" quotePrefix="0" xfId="0">
      <alignment horizontal="left" vertical="top" wrapText="1"/>
    </xf>
    <xf numFmtId="164" fontId="6" fillId="6" borderId="0" applyAlignment="1" pivotButton="0" quotePrefix="0" xfId="0">
      <alignment horizontal="left" vertical="top" wrapText="1"/>
    </xf>
    <xf numFmtId="0" fontId="6" fillId="6" borderId="0" applyAlignment="1" pivotButton="0" quotePrefix="0" xfId="0">
      <alignment horizontal="left" vertical="top" wrapText="1"/>
    </xf>
    <xf numFmtId="0" fontId="8" fillId="0" borderId="0" applyAlignment="1" pivotButton="0" quotePrefix="0" xfId="0">
      <alignment vertical="top" wrapText="1"/>
    </xf>
    <xf numFmtId="0" fontId="9" fillId="0" borderId="0" applyAlignment="1" pivotButton="0" quotePrefix="0" xfId="0">
      <alignment vertical="top" wrapText="1"/>
    </xf>
  </cellXfs>
  <cellStyles count="1">
    <cellStyle name="Normal" xfId="0"/>
  </cellStyles>
  <dxfs count="3">
    <dxf>
      <font>
        <name val="Arial"/>
        <b val="1"/>
        <color rgb="00991B1B"/>
        <sz val="11"/>
      </font>
      <fill>
        <patternFill patternType="solid">
          <fgColor rgb="00FEE2E2"/>
        </patternFill>
      </fill>
    </dxf>
    <dxf>
      <font>
        <name val="Arial"/>
        <b val="1"/>
        <color rgb="0092400E"/>
        <sz val="11"/>
      </font>
      <fill>
        <patternFill patternType="solid">
          <fgColor rgb="00FEF3C7"/>
        </patternFill>
      </fill>
    </dxf>
    <dxf>
      <font>
        <name val="Arial"/>
        <b val="1"/>
        <color rgb="00475569"/>
        <sz val="11"/>
      </font>
      <fill>
        <patternFill patternType="solid">
          <fgColor rgb="00F1F5F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245"/>
  <sheetViews>
    <sheetView showGridLines="0" workbookViewId="0">
      <selection activeCell="A1" sqref="A1"/>
    </sheetView>
  </sheetViews>
  <sheetFormatPr baseColWidth="8" defaultRowHeight="15"/>
  <cols>
    <col width="42" customWidth="1" min="1" max="1"/>
    <col width="110" customWidth="1" min="2" max="2"/>
  </cols>
  <sheetData>
    <row r="1" ht="32" customHeight="1">
      <c r="A1" s="4" t="inlineStr">
        <is>
          <t>Báo cáo kiểm thử</t>
        </is>
      </c>
      <c r="B1" s="3" t="n"/>
    </row>
    <row r="2" ht="12" customHeight="1">
      <c r="A2" s="3" t="n"/>
      <c r="B2" s="3" t="n"/>
    </row>
    <row r="3" ht="32" customHeight="1">
      <c r="A3" s="13" t="inlineStr">
        <is>
          <t>Nhập lần kiểm thử, phiên bản ứng dụng, môi trường, người và thời điểm thực hiện.</t>
        </is>
      </c>
    </row>
    <row r="4" ht="30" customHeight="1">
      <c r="A4" s="5" t="inlineStr">
        <is>
          <t>Chức năng</t>
        </is>
      </c>
      <c r="B4" s="18" t="inlineStr">
        <is>
          <t>RC-001 — Điểm đỏ（赤点）</t>
        </is>
      </c>
    </row>
    <row r="5" ht="30" customHeight="1">
      <c r="A5" s="5" t="inlineStr">
        <is>
          <t>Phiên bản kiểm thử</t>
        </is>
      </c>
      <c r="B5" s="18" t="inlineStr">
        <is>
          <t>RC-001-v2-report-2026-10-04</t>
        </is>
      </c>
    </row>
    <row r="6" ht="30" customHeight="1">
      <c r="A6" s="5" t="inlineStr">
        <is>
          <t>Lần kiểm thử</t>
        </is>
      </c>
      <c r="B6" s="19" t="inlineStr"/>
    </row>
    <row r="7" ht="30" customHeight="1">
      <c r="A7" s="5" t="inlineStr">
        <is>
          <t>Phiên bản ứng dụng</t>
        </is>
      </c>
      <c r="B7" s="19" t="inlineStr"/>
    </row>
    <row r="8" ht="30" customHeight="1">
      <c r="A8" s="5" t="inlineStr">
        <is>
          <t>Môi trường</t>
        </is>
      </c>
      <c r="B8" s="19" t="inlineStr"/>
    </row>
    <row r="9" ht="30" customHeight="1">
      <c r="A9" s="5" t="inlineStr">
        <is>
          <t>Người thực hiện</t>
        </is>
      </c>
      <c r="B9" s="19" t="inlineStr"/>
    </row>
    <row r="10" ht="30" customHeight="1">
      <c r="A10" s="5" t="inlineStr">
        <is>
          <t>Thời điểm thực hiện (kèm múi giờ)</t>
        </is>
      </c>
      <c r="B10" s="19" t="inlineStr"/>
    </row>
    <row r="11" ht="180" customHeight="1">
      <c r="A11" s="5" t="inlineStr">
        <is>
          <t>Phạm vi</t>
        </is>
      </c>
      <c r="B11" s="18" t="inlineStr">
        <is>
          <t>216 case và 569 biến thể: cấu hình quy tắc; nguồn/ngưỡng; xét và vòng đời kết quả; trích xuất, công khai, phiếu điểm; quyền và bảo toàn legacy.
Chuẩn bị: Chuẩn bị và đọc lại đúng vai trò/quyền, lớp, mục, kỳ, nguồn và baseline của từng case. Ưu tiên UI hiện hữu; đường thực hiện chưa xác minh giữ Đang chuẩn bị/Bị chặn. Mỗi biến thể có trạng thái cần khôi phục dữ liệu đầu vào riêng.
Điều kiện bắt đầu: Đã xác định phiên bản ứng dụng, quyền ghi ở môi trường kiểm thử, dữ liệu kiểm thử, đường kích hoạt và nơi quan sát của lượt được chọn; chọn đúng lát cắt phát hành trước khi chạy.
Điều kiện kết thúc: Ghi kết quả thực tế, trạng thái, bằng chứng và lý do cho mọi lượt được chọn; chưa chuẩn bị/chưa chốt căn cứ kỳ vọng không được kết luận Đạt. Hoàn tất toàn bộ cần xác nhận đóng lượt và quyền xem bằng chứng thực tế.</t>
        </is>
      </c>
    </row>
    <row r="12" ht="44" customHeight="1">
      <c r="A12" s="5" t="inlineStr">
        <is>
          <t>Ngoài phạm vi</t>
        </is>
      </c>
      <c r="B12" s="18" t="inlineStr">
        <is>
          <t>Xét trực tiếp mục A/B/C hoặc đạt/không đạt; công thức tự do; chuyển legacy thành rule mới; triển khai hoặc phát hành ứng dụng.</t>
        </is>
      </c>
    </row>
    <row r="13" ht="61" customHeight="1">
      <c r="A13" s="5" t="inlineStr">
        <is>
          <t>Giới hạn</t>
        </is>
      </c>
      <c r="B13" s="18" t="inlineStr">
        <is>
          <t>Báo cáo mới chưa thực thi. Dữ liệu kiểm thử, đường thực hiện và phạm vi phát hành chưa xác minh vẫn Đang chuẩn bị/Bị chặn; không coi file có format đúng là QA hoàn tất.
23 khoảng trống được giữ trong điều kiện của các testcase tương ứng; xem Chi tiết khi có liên kết.</t>
        </is>
      </c>
    </row>
    <row r="14" ht="61" customHeight="1">
      <c r="A14" s="5" t="inlineStr">
        <is>
          <t>Chuẩn bị theo testcase</t>
        </is>
      </c>
      <c r="B14" s="18" t="inlineStr">
        <is>
          <t>Sẵn sàng: 1 · Đang chuẩn bị: 198 · Bị chặn: 17
Tính theo testcase, độc lập với trạng thái đã chạy. Một testcase có thể có nhiều biến thể; mỗi dòng Kiểm thử là một biến thể.</t>
        </is>
      </c>
    </row>
    <row r="15" ht="32" customHeight="1">
      <c r="A15" s="8" t="inlineStr">
        <is>
          <t>Tiến độ và kết quả</t>
        </is>
      </c>
      <c r="B15" s="8" t="n"/>
    </row>
    <row r="16" ht="32" customHeight="1">
      <c r="A16" s="3" t="inlineStr">
        <is>
          <t>Số testcase (trường hợp kiểm thử)</t>
        </is>
      </c>
      <c r="B16" s="20">
        <f>COUNTA(A30:A245)</f>
        <v/>
      </c>
    </row>
    <row r="17" ht="32" customHeight="1">
      <c r="A17" s="3" t="inlineStr">
        <is>
          <t>Số biến thể (dòng Kiểm thử)</t>
        </is>
      </c>
      <c r="B17" s="20">
        <f>COUNTA('Kiểm thử'!$A$5:$A$573)</f>
        <v/>
      </c>
    </row>
    <row r="18" ht="32" customHeight="1">
      <c r="A18" s="3" t="inlineStr">
        <is>
          <t>Phán định Đạt đủ điều kiện</t>
        </is>
      </c>
      <c r="B18" s="20">
        <f>SUMPRODUCT(--(('Kiểm thử'!$A$5:$A$573="TC-RS-REG-008 / web-open")+('Kiểm thử'!$A$5:$A$573="TC-RS-REG-008 / api-open")+('Kiểm thử'!$A$5:$A$573="TC-RS-REG-008 / pdf-open")+('Kiểm thử'!$A$5:$A$573="TC-RS-REG-008 / web-closed")+('Kiểm thử'!$A$5:$A$573="TC-RS-REG-008 / api-closed")+('Kiểm thử'!$A$5:$A$573="TC-RS-REG-008 / pdf-closed")),--EXACT('Kiểm thử'!$F$5:$F$573,"Đạt"),--(LEN(SUBSTITUTE(SUBSTITUTE(SUBSTITUTE(SUBSTITUTE(SUBSTITUTE(SUBSTITUTE(SUBSTITUTE(SUBSTITUTE(SUBSTITUTE(SUBSTITUTE(SUBSTITUTE(SUBSTITUTE(SUBSTITUTE(SUBSTITUTE(SUBSTITUTE(SUBSTITUTE(SUBSTITUTE(SUBSTITUTE(SUBSTITUTE(SUBSTITUTE(CLEAN('Kiểm thử'!$E$5:$E$573)," ",""),"","")," ","")," ","")," ","")," ","")," ","")," ","")," ","")," ","")," ","")," ","")," ","")," ","")," ","")," ","")," ","")," ","")," ",""),"　",""))&gt;0),--EXACT(LEFT(LEFT('Kiểm thử'!$G$5:$G$573,FIND(CHAR(10),'Kiểm thử'!$G$5:$G$573&amp;CHAR(10))-1),8),"https://"),--(LEN(SUBSTITUTE(SUBSTITUTE(SUBSTITUTE(SUBSTITUTE(SUBSTITUTE(SUBSTITUTE(SUBSTITUTE(SUBSTITUTE(SUBSTITUTE(SUBSTITUTE(SUBSTITUTE(SUBSTITUTE(SUBSTITUTE(SUBSTITUTE(SUBSTITUTE(SUBSTITUTE(SUBSTITUTE(SUBSTITUTE(SUBSTITUTE(SUBSTITUTE(CLEAN(LEFT('Kiểm thử'!$G$5:$G$573,FIND(CHAR(10),'Kiểm thử'!$G$5:$G$573&amp;CHAR(10))-1))," ",""),"","")," ","")," ","")," ","")," ","")," ","")," ","")," ","")," ","")," ","")," ","")," ","")," ","")," ","")," ","")," ","")," ","")," ",""),"　",""))=LEN(LEFT('Kiểm thử'!$G$5:$G$573,FIND(CHAR(10),'Kiểm thử'!$G$5:$G$573&amp;CHAR(10))-1))),--ISNUMBER(SEARCH("?*.?*",MID(SUBSTITUTE(SUBSTITUTE(LEFT('Kiểm thử'!$G$5:$G$573,FIND(CHAR(10),'Kiểm thử'!$G$5:$G$573&amp;CHAR(10))-1),"?","/"),"#","/"),9,FIND("/",SUBSTITUTE(SUBSTITUTE(LEFT('Kiểm thử'!$G$5:$G$573,FIND(CHAR(10),'Kiểm thử'!$G$5:$G$573&amp;CHAR(10))-1),"?","/"),"#","/")&amp;"/////////",9)-9))),--ISERROR(SEARCH("@",MID(SUBSTITUTE(SUBSTITUTE(LEFT('Kiểm thử'!$G$5:$G$573,FIND(CHAR(10),'Kiểm thử'!$G$5:$G$573&amp;CHAR(10))-1),"?","/"),"#","/"),9,FIND("/",SUBSTITUTE(SUBSTITUTE(LEFT('Kiểm thử'!$G$5:$G$573,FIND(CHAR(10),'Kiểm thử'!$G$5:$G$573&amp;CHAR(10))-1),"?","/"),"#","/")&amp;"/////////",9)-9))))</f>
        <v/>
      </c>
    </row>
    <row r="19" ht="32" customHeight="1">
      <c r="A19" s="3" t="inlineStr">
        <is>
          <t>Phán định Không đạt đủ điều kiện</t>
        </is>
      </c>
      <c r="B19" s="20">
        <f>SUMPRODUCT(--(('Kiểm thử'!$A$5:$A$573="TC-RS-REG-008 / web-open")+('Kiểm thử'!$A$5:$A$573="TC-RS-REG-008 / api-open")+('Kiểm thử'!$A$5:$A$573="TC-RS-REG-008 / pdf-open")+('Kiểm thử'!$A$5:$A$573="TC-RS-REG-008 / web-closed")+('Kiểm thử'!$A$5:$A$573="TC-RS-REG-008 / api-closed")+('Kiểm thử'!$A$5:$A$573="TC-RS-REG-008 / pdf-closed")),--EXACT('Kiểm thử'!$F$5:$F$573,"Không đạt"),--(LEN(SUBSTITUTE(SUBSTITUTE(SUBSTITUTE(SUBSTITUTE(SUBSTITUTE(SUBSTITUTE(SUBSTITUTE(SUBSTITUTE(SUBSTITUTE(SUBSTITUTE(SUBSTITUTE(SUBSTITUTE(SUBSTITUTE(SUBSTITUTE(SUBSTITUTE(SUBSTITUTE(SUBSTITUTE(SUBSTITUTE(SUBSTITUTE(SUBSTITUTE(CLEAN('Kiểm thử'!$E$5:$E$573)," ",""),"","")," ","")," ","")," ","")," ","")," ","")," ","")," ","")," ","")," ","")," ","")," ","")," ","")," ","")," ","")," ","")," ","")," ",""),"　",""))&gt;0),--EXACT(LEFT(LEFT('Kiểm thử'!$G$5:$G$573,FIND(CHAR(10),'Kiểm thử'!$G$5:$G$573&amp;CHAR(10))-1),8),"https://"),--(LEN(SUBSTITUTE(SUBSTITUTE(SUBSTITUTE(SUBSTITUTE(SUBSTITUTE(SUBSTITUTE(SUBSTITUTE(SUBSTITUTE(SUBSTITUTE(SUBSTITUTE(SUBSTITUTE(SUBSTITUTE(SUBSTITUTE(SUBSTITUTE(SUBSTITUTE(SUBSTITUTE(SUBSTITUTE(SUBSTITUTE(SUBSTITUTE(SUBSTITUTE(CLEAN(LEFT('Kiểm thử'!$G$5:$G$573,FIND(CHAR(10),'Kiểm thử'!$G$5:$G$573&amp;CHAR(10))-1))," ",""),"","")," ","")," ","")," ","")," ","")," ","")," ","")," ","")," ","")," ","")," ","")," ","")," ","")," ","")," ","")," ","")," ","")," ",""),"　",""))=LEN(LEFT('Kiểm thử'!$G$5:$G$573,FIND(CHAR(10),'Kiểm thử'!$G$5:$G$573&amp;CHAR(10))-1))),--ISNUMBER(SEARCH("?*.?*",MID(SUBSTITUTE(SUBSTITUTE(LEFT('Kiểm thử'!$G$5:$G$573,FIND(CHAR(10),'Kiểm thử'!$G$5:$G$573&amp;CHAR(10))-1),"?","/"),"#","/"),9,FIND("/",SUBSTITUTE(SUBSTITUTE(LEFT('Kiểm thử'!$G$5:$G$573,FIND(CHAR(10),'Kiểm thử'!$G$5:$G$573&amp;CHAR(10))-1),"?","/"),"#","/")&amp;"/////////",9)-9))),--ISERROR(SEARCH("@",MID(SUBSTITUTE(SUBSTITUTE(LEFT('Kiểm thử'!$G$5:$G$573,FIND(CHAR(10),'Kiểm thử'!$G$5:$G$573&amp;CHAR(10))-1),"?","/"),"#","/"),9,FIND("/",SUBSTITUTE(SUBSTITUTE(LEFT('Kiểm thử'!$G$5:$G$573,FIND(CHAR(10),'Kiểm thử'!$G$5:$G$573&amp;CHAR(10))-1),"?","/"),"#","/")&amp;"/////////",9)-9))))</f>
        <v/>
      </c>
    </row>
    <row r="20" ht="32" customHeight="1">
      <c r="A20" s="3" t="inlineStr">
        <is>
          <t>Kịch bản bị chặn</t>
        </is>
      </c>
      <c r="B20" s="20">
        <f>SUMPRODUCT(--EXACT('Kiểm thử'!$F$5:$F$573,"Bị chặn"))</f>
        <v/>
      </c>
    </row>
    <row r="21" ht="32" customHeight="1">
      <c r="A21" s="3" t="inlineStr">
        <is>
          <t>Kịch bản không thực hiện</t>
        </is>
      </c>
      <c r="B21" s="20">
        <f>SUMPRODUCT(--EXACT('Kiểm thử'!$F$5:$F$573,"Không thực hiện"))</f>
        <v/>
      </c>
    </row>
    <row r="22" ht="32" customHeight="1">
      <c r="A22" s="3" t="inlineStr">
        <is>
          <t>Kịch bản chưa thực hiện</t>
        </is>
      </c>
      <c r="B22" s="20">
        <f>SUMPRODUCT(--EXACT('Kiểm thử'!$F$5:$F$573,"Chưa thực hiện"))</f>
        <v/>
      </c>
    </row>
    <row r="23" ht="52" customHeight="1">
      <c r="A23" s="3" t="inlineStr">
        <is>
          <t>Phán định Đạt/Không đạt đủ điều kiện</t>
        </is>
      </c>
      <c r="B23" s="20">
        <f>B18+B19</f>
        <v/>
      </c>
    </row>
    <row r="24" ht="52" customHeight="1">
      <c r="A24" s="3" t="inlineStr">
        <is>
          <t>Tỷ lệ Đạt / phán định đủ điều kiện</t>
        </is>
      </c>
      <c r="B24" s="21">
        <f>IF(B23=0,"Chưa có dữ liệu",B18/B23)</f>
        <v/>
      </c>
    </row>
    <row r="25" ht="52" customHeight="1">
      <c r="A25" s="3" t="inlineStr">
        <is>
          <t>Phán định đủ điều kiện / toàn bộ kịch bản</t>
        </is>
      </c>
      <c r="B25" s="21">
        <f>IF(B17=0,"Chưa có dữ liệu",B23/B17)</f>
        <v/>
      </c>
    </row>
    <row r="26" ht="32" customHeight="1">
      <c r="A26" s="3" t="inlineStr">
        <is>
          <t>Kịch bản chưa đạt</t>
        </is>
      </c>
      <c r="B26" s="20">
        <f>B17-B18</f>
        <v/>
      </c>
    </row>
    <row r="27" ht="32" customHeight="1">
      <c r="A27" s="3" t="inlineStr">
        <is>
          <t>Trạng thái không hợp lệ</t>
        </is>
      </c>
      <c r="B27" s="20">
        <f>B17-SUM(SUMPRODUCT(--EXACT('Kiểm thử'!$F$5:$F$573,"Đạt")),SUMPRODUCT(--EXACT('Kiểm thử'!$F$5:$F$573,"Không đạt")),SUMPRODUCT(--EXACT('Kiểm thử'!$F$5:$F$573,"Bị chặn")),SUMPRODUCT(--EXACT('Kiểm thử'!$F$5:$F$573,"Không thực hiện")),SUMPRODUCT(--EXACT('Kiểm thử'!$F$5:$F$573,"Chưa thực hiện")))</f>
        <v/>
      </c>
    </row>
    <row r="28" ht="32" customHeight="1">
      <c r="A28" s="3" t="n"/>
      <c r="B28" s="3" t="n"/>
    </row>
    <row r="29" ht="32" customHeight="1">
      <c r="A29" s="8" t="inlineStr">
        <is>
          <t>Mã kiểm thử</t>
        </is>
      </c>
      <c r="B29" s="8" t="inlineStr">
        <is>
          <t>Trạng thái</t>
        </is>
      </c>
    </row>
    <row r="30" ht="30" customHeight="1">
      <c r="A30" s="18" t="inlineStr">
        <is>
          <t>TC-RS-FUNC-001</t>
        </is>
      </c>
      <c r="B30" s="22">
        <f>IF(0&gt;0,"Không đạt",IF(0=3,"Đạt",IF(SUMPRODUCT(--(('Kiểm thử'!$A$5:$A$573="TC-RS-FUNC-001 / integer")+('Kiểm thử'!$A$5:$A$573="TC-RS-FUNC-001 / decimal")+('Kiểm thử'!$A$5:$A$573="TC-RS-FUNC-001 / unit")),--EXACT('Kiểm thử'!$F$5:$F$573,"Không thực hiện"))=3,"Không thực hiện",IF(SUMPRODUCT(--(('Kiểm thử'!$A$5:$A$573="TC-RS-FUNC-001 / integer")+('Kiểm thử'!$A$5:$A$573="TC-RS-FUNC-001 / decimal")+('Kiểm thử'!$A$5:$A$573="TC-RS-FUNC-001 / unit")),--EXACT('Kiểm thử'!$F$5:$F$573,"Bị chặn"))&gt;0,"Bị chặn",IF(SUMPRODUCT(--(('Kiểm thử'!$A$5:$A$573="TC-RS-FUNC-001 / integer")+('Kiểm thử'!$A$5:$A$573="TC-RS-FUNC-001 / decimal")+('Kiểm thử'!$A$5:$A$573="TC-RS-FUNC-001 / unit")),--EXACT('Kiểm thử'!$F$5:$F$573,"Chưa thực hiện"))=3,"Chưa thực hiện","Chưa đủ kết luận")))))</f>
        <v/>
      </c>
    </row>
    <row r="31" ht="30" customHeight="1">
      <c r="A31" s="18" t="inlineStr">
        <is>
          <t>TC-RS-FUNC-002</t>
        </is>
      </c>
      <c r="B31" s="22">
        <f>IF(0&gt;0,"Không đạt",IF(0=2,"Đạt",IF(SUMPRODUCT(--(('Kiểm thử'!$A$5:$A$573="TC-RS-FUNC-002 / choice")+('Kiểm thử'!$A$5:$A$573="TC-RS-FUNC-002 / passfail")),--EXACT('Kiểm thử'!$F$5:$F$573,"Không thực hiện"))=2,"Không thực hiện",IF(SUMPRODUCT(--(('Kiểm thử'!$A$5:$A$573="TC-RS-FUNC-002 / choice")+('Kiểm thử'!$A$5:$A$573="TC-RS-FUNC-002 / passfail")),--EXACT('Kiểm thử'!$F$5:$F$573,"Bị chặn"))&gt;0,"Bị chặn",IF(SUMPRODUCT(--(('Kiểm thử'!$A$5:$A$573="TC-RS-FUNC-002 / choice")+('Kiểm thử'!$A$5:$A$573="TC-RS-FUNC-002 / passfail")),--EXACT('Kiểm thử'!$F$5:$F$573,"Chưa thực hiện"))=2,"Chưa thực hiện","Chưa đủ kết luận")))))</f>
        <v/>
      </c>
    </row>
    <row r="32" ht="30" customHeight="1">
      <c r="A32" s="18" t="inlineStr">
        <is>
          <t>TC-RS-FUNC-004</t>
        </is>
      </c>
      <c r="B32" s="22">
        <f>IF(0&gt;0,"Không đạt",IF(0=1,"Đạt",IF(SUMPRODUCT(--(('Kiểm thử'!$A$5:$A$573="TC-RS-FUNC-004 / Base")),--EXACT('Kiểm thử'!$F$5:$F$573,"Không thực hiện"))=1,"Không thực hiện",IF(SUMPRODUCT(--(('Kiểm thử'!$A$5:$A$573="TC-RS-FUNC-004 / Base")),--EXACT('Kiểm thử'!$F$5:$F$573,"Bị chặn"))&gt;0,"Bị chặn",IF(SUMPRODUCT(--(('Kiểm thử'!$A$5:$A$573="TC-RS-FUNC-004 / Base")),--EXACT('Kiểm thử'!$F$5:$F$573,"Chưa thực hiện"))=1,"Chưa thực hiện","Chưa đủ kết luận")))))</f>
        <v/>
      </c>
    </row>
    <row r="33" ht="30" customHeight="1">
      <c r="A33" s="18" t="inlineStr">
        <is>
          <t>TC-RS-FUNC-005</t>
        </is>
      </c>
      <c r="B33" s="22">
        <f>IF(0&gt;0,"Không đạt",IF(0=1,"Đạt",IF(SUMPRODUCT(--(('Kiểm thử'!$A$5:$A$573="TC-RS-FUNC-005 / Base")),--EXACT('Kiểm thử'!$F$5:$F$573,"Không thực hiện"))=1,"Không thực hiện",IF(SUMPRODUCT(--(('Kiểm thử'!$A$5:$A$573="TC-RS-FUNC-005 / Base")),--EXACT('Kiểm thử'!$F$5:$F$573,"Bị chặn"))&gt;0,"Bị chặn",IF(SUMPRODUCT(--(('Kiểm thử'!$A$5:$A$573="TC-RS-FUNC-005 / Base")),--EXACT('Kiểm thử'!$F$5:$F$573,"Chưa thực hiện"))=1,"Chưa thực hiện","Chưa đủ kết luận")))))</f>
        <v/>
      </c>
    </row>
    <row r="34" ht="30" customHeight="1">
      <c r="A34" s="18" t="inlineStr">
        <is>
          <t>TC-RS-FUNC-006</t>
        </is>
      </c>
      <c r="B34" s="22">
        <f>IF(0&gt;0,"Không đạt",IF(0=2,"Đạt",IF(SUMPRODUCT(--(('Kiểm thử'!$A$5:$A$573="TC-RS-FUNC-006 / cancel")+('Kiểm thử'!$A$5:$A$573="TC-RS-FUNC-006 / delete")),--EXACT('Kiểm thử'!$F$5:$F$573,"Không thực hiện"))=2,"Không thực hiện",IF(SUMPRODUCT(--(('Kiểm thử'!$A$5:$A$573="TC-RS-FUNC-006 / cancel")+('Kiểm thử'!$A$5:$A$573="TC-RS-FUNC-006 / delete")),--EXACT('Kiểm thử'!$F$5:$F$573,"Bị chặn"))&gt;0,"Bị chặn",IF(SUMPRODUCT(--(('Kiểm thử'!$A$5:$A$573="TC-RS-FUNC-006 / cancel")+('Kiểm thử'!$A$5:$A$573="TC-RS-FUNC-006 / delete")),--EXACT('Kiểm thử'!$F$5:$F$573,"Chưa thực hiện"))=2,"Chưa thực hiện","Chưa đủ kết luận")))))</f>
        <v/>
      </c>
    </row>
    <row r="35" ht="30" customHeight="1">
      <c r="A35" s="18" t="inlineStr">
        <is>
          <t>TC-RS-FUNC-007</t>
        </is>
      </c>
      <c r="B35" s="22">
        <f>IF(0&gt;0,"Không đạt",IF(0=2,"Đạt",IF(SUMPRODUCT(--(('Kiểm thử'!$A$5:$A$573="TC-RS-FUNC-007 / back-threshold")+('Kiểm thử'!$A$5:$A$573="TC-RS-FUNC-007 / back-condition")),--EXACT('Kiểm thử'!$F$5:$F$573,"Không thực hiện"))=2,"Không thực hiện",IF(SUMPRODUCT(--(('Kiểm thử'!$A$5:$A$573="TC-RS-FUNC-007 / back-threshold")+('Kiểm thử'!$A$5:$A$573="TC-RS-FUNC-007 / back-condition")),--EXACT('Kiểm thử'!$F$5:$F$573,"Bị chặn"))&gt;0,"Bị chặn",IF(SUMPRODUCT(--(('Kiểm thử'!$A$5:$A$573="TC-RS-FUNC-007 / back-threshold")+('Kiểm thử'!$A$5:$A$573="TC-RS-FUNC-007 / back-condition")),--EXACT('Kiểm thử'!$F$5:$F$573,"Chưa thực hiện"))=2,"Chưa thực hiện","Chưa đủ kết luận")))))</f>
        <v/>
      </c>
    </row>
    <row r="36" ht="30" customHeight="1">
      <c r="A36" s="18" t="inlineStr">
        <is>
          <t>TC-RS-FUNC-014</t>
        </is>
      </c>
      <c r="B36" s="22">
        <f>IF(0&gt;0,"Không đạt",IF(0=3,"Đạt",IF(SUMPRODUCT(--(('Kiểm thử'!$A$5:$A$573="TC-RS-FUNC-014 / incomplete-excluded")+('Kiểm thử'!$A$5:$A$573="TC-RS-FUNC-014 / complete-deleted-stale")+('Kiểm thử'!$A$5:$A$573="TC-RS-FUNC-014 / incomplete-deleted-stale")),--EXACT('Kiểm thử'!$F$5:$F$573,"Không thực hiện"))=3,"Không thực hiện",IF(SUMPRODUCT(--(('Kiểm thử'!$A$5:$A$573="TC-RS-FUNC-014 / incomplete-excluded")+('Kiểm thử'!$A$5:$A$573="TC-RS-FUNC-014 / complete-deleted-stale")+('Kiểm thử'!$A$5:$A$573="TC-RS-FUNC-014 / incomplete-deleted-stale")),--EXACT('Kiểm thử'!$F$5:$F$573,"Bị chặn"))&gt;0,"Bị chặn",IF(SUMPRODUCT(--(('Kiểm thử'!$A$5:$A$573="TC-RS-FUNC-014 / incomplete-excluded")+('Kiểm thử'!$A$5:$A$573="TC-RS-FUNC-014 / complete-deleted-stale")+('Kiểm thử'!$A$5:$A$573="TC-RS-FUNC-014 / incomplete-deleted-stale")),--EXACT('Kiểm thử'!$F$5:$F$573,"Chưa thực hiện"))=3,"Chưa thực hiện","Chưa đủ kết luận")))))</f>
        <v/>
      </c>
    </row>
    <row r="37" ht="30" customHeight="1">
      <c r="A37" s="18" t="inlineStr">
        <is>
          <t>TC-RS-FUNC-033</t>
        </is>
      </c>
      <c r="B37" s="22">
        <f>IF(0&gt;0,"Không đạt",IF(0=1,"Đạt",IF(SUMPRODUCT(--(('Kiểm thử'!$A$5:$A$573="TC-RS-FUNC-033 / Base")),--EXACT('Kiểm thử'!$F$5:$F$573,"Không thực hiện"))=1,"Không thực hiện",IF(SUMPRODUCT(--(('Kiểm thử'!$A$5:$A$573="TC-RS-FUNC-033 / Base")),--EXACT('Kiểm thử'!$F$5:$F$573,"Bị chặn"))&gt;0,"Bị chặn",IF(SUMPRODUCT(--(('Kiểm thử'!$A$5:$A$573="TC-RS-FUNC-033 / Base")),--EXACT('Kiểm thử'!$F$5:$F$573,"Chưa thực hiện"))=1,"Chưa thực hiện","Chưa đủ kết luận")))))</f>
        <v/>
      </c>
    </row>
    <row r="38" ht="30" customHeight="1">
      <c r="A38" s="18" t="inlineStr">
        <is>
          <t>TC-RS-VAL-014</t>
        </is>
      </c>
      <c r="B38" s="22">
        <f>IF(0&gt;0,"Không đạt",IF(0=6,"Đạt",IF(SUMPRODUCT(--(('Kiểm thử'!$A$5:$A$573="TC-RS-VAL-014 / empty")+('Kiểm thử'!$A$5:$A$573="TC-RS-VAL-014 / space")+('Kiểm thử'!$A$5:$A$573="TC-RS-VAL-014 / len255")+('Kiểm thử'!$A$5:$A$573="TC-RS-VAL-014 / len256")+('Kiểm thử'!$A$5:$A$573="TC-RS-VAL-014 / padded255")+('Kiểm thử'!$A$5:$A$573="TC-RS-VAL-014 / duplicate")),--EXACT('Kiểm thử'!$F$5:$F$573,"Không thực hiện"))=6,"Không thực hiện",IF(SUMPRODUCT(--(('Kiểm thử'!$A$5:$A$573="TC-RS-VAL-014 / empty")+('Kiểm thử'!$A$5:$A$573="TC-RS-VAL-014 / space")+('Kiểm thử'!$A$5:$A$573="TC-RS-VAL-014 / len255")+('Kiểm thử'!$A$5:$A$573="TC-RS-VAL-014 / len256")+('Kiểm thử'!$A$5:$A$573="TC-RS-VAL-014 / padded255")+('Kiểm thử'!$A$5:$A$573="TC-RS-VAL-014 / duplicate")),--EXACT('Kiểm thử'!$F$5:$F$573,"Bị chặn"))&gt;0,"Bị chặn",IF(SUMPRODUCT(--(('Kiểm thử'!$A$5:$A$573="TC-RS-VAL-014 / empty")+('Kiểm thử'!$A$5:$A$573="TC-RS-VAL-014 / space")+('Kiểm thử'!$A$5:$A$573="TC-RS-VAL-014 / len255")+('Kiểm thử'!$A$5:$A$573="TC-RS-VAL-014 / len256")+('Kiểm thử'!$A$5:$A$573="TC-RS-VAL-014 / padded255")+('Kiểm thử'!$A$5:$A$573="TC-RS-VAL-014 / duplicate")),--EXACT('Kiểm thử'!$F$5:$F$573,"Chưa thực hiện"))=6,"Chưa thực hiện","Chưa đủ kết luận")))))</f>
        <v/>
      </c>
    </row>
    <row r="39" ht="30" customHeight="1">
      <c r="A39" s="18" t="inlineStr">
        <is>
          <t>TC-RS-VAL-016</t>
        </is>
      </c>
      <c r="B39" s="22">
        <f>IF(0&gt;0,"Không đạt",IF(0=1,"Đạt",IF(SUMPRODUCT(--(('Kiểm thử'!$A$5:$A$573="TC-RS-VAL-016 / Base")),--EXACT('Kiểm thử'!$F$5:$F$573,"Không thực hiện"))=1,"Không thực hiện",IF(SUMPRODUCT(--(('Kiểm thử'!$A$5:$A$573="TC-RS-VAL-016 / Base")),--EXACT('Kiểm thử'!$F$5:$F$573,"Bị chặn"))&gt;0,"Bị chặn",IF(SUMPRODUCT(--(('Kiểm thử'!$A$5:$A$573="TC-RS-VAL-016 / Base")),--EXACT('Kiểm thử'!$F$5:$F$573,"Chưa thực hiện"))=1,"Chưa thực hiện","Chưa đủ kết luận")))))</f>
        <v/>
      </c>
    </row>
    <row r="40" ht="30" customHeight="1">
      <c r="A40" s="18" t="inlineStr">
        <is>
          <t>TC-RS-DATA-001</t>
        </is>
      </c>
      <c r="B40" s="22">
        <f>IF(0&gt;0,"Không đạt",IF(0=4,"Đạt",IF(SUMPRODUCT(--(('Kiểm thử'!$A$5:$A$573="TC-RS-DATA-001 / fixed")+('Kiểm thử'!$A$5:$A$573="TC-RS-DATA-001 / ratio")+('Kiểm thử'!$A$5:$A$573="TC-RS-DATA-001 / formula")+('Kiểm thử'!$A$5:$A$573="TC-RS-DATA-001 / filter")),--EXACT('Kiểm thử'!$F$5:$F$573,"Không thực hiện"))=4,"Không thực hiện",IF(SUMPRODUCT(--(('Kiểm thử'!$A$5:$A$573="TC-RS-DATA-001 / fixed")+('Kiểm thử'!$A$5:$A$573="TC-RS-DATA-001 / ratio")+('Kiểm thử'!$A$5:$A$573="TC-RS-DATA-001 / formula")+('Kiểm thử'!$A$5:$A$573="TC-RS-DATA-001 / filter")),--EXACT('Kiểm thử'!$F$5:$F$573,"Bị chặn"))&gt;0,"Bị chặn",IF(SUMPRODUCT(--(('Kiểm thử'!$A$5:$A$573="TC-RS-DATA-001 / fixed")+('Kiểm thử'!$A$5:$A$573="TC-RS-DATA-001 / ratio")+('Kiểm thử'!$A$5:$A$573="TC-RS-DATA-001 / formula")+('Kiểm thử'!$A$5:$A$573="TC-RS-DATA-001 / filter")),--EXACT('Kiểm thử'!$F$5:$F$573,"Chưa thực hiện"))=4,"Chưa thực hiện","Chưa đủ kết luận")))))</f>
        <v/>
      </c>
    </row>
    <row r="41" ht="30" customHeight="1">
      <c r="A41" s="18" t="inlineStr">
        <is>
          <t>TC-RS-DATA-004</t>
        </is>
      </c>
      <c r="B41" s="22">
        <f>IF(0&gt;0,"Không đạt",IF(0=1,"Đạt",IF(SUMPRODUCT(--(('Kiểm thử'!$A$5:$A$573="TC-RS-DATA-004 / Base")),--EXACT('Kiểm thử'!$F$5:$F$573,"Không thực hiện"))=1,"Không thực hiện",IF(SUMPRODUCT(--(('Kiểm thử'!$A$5:$A$573="TC-RS-DATA-004 / Base")),--EXACT('Kiểm thử'!$F$5:$F$573,"Bị chặn"))&gt;0,"Bị chặn",IF(SUMPRODUCT(--(('Kiểm thử'!$A$5:$A$573="TC-RS-DATA-004 / Base")),--EXACT('Kiểm thử'!$F$5:$F$573,"Chưa thực hiện"))=1,"Chưa thực hiện","Chưa đủ kết luận")))))</f>
        <v/>
      </c>
    </row>
    <row r="42" ht="30" customHeight="1">
      <c r="A42" s="18" t="inlineStr">
        <is>
          <t>TC-RS-UI-001</t>
        </is>
      </c>
      <c r="B42" s="22">
        <f>IF(0&gt;0,"Không đạt",IF(0=1,"Đạt",IF(SUMPRODUCT(--(('Kiểm thử'!$A$5:$A$573="TC-RS-UI-001 / Base")),--EXACT('Kiểm thử'!$F$5:$F$573,"Không thực hiện"))=1,"Không thực hiện",IF(SUMPRODUCT(--(('Kiểm thử'!$A$5:$A$573="TC-RS-UI-001 / Base")),--EXACT('Kiểm thử'!$F$5:$F$573,"Bị chặn"))&gt;0,"Bị chặn",IF(SUMPRODUCT(--(('Kiểm thử'!$A$5:$A$573="TC-RS-UI-001 / Base")),--EXACT('Kiểm thử'!$F$5:$F$573,"Chưa thực hiện"))=1,"Chưa thực hiện","Chưa đủ kết luận")))))</f>
        <v/>
      </c>
    </row>
    <row r="43" ht="30" customHeight="1">
      <c r="A43" s="18" t="inlineStr">
        <is>
          <t>TC-RS-UI-002</t>
        </is>
      </c>
      <c r="B43" s="22">
        <f>IF(0&gt;0,"Không đạt",IF(0=1,"Đạt",IF(SUMPRODUCT(--(('Kiểm thử'!$A$5:$A$573="TC-RS-UI-002 / Base")),--EXACT('Kiểm thử'!$F$5:$F$573,"Không thực hiện"))=1,"Không thực hiện",IF(SUMPRODUCT(--(('Kiểm thử'!$A$5:$A$573="TC-RS-UI-002 / Base")),--EXACT('Kiểm thử'!$F$5:$F$573,"Bị chặn"))&gt;0,"Bị chặn",IF(SUMPRODUCT(--(('Kiểm thử'!$A$5:$A$573="TC-RS-UI-002 / Base")),--EXACT('Kiểm thử'!$F$5:$F$573,"Chưa thực hiện"))=1,"Chưa thực hiện","Chưa đủ kết luận")))))</f>
        <v/>
      </c>
    </row>
    <row r="44" ht="30" customHeight="1">
      <c r="A44" s="18" t="inlineStr">
        <is>
          <t>TC-RS-UI-003</t>
        </is>
      </c>
      <c r="B44" s="22">
        <f>IF(0&gt;0,"Không đạt",IF(0=1,"Đạt",IF(SUMPRODUCT(--(('Kiểm thử'!$A$5:$A$573="TC-RS-UI-003 / Base")),--EXACT('Kiểm thử'!$F$5:$F$573,"Không thực hiện"))=1,"Không thực hiện",IF(SUMPRODUCT(--(('Kiểm thử'!$A$5:$A$573="TC-RS-UI-003 / Base")),--EXACT('Kiểm thử'!$F$5:$F$573,"Bị chặn"))&gt;0,"Bị chặn",IF(SUMPRODUCT(--(('Kiểm thử'!$A$5:$A$573="TC-RS-UI-003 / Base")),--EXACT('Kiểm thử'!$F$5:$F$573,"Chưa thực hiện"))=1,"Chưa thực hiện","Chưa đủ kết luận")))))</f>
        <v/>
      </c>
    </row>
    <row r="45" ht="30" customHeight="1">
      <c r="A45" s="18" t="inlineStr">
        <is>
          <t>TC-RS-UI-004</t>
        </is>
      </c>
      <c r="B45" s="22">
        <f>IF(0&gt;0,"Không đạt",IF(0=1,"Đạt",IF(SUMPRODUCT(--(('Kiểm thử'!$A$5:$A$573="TC-RS-UI-004 / Base")),--EXACT('Kiểm thử'!$F$5:$F$573,"Không thực hiện"))=1,"Không thực hiện",IF(SUMPRODUCT(--(('Kiểm thử'!$A$5:$A$573="TC-RS-UI-004 / Base")),--EXACT('Kiểm thử'!$F$5:$F$573,"Bị chặn"))&gt;0,"Bị chặn",IF(SUMPRODUCT(--(('Kiểm thử'!$A$5:$A$573="TC-RS-UI-004 / Base")),--EXACT('Kiểm thử'!$F$5:$F$573,"Chưa thực hiện"))=1,"Chưa thực hiện","Chưa đủ kết luận")))))</f>
        <v/>
      </c>
    </row>
    <row r="46" ht="30" customHeight="1">
      <c r="A46" s="18" t="inlineStr">
        <is>
          <t>TC-RS-UI-005</t>
        </is>
      </c>
      <c r="B46" s="22">
        <f>IF(0&gt;0,"Không đạt",IF(0=1,"Đạt",IF(SUMPRODUCT(--(('Kiểm thử'!$A$5:$A$573="TC-RS-UI-005 / Base")),--EXACT('Kiểm thử'!$F$5:$F$573,"Không thực hiện"))=1,"Không thực hiện",IF(SUMPRODUCT(--(('Kiểm thử'!$A$5:$A$573="TC-RS-UI-005 / Base")),--EXACT('Kiểm thử'!$F$5:$F$573,"Bị chặn"))&gt;0,"Bị chặn",IF(SUMPRODUCT(--(('Kiểm thử'!$A$5:$A$573="TC-RS-UI-005 / Base")),--EXACT('Kiểm thử'!$F$5:$F$573,"Chưa thực hiện"))=1,"Chưa thực hiện","Chưa đủ kết luận")))))</f>
        <v/>
      </c>
    </row>
    <row r="47" ht="30" customHeight="1">
      <c r="A47" s="18" t="inlineStr">
        <is>
          <t>TC-RS-UI-006</t>
        </is>
      </c>
      <c r="B47" s="22">
        <f>IF(0&gt;0,"Không đạt",IF(0=1,"Đạt",IF(SUMPRODUCT(--(('Kiểm thử'!$A$5:$A$573="TC-RS-UI-006 / Base")),--EXACT('Kiểm thử'!$F$5:$F$573,"Không thực hiện"))=1,"Không thực hiện",IF(SUMPRODUCT(--(('Kiểm thử'!$A$5:$A$573="TC-RS-UI-006 / Base")),--EXACT('Kiểm thử'!$F$5:$F$573,"Bị chặn"))&gt;0,"Bị chặn",IF(SUMPRODUCT(--(('Kiểm thử'!$A$5:$A$573="TC-RS-UI-006 / Base")),--EXACT('Kiểm thử'!$F$5:$F$573,"Chưa thực hiện"))=1,"Chưa thực hiện","Chưa đủ kết luận")))))</f>
        <v/>
      </c>
    </row>
    <row r="48" ht="30" customHeight="1">
      <c r="A48" s="18" t="inlineStr">
        <is>
          <t>TC-RS-UI-007</t>
        </is>
      </c>
      <c r="B48" s="22">
        <f>IF(0&gt;0,"Không đạt",IF(0=2,"Đạt",IF(SUMPRODUCT(--(('Kiểm thử'!$A$5:$A$573="TC-RS-UI-007 / incomplete-row")+('Kiểm thử'!$A$5:$A$573="TC-RS-UI-007 / incomplete-deleted-stale")),--EXACT('Kiểm thử'!$F$5:$F$573,"Không thực hiện"))=2,"Không thực hiện",IF(SUMPRODUCT(--(('Kiểm thử'!$A$5:$A$573="TC-RS-UI-007 / incomplete-row")+('Kiểm thử'!$A$5:$A$573="TC-RS-UI-007 / incomplete-deleted-stale")),--EXACT('Kiểm thử'!$F$5:$F$573,"Bị chặn"))&gt;0,"Bị chặn",IF(SUMPRODUCT(--(('Kiểm thử'!$A$5:$A$573="TC-RS-UI-007 / incomplete-row")+('Kiểm thử'!$A$5:$A$573="TC-RS-UI-007 / incomplete-deleted-stale")),--EXACT('Kiểm thử'!$F$5:$F$573,"Chưa thực hiện"))=2,"Chưa thực hiện","Chưa đủ kết luận")))))</f>
        <v/>
      </c>
    </row>
    <row r="49" ht="30" customHeight="1">
      <c r="A49" s="18" t="inlineStr">
        <is>
          <t>TC-RS-FUNC-003</t>
        </is>
      </c>
      <c r="B49" s="22">
        <f>IF(0&gt;0,"Không đạt",IF(0=1,"Đạt",IF(SUMPRODUCT(--(('Kiểm thử'!$A$5:$A$573="TC-RS-FUNC-003 / Base")),--EXACT('Kiểm thử'!$F$5:$F$573,"Không thực hiện"))=1,"Không thực hiện",IF(SUMPRODUCT(--(('Kiểm thử'!$A$5:$A$573="TC-RS-FUNC-003 / Base")),--EXACT('Kiểm thử'!$F$5:$F$573,"Bị chặn"))&gt;0,"Bị chặn",IF(SUMPRODUCT(--(('Kiểm thử'!$A$5:$A$573="TC-RS-FUNC-003 / Base")),--EXACT('Kiểm thử'!$F$5:$F$573,"Chưa thực hiện"))=1,"Chưa thực hiện","Chưa đủ kết luận")))))</f>
        <v/>
      </c>
    </row>
    <row r="50" ht="30" customHeight="1">
      <c r="A50" s="18" t="inlineStr">
        <is>
          <t>TC-RS-FUNC-008</t>
        </is>
      </c>
      <c r="B50" s="22">
        <f>IF(0&gt;0,"Không đạt",IF(0=2,"Đạt",IF(SUMPRODUCT(--(('Kiểm thử'!$A$5:$A$573="TC-RS-FUNC-008 / all")+('Kiểm thử'!$A$5:$A$573="TC-RS-FUNC-008 / filter")),--EXACT('Kiểm thử'!$F$5:$F$573,"Không thực hiện"))=2,"Không thực hiện",IF(SUMPRODUCT(--(('Kiểm thử'!$A$5:$A$573="TC-RS-FUNC-008 / all")+('Kiểm thử'!$A$5:$A$573="TC-RS-FUNC-008 / filter")),--EXACT('Kiểm thử'!$F$5:$F$573,"Bị chặn"))&gt;0,"Bị chặn",IF(SUMPRODUCT(--(('Kiểm thử'!$A$5:$A$573="TC-RS-FUNC-008 / all")+('Kiểm thử'!$A$5:$A$573="TC-RS-FUNC-008 / filter")),--EXACT('Kiểm thử'!$F$5:$F$573,"Chưa thực hiện"))=2,"Chưa thực hiện","Chưa đủ kết luận")))))</f>
        <v/>
      </c>
    </row>
    <row r="51" ht="30" customHeight="1">
      <c r="A51" s="18" t="inlineStr">
        <is>
          <t>TC-RS-FUNC-009</t>
        </is>
      </c>
      <c r="B51" s="22">
        <f>IF(0&gt;0,"Không đạt",IF(0=2,"Đạt",IF(SUMPRODUCT(--(('Kiểm thử'!$A$5:$A$573="TC-RS-FUNC-009 / below60")+('Kiểm thử'!$A$5:$A$573="TC-RS-FUNC-009 / from60")),--EXACT('Kiểm thử'!$F$5:$F$573,"Không thực hiện"))=2,"Không thực hiện",IF(SUMPRODUCT(--(('Kiểm thử'!$A$5:$A$573="TC-RS-FUNC-009 / below60")+('Kiểm thử'!$A$5:$A$573="TC-RS-FUNC-009 / from60")),--EXACT('Kiểm thử'!$F$5:$F$573,"Bị chặn"))&gt;0,"Bị chặn",IF(SUMPRODUCT(--(('Kiểm thử'!$A$5:$A$573="TC-RS-FUNC-009 / below60")+('Kiểm thử'!$A$5:$A$573="TC-RS-FUNC-009 / from60")),--EXACT('Kiểm thử'!$F$5:$F$573,"Chưa thực hiện"))=2,"Chưa thực hiện","Chưa đủ kết luận")))))</f>
        <v/>
      </c>
    </row>
    <row r="52" ht="30" customHeight="1">
      <c r="A52" s="18" t="inlineStr">
        <is>
          <t>TC-RS-FUNC-010</t>
        </is>
      </c>
      <c r="B52" s="22">
        <f>IF(0&gt;0,"Không đạt",IF(0=1,"Đạt",IF(SUMPRODUCT(--(('Kiểm thử'!$A$5:$A$573="TC-RS-FUNC-010 / Base")),--EXACT('Kiểm thử'!$F$5:$F$573,"Không thực hiện"))=1,"Không thực hiện",IF(SUMPRODUCT(--(('Kiểm thử'!$A$5:$A$573="TC-RS-FUNC-010 / Base")),--EXACT('Kiểm thử'!$F$5:$F$573,"Bị chặn"))&gt;0,"Bị chặn",IF(SUMPRODUCT(--(('Kiểm thử'!$A$5:$A$573="TC-RS-FUNC-010 / Base")),--EXACT('Kiểm thử'!$F$5:$F$573,"Chưa thực hiện"))=1,"Chưa thực hiện","Chưa đủ kết luận")))))</f>
        <v/>
      </c>
    </row>
    <row r="53" ht="30" customHeight="1">
      <c r="A53" s="18" t="inlineStr">
        <is>
          <t>TC-RS-BR-004</t>
        </is>
      </c>
      <c r="B53" s="22">
        <f>IF(0&gt;0,"Không đạt",IF(0=1,"Đạt",IF(SUMPRODUCT(--(('Kiểm thử'!$A$5:$A$573="TC-RS-BR-004 / Base")),--EXACT('Kiểm thử'!$F$5:$F$573,"Không thực hiện"))=1,"Không thực hiện",IF(SUMPRODUCT(--(('Kiểm thử'!$A$5:$A$573="TC-RS-BR-004 / Base")),--EXACT('Kiểm thử'!$F$5:$F$573,"Bị chặn"))&gt;0,"Bị chặn",IF(SUMPRODUCT(--(('Kiểm thử'!$A$5:$A$573="TC-RS-BR-004 / Base")),--EXACT('Kiểm thử'!$F$5:$F$573,"Chưa thực hiện"))=1,"Chưa thực hiện","Chưa đủ kết luận")))))</f>
        <v/>
      </c>
    </row>
    <row r="54" ht="30" customHeight="1">
      <c r="A54" s="18" t="inlineStr">
        <is>
          <t>TC-RS-BR-041</t>
        </is>
      </c>
      <c r="B54" s="22">
        <f>IF(0&gt;0,"Không đạt",IF(0=22,"Đạt",IF(SUMPRODUCT(--(('Kiểm thử'!$A$5:$A$573="TC-RS-BR-041 / A-P9")+('Kiểm thử'!$A$5:$A$573="TC-RS-BR-041 / A-P10")+('Kiểm thử'!$A$5:$A$573="TC-RS-BR-041 / A-P11")+('Kiểm thử'!$A$5:$A$573="TC-RS-BR-041 / A-P12")+('Kiểm thử'!$A$5:$A$573="TC-RS-BR-041 / A-P13")+('Kiểm thử'!$A$5:$A$573="TC-RS-BR-041 / A-P14")+('Kiểm thử'!$A$5:$A$573="TC-RS-BR-041 / A-P15")+('Kiểm thử'!$A$5:$A$573="TC-RS-BR-041 / A-P16")+('Kiểm thử'!$A$5:$A$573="TC-RS-BR-041 / RR-60")+('Kiểm thử'!$A$5:$A$573="TC-RS-BR-041 / RR-49.9")+('Kiểm thử'!$A$5:$A$573="TC-RS-BR-041 / RR-70")+('Kiểm thử'!$A$5:$A$573="TC-RS-BR-041 / AR-60-60")+('Kiểm thử'!$A$5:$A$573="TC-RS-BR-041 / AR-40-60")+('Kiểm thử'!$A$5:$A$573="TC-RS-BR-041 / AR-60-40")+('Kiểm thử'!$A$5:$A$573="TC-RS-BR-041 / FILTER-POS")+('Kiểm thử'!$A$5:$A$573="TC-RS-BR-041 / FILTER-GRADE-NEG")+('Kiểm thử'!$A$5:$A$573="TC-RS-BR-041 / FILTER-GROUP-NEG")+('Kiểm thử'!$A$5:$A$573="TC-RS-BR-041 / P17-A-NAN")+('Kiểm thử'!$A$5:$A$573="TC-RS-BR-041 / P19-A-INFINITY")+('Kiểm thử'!$A$5:$A$573="TC-RS-BR-041 / P18-A-EMPTY")+('Kiểm thử'!$A$5:$A$573="TC-RS-BR-041 / P18-S-EMPTY")+('Kiểm thử'!$A$5:$A$573="TC-RS-BR-041 / reopen-summary")),--EXACT('Kiểm thử'!$F$5:$F$573,"Không thực hiện"))=22,"Không thực hiện",IF(SUMPRODUCT(--(('Kiểm thử'!$A$5:$A$573="TC-RS-BR-041 / A-P9")+('Kiểm thử'!$A$5:$A$573="TC-RS-BR-041 / A-P10")+('Kiểm thử'!$A$5:$A$573="TC-RS-BR-041 / A-P11")+('Kiểm thử'!$A$5:$A$573="TC-RS-BR-041 / A-P12")+('Kiểm thử'!$A$5:$A$573="TC-RS-BR-041 / A-P13")+('Kiểm thử'!$A$5:$A$573="TC-RS-BR-041 / A-P14")+('Kiểm thử'!$A$5:$A$573="TC-RS-BR-041 / A-P15")+('Kiểm thử'!$A$5:$A$573="TC-RS-BR-041 / A-P16")+('Kiểm thử'!$A$5:$A$573="TC-RS-BR-041 / RR-60")+('Kiểm thử'!$A$5:$A$573="TC-RS-BR-041 / RR-49.9")+('Kiểm thử'!$A$5:$A$573="TC-RS-BR-041 / RR-70")+('Kiểm thử'!$A$5:$A$573="TC-RS-BR-041 / AR-60-60")+('Kiểm thử'!$A$5:$A$573="TC-RS-BR-041 / AR-40-60")+('Kiểm thử'!$A$5:$A$573="TC-RS-BR-041 / AR-60-40")+('Kiểm thử'!$A$5:$A$573="TC-RS-BR-041 / FILTER-POS")+('Kiểm thử'!$A$5:$A$573="TC-RS-BR-041 / FILTER-GRADE-NEG")+('Kiểm thử'!$A$5:$A$573="TC-RS-BR-041 / FILTER-GROUP-NEG")+('Kiểm thử'!$A$5:$A$573="TC-RS-BR-041 / P17-A-NAN")+('Kiểm thử'!$A$5:$A$573="TC-RS-BR-041 / P19-A-INFINITY")+('Kiểm thử'!$A$5:$A$573="TC-RS-BR-041 / P18-A-EMPTY")+('Kiểm thử'!$A$5:$A$573="TC-RS-BR-041 / P18-S-EMPTY")+('Kiểm thử'!$A$5:$A$573="TC-RS-BR-041 / reopen-summary")),--EXACT('Kiểm thử'!$F$5:$F$573,"Bị chặn"))&gt;0,"Bị chặn",IF(SUMPRODUCT(--(('Kiểm thử'!$A$5:$A$573="TC-RS-BR-041 / A-P9")+('Kiểm thử'!$A$5:$A$573="TC-RS-BR-041 / A-P10")+('Kiểm thử'!$A$5:$A$573="TC-RS-BR-041 / A-P11")+('Kiểm thử'!$A$5:$A$573="TC-RS-BR-041 / A-P12")+('Kiểm thử'!$A$5:$A$573="TC-RS-BR-041 / A-P13")+('Kiểm thử'!$A$5:$A$573="TC-RS-BR-041 / A-P14")+('Kiểm thử'!$A$5:$A$573="TC-RS-BR-041 / A-P15")+('Kiểm thử'!$A$5:$A$573="TC-RS-BR-041 / A-P16")+('Kiểm thử'!$A$5:$A$573="TC-RS-BR-041 / RR-60")+('Kiểm thử'!$A$5:$A$573="TC-RS-BR-041 / RR-49.9")+('Kiểm thử'!$A$5:$A$573="TC-RS-BR-041 / RR-70")+('Kiểm thử'!$A$5:$A$573="TC-RS-BR-041 / AR-60-60")+('Kiểm thử'!$A$5:$A$573="TC-RS-BR-041 / AR-40-60")+('Kiểm thử'!$A$5:$A$573="TC-RS-BR-041 / AR-60-40")+('Kiểm thử'!$A$5:$A$573="TC-RS-BR-041 / FILTER-POS")+('Kiểm thử'!$A$5:$A$573="TC-RS-BR-041 / FILTER-GRADE-NEG")+('Kiểm thử'!$A$5:$A$573="TC-RS-BR-041 / FILTER-GROUP-NEG")+('Kiểm thử'!$A$5:$A$573="TC-RS-BR-041 / P17-A-NAN")+('Kiểm thử'!$A$5:$A$573="TC-RS-BR-041 / P19-A-INFINITY")+('Kiểm thử'!$A$5:$A$573="TC-RS-BR-041 / P18-A-EMPTY")+('Kiểm thử'!$A$5:$A$573="TC-RS-BR-041 / P18-S-EMPTY")+('Kiểm thử'!$A$5:$A$573="TC-RS-BR-041 / reopen-summary")),--EXACT('Kiểm thử'!$F$5:$F$573,"Chưa thực hiện"))=22,"Chưa thực hiện","Chưa đủ kết luận")))))</f>
        <v/>
      </c>
    </row>
    <row r="55" ht="30" customHeight="1">
      <c r="A55" s="18" t="inlineStr">
        <is>
          <t>TC-RS-BR-005</t>
        </is>
      </c>
      <c r="B55" s="22">
        <f>IF(0&gt;0,"Không đạt",IF(0=1,"Đạt",IF(SUMPRODUCT(--(('Kiểm thử'!$A$5:$A$573="TC-RS-BR-005 / Base")),--EXACT('Kiểm thử'!$F$5:$F$573,"Không thực hiện"))=1,"Không thực hiện",IF(SUMPRODUCT(--(('Kiểm thử'!$A$5:$A$573="TC-RS-BR-005 / Base")),--EXACT('Kiểm thử'!$F$5:$F$573,"Bị chặn"))&gt;0,"Bị chặn",IF(SUMPRODUCT(--(('Kiểm thử'!$A$5:$A$573="TC-RS-BR-005 / Base")),--EXACT('Kiểm thử'!$F$5:$F$573,"Chưa thực hiện"))=1,"Chưa thực hiện","Chưa đủ kết luận")))))</f>
        <v/>
      </c>
    </row>
    <row r="56" ht="30" customHeight="1">
      <c r="A56" s="18" t="inlineStr">
        <is>
          <t>TC-RS-BR-029</t>
        </is>
      </c>
      <c r="B56" s="22">
        <f>IF(0&gt;0,"Không đạt",IF(0=1,"Đạt",IF(SUMPRODUCT(--(('Kiểm thử'!$A$5:$A$573="TC-RS-BR-029 / Base")),--EXACT('Kiểm thử'!$F$5:$F$573,"Không thực hiện"))=1,"Không thực hiện",IF(SUMPRODUCT(--(('Kiểm thử'!$A$5:$A$573="TC-RS-BR-029 / Base")),--EXACT('Kiểm thử'!$F$5:$F$573,"Bị chặn"))&gt;0,"Bị chặn",IF(SUMPRODUCT(--(('Kiểm thử'!$A$5:$A$573="TC-RS-BR-029 / Base")),--EXACT('Kiểm thử'!$F$5:$F$573,"Chưa thực hiện"))=1,"Chưa thực hiện","Chưa đủ kết luận")))))</f>
        <v/>
      </c>
    </row>
    <row r="57" ht="30" customHeight="1">
      <c r="A57" s="18" t="inlineStr">
        <is>
          <t>TC-RS-BR-035</t>
        </is>
      </c>
      <c r="B57" s="22">
        <f>IF(0&gt;0,"Không đạt",IF(0=1,"Đạt",IF(SUMPRODUCT(--(('Kiểm thử'!$A$5:$A$573="TC-RS-BR-035 / Base")),--EXACT('Kiểm thử'!$F$5:$F$573,"Không thực hiện"))=1,"Không thực hiện",IF(SUMPRODUCT(--(('Kiểm thử'!$A$5:$A$573="TC-RS-BR-035 / Base")),--EXACT('Kiểm thử'!$F$5:$F$573,"Bị chặn"))&gt;0,"Bị chặn",IF(SUMPRODUCT(--(('Kiểm thử'!$A$5:$A$573="TC-RS-BR-035 / Base")),--EXACT('Kiểm thử'!$F$5:$F$573,"Chưa thực hiện"))=1,"Chưa thực hiện","Chưa đủ kết luận")))))</f>
        <v/>
      </c>
    </row>
    <row r="58" ht="30" customHeight="1">
      <c r="A58" s="18" t="inlineStr">
        <is>
          <t>TC-RS-VAL-015</t>
        </is>
      </c>
      <c r="B58" s="22">
        <f>IF(0&gt;0,"Không đạt",IF(0=1,"Đạt",IF(SUMPRODUCT(--(('Kiểm thử'!$A$5:$A$573="TC-RS-VAL-015 / Base")),--EXACT('Kiểm thử'!$F$5:$F$573,"Không thực hiện"))=1,"Không thực hiện",IF(SUMPRODUCT(--(('Kiểm thử'!$A$5:$A$573="TC-RS-VAL-015 / Base")),--EXACT('Kiểm thử'!$F$5:$F$573,"Bị chặn"))&gt;0,"Bị chặn",IF(SUMPRODUCT(--(('Kiểm thử'!$A$5:$A$573="TC-RS-VAL-015 / Base")),--EXACT('Kiểm thử'!$F$5:$F$573,"Chưa thực hiện"))=1,"Chưa thực hiện","Chưa đủ kết luận")))))</f>
        <v/>
      </c>
    </row>
    <row r="59" ht="30" customHeight="1">
      <c r="A59" s="18" t="inlineStr">
        <is>
          <t>TC-RS-VAL-022</t>
        </is>
      </c>
      <c r="B59" s="22">
        <f>IF(0&gt;0,"Không đạt",IF(0=9,"Đạt",IF(SUMPRODUCT(--(('Kiểm thử'!$A$5:$A$573="TC-RS-VAL-022 / avg-empty")+('Kiểm thử'!$A$5:$A$573="TC-RS-VAL-022 / avg-negative")+('Kiểm thử'!$A$5:$A$573="TC-RS-VAL-022 / avg101")+('Kiểm thử'!$A$5:$A$573="TC-RS-VAL-022 / avg605")+('Kiểm thử'!$A$5:$A$573="TC-RS-VAL-022 / avg-long")+('Kiểm thử'!$A$5:$A$573="TC-RS-VAL-022 / ratio-negative")+('Kiểm thử'!$A$5:$A$573="TC-RS-VAL-022 / ratio0")+('Kiểm thử'!$A$5:$A$573="TC-RS-VAL-022 / ratio100")+('Kiểm thử'!$A$5:$A$573="TC-RS-VAL-022 / ratio101")),--EXACT('Kiểm thử'!$F$5:$F$573,"Không thực hiện"))=9,"Không thực hiện",IF(SUMPRODUCT(--(('Kiểm thử'!$A$5:$A$573="TC-RS-VAL-022 / avg-empty")+('Kiểm thử'!$A$5:$A$573="TC-RS-VAL-022 / avg-negative")+('Kiểm thử'!$A$5:$A$573="TC-RS-VAL-022 / avg101")+('Kiểm thử'!$A$5:$A$573="TC-RS-VAL-022 / avg605")+('Kiểm thử'!$A$5:$A$573="TC-RS-VAL-022 / avg-long")+('Kiểm thử'!$A$5:$A$573="TC-RS-VAL-022 / ratio-negative")+('Kiểm thử'!$A$5:$A$573="TC-RS-VAL-022 / ratio0")+('Kiểm thử'!$A$5:$A$573="TC-RS-VAL-022 / ratio100")+('Kiểm thử'!$A$5:$A$573="TC-RS-VAL-022 / ratio101")),--EXACT('Kiểm thử'!$F$5:$F$573,"Bị chặn"))&gt;0,"Bị chặn",IF(SUMPRODUCT(--(('Kiểm thử'!$A$5:$A$573="TC-RS-VAL-022 / avg-empty")+('Kiểm thử'!$A$5:$A$573="TC-RS-VAL-022 / avg-negative")+('Kiểm thử'!$A$5:$A$573="TC-RS-VAL-022 / avg101")+('Kiểm thử'!$A$5:$A$573="TC-RS-VAL-022 / avg605")+('Kiểm thử'!$A$5:$A$573="TC-RS-VAL-022 / avg-long")+('Kiểm thử'!$A$5:$A$573="TC-RS-VAL-022 / ratio-negative")+('Kiểm thử'!$A$5:$A$573="TC-RS-VAL-022 / ratio0")+('Kiểm thử'!$A$5:$A$573="TC-RS-VAL-022 / ratio100")+('Kiểm thử'!$A$5:$A$573="TC-RS-VAL-022 / ratio101")),--EXACT('Kiểm thử'!$F$5:$F$573,"Chưa thực hiện"))=9,"Chưa thực hiện","Chưa đủ kết luận")))))</f>
        <v/>
      </c>
    </row>
    <row r="60" ht="30" customHeight="1">
      <c r="A60" s="18" t="inlineStr">
        <is>
          <t>TC-RS-UI-008</t>
        </is>
      </c>
      <c r="B60" s="22">
        <f>IF(0&gt;0,"Không đạt",IF(0=1,"Đạt",IF(SUMPRODUCT(--(('Kiểm thử'!$A$5:$A$573="TC-RS-UI-008 / Base")),--EXACT('Kiểm thử'!$F$5:$F$573,"Không thực hiện"))=1,"Không thực hiện",IF(SUMPRODUCT(--(('Kiểm thử'!$A$5:$A$573="TC-RS-UI-008 / Base")),--EXACT('Kiểm thử'!$F$5:$F$573,"Bị chặn"))&gt;0,"Bị chặn",IF(SUMPRODUCT(--(('Kiểm thử'!$A$5:$A$573="TC-RS-UI-008 / Base")),--EXACT('Kiểm thử'!$F$5:$F$573,"Chưa thực hiện"))=1,"Chưa thực hiện","Chưa đủ kết luận")))))</f>
        <v/>
      </c>
    </row>
    <row r="61" ht="30" customHeight="1">
      <c r="A61" s="18" t="inlineStr">
        <is>
          <t>TC-RS-UI-009</t>
        </is>
      </c>
      <c r="B61" s="22">
        <f>IF(0&gt;0,"Không đạt",IF(0=1,"Đạt",IF(SUMPRODUCT(--(('Kiểm thử'!$A$5:$A$573="TC-RS-UI-009 / Base")),--EXACT('Kiểm thử'!$F$5:$F$573,"Không thực hiện"))=1,"Không thực hiện",IF(SUMPRODUCT(--(('Kiểm thử'!$A$5:$A$573="TC-RS-UI-009 / Base")),--EXACT('Kiểm thử'!$F$5:$F$573,"Bị chặn"))&gt;0,"Bị chặn",IF(SUMPRODUCT(--(('Kiểm thử'!$A$5:$A$573="TC-RS-UI-009 / Base")),--EXACT('Kiểm thử'!$F$5:$F$573,"Chưa thực hiện"))=1,"Chưa thực hiện","Chưa đủ kết luận")))))</f>
        <v/>
      </c>
    </row>
    <row r="62" ht="30" customHeight="1">
      <c r="A62" s="18" t="inlineStr">
        <is>
          <t>TC-RS-UI-010</t>
        </is>
      </c>
      <c r="B62" s="22">
        <f>IF(0&gt;0,"Không đạt",IF(0=1,"Đạt",IF(SUMPRODUCT(--(('Kiểm thử'!$A$5:$A$573="TC-RS-UI-010 / Base")),--EXACT('Kiểm thử'!$F$5:$F$573,"Không thực hiện"))=1,"Không thực hiện",IF(SUMPRODUCT(--(('Kiểm thử'!$A$5:$A$573="TC-RS-UI-010 / Base")),--EXACT('Kiểm thử'!$F$5:$F$573,"Bị chặn"))&gt;0,"Bị chặn",IF(SUMPRODUCT(--(('Kiểm thử'!$A$5:$A$573="TC-RS-UI-010 / Base")),--EXACT('Kiểm thử'!$F$5:$F$573,"Chưa thực hiện"))=1,"Chưa thực hiện","Chưa đủ kết luận")))))</f>
        <v/>
      </c>
    </row>
    <row r="63" ht="30" customHeight="1">
      <c r="A63" s="18" t="inlineStr">
        <is>
          <t>TC-RS-FUNC-011</t>
        </is>
      </c>
      <c r="B63" s="22">
        <f>IF(0&gt;0,"Không đạt",IF(0=3,"Đạt",IF(SUMPRODUCT(--(('Kiểm thử'!$A$5:$A$573="TC-RS-FUNC-011 / fixed")+('Kiểm thử'!$A$5:$A$573="TC-RS-FUNC-011 / ratio")+('Kiểm thử'!$A$5:$A$573="TC-RS-FUNC-011 / formula")),--EXACT('Kiểm thử'!$F$5:$F$573,"Không thực hiện"))=3,"Không thực hiện",IF(SUMPRODUCT(--(('Kiểm thử'!$A$5:$A$573="TC-RS-FUNC-011 / fixed")+('Kiểm thử'!$A$5:$A$573="TC-RS-FUNC-011 / ratio")+('Kiểm thử'!$A$5:$A$573="TC-RS-FUNC-011 / formula")),--EXACT('Kiểm thử'!$F$5:$F$573,"Bị chặn"))&gt;0,"Bị chặn",IF(SUMPRODUCT(--(('Kiểm thử'!$A$5:$A$573="TC-RS-FUNC-011 / fixed")+('Kiểm thử'!$A$5:$A$573="TC-RS-FUNC-011 / ratio")+('Kiểm thử'!$A$5:$A$573="TC-RS-FUNC-011 / formula")),--EXACT('Kiểm thử'!$F$5:$F$573,"Chưa thực hiện"))=3,"Chưa thực hiện","Chưa đủ kết luận")))))</f>
        <v/>
      </c>
    </row>
    <row r="64" ht="30" customHeight="1">
      <c r="A64" s="18" t="inlineStr">
        <is>
          <t>TC-RS-FUNC-013</t>
        </is>
      </c>
      <c r="B64" s="22">
        <f>IF(0&gt;0,"Không đạt",IF(0=2,"Đạt",IF(SUMPRODUCT(--(('Kiểm thử'!$A$5:$A$573="TC-RS-FUNC-013 / lt")+('Kiểm thử'!$A$5:$A$573="TC-RS-FUNC-013 / le")),--EXACT('Kiểm thử'!$F$5:$F$573,"Không thực hiện"))=2,"Không thực hiện",IF(SUMPRODUCT(--(('Kiểm thử'!$A$5:$A$573="TC-RS-FUNC-013 / lt")+('Kiểm thử'!$A$5:$A$573="TC-RS-FUNC-013 / le")),--EXACT('Kiểm thử'!$F$5:$F$573,"Bị chặn"))&gt;0,"Bị chặn",IF(SUMPRODUCT(--(('Kiểm thử'!$A$5:$A$573="TC-RS-FUNC-013 / lt")+('Kiểm thử'!$A$5:$A$573="TC-RS-FUNC-013 / le")),--EXACT('Kiểm thử'!$F$5:$F$573,"Chưa thực hiện"))=2,"Chưa thực hiện","Chưa đủ kết luận")))))</f>
        <v/>
      </c>
    </row>
    <row r="65" ht="30" customHeight="1">
      <c r="A65" s="18" t="inlineStr">
        <is>
          <t>TC-RS-VAL-001</t>
        </is>
      </c>
      <c r="B65" s="22">
        <f>IF(0&gt;0,"Không đạt",IF(0=4,"Đạt",IF(SUMPRODUCT(--(('Kiểm thử'!$A$5:$A$573="TC-RS-VAL-001 / negative")+('Kiểm thử'!$A$5:$A$573="TC-RS-VAL-001 / zero")+('Kiểm thử'!$A$5:$A$573="TC-RS-VAL-001 / maximum")+('Kiểm thử'!$A$5:$A$573="TC-RS-VAL-001 / above")),--EXACT('Kiểm thử'!$F$5:$F$573,"Không thực hiện"))=4,"Không thực hiện",IF(SUMPRODUCT(--(('Kiểm thử'!$A$5:$A$573="TC-RS-VAL-001 / negative")+('Kiểm thử'!$A$5:$A$573="TC-RS-VAL-001 / zero")+('Kiểm thử'!$A$5:$A$573="TC-RS-VAL-001 / maximum")+('Kiểm thử'!$A$5:$A$573="TC-RS-VAL-001 / above")),--EXACT('Kiểm thử'!$F$5:$F$573,"Bị chặn"))&gt;0,"Bị chặn",IF(SUMPRODUCT(--(('Kiểm thử'!$A$5:$A$573="TC-RS-VAL-001 / negative")+('Kiểm thử'!$A$5:$A$573="TC-RS-VAL-001 / zero")+('Kiểm thử'!$A$5:$A$573="TC-RS-VAL-001 / maximum")+('Kiểm thử'!$A$5:$A$573="TC-RS-VAL-001 / above")),--EXACT('Kiểm thử'!$F$5:$F$573,"Chưa thực hiện"))=4,"Chưa thực hiện","Chưa đủ kết luận")))))</f>
        <v/>
      </c>
    </row>
    <row r="66" ht="30" customHeight="1">
      <c r="A66" s="18" t="inlineStr">
        <is>
          <t>TC-RS-VAL-002</t>
        </is>
      </c>
      <c r="B66" s="22">
        <f>IF(0&gt;0,"Không đạt",IF(0=3,"Đạt",IF(SUMPRODUCT(--(('Kiểm thử'!$A$5:$A$573="TC-RS-VAL-002 / all30")+('Kiểm thử'!$A$5:$A$573="TC-RS-VAL-002 / all20")+('Kiểm thử'!$A$5:$A$573="TC-RS-VAL-002 / gb30")),--EXACT('Kiểm thử'!$F$5:$F$573,"Không thực hiện"))=3,"Không thực hiện",IF(SUMPRODUCT(--(('Kiểm thử'!$A$5:$A$573="TC-RS-VAL-002 / all30")+('Kiểm thử'!$A$5:$A$573="TC-RS-VAL-002 / all20")+('Kiểm thử'!$A$5:$A$573="TC-RS-VAL-002 / gb30")),--EXACT('Kiểm thử'!$F$5:$F$573,"Bị chặn"))&gt;0,"Bị chặn",IF(SUMPRODUCT(--(('Kiểm thử'!$A$5:$A$573="TC-RS-VAL-002 / all30")+('Kiểm thử'!$A$5:$A$573="TC-RS-VAL-002 / all20")+('Kiểm thử'!$A$5:$A$573="TC-RS-VAL-002 / gb30")),--EXACT('Kiểm thử'!$F$5:$F$573,"Chưa thực hiện"))=3,"Chưa thực hiện","Chưa đủ kết luận")))))</f>
        <v/>
      </c>
    </row>
    <row r="67" ht="30" customHeight="1">
      <c r="A67" s="18" t="inlineStr">
        <is>
          <t>TC-RS-VAL-003</t>
        </is>
      </c>
      <c r="B67" s="22">
        <f>IF(0&gt;0,"Không đạt",IF(0=1,"Đạt",IF(SUMPRODUCT(--(('Kiểm thử'!$A$5:$A$573="TC-RS-VAL-003 / Base")),--EXACT('Kiểm thử'!$F$5:$F$573,"Không thực hiện"))=1,"Không thực hiện",IF(SUMPRODUCT(--(('Kiểm thử'!$A$5:$A$573="TC-RS-VAL-003 / Base")),--EXACT('Kiểm thử'!$F$5:$F$573,"Bị chặn"))&gt;0,"Bị chặn",IF(SUMPRODUCT(--(('Kiểm thử'!$A$5:$A$573="TC-RS-VAL-003 / Base")),--EXACT('Kiểm thử'!$F$5:$F$573,"Chưa thực hiện"))=1,"Chưa thực hiện","Chưa đủ kết luận")))))</f>
        <v/>
      </c>
    </row>
    <row r="68" ht="30" customHeight="1">
      <c r="A68" s="18" t="inlineStr">
        <is>
          <t>TC-RS-VAL-004</t>
        </is>
      </c>
      <c r="B68" s="22">
        <f>IF(0&gt;0,"Không đạt",IF(0=8,"Đạt",IF(SUMPRODUCT(--(('Kiểm thử'!$A$5:$A$573="TC-RS-VAL-004 / fixed-empty")+('Kiểm thử'!$A$5:$A$573="TC-RS-VAL-004 / fixed-abc")+('Kiểm thử'!$A$5:$A$573="TC-RS-VAL-004 / fixed-3O")+('Kiểm thử'!$A$5:$A$573="TC-RS-VAL-004 / fixed-fullwidth")+('Kiểm thử'!$A$5:$A$573="TC-RS-VAL-004 / ratio-empty")+('Kiểm thử'!$A$5:$A$573="TC-RS-VAL-004 / ratio-abc")+('Kiểm thử'!$A$5:$A$573="TC-RS-VAL-004 / ratio-3O")+('Kiểm thử'!$A$5:$A$573="TC-RS-VAL-004 / ratio-fullwidth")),--EXACT('Kiểm thử'!$F$5:$F$573,"Không thực hiện"))=8,"Không thực hiện",IF(SUMPRODUCT(--(('Kiểm thử'!$A$5:$A$573="TC-RS-VAL-004 / fixed-empty")+('Kiểm thử'!$A$5:$A$573="TC-RS-VAL-004 / fixed-abc")+('Kiểm thử'!$A$5:$A$573="TC-RS-VAL-004 / fixed-3O")+('Kiểm thử'!$A$5:$A$573="TC-RS-VAL-004 / fixed-fullwidth")+('Kiểm thử'!$A$5:$A$573="TC-RS-VAL-004 / ratio-empty")+('Kiểm thử'!$A$5:$A$573="TC-RS-VAL-004 / ratio-abc")+('Kiểm thử'!$A$5:$A$573="TC-RS-VAL-004 / ratio-3O")+('Kiểm thử'!$A$5:$A$573="TC-RS-VAL-004 / ratio-fullwidth")),--EXACT('Kiểm thử'!$F$5:$F$573,"Bị chặn"))&gt;0,"Bị chặn",IF(SUMPRODUCT(--(('Kiểm thử'!$A$5:$A$573="TC-RS-VAL-004 / fixed-empty")+('Kiểm thử'!$A$5:$A$573="TC-RS-VAL-004 / fixed-abc")+('Kiểm thử'!$A$5:$A$573="TC-RS-VAL-004 / fixed-3O")+('Kiểm thử'!$A$5:$A$573="TC-RS-VAL-004 / fixed-fullwidth")+('Kiểm thử'!$A$5:$A$573="TC-RS-VAL-004 / ratio-empty")+('Kiểm thử'!$A$5:$A$573="TC-RS-VAL-004 / ratio-abc")+('Kiểm thử'!$A$5:$A$573="TC-RS-VAL-004 / ratio-3O")+('Kiểm thử'!$A$5:$A$573="TC-RS-VAL-004 / ratio-fullwidth")),--EXACT('Kiểm thử'!$F$5:$F$573,"Chưa thực hiện"))=8,"Chưa thực hiện","Chưa đủ kết luận")))))</f>
        <v/>
      </c>
    </row>
    <row r="69" ht="30" customHeight="1">
      <c r="A69" s="18" t="inlineStr">
        <is>
          <t>TC-RS-VAL-005</t>
        </is>
      </c>
      <c r="B69" s="22">
        <f>IF(0&gt;0,"Không đạt",IF(0=4,"Đạt",IF(SUMPRODUCT(--(('Kiểm thử'!$A$5:$A$573="TC-RS-VAL-005 / d1")+('Kiểm thử'!$A$5:$A$573="TC-RS-VAL-005 / d2")+('Kiểm thử'!$A$5:$A$573="TC-RS-VAL-005 / d3")+('Kiểm thử'!$A$5:$A$573="TC-RS-VAL-005 / d4")),--EXACT('Kiểm thử'!$F$5:$F$573,"Không thực hiện"))=4,"Không thực hiện",IF(SUMPRODUCT(--(('Kiểm thử'!$A$5:$A$573="TC-RS-VAL-005 / d1")+('Kiểm thử'!$A$5:$A$573="TC-RS-VAL-005 / d2")+('Kiểm thử'!$A$5:$A$573="TC-RS-VAL-005 / d3")+('Kiểm thử'!$A$5:$A$573="TC-RS-VAL-005 / d4")),--EXACT('Kiểm thử'!$F$5:$F$573,"Bị chặn"))&gt;0,"Bị chặn",IF(SUMPRODUCT(--(('Kiểm thử'!$A$5:$A$573="TC-RS-VAL-005 / d1")+('Kiểm thử'!$A$5:$A$573="TC-RS-VAL-005 / d2")+('Kiểm thử'!$A$5:$A$573="TC-RS-VAL-005 / d3")+('Kiểm thử'!$A$5:$A$573="TC-RS-VAL-005 / d4")),--EXACT('Kiểm thử'!$F$5:$F$573,"Chưa thực hiện"))=4,"Chưa thực hiện","Chưa đủ kết luận")))))</f>
        <v/>
      </c>
    </row>
    <row r="70" ht="30" customHeight="1">
      <c r="A70" s="18" t="inlineStr">
        <is>
          <t>TC-RS-CALC-001</t>
        </is>
      </c>
      <c r="B70" s="22">
        <f>IF(0&gt;0,"Không đạt",IF(0=2,"Đạt",IF(SUMPRODUCT(--(('Kiểm thử'!$A$5:$A$573="TC-RS-CALC-001 / lt")+('Kiểm thử'!$A$5:$A$573="TC-RS-CALC-001 / le")),--EXACT('Kiểm thử'!$F$5:$F$573,"Không thực hiện"))=2,"Không thực hiện",IF(SUMPRODUCT(--(('Kiểm thử'!$A$5:$A$573="TC-RS-CALC-001 / lt")+('Kiểm thử'!$A$5:$A$573="TC-RS-CALC-001 / le")),--EXACT('Kiểm thử'!$F$5:$F$573,"Bị chặn"))&gt;0,"Bị chặn",IF(SUMPRODUCT(--(('Kiểm thử'!$A$5:$A$573="TC-RS-CALC-001 / lt")+('Kiểm thử'!$A$5:$A$573="TC-RS-CALC-001 / le")),--EXACT('Kiểm thử'!$F$5:$F$573,"Chưa thực hiện"))=2,"Chưa thực hiện","Chưa đủ kết luận")))))</f>
        <v/>
      </c>
    </row>
    <row r="71" ht="30" customHeight="1">
      <c r="A71" s="18" t="inlineStr">
        <is>
          <t>TC-RS-CALC-002</t>
        </is>
      </c>
      <c r="B71" s="22">
        <f>IF(0&gt;0,"Không đạt",IF(0=3,"Đạt",IF(SUMPRODUCT(--(('Kiểm thử'!$A$5:$A$573="TC-RS-CALC-002 / zero-lt")+('Kiểm thử'!$A$5:$A$573="TC-RS-CALC-002 / zero-le")+('Kiểm thử'!$A$5:$A$573="TC-RS-CALC-002 / thirty-lt")),--EXACT('Kiểm thử'!$F$5:$F$573,"Không thực hiện"))=3,"Không thực hiện",IF(SUMPRODUCT(--(('Kiểm thử'!$A$5:$A$573="TC-RS-CALC-002 / zero-lt")+('Kiểm thử'!$A$5:$A$573="TC-RS-CALC-002 / zero-le")+('Kiểm thử'!$A$5:$A$573="TC-RS-CALC-002 / thirty-lt")),--EXACT('Kiểm thử'!$F$5:$F$573,"Bị chặn"))&gt;0,"Bị chặn",IF(SUMPRODUCT(--(('Kiểm thử'!$A$5:$A$573="TC-RS-CALC-002 / zero-lt")+('Kiểm thử'!$A$5:$A$573="TC-RS-CALC-002 / zero-le")+('Kiểm thử'!$A$5:$A$573="TC-RS-CALC-002 / thirty-lt")),--EXACT('Kiểm thử'!$F$5:$F$573,"Chưa thực hiện"))=3,"Chưa thực hiện","Chưa đủ kết luận")))))</f>
        <v/>
      </c>
    </row>
    <row r="72" ht="30" customHeight="1">
      <c r="A72" s="18" t="inlineStr">
        <is>
          <t>TC-RS-CALC-003</t>
        </is>
      </c>
      <c r="B72" s="22">
        <f>IF(0&gt;0,"Không đạt",IF(0=2,"Đạt",IF(SUMPRODUCT(--(('Kiểm thử'!$A$5:$A$573="TC-RS-CALC-003 / lt")+('Kiểm thử'!$A$5:$A$573="TC-RS-CALC-003 / le")),--EXACT('Kiểm thử'!$F$5:$F$573,"Không thực hiện"))=2,"Không thực hiện",IF(SUMPRODUCT(--(('Kiểm thử'!$A$5:$A$573="TC-RS-CALC-003 / lt")+('Kiểm thử'!$A$5:$A$573="TC-RS-CALC-003 / le")),--EXACT('Kiểm thử'!$F$5:$F$573,"Bị chặn"))&gt;0,"Bị chặn",IF(SUMPRODUCT(--(('Kiểm thử'!$A$5:$A$573="TC-RS-CALC-003 / lt")+('Kiểm thử'!$A$5:$A$573="TC-RS-CALC-003 / le")),--EXACT('Kiểm thử'!$F$5:$F$573,"Chưa thực hiện"))=2,"Chưa thực hiện","Chưa đủ kết luận")))))</f>
        <v/>
      </c>
    </row>
    <row r="73" ht="30" customHeight="1">
      <c r="A73" s="18" t="inlineStr">
        <is>
          <t>TC-RS-CALC-004</t>
        </is>
      </c>
      <c r="B73" s="22">
        <f>IF(0&gt;0,"Không đạt",IF(0=1,"Đạt",IF(SUMPRODUCT(--(('Kiểm thử'!$A$5:$A$573="TC-RS-CALC-004 / Base")),--EXACT('Kiểm thử'!$F$5:$F$573,"Không thực hiện"))=1,"Không thực hiện",IF(SUMPRODUCT(--(('Kiểm thử'!$A$5:$A$573="TC-RS-CALC-004 / Base")),--EXACT('Kiểm thử'!$F$5:$F$573,"Bị chặn"))&gt;0,"Bị chặn",IF(SUMPRODUCT(--(('Kiểm thử'!$A$5:$A$573="TC-RS-CALC-004 / Base")),--EXACT('Kiểm thử'!$F$5:$F$573,"Chưa thực hiện"))=1,"Chưa thực hiện","Chưa đủ kết luận")))))</f>
        <v/>
      </c>
    </row>
    <row r="74" ht="30" customHeight="1">
      <c r="A74" s="18" t="inlineStr">
        <is>
          <t>TC-RS-UI-011</t>
        </is>
      </c>
      <c r="B74" s="22">
        <f>IF(0&gt;0,"Không đạt",IF(0=2,"Đạt",IF(SUMPRODUCT(--(('Kiểm thử'!$A$5:$A$573="TC-RS-UI-011 / lt")+('Kiểm thử'!$A$5:$A$573="TC-RS-UI-011 / le")),--EXACT('Kiểm thử'!$F$5:$F$573,"Không thực hiện"))=2,"Không thực hiện",IF(SUMPRODUCT(--(('Kiểm thử'!$A$5:$A$573="TC-RS-UI-011 / lt")+('Kiểm thử'!$A$5:$A$573="TC-RS-UI-011 / le")),--EXACT('Kiểm thử'!$F$5:$F$573,"Bị chặn"))&gt;0,"Bị chặn",IF(SUMPRODUCT(--(('Kiểm thử'!$A$5:$A$573="TC-RS-UI-011 / lt")+('Kiểm thử'!$A$5:$A$573="TC-RS-UI-011 / le")),--EXACT('Kiểm thử'!$F$5:$F$573,"Chưa thực hiện"))=2,"Chưa thực hiện","Chưa đủ kết luận")))))</f>
        <v/>
      </c>
    </row>
    <row r="75" ht="30" customHeight="1">
      <c r="A75" s="18" t="inlineStr">
        <is>
          <t>TC-RS-UI-012</t>
        </is>
      </c>
      <c r="B75" s="22">
        <f>IF(0&gt;0,"Không đạt",IF(0=1,"Đạt",IF(SUMPRODUCT(--(('Kiểm thử'!$A$5:$A$573="TC-RS-UI-012 / Base")),--EXACT('Kiểm thử'!$F$5:$F$573,"Không thực hiện"))=1,"Không thực hiện",IF(SUMPRODUCT(--(('Kiểm thử'!$A$5:$A$573="TC-RS-UI-012 / Base")),--EXACT('Kiểm thử'!$F$5:$F$573,"Bị chặn"))&gt;0,"Bị chặn",IF(SUMPRODUCT(--(('Kiểm thử'!$A$5:$A$573="TC-RS-UI-012 / Base")),--EXACT('Kiểm thử'!$F$5:$F$573,"Chưa thực hiện"))=1,"Chưa thực hiện","Chưa đủ kết luận")))))</f>
        <v/>
      </c>
    </row>
    <row r="76" ht="30" customHeight="1">
      <c r="A76" s="18" t="inlineStr">
        <is>
          <t>TC-RS-UI-013</t>
        </is>
      </c>
      <c r="B76" s="22">
        <f>IF(0&gt;0,"Không đạt",IF(0=1,"Đạt",IF(SUMPRODUCT(--(('Kiểm thử'!$A$5:$A$573="TC-RS-UI-013 / Base")),--EXACT('Kiểm thử'!$F$5:$F$573,"Không thực hiện"))=1,"Không thực hiện",IF(SUMPRODUCT(--(('Kiểm thử'!$A$5:$A$573="TC-RS-UI-013 / Base")),--EXACT('Kiểm thử'!$F$5:$F$573,"Bị chặn"))&gt;0,"Bị chặn",IF(SUMPRODUCT(--(('Kiểm thử'!$A$5:$A$573="TC-RS-UI-013 / Base")),--EXACT('Kiểm thử'!$F$5:$F$573,"Chưa thực hiện"))=1,"Chưa thực hiện","Chưa đủ kết luận")))))</f>
        <v/>
      </c>
    </row>
    <row r="77" ht="30" customHeight="1">
      <c r="A77" s="18" t="inlineStr">
        <is>
          <t>TC-RS-FUNC-012</t>
        </is>
      </c>
      <c r="B77" s="22">
        <f>IF(0&gt;0,"Không đạt",IF(0=1,"Đạt",IF(SUMPRODUCT(--(('Kiểm thử'!$A$5:$A$573="TC-RS-FUNC-012 / Base")),--EXACT('Kiểm thử'!$F$5:$F$573,"Không thực hiện"))=1,"Không thực hiện",IF(SUMPRODUCT(--(('Kiểm thử'!$A$5:$A$573="TC-RS-FUNC-012 / Base")),--EXACT('Kiểm thử'!$F$5:$F$573,"Bị chặn"))&gt;0,"Bị chặn",IF(SUMPRODUCT(--(('Kiểm thử'!$A$5:$A$573="TC-RS-FUNC-012 / Base")),--EXACT('Kiểm thử'!$F$5:$F$573,"Chưa thực hiện"))=1,"Chưa thực hiện","Chưa đủ kết luận")))))</f>
        <v/>
      </c>
    </row>
    <row r="78" ht="30" customHeight="1">
      <c r="A78" s="18" t="inlineStr">
        <is>
          <t>TC-RS-VAL-008</t>
        </is>
      </c>
      <c r="B78" s="22">
        <f>IF(0&gt;0,"Không đạt",IF(0=1,"Đạt",IF(SUMPRODUCT(--(('Kiểm thử'!$A$5:$A$573="TC-RS-VAL-008 / Base")),--EXACT('Kiểm thử'!$F$5:$F$573,"Không thực hiện"))=1,"Không thực hiện",IF(SUMPRODUCT(--(('Kiểm thử'!$A$5:$A$573="TC-RS-VAL-008 / Base")),--EXACT('Kiểm thử'!$F$5:$F$573,"Bị chặn"))&gt;0,"Bị chặn",IF(SUMPRODUCT(--(('Kiểm thử'!$A$5:$A$573="TC-RS-VAL-008 / Base")),--EXACT('Kiểm thử'!$F$5:$F$573,"Chưa thực hiện"))=1,"Chưa thực hiện","Chưa đủ kết luận")))))</f>
        <v/>
      </c>
    </row>
    <row r="79" ht="30" customHeight="1">
      <c r="A79" s="18" t="inlineStr">
        <is>
          <t>TC-RS-VAL-009</t>
        </is>
      </c>
      <c r="B79" s="22">
        <f>IF(0&gt;0,"Không đạt",IF(0=2,"Đạt",IF(SUMPRODUCT(--(('Kiểm thử'!$A$5:$A$573="TC-RS-VAL-009 / zero")+('Kiểm thử'!$A$5:$A$573="TC-RS-VAL-009 / decimal-zero")),--EXACT('Kiểm thử'!$F$5:$F$573,"Không thực hiện"))=2,"Không thực hiện",IF(SUMPRODUCT(--(('Kiểm thử'!$A$5:$A$573="TC-RS-VAL-009 / zero")+('Kiểm thử'!$A$5:$A$573="TC-RS-VAL-009 / decimal-zero")),--EXACT('Kiểm thử'!$F$5:$F$573,"Bị chặn"))&gt;0,"Bị chặn",IF(SUMPRODUCT(--(('Kiểm thử'!$A$5:$A$573="TC-RS-VAL-009 / zero")+('Kiểm thử'!$A$5:$A$573="TC-RS-VAL-009 / decimal-zero")),--EXACT('Kiểm thử'!$F$5:$F$573,"Chưa thực hiện"))=2,"Chưa thực hiện","Chưa đủ kết luận")))))</f>
        <v/>
      </c>
    </row>
    <row r="80" ht="30" customHeight="1">
      <c r="A80" s="18" t="inlineStr">
        <is>
          <t>TC-RS-VAL-010</t>
        </is>
      </c>
      <c r="B80" s="22">
        <f>IF(0&gt;0,"Không đạt",IF(0=3,"Đạt",IF(SUMPRODUCT(--(('Kiểm thử'!$A$5:$A$573="TC-RS-VAL-010 / empty")+('Kiểm thử'!$A$5:$A$573="TC-RS-VAL-010 / text")+('Kiểm thử'!$A$5:$A$573="TC-RS-VAL-010 / operator")),--EXACT('Kiểm thử'!$F$5:$F$573,"Không thực hiện"))=3,"Không thực hiện",IF(SUMPRODUCT(--(('Kiểm thử'!$A$5:$A$573="TC-RS-VAL-010 / empty")+('Kiểm thử'!$A$5:$A$573="TC-RS-VAL-010 / text")+('Kiểm thử'!$A$5:$A$573="TC-RS-VAL-010 / operator")),--EXACT('Kiểm thử'!$F$5:$F$573,"Bị chặn"))&gt;0,"Bị chặn",IF(SUMPRODUCT(--(('Kiểm thử'!$A$5:$A$573="TC-RS-VAL-010 / empty")+('Kiểm thử'!$A$5:$A$573="TC-RS-VAL-010 / text")+('Kiểm thử'!$A$5:$A$573="TC-RS-VAL-010 / operator")),--EXACT('Kiểm thử'!$F$5:$F$573,"Chưa thực hiện"))=3,"Chưa thực hiện","Chưa đủ kết luận")))))</f>
        <v/>
      </c>
    </row>
    <row r="81" ht="30" customHeight="1">
      <c r="A81" s="18" t="inlineStr">
        <is>
          <t>TC-RS-VAL-011</t>
        </is>
      </c>
      <c r="B81" s="22">
        <f>IF(0&gt;0,"Không đạt",IF(0=4,"Đạt",IF(SUMPRODUCT(--(('Kiểm thử'!$A$5:$A$573="TC-RS-VAL-011 / first")+('Kiểm thử'!$A$5:$A$573="TC-RS-VAL-011 / self")+('Kiểm thử'!$A$5:$A$573="TC-RS-VAL-011 / forward")+('Kiểm thử'!$A$5:$A$573="TC-RS-VAL-011 / backward")),--EXACT('Kiểm thử'!$F$5:$F$573,"Không thực hiện"))=4,"Không thực hiện",IF(SUMPRODUCT(--(('Kiểm thử'!$A$5:$A$573="TC-RS-VAL-011 / first")+('Kiểm thử'!$A$5:$A$573="TC-RS-VAL-011 / self")+('Kiểm thử'!$A$5:$A$573="TC-RS-VAL-011 / forward")+('Kiểm thử'!$A$5:$A$573="TC-RS-VAL-011 / backward")),--EXACT('Kiểm thử'!$F$5:$F$573,"Bị chặn"))&gt;0,"Bị chặn",IF(SUMPRODUCT(--(('Kiểm thử'!$A$5:$A$573="TC-RS-VAL-011 / first")+('Kiểm thử'!$A$5:$A$573="TC-RS-VAL-011 / self")+('Kiểm thử'!$A$5:$A$573="TC-RS-VAL-011 / forward")+('Kiểm thử'!$A$5:$A$573="TC-RS-VAL-011 / backward")),--EXACT('Kiểm thử'!$F$5:$F$573,"Chưa thực hiện"))=4,"Chưa thực hiện","Chưa đủ kết luận")))))</f>
        <v/>
      </c>
    </row>
    <row r="82" ht="30" customHeight="1">
      <c r="A82" s="18" t="inlineStr">
        <is>
          <t>TC-RS-VAL-012</t>
        </is>
      </c>
      <c r="B82" s="22">
        <f>IF(0&gt;0,"Không đạt",IF(0=2,"Đạt",IF(SUMPRODUCT(--(('Kiểm thử'!$A$5:$A$573="TC-RS-VAL-012 / delete")+('Kiểm thử'!$A$5:$A$573="TC-RS-VAL-012 / reorder")),--EXACT('Kiểm thử'!$F$5:$F$573,"Không thực hiện"))=2,"Không thực hiện",IF(SUMPRODUCT(--(('Kiểm thử'!$A$5:$A$573="TC-RS-VAL-012 / delete")+('Kiểm thử'!$A$5:$A$573="TC-RS-VAL-012 / reorder")),--EXACT('Kiểm thử'!$F$5:$F$573,"Bị chặn"))&gt;0,"Bị chặn",IF(SUMPRODUCT(--(('Kiểm thử'!$A$5:$A$573="TC-RS-VAL-012 / delete")+('Kiểm thử'!$A$5:$A$573="TC-RS-VAL-012 / reorder")),--EXACT('Kiểm thử'!$F$5:$F$573,"Chưa thực hiện"))=2,"Chưa thực hiện","Chưa đủ kết luận")))))</f>
        <v/>
      </c>
    </row>
    <row r="83" ht="30" customHeight="1">
      <c r="A83" s="18" t="inlineStr">
        <is>
          <t>TC-RS-VAL-013</t>
        </is>
      </c>
      <c r="B83" s="22">
        <f>IF(0&gt;0,"Không đạt",IF(0=3,"Đạt",IF(SUMPRODUCT(--(('Kiểm thử'!$A$5:$A$573="TC-RS-VAL-013 / times150")+('Kiểm thử'!$A$5:$A$573="TC-RS-VAL-013 / times05")+('Kiểm thử'!$A$5:$A$573="TC-RS-VAL-013 / minus150")),--EXACT('Kiểm thử'!$F$5:$F$573,"Không thực hiện"))=3,"Không thực hiện",IF(SUMPRODUCT(--(('Kiểm thử'!$A$5:$A$573="TC-RS-VAL-013 / times150")+('Kiểm thử'!$A$5:$A$573="TC-RS-VAL-013 / times05")+('Kiểm thử'!$A$5:$A$573="TC-RS-VAL-013 / minus150")),--EXACT('Kiểm thử'!$F$5:$F$573,"Bị chặn"))&gt;0,"Bị chặn",IF(SUMPRODUCT(--(('Kiểm thử'!$A$5:$A$573="TC-RS-VAL-013 / times150")+('Kiểm thử'!$A$5:$A$573="TC-RS-VAL-013 / times05")+('Kiểm thử'!$A$5:$A$573="TC-RS-VAL-013 / minus150")),--EXACT('Kiểm thử'!$F$5:$F$573,"Chưa thực hiện"))=3,"Chưa thực hiện","Chưa đủ kết luận")))))</f>
        <v/>
      </c>
    </row>
    <row r="84" ht="30" customHeight="1">
      <c r="A84" s="18" t="inlineStr">
        <is>
          <t>TC-RS-VAL-019</t>
        </is>
      </c>
      <c r="B84" s="22">
        <f>IF(0&gt;0,"Không đạt",IF(0=7,"Đạt",IF(SUMPRODUCT(--(('Kiểm thử'!$A$5:$A$573="TC-RS-VAL-019 / fixed0-lt")+('Kiểm thử'!$A$5:$A$573="TC-RS-VAL-019 / fixed0-le")+('Kiểm thử'!$A$5:$A$573="TC-RS-VAL-019 / fixed100-lt")+('Kiểm thử'!$A$5:$A$573="TC-RS-VAL-019 / fixed100-le")+('Kiểm thử'!$A$5:$A$573="TC-RS-VAL-019 / ratio0")+('Kiểm thử'!$A$5:$A$573="TC-RS-VAL-019 / ratio100")+('Kiểm thử'!$A$5:$A$573="TC-RS-VAL-019 / ratio04")),--EXACT('Kiểm thử'!$F$5:$F$573,"Không thực hiện"))=7,"Không thực hiện",IF(SUMPRODUCT(--(('Kiểm thử'!$A$5:$A$573="TC-RS-VAL-019 / fixed0-lt")+('Kiểm thử'!$A$5:$A$573="TC-RS-VAL-019 / fixed0-le")+('Kiểm thử'!$A$5:$A$573="TC-RS-VAL-019 / fixed100-lt")+('Kiểm thử'!$A$5:$A$573="TC-RS-VAL-019 / fixed100-le")+('Kiểm thử'!$A$5:$A$573="TC-RS-VAL-019 / ratio0")+('Kiểm thử'!$A$5:$A$573="TC-RS-VAL-019 / ratio100")+('Kiểm thử'!$A$5:$A$573="TC-RS-VAL-019 / ratio04")),--EXACT('Kiểm thử'!$F$5:$F$573,"Bị chặn"))&gt;0,"Bị chặn",IF(SUMPRODUCT(--(('Kiểm thử'!$A$5:$A$573="TC-RS-VAL-019 / fixed0-lt")+('Kiểm thử'!$A$5:$A$573="TC-RS-VAL-019 / fixed0-le")+('Kiểm thử'!$A$5:$A$573="TC-RS-VAL-019 / fixed100-lt")+('Kiểm thử'!$A$5:$A$573="TC-RS-VAL-019 / fixed100-le")+('Kiểm thử'!$A$5:$A$573="TC-RS-VAL-019 / ratio0")+('Kiểm thử'!$A$5:$A$573="TC-RS-VAL-019 / ratio100")+('Kiểm thử'!$A$5:$A$573="TC-RS-VAL-019 / ratio04")),--EXACT('Kiểm thử'!$F$5:$F$573,"Chưa thực hiện"))=7,"Chưa thực hiện","Chưa đủ kết luận")))))</f>
        <v/>
      </c>
    </row>
    <row r="85" ht="30" customHeight="1">
      <c r="A85" s="18" t="inlineStr">
        <is>
          <t>TC-RS-VAL-020</t>
        </is>
      </c>
      <c r="B85" s="22">
        <f>IF(0&gt;0,"Không đạt",IF(0=2,"Đạt",IF(SUMPRODUCT(--(('Kiểm thử'!$A$5:$A$573="TC-RS-VAL-020 / minus20")+('Kiểm thử'!$A$5:$A$573="TC-RS-VAL-020 / times3")),--EXACT('Kiểm thử'!$F$5:$F$573,"Không thực hiện"))=2,"Không thực hiện",IF(SUMPRODUCT(--(('Kiểm thử'!$A$5:$A$573="TC-RS-VAL-020 / minus20")+('Kiểm thử'!$A$5:$A$573="TC-RS-VAL-020 / times3")),--EXACT('Kiểm thử'!$F$5:$F$573,"Bị chặn"))&gt;0,"Bị chặn",IF(SUMPRODUCT(--(('Kiểm thử'!$A$5:$A$573="TC-RS-VAL-020 / minus20")+('Kiểm thử'!$A$5:$A$573="TC-RS-VAL-020 / times3")),--EXACT('Kiểm thử'!$F$5:$F$573,"Chưa thực hiện"))=2,"Chưa thực hiện","Chưa đủ kết luận")))))</f>
        <v/>
      </c>
    </row>
    <row r="86" ht="30" customHeight="1">
      <c r="A86" s="18" t="inlineStr">
        <is>
          <t>TC-RS-VAL-021</t>
        </is>
      </c>
      <c r="B86" s="22">
        <f>IF(0&gt;0,"Không đạt",IF(0=1,"Đạt",IF(SUMPRODUCT(--(('Kiểm thử'!$A$5:$A$573="TC-RS-VAL-021 / Base")),--EXACT('Kiểm thử'!$F$5:$F$573,"Không thực hiện"))=1,"Không thực hiện",IF(SUMPRODUCT(--(('Kiểm thử'!$A$5:$A$573="TC-RS-VAL-021 / Base")),--EXACT('Kiểm thử'!$F$5:$F$573,"Bị chặn"))&gt;0,"Bị chặn",IF(SUMPRODUCT(--(('Kiểm thử'!$A$5:$A$573="TC-RS-VAL-021 / Base")),--EXACT('Kiểm thử'!$F$5:$F$573,"Chưa thực hiện"))=1,"Chưa thực hiện","Chưa đủ kết luận")))))</f>
        <v/>
      </c>
    </row>
    <row r="87" ht="30" customHeight="1">
      <c r="A87" s="18" t="inlineStr">
        <is>
          <t>TC-RS-VAL-023</t>
        </is>
      </c>
      <c r="B87" s="22">
        <f>IF(0&gt;0,"Không đạt",IF(0=5,"Đạt",IF(SUMPRODUCT(--(('Kiểm thử'!$A$5:$A$573="TC-RS-VAL-023 / lines20")+('Kiểm thử'!$A$5:$A$573="TC-RS-VAL-023 / lines21")+('Kiểm thử'!$A$5:$A$573="TC-RS-VAL-023 / constant")+('Kiểm thử'!$A$5:$A$573="TC-RS-VAL-023 / integer-overflow")+('Kiểm thử'!$A$5:$A$573="TC-RS-VAL-023 / fraction-overflow")),--EXACT('Kiểm thử'!$F$5:$F$573,"Không thực hiện"))=5,"Không thực hiện",IF(SUMPRODUCT(--(('Kiểm thử'!$A$5:$A$573="TC-RS-VAL-023 / lines20")+('Kiểm thử'!$A$5:$A$573="TC-RS-VAL-023 / lines21")+('Kiểm thử'!$A$5:$A$573="TC-RS-VAL-023 / constant")+('Kiểm thử'!$A$5:$A$573="TC-RS-VAL-023 / integer-overflow")+('Kiểm thử'!$A$5:$A$573="TC-RS-VAL-023 / fraction-overflow")),--EXACT('Kiểm thử'!$F$5:$F$573,"Bị chặn"))&gt;0,"Bị chặn",IF(SUMPRODUCT(--(('Kiểm thử'!$A$5:$A$573="TC-RS-VAL-023 / lines20")+('Kiểm thử'!$A$5:$A$573="TC-RS-VAL-023 / lines21")+('Kiểm thử'!$A$5:$A$573="TC-RS-VAL-023 / constant")+('Kiểm thử'!$A$5:$A$573="TC-RS-VAL-023 / integer-overflow")+('Kiểm thử'!$A$5:$A$573="TC-RS-VAL-023 / fraction-overflow")),--EXACT('Kiểm thử'!$F$5:$F$573,"Chưa thực hiện"))=5,"Chưa thực hiện","Chưa đủ kết luận")))))</f>
        <v/>
      </c>
    </row>
    <row r="88" ht="30" customHeight="1">
      <c r="A88" s="18" t="inlineStr">
        <is>
          <t>TC-RS-CALC-013</t>
        </is>
      </c>
      <c r="B88" s="22">
        <f>IF(0&gt;0,"Không đạt",IF(0=3,"Đạt",IF(SUMPRODUCT(--(('Kiểm thử'!$A$5:$A$573="TC-RS-CALC-013 / multiply")+('Kiểm thử'!$A$5:$A$573="TC-RS-CALC-013 / subtract")+('Kiểm thử'!$A$5:$A$573="TC-RS-CALC-013 / add")),--EXACT('Kiểm thử'!$F$5:$F$573,"Không thực hiện"))=3,"Không thực hiện",IF(SUMPRODUCT(--(('Kiểm thử'!$A$5:$A$573="TC-RS-CALC-013 / multiply")+('Kiểm thử'!$A$5:$A$573="TC-RS-CALC-013 / subtract")+('Kiểm thử'!$A$5:$A$573="TC-RS-CALC-013 / add")),--EXACT('Kiểm thử'!$F$5:$F$573,"Bị chặn"))&gt;0,"Bị chặn",IF(SUMPRODUCT(--(('Kiểm thử'!$A$5:$A$573="TC-RS-CALC-013 / multiply")+('Kiểm thử'!$A$5:$A$573="TC-RS-CALC-013 / subtract")+('Kiểm thử'!$A$5:$A$573="TC-RS-CALC-013 / add")),--EXACT('Kiểm thử'!$F$5:$F$573,"Chưa thực hiện"))=3,"Chưa thực hiện","Chưa đủ kết luận")))))</f>
        <v/>
      </c>
    </row>
    <row r="89" ht="30" customHeight="1">
      <c r="A89" s="18" t="inlineStr">
        <is>
          <t>TC-RS-CALC-014</t>
        </is>
      </c>
      <c r="B89" s="22">
        <f>IF(0&gt;0,"Không đạt",IF(0=1,"Đạt",IF(SUMPRODUCT(--(('Kiểm thử'!$A$5:$A$573="TC-RS-CALC-014 / Base")),--EXACT('Kiểm thử'!$F$5:$F$573,"Không thực hiện"))=1,"Không thực hiện",IF(SUMPRODUCT(--(('Kiểm thử'!$A$5:$A$573="TC-RS-CALC-014 / Base")),--EXACT('Kiểm thử'!$F$5:$F$573,"Bị chặn"))&gt;0,"Bị chặn",IF(SUMPRODUCT(--(('Kiểm thử'!$A$5:$A$573="TC-RS-CALC-014 / Base")),--EXACT('Kiểm thử'!$F$5:$F$573,"Chưa thực hiện"))=1,"Chưa thực hiện","Chưa đủ kết luận")))))</f>
        <v/>
      </c>
    </row>
    <row r="90" ht="30" customHeight="1">
      <c r="A90" s="18" t="inlineStr">
        <is>
          <t>TC-RS-CALC-015</t>
        </is>
      </c>
      <c r="B90" s="22">
        <f>IF(0&gt;0,"Không đạt",IF(0=3,"Đạt",IF(SUMPRODUCT(--(('Kiểm thử'!$A$5:$A$573="TC-RS-CALC-015 / less-than")+('Kiểm thử'!$A$5:$A$573="TC-RS-CALC-015 / less-or-equal")+('Kiểm thử'!$A$5:$A$573="TC-RS-CALC-015 / reopen-summary")),--EXACT('Kiểm thử'!$F$5:$F$573,"Không thực hiện"))=3,"Không thực hiện",IF(SUMPRODUCT(--(('Kiểm thử'!$A$5:$A$573="TC-RS-CALC-015 / less-than")+('Kiểm thử'!$A$5:$A$573="TC-RS-CALC-015 / less-or-equal")+('Kiểm thử'!$A$5:$A$573="TC-RS-CALC-015 / reopen-summary")),--EXACT('Kiểm thử'!$F$5:$F$573,"Bị chặn"))&gt;0,"Bị chặn",IF(SUMPRODUCT(--(('Kiểm thử'!$A$5:$A$573="TC-RS-CALC-015 / less-than")+('Kiểm thử'!$A$5:$A$573="TC-RS-CALC-015 / less-or-equal")+('Kiểm thử'!$A$5:$A$573="TC-RS-CALC-015 / reopen-summary")),--EXACT('Kiểm thử'!$F$5:$F$573,"Chưa thực hiện"))=3,"Chưa thực hiện","Chưa đủ kết luận")))))</f>
        <v/>
      </c>
    </row>
    <row r="91" ht="30" customHeight="1">
      <c r="A91" s="18" t="inlineStr">
        <is>
          <t>TC-RS-CALC-016</t>
        </is>
      </c>
      <c r="B91" s="22">
        <f>IF(0&gt;0,"Không đạt",IF(0=4,"Đạt",IF(SUMPRODUCT(--(('Kiểm thử'!$A$5:$A$573="TC-RS-CALC-016 / zero-lt")+('Kiểm thử'!$A$5:$A$573="TC-RS-CALC-016 / zero-le")+('Kiểm thử'!$A$5:$A$573="TC-RS-CALC-016 / negative-lt")+('Kiểm thử'!$A$5:$A$573="TC-RS-CALC-016 / negative-le")),--EXACT('Kiểm thử'!$F$5:$F$573,"Không thực hiện"))=4,"Không thực hiện",IF(SUMPRODUCT(--(('Kiểm thử'!$A$5:$A$573="TC-RS-CALC-016 / zero-lt")+('Kiểm thử'!$A$5:$A$573="TC-RS-CALC-016 / zero-le")+('Kiểm thử'!$A$5:$A$573="TC-RS-CALC-016 / negative-lt")+('Kiểm thử'!$A$5:$A$573="TC-RS-CALC-016 / negative-le")),--EXACT('Kiểm thử'!$F$5:$F$573,"Bị chặn"))&gt;0,"Bị chặn",IF(SUMPRODUCT(--(('Kiểm thử'!$A$5:$A$573="TC-RS-CALC-016 / zero-lt")+('Kiểm thử'!$A$5:$A$573="TC-RS-CALC-016 / zero-le")+('Kiểm thử'!$A$5:$A$573="TC-RS-CALC-016 / negative-lt")+('Kiểm thử'!$A$5:$A$573="TC-RS-CALC-016 / negative-le")),--EXACT('Kiểm thử'!$F$5:$F$573,"Chưa thực hiện"))=4,"Chưa thực hiện","Chưa đủ kết luận")))))</f>
        <v/>
      </c>
    </row>
    <row r="92" ht="30" customHeight="1">
      <c r="A92" s="18" t="inlineStr">
        <is>
          <t>TC-RS-CALC-017</t>
        </is>
      </c>
      <c r="B92" s="22">
        <f>IF(0&gt;0,"Không đạt",IF(0=1,"Đạt",IF(SUMPRODUCT(--(('Kiểm thử'!$A$5:$A$573="TC-RS-CALC-017 / Base")),--EXACT('Kiểm thử'!$F$5:$F$573,"Không thực hiện"))=1,"Không thực hiện",IF(SUMPRODUCT(--(('Kiểm thử'!$A$5:$A$573="TC-RS-CALC-017 / Base")),--EXACT('Kiểm thử'!$F$5:$F$573,"Bị chặn"))&gt;0,"Bị chặn",IF(SUMPRODUCT(--(('Kiểm thử'!$A$5:$A$573="TC-RS-CALC-017 / Base")),--EXACT('Kiểm thử'!$F$5:$F$573,"Chưa thực hiện"))=1,"Chưa thực hiện","Chưa đủ kết luận")))))</f>
        <v/>
      </c>
    </row>
    <row r="93" ht="30" customHeight="1">
      <c r="A93" s="18" t="inlineStr">
        <is>
          <t>TC-RS-CALC-018</t>
        </is>
      </c>
      <c r="B93" s="22">
        <f>IF(0&gt;0,"Không đạt",IF(0=1,"Đạt",IF(SUMPRODUCT(--(('Kiểm thử'!$A$5:$A$573="TC-RS-CALC-018 / Base")),--EXACT('Kiểm thử'!$F$5:$F$573,"Không thực hiện"))=1,"Không thực hiện",IF(SUMPRODUCT(--(('Kiểm thử'!$A$5:$A$573="TC-RS-CALC-018 / Base")),--EXACT('Kiểm thử'!$F$5:$F$573,"Bị chặn"))&gt;0,"Bị chặn",IF(SUMPRODUCT(--(('Kiểm thử'!$A$5:$A$573="TC-RS-CALC-018 / Base")),--EXACT('Kiểm thử'!$F$5:$F$573,"Chưa thực hiện"))=1,"Chưa thực hiện","Chưa đủ kết luận")))))</f>
        <v/>
      </c>
    </row>
    <row r="94" ht="30" customHeight="1">
      <c r="A94" s="18" t="inlineStr">
        <is>
          <t>TC-RS-CALC-019</t>
        </is>
      </c>
      <c r="B94" s="22">
        <f>IF(0&gt;0,"Không đạt",IF(0=15,"Đạt",IF(SUMPRODUCT(--(('Kiểm thử'!$A$5:$A$573="TC-RS-CALC-019 / positive-none")+('Kiểm thử'!$A$5:$A$573="TC-RS-CALC-019 / positive-down")+('Kiểm thử'!$A$5:$A$573="TC-RS-CALC-019 / positive-nearest")+('Kiểm thử'!$A$5:$A$573="TC-RS-CALC-019 / negative-up")+('Kiểm thử'!$A$5:$A$573="TC-RS-CALC-019 / negative-down")+('Kiểm thử'!$A$5:$A$573="TC-RS-CALC-019 / negative-nearest")+('Kiểm thử'!$A$5:$A$573="TC-RS-CALC-019 / half-positive")+('Kiểm thử'!$A$5:$A$573="TC-RS-CALC-019 / half-negative")+('Kiểm thử'!$A$5:$A$573="TC-RS-CALC-019 / half-up")+('Kiểm thử'!$A$5:$A$573="TC-RS-CALC-019 / half-down")+('Kiểm thử'!$A$5:$A$573="TC-RS-CALC-019 / decimal-nearest")+('Kiểm thử'!$A$5:$A$573="TC-RS-CALC-019 / decimal-up")+('Kiểm thử'!$A$5:$A$573="TC-RS-CALC-019 / p3")+('Kiểm thử'!$A$5:$A$573="TC-RS-CALC-019 / p9-nearest")+('Kiểm thử'!$A$5:$A$573="TC-RS-CALC-019 / p9-down")),--EXACT('Kiểm thử'!$F$5:$F$573,"Không thực hiện"))=15,"Không thực hiện",IF(SUMPRODUCT(--(('Kiểm thử'!$A$5:$A$573="TC-RS-CALC-019 / positive-none")+('Kiểm thử'!$A$5:$A$573="TC-RS-CALC-019 / positive-down")+('Kiểm thử'!$A$5:$A$573="TC-RS-CALC-019 / positive-nearest")+('Kiểm thử'!$A$5:$A$573="TC-RS-CALC-019 / negative-up")+('Kiểm thử'!$A$5:$A$573="TC-RS-CALC-019 / negative-down")+('Kiểm thử'!$A$5:$A$573="TC-RS-CALC-019 / negative-nearest")+('Kiểm thử'!$A$5:$A$573="TC-RS-CALC-019 / half-positive")+('Kiểm thử'!$A$5:$A$573="TC-RS-CALC-019 / half-negative")+('Kiểm thử'!$A$5:$A$573="TC-RS-CALC-019 / half-up")+('Kiểm thử'!$A$5:$A$573="TC-RS-CALC-019 / half-down")+('Kiểm thử'!$A$5:$A$573="TC-RS-CALC-019 / decimal-nearest")+('Kiểm thử'!$A$5:$A$573="TC-RS-CALC-019 / decimal-up")+('Kiểm thử'!$A$5:$A$573="TC-RS-CALC-019 / p3")+('Kiểm thử'!$A$5:$A$573="TC-RS-CALC-019 / p9-nearest")+('Kiểm thử'!$A$5:$A$573="TC-RS-CALC-019 / p9-down")),--EXACT('Kiểm thử'!$F$5:$F$573,"Bị chặn"))&gt;0,"Bị chặn",IF(SUMPRODUCT(--(('Kiểm thử'!$A$5:$A$573="TC-RS-CALC-019 / positive-none")+('Kiểm thử'!$A$5:$A$573="TC-RS-CALC-019 / positive-down")+('Kiểm thử'!$A$5:$A$573="TC-RS-CALC-019 / positive-nearest")+('Kiểm thử'!$A$5:$A$573="TC-RS-CALC-019 / negative-up")+('Kiểm thử'!$A$5:$A$573="TC-RS-CALC-019 / negative-down")+('Kiểm thử'!$A$5:$A$573="TC-RS-CALC-019 / negative-nearest")+('Kiểm thử'!$A$5:$A$573="TC-RS-CALC-019 / half-positive")+('Kiểm thử'!$A$5:$A$573="TC-RS-CALC-019 / half-negative")+('Kiểm thử'!$A$5:$A$573="TC-RS-CALC-019 / half-up")+('Kiểm thử'!$A$5:$A$573="TC-RS-CALC-019 / half-down")+('Kiểm thử'!$A$5:$A$573="TC-RS-CALC-019 / decimal-nearest")+('Kiểm thử'!$A$5:$A$573="TC-RS-CALC-019 / decimal-up")+('Kiểm thử'!$A$5:$A$573="TC-RS-CALC-019 / p3")+('Kiểm thử'!$A$5:$A$573="TC-RS-CALC-019 / p9-nearest")+('Kiểm thử'!$A$5:$A$573="TC-RS-CALC-019 / p9-down")),--EXACT('Kiểm thử'!$F$5:$F$573,"Chưa thực hiện"))=15,"Chưa thực hiện","Chưa đủ kết luận")))))</f>
        <v/>
      </c>
    </row>
    <row r="95" ht="30" customHeight="1">
      <c r="A95" s="18" t="inlineStr">
        <is>
          <t>TC-RS-CALC-020</t>
        </is>
      </c>
      <c r="B95" s="22">
        <f>IF(0&gt;0,"Không đạt",IF(0=2,"Đạt",IF(SUMPRODUCT(--(('Kiểm thử'!$A$5:$A$573="TC-RS-CALC-020 / down")+('Kiểm thử'!$A$5:$A$573="TC-RS-CALC-020 / nearest")),--EXACT('Kiểm thử'!$F$5:$F$573,"Không thực hiện"))=2,"Không thực hiện",IF(SUMPRODUCT(--(('Kiểm thử'!$A$5:$A$573="TC-RS-CALC-020 / down")+('Kiểm thử'!$A$5:$A$573="TC-RS-CALC-020 / nearest")),--EXACT('Kiểm thử'!$F$5:$F$573,"Bị chặn"))&gt;0,"Bị chặn",IF(SUMPRODUCT(--(('Kiểm thử'!$A$5:$A$573="TC-RS-CALC-020 / down")+('Kiểm thử'!$A$5:$A$573="TC-RS-CALC-020 / nearest")),--EXACT('Kiểm thử'!$F$5:$F$573,"Chưa thực hiện"))=2,"Chưa thực hiện","Chưa đủ kết luận")))))</f>
        <v/>
      </c>
    </row>
    <row r="96" ht="30" customHeight="1">
      <c r="A96" s="18" t="inlineStr">
        <is>
          <t>TC-RS-CALC-021</t>
        </is>
      </c>
      <c r="B96" s="22">
        <f>IF(0&gt;0,"Không đạt",IF(0=3,"Đạt",IF(SUMPRODUCT(--(('Kiểm thử'!$A$5:$A$573="TC-RS-CALC-021 / a0")+('Kiểm thử'!$A$5:$A$573="TC-RS-CALC-021 / a4")+('Kiểm thử'!$A$5:$A$573="TC-RS-CALC-021 / a3")),--EXACT('Kiểm thử'!$F$5:$F$573,"Không thực hiện"))=3,"Không thực hiện",IF(SUMPRODUCT(--(('Kiểm thử'!$A$5:$A$573="TC-RS-CALC-021 / a0")+('Kiểm thử'!$A$5:$A$573="TC-RS-CALC-021 / a4")+('Kiểm thử'!$A$5:$A$573="TC-RS-CALC-021 / a3")),--EXACT('Kiểm thử'!$F$5:$F$573,"Bị chặn"))&gt;0,"Bị chặn",IF(SUMPRODUCT(--(('Kiểm thử'!$A$5:$A$573="TC-RS-CALC-021 / a0")+('Kiểm thử'!$A$5:$A$573="TC-RS-CALC-021 / a4")+('Kiểm thử'!$A$5:$A$573="TC-RS-CALC-021 / a3")),--EXACT('Kiểm thử'!$F$5:$F$573,"Chưa thực hiện"))=3,"Chưa thực hiện","Chưa đủ kết luận")))))</f>
        <v/>
      </c>
    </row>
    <row r="97" ht="30" customHeight="1">
      <c r="A97" s="18" t="inlineStr">
        <is>
          <t>TC-RS-CALC-028</t>
        </is>
      </c>
      <c r="B97" s="22">
        <f>IF(0&gt;0,"Không đạt",IF(0=4,"Đạt",IF(SUMPRODUCT(--(('Kiểm thử'!$A$5:$A$573="TC-RS-CALC-028 / multiply-lt")+('Kiểm thử'!$A$5:$A$573="TC-RS-CALC-028 / multiply-le")+('Kiểm thử'!$A$5:$A$573="TC-RS-CALC-028 / add-lt")+('Kiểm thử'!$A$5:$A$573="TC-RS-CALC-028 / add-le")),--EXACT('Kiểm thử'!$F$5:$F$573,"Không thực hiện"))=4,"Không thực hiện",IF(SUMPRODUCT(--(('Kiểm thử'!$A$5:$A$573="TC-RS-CALC-028 / multiply-lt")+('Kiểm thử'!$A$5:$A$573="TC-RS-CALC-028 / multiply-le")+('Kiểm thử'!$A$5:$A$573="TC-RS-CALC-028 / add-lt")+('Kiểm thử'!$A$5:$A$573="TC-RS-CALC-028 / add-le")),--EXACT('Kiểm thử'!$F$5:$F$573,"Bị chặn"))&gt;0,"Bị chặn",IF(SUMPRODUCT(--(('Kiểm thử'!$A$5:$A$573="TC-RS-CALC-028 / multiply-lt")+('Kiểm thử'!$A$5:$A$573="TC-RS-CALC-028 / multiply-le")+('Kiểm thử'!$A$5:$A$573="TC-RS-CALC-028 / add-lt")+('Kiểm thử'!$A$5:$A$573="TC-RS-CALC-028 / add-le")),--EXACT('Kiểm thử'!$F$5:$F$573,"Chưa thực hiện"))=4,"Chưa thực hiện","Chưa đủ kết luận")))))</f>
        <v/>
      </c>
    </row>
    <row r="98" ht="30" customHeight="1">
      <c r="A98" s="18" t="inlineStr">
        <is>
          <t>TC-RS-CALC-029</t>
        </is>
      </c>
      <c r="B98" s="22">
        <f>IF(0&gt;0,"Không đạt",IF(0=3,"Đạt",IF(SUMPRODUCT(--(('Kiểm thử'!$A$5:$A$573="TC-RS-CALC-029 / constant")+('Kiểm thử'!$A$5:$A$573="TC-RS-CALC-029 / divisor")+('Kiểm thử'!$A$5:$A$573="TC-RS-CALC-029 / overflow")),--EXACT('Kiểm thử'!$F$5:$F$573,"Không thực hiện"))=3,"Không thực hiện",IF(SUMPRODUCT(--(('Kiểm thử'!$A$5:$A$573="TC-RS-CALC-029 / constant")+('Kiểm thử'!$A$5:$A$573="TC-RS-CALC-029 / divisor")+('Kiểm thử'!$A$5:$A$573="TC-RS-CALC-029 / overflow")),--EXACT('Kiểm thử'!$F$5:$F$573,"Bị chặn"))&gt;0,"Bị chặn",IF(SUMPRODUCT(--(('Kiểm thử'!$A$5:$A$573="TC-RS-CALC-029 / constant")+('Kiểm thử'!$A$5:$A$573="TC-RS-CALC-029 / divisor")+('Kiểm thử'!$A$5:$A$573="TC-RS-CALC-029 / overflow")),--EXACT('Kiểm thử'!$F$5:$F$573,"Chưa thực hiện"))=3,"Chưa thực hiện","Chưa đủ kết luận")))))</f>
        <v/>
      </c>
    </row>
    <row r="99" ht="30" customHeight="1">
      <c r="A99" s="18" t="inlineStr">
        <is>
          <t>TC-RS-CALC-030</t>
        </is>
      </c>
      <c r="B99" s="22">
        <f>IF(0&gt;0,"Không đạt",IF(0=2,"Đạt",IF(SUMPRODUCT(--(('Kiểm thử'!$A$5:$A$573="TC-RS-CALC-030 / lt")+('Kiểm thử'!$A$5:$A$573="TC-RS-CALC-030 / le")),--EXACT('Kiểm thử'!$F$5:$F$573,"Không thực hiện"))=2,"Không thực hiện",IF(SUMPRODUCT(--(('Kiểm thử'!$A$5:$A$573="TC-RS-CALC-030 / lt")+('Kiểm thử'!$A$5:$A$573="TC-RS-CALC-030 / le")),--EXACT('Kiểm thử'!$F$5:$F$573,"Bị chặn"))&gt;0,"Bị chặn",IF(SUMPRODUCT(--(('Kiểm thử'!$A$5:$A$573="TC-RS-CALC-030 / lt")+('Kiểm thử'!$A$5:$A$573="TC-RS-CALC-030 / le")),--EXACT('Kiểm thử'!$F$5:$F$573,"Chưa thực hiện"))=2,"Chưa thực hiện","Chưa đủ kết luận")))))</f>
        <v/>
      </c>
    </row>
    <row r="100" ht="30" customHeight="1">
      <c r="A100" s="18" t="inlineStr">
        <is>
          <t>TC-RS-UI-015</t>
        </is>
      </c>
      <c r="B100" s="22">
        <f>IF(0&gt;0,"Không đạt",IF(0=1,"Đạt",IF(SUMPRODUCT(--(('Kiểm thử'!$A$5:$A$573="TC-RS-UI-015 / Base")),--EXACT('Kiểm thử'!$F$5:$F$573,"Không thực hiện"))=1,"Không thực hiện",IF(SUMPRODUCT(--(('Kiểm thử'!$A$5:$A$573="TC-RS-UI-015 / Base")),--EXACT('Kiểm thử'!$F$5:$F$573,"Bị chặn"))&gt;0,"Bị chặn",IF(SUMPRODUCT(--(('Kiểm thử'!$A$5:$A$573="TC-RS-UI-015 / Base")),--EXACT('Kiểm thử'!$F$5:$F$573,"Chưa thực hiện"))=1,"Chưa thực hiện","Chưa đủ kết luận")))))</f>
        <v/>
      </c>
    </row>
    <row r="101" ht="30" customHeight="1">
      <c r="A101" s="18" t="inlineStr">
        <is>
          <t>TC-RS-UI-016</t>
        </is>
      </c>
      <c r="B101" s="22">
        <f>IF(0&gt;0,"Không đạt",IF(0=1,"Đạt",IF(SUMPRODUCT(--(('Kiểm thử'!$A$5:$A$573="TC-RS-UI-016 / Base")),--EXACT('Kiểm thử'!$F$5:$F$573,"Không thực hiện"))=1,"Không thực hiện",IF(SUMPRODUCT(--(('Kiểm thử'!$A$5:$A$573="TC-RS-UI-016 / Base")),--EXACT('Kiểm thử'!$F$5:$F$573,"Bị chặn"))&gt;0,"Bị chặn",IF(SUMPRODUCT(--(('Kiểm thử'!$A$5:$A$573="TC-RS-UI-016 / Base")),--EXACT('Kiểm thử'!$F$5:$F$573,"Chưa thực hiện"))=1,"Chưa thực hiện","Chưa đủ kết luận")))))</f>
        <v/>
      </c>
    </row>
    <row r="102" ht="30" customHeight="1">
      <c r="A102" s="18" t="inlineStr">
        <is>
          <t>TC-RS-UI-017</t>
        </is>
      </c>
      <c r="B102" s="22">
        <f>IF(0&gt;0,"Không đạt",IF(0=2,"Đạt",IF(SUMPRODUCT(--(('Kiểm thử'!$A$5:$A$573="TC-RS-UI-017 / maximum")+('Kiểm thử'!$A$5:$A$573="TC-RS-UI-017 / divide-zero")),--EXACT('Kiểm thử'!$F$5:$F$573,"Không thực hiện"))=2,"Không thực hiện",IF(SUMPRODUCT(--(('Kiểm thử'!$A$5:$A$573="TC-RS-UI-017 / maximum")+('Kiểm thử'!$A$5:$A$573="TC-RS-UI-017 / divide-zero")),--EXACT('Kiểm thử'!$F$5:$F$573,"Bị chặn"))&gt;0,"Bị chặn",IF(SUMPRODUCT(--(('Kiểm thử'!$A$5:$A$573="TC-RS-UI-017 / maximum")+('Kiểm thử'!$A$5:$A$573="TC-RS-UI-017 / divide-zero")),--EXACT('Kiểm thử'!$F$5:$F$573,"Chưa thực hiện"))=2,"Chưa thực hiện","Chưa đủ kết luận")))))</f>
        <v/>
      </c>
    </row>
    <row r="103" ht="30" customHeight="1">
      <c r="A103" s="18" t="inlineStr">
        <is>
          <t>TC-RS-FUNC-015</t>
        </is>
      </c>
      <c r="B103" s="22">
        <f>IF(0&gt;0,"Không đạt",IF(0=1,"Đạt",IF(SUMPRODUCT(--(('Kiểm thử'!$A$5:$A$573="TC-RS-FUNC-015 / Base")),--EXACT('Kiểm thử'!$F$5:$F$573,"Không thực hiện"))=1,"Không thực hiện",IF(SUMPRODUCT(--(('Kiểm thử'!$A$5:$A$573="TC-RS-FUNC-015 / Base")),--EXACT('Kiểm thử'!$F$5:$F$573,"Bị chặn"))&gt;0,"Bị chặn",IF(SUMPRODUCT(--(('Kiểm thử'!$A$5:$A$573="TC-RS-FUNC-015 / Base")),--EXACT('Kiểm thử'!$F$5:$F$573,"Chưa thực hiện"))=1,"Chưa thực hiện","Chưa đủ kết luận")))))</f>
        <v/>
      </c>
    </row>
    <row r="104" ht="30" customHeight="1">
      <c r="A104" s="18" t="inlineStr">
        <is>
          <t>TC-RS-FUNC-034</t>
        </is>
      </c>
      <c r="B104" s="22">
        <f>IF(0&gt;0,"Không đạt",IF(0=1,"Đạt",IF(SUMPRODUCT(--(('Kiểm thử'!$A$5:$A$573="TC-RS-FUNC-034 / Base")),--EXACT('Kiểm thử'!$F$5:$F$573,"Không thực hiện"))=1,"Không thực hiện",IF(SUMPRODUCT(--(('Kiểm thử'!$A$5:$A$573="TC-RS-FUNC-034 / Base")),--EXACT('Kiểm thử'!$F$5:$F$573,"Bị chặn"))&gt;0,"Bị chặn",IF(SUMPRODUCT(--(('Kiểm thử'!$A$5:$A$573="TC-RS-FUNC-034 / Base")),--EXACT('Kiểm thử'!$F$5:$F$573,"Chưa thực hiện"))=1,"Chưa thực hiện","Chưa đủ kết luận")))))</f>
        <v/>
      </c>
    </row>
    <row r="105" ht="30" customHeight="1">
      <c r="A105" s="18" t="inlineStr">
        <is>
          <t>TC-RS-FUNC-036</t>
        </is>
      </c>
      <c r="B105" s="22">
        <f>IF(0&gt;0,"Không đạt",IF(0=3,"Đạt",IF(SUMPRODUCT(--(('Kiểm thử'!$A$5:$A$573="TC-RS-FUNC-036 / switch-sequence")+('Kiểm thử'!$A$5:$A$573="TC-RS-FUNC-036 / grade-only")+('Kiểm thử'!$A$5:$A$573="TC-RS-FUNC-036 / formula-source")),--EXACT('Kiểm thử'!$F$5:$F$573,"Không thực hiện"))=3,"Không thực hiện",IF(SUMPRODUCT(--(('Kiểm thử'!$A$5:$A$573="TC-RS-FUNC-036 / switch-sequence")+('Kiểm thử'!$A$5:$A$573="TC-RS-FUNC-036 / grade-only")+('Kiểm thử'!$A$5:$A$573="TC-RS-FUNC-036 / formula-source")),--EXACT('Kiểm thử'!$F$5:$F$573,"Bị chặn"))&gt;0,"Bị chặn",IF(SUMPRODUCT(--(('Kiểm thử'!$A$5:$A$573="TC-RS-FUNC-036 / switch-sequence")+('Kiểm thử'!$A$5:$A$573="TC-RS-FUNC-036 / grade-only")+('Kiểm thử'!$A$5:$A$573="TC-RS-FUNC-036 / formula-source")),--EXACT('Kiểm thử'!$F$5:$F$573,"Chưa thực hiện"))=3,"Chưa thực hiện","Chưa đủ kết luận")))))</f>
        <v/>
      </c>
    </row>
    <row r="106" ht="30" customHeight="1">
      <c r="A106" s="18" t="inlineStr">
        <is>
          <t>TC-RS-BR-006</t>
        </is>
      </c>
      <c r="B106" s="22">
        <f>IF(0&gt;0,"Không đạt",IF(0=1,"Đạt",IF(SUMPRODUCT(--(('Kiểm thử'!$A$5:$A$573="TC-RS-BR-006 / Base")),--EXACT('Kiểm thử'!$F$5:$F$573,"Không thực hiện"))=1,"Không thực hiện",IF(SUMPRODUCT(--(('Kiểm thử'!$A$5:$A$573="TC-RS-BR-006 / Base")),--EXACT('Kiểm thử'!$F$5:$F$573,"Bị chặn"))&gt;0,"Bị chặn",IF(SUMPRODUCT(--(('Kiểm thử'!$A$5:$A$573="TC-RS-BR-006 / Base")),--EXACT('Kiểm thử'!$F$5:$F$573,"Chưa thực hiện"))=1,"Chưa thực hiện","Chưa đủ kết luận")))))</f>
        <v/>
      </c>
    </row>
    <row r="107" ht="30" customHeight="1">
      <c r="A107" s="18" t="inlineStr">
        <is>
          <t>TC-RS-BR-007</t>
        </is>
      </c>
      <c r="B107" s="22">
        <f>IF(0&gt;0,"Không đạt",IF(0=1,"Đạt",IF(SUMPRODUCT(--(('Kiểm thử'!$A$5:$A$573="TC-RS-BR-007 / Base")),--EXACT('Kiểm thử'!$F$5:$F$573,"Không thực hiện"))=1,"Không thực hiện",IF(SUMPRODUCT(--(('Kiểm thử'!$A$5:$A$573="TC-RS-BR-007 / Base")),--EXACT('Kiểm thử'!$F$5:$F$573,"Bị chặn"))&gt;0,"Bị chặn",IF(SUMPRODUCT(--(('Kiểm thử'!$A$5:$A$573="TC-RS-BR-007 / Base")),--EXACT('Kiểm thử'!$F$5:$F$573,"Chưa thực hiện"))=1,"Chưa thực hiện","Chưa đủ kết luận")))))</f>
        <v/>
      </c>
    </row>
    <row r="108" ht="30" customHeight="1">
      <c r="A108" s="18" t="inlineStr">
        <is>
          <t>TC-RS-BR-008</t>
        </is>
      </c>
      <c r="B108" s="22">
        <f>IF(0&gt;0,"Không đạt",IF(0=3,"Đạt",IF(SUMPRODUCT(--(('Kiểm thử'!$A$5:$A$573="TC-RS-BR-008 / completed")+('Kiểm thử'!$A$5:$A$573="TC-RS-BR-008 / running")+('Kiểm thử'!$A$5:$A$573="TC-RS-BR-008 / failed")),--EXACT('Kiểm thử'!$F$5:$F$573,"Không thực hiện"))=3,"Không thực hiện",IF(SUMPRODUCT(--(('Kiểm thử'!$A$5:$A$573="TC-RS-BR-008 / completed")+('Kiểm thử'!$A$5:$A$573="TC-RS-BR-008 / running")+('Kiểm thử'!$A$5:$A$573="TC-RS-BR-008 / failed")),--EXACT('Kiểm thử'!$F$5:$F$573,"Bị chặn"))&gt;0,"Bị chặn",IF(SUMPRODUCT(--(('Kiểm thử'!$A$5:$A$573="TC-RS-BR-008 / completed")+('Kiểm thử'!$A$5:$A$573="TC-RS-BR-008 / running")+('Kiểm thử'!$A$5:$A$573="TC-RS-BR-008 / failed")),--EXACT('Kiểm thử'!$F$5:$F$573,"Chưa thực hiện"))=3,"Chưa thực hiện","Chưa đủ kết luận")))))</f>
        <v/>
      </c>
    </row>
    <row r="109" ht="30" customHeight="1">
      <c r="A109" s="18" t="inlineStr">
        <is>
          <t>TC-RS-BR-009</t>
        </is>
      </c>
      <c r="B109" s="22">
        <f>IF(0&gt;0,"Không đạt",IF(0=1,"Đạt",IF(SUMPRODUCT(--(('Kiểm thử'!$A$5:$A$573="TC-RS-BR-009 / Base")),--EXACT('Kiểm thử'!$F$5:$F$573,"Không thực hiện"))=1,"Không thực hiện",IF(SUMPRODUCT(--(('Kiểm thử'!$A$5:$A$573="TC-RS-BR-009 / Base")),--EXACT('Kiểm thử'!$F$5:$F$573,"Bị chặn"))&gt;0,"Bị chặn",IF(SUMPRODUCT(--(('Kiểm thử'!$A$5:$A$573="TC-RS-BR-009 / Base")),--EXACT('Kiểm thử'!$F$5:$F$573,"Chưa thực hiện"))=1,"Chưa thực hiện","Chưa đủ kết luận")))))</f>
        <v/>
      </c>
    </row>
    <row r="110" ht="30" customHeight="1">
      <c r="A110" s="18" t="inlineStr">
        <is>
          <t>TC-RS-BR-010</t>
        </is>
      </c>
      <c r="B110" s="22">
        <f>IF(0&gt;0,"Không đạt",IF(0=1,"Đạt",IF(SUMPRODUCT(--(('Kiểm thử'!$A$5:$A$573="TC-RS-BR-010 / Base")),--EXACT('Kiểm thử'!$F$5:$F$573,"Không thực hiện"))=1,"Không thực hiện",IF(SUMPRODUCT(--(('Kiểm thử'!$A$5:$A$573="TC-RS-BR-010 / Base")),--EXACT('Kiểm thử'!$F$5:$F$573,"Bị chặn"))&gt;0,"Bị chặn",IF(SUMPRODUCT(--(('Kiểm thử'!$A$5:$A$573="TC-RS-BR-010 / Base")),--EXACT('Kiểm thử'!$F$5:$F$573,"Chưa thực hiện"))=1,"Chưa thực hiện","Chưa đủ kết luận")))))</f>
        <v/>
      </c>
    </row>
    <row r="111" ht="30" customHeight="1">
      <c r="A111" s="18" t="inlineStr">
        <is>
          <t>TC-RS-BR-011</t>
        </is>
      </c>
      <c r="B111" s="22">
        <f>IF(0&gt;0,"Không đạt",IF(0=3,"Đạt",IF(SUMPRODUCT(--(('Kiểm thử'!$A$5:$A$573="TC-RS-BR-011 / fixed")+('Kiểm thử'!$A$5:$A$573="TC-RS-BR-011 / ratio")+('Kiểm thử'!$A$5:$A$573="TC-RS-BR-011 / average-condition")),--EXACT('Kiểm thử'!$F$5:$F$573,"Không thực hiện"))=3,"Không thực hiện",IF(SUMPRODUCT(--(('Kiểm thử'!$A$5:$A$573="TC-RS-BR-011 / fixed")+('Kiểm thử'!$A$5:$A$573="TC-RS-BR-011 / ratio")+('Kiểm thử'!$A$5:$A$573="TC-RS-BR-011 / average-condition")),--EXACT('Kiểm thử'!$F$5:$F$573,"Bị chặn"))&gt;0,"Bị chặn",IF(SUMPRODUCT(--(('Kiểm thử'!$A$5:$A$573="TC-RS-BR-011 / fixed")+('Kiểm thử'!$A$5:$A$573="TC-RS-BR-011 / ratio")+('Kiểm thử'!$A$5:$A$573="TC-RS-BR-011 / average-condition")),--EXACT('Kiểm thử'!$F$5:$F$573,"Chưa thực hiện"))=3,"Chưa thực hiện","Chưa đủ kết luận")))))</f>
        <v/>
      </c>
    </row>
    <row r="112" ht="30" customHeight="1">
      <c r="A112" s="18" t="inlineStr">
        <is>
          <t>TC-RS-BR-028</t>
        </is>
      </c>
      <c r="B112" s="22">
        <f>IF(0&gt;0,"Không đạt",IF(0=1,"Đạt",IF(SUMPRODUCT(--(('Kiểm thử'!$A$5:$A$573="TC-RS-BR-028 / Base")),--EXACT('Kiểm thử'!$F$5:$F$573,"Không thực hiện"))=1,"Không thực hiện",IF(SUMPRODUCT(--(('Kiểm thử'!$A$5:$A$573="TC-RS-BR-028 / Base")),--EXACT('Kiểm thử'!$F$5:$F$573,"Bị chặn"))&gt;0,"Bị chặn",IF(SUMPRODUCT(--(('Kiểm thử'!$A$5:$A$573="TC-RS-BR-028 / Base")),--EXACT('Kiểm thử'!$F$5:$F$573,"Chưa thực hiện"))=1,"Chưa thực hiện","Chưa đủ kết luận")))))</f>
        <v/>
      </c>
    </row>
    <row r="113" ht="30" customHeight="1">
      <c r="A113" s="18" t="inlineStr">
        <is>
          <t>TC-RS-BR-034</t>
        </is>
      </c>
      <c r="B113" s="22">
        <f>IF(0&gt;0,"Không đạt",IF(0=1,"Đạt",IF(SUMPRODUCT(--(('Kiểm thử'!$A$5:$A$573="TC-RS-BR-034 / Base")),--EXACT('Kiểm thử'!$F$5:$F$573,"Không thực hiện"))=1,"Không thực hiện",IF(SUMPRODUCT(--(('Kiểm thử'!$A$5:$A$573="TC-RS-BR-034 / Base")),--EXACT('Kiểm thử'!$F$5:$F$573,"Bị chặn"))&gt;0,"Bị chặn",IF(SUMPRODUCT(--(('Kiểm thử'!$A$5:$A$573="TC-RS-BR-034 / Base")),--EXACT('Kiểm thử'!$F$5:$F$573,"Chưa thực hiện"))=1,"Chưa thực hiện","Chưa đủ kết luận")))))</f>
        <v/>
      </c>
    </row>
    <row r="114" ht="30" customHeight="1">
      <c r="A114" s="18" t="inlineStr">
        <is>
          <t>TC-RS-BR-038</t>
        </is>
      </c>
      <c r="B114" s="22">
        <f>IF(0&gt;0,"Không đạt",IF(0=1,"Đạt",IF(SUMPRODUCT(--(('Kiểm thử'!$A$5:$A$573="TC-RS-BR-038 / Base")),--EXACT('Kiểm thử'!$F$5:$F$573,"Không thực hiện"))=1,"Không thực hiện",IF(SUMPRODUCT(--(('Kiểm thử'!$A$5:$A$573="TC-RS-BR-038 / Base")),--EXACT('Kiểm thử'!$F$5:$F$573,"Bị chặn"))&gt;0,"Bị chặn",IF(SUMPRODUCT(--(('Kiểm thử'!$A$5:$A$573="TC-RS-BR-038 / Base")),--EXACT('Kiểm thử'!$F$5:$F$573,"Chưa thực hiện"))=1,"Chưa thực hiện","Chưa đủ kết luận")))))</f>
        <v/>
      </c>
    </row>
    <row r="115" ht="30" customHeight="1">
      <c r="A115" s="18" t="inlineStr">
        <is>
          <t>TC-RS-BR-039</t>
        </is>
      </c>
      <c r="B115" s="22">
        <f>IF(0&gt;0,"Không đạt",IF(0=4,"Đạt",IF(SUMPRODUCT(--(('Kiểm thử'!$A$5:$A$573="TC-RS-BR-039 / private")+('Kiểm thử'!$A$5:$A$573="TC-RS-BR-039 / default")+('Kiểm thử'!$A$5:$A$573="TC-RS-BR-039 / default-missing")+('Kiểm thử'!$A$5:$A$573="TC-RS-BR-039 / default-invalid")),--EXACT('Kiểm thử'!$F$5:$F$573,"Không thực hiện"))=4,"Không thực hiện",IF(SUMPRODUCT(--(('Kiểm thử'!$A$5:$A$573="TC-RS-BR-039 / private")+('Kiểm thử'!$A$5:$A$573="TC-RS-BR-039 / default")+('Kiểm thử'!$A$5:$A$573="TC-RS-BR-039 / default-missing")+('Kiểm thử'!$A$5:$A$573="TC-RS-BR-039 / default-invalid")),--EXACT('Kiểm thử'!$F$5:$F$573,"Bị chặn"))&gt;0,"Bị chặn",IF(SUMPRODUCT(--(('Kiểm thử'!$A$5:$A$573="TC-RS-BR-039 / private")+('Kiểm thử'!$A$5:$A$573="TC-RS-BR-039 / default")+('Kiểm thử'!$A$5:$A$573="TC-RS-BR-039 / default-missing")+('Kiểm thử'!$A$5:$A$573="TC-RS-BR-039 / default-invalid")),--EXACT('Kiểm thử'!$F$5:$F$573,"Chưa thực hiện"))=4,"Chưa thực hiện","Chưa đủ kết luận")))))</f>
        <v/>
      </c>
    </row>
    <row r="116" ht="30" customHeight="1">
      <c r="A116" s="18" t="inlineStr">
        <is>
          <t>TC-RS-BR-040</t>
        </is>
      </c>
      <c r="B116" s="22">
        <f>IF(0&gt;0,"Không đạt",IF(0=3,"Đạt",IF(SUMPRODUCT(--(('Kiểm thử'!$A$5:$A$573="TC-RS-BR-040 / missing-source")+('Kiểm thử'!$A$5:$A$573="TC-RS-BR-040 / disabled-group")+('Kiểm thử'!$A$5:$A$573="TC-RS-BR-040 / deleted-group")),--EXACT('Kiểm thử'!$F$5:$F$573,"Không thực hiện"))=3,"Không thực hiện",IF(SUMPRODUCT(--(('Kiểm thử'!$A$5:$A$573="TC-RS-BR-040 / missing-source")+('Kiểm thử'!$A$5:$A$573="TC-RS-BR-040 / disabled-group")+('Kiểm thử'!$A$5:$A$573="TC-RS-BR-040 / deleted-group")),--EXACT('Kiểm thử'!$F$5:$F$573,"Bị chặn"))&gt;0,"Bị chặn",IF(SUMPRODUCT(--(('Kiểm thử'!$A$5:$A$573="TC-RS-BR-040 / missing-source")+('Kiểm thử'!$A$5:$A$573="TC-RS-BR-040 / disabled-group")+('Kiểm thử'!$A$5:$A$573="TC-RS-BR-040 / deleted-group")),--EXACT('Kiểm thử'!$F$5:$F$573,"Chưa thực hiện"))=3,"Chưa thực hiện","Chưa đủ kết luận")))))</f>
        <v/>
      </c>
    </row>
    <row r="117" ht="30" customHeight="1">
      <c r="A117" s="18" t="inlineStr">
        <is>
          <t>TC-RS-VAL-024</t>
        </is>
      </c>
      <c r="B117" s="22">
        <f>IF(0&gt;0,"Không đạt",IF(0=6,"Đạt",IF(SUMPRODUCT(--(('Kiểm thử'!$A$5:$A$573="TC-RS-VAL-024 / condition-period")+('Kiểm thử'!$A$5:$A$573="TC-RS-VAL-024 / condition-setting")+('Kiểm thử'!$A$5:$A$573="TC-RS-VAL-024 / condition-group")+('Kiểm thử'!$A$5:$A$573="TC-RS-VAL-024 / condition-all")+('Kiểm thử'!$A$5:$A$573="TC-RS-VAL-024 / ratio-all")+('Kiểm thử'!$A$5:$A$573="TC-RS-VAL-024 / formula-all")),--EXACT('Kiểm thử'!$F$5:$F$573,"Không thực hiện"))=6,"Không thực hiện",IF(SUMPRODUCT(--(('Kiểm thử'!$A$5:$A$573="TC-RS-VAL-024 / condition-period")+('Kiểm thử'!$A$5:$A$573="TC-RS-VAL-024 / condition-setting")+('Kiểm thử'!$A$5:$A$573="TC-RS-VAL-024 / condition-group")+('Kiểm thử'!$A$5:$A$573="TC-RS-VAL-024 / condition-all")+('Kiểm thử'!$A$5:$A$573="TC-RS-VAL-024 / ratio-all")+('Kiểm thử'!$A$5:$A$573="TC-RS-VAL-024 / formula-all")),--EXACT('Kiểm thử'!$F$5:$F$573,"Bị chặn"))&gt;0,"Bị chặn",IF(SUMPRODUCT(--(('Kiểm thử'!$A$5:$A$573="TC-RS-VAL-024 / condition-period")+('Kiểm thử'!$A$5:$A$573="TC-RS-VAL-024 / condition-setting")+('Kiểm thử'!$A$5:$A$573="TC-RS-VAL-024 / condition-group")+('Kiểm thử'!$A$5:$A$573="TC-RS-VAL-024 / condition-all")+('Kiểm thử'!$A$5:$A$573="TC-RS-VAL-024 / ratio-all")+('Kiểm thử'!$A$5:$A$573="TC-RS-VAL-024 / formula-all")),--EXACT('Kiểm thử'!$F$5:$F$573,"Chưa thực hiện"))=6,"Chưa thực hiện","Chưa đủ kết luận")))))</f>
        <v/>
      </c>
    </row>
    <row r="118" ht="30" customHeight="1">
      <c r="A118" s="18" t="inlineStr">
        <is>
          <t>TC-RS-VAL-025</t>
        </is>
      </c>
      <c r="B118" s="22">
        <f>IF(0&gt;0,"Không đạt",IF(0=8,"Đạt",IF(SUMPRODUCT(--(('Kiểm thử'!$A$5:$A$573="TC-RS-VAL-025 / condition-disabled")+('Kiểm thử'!$A$5:$A$573="TC-RS-VAL-025 / condition-school")+('Kiểm thử'!$A$5:$A$573="TC-RS-VAL-025 / condition-year")+('Kiểm thử'!$A$5:$A$573="TC-RS-VAL-025 / condition-missing")+('Kiểm thử'!$A$5:$A$573="TC-RS-VAL-025 / formula-disabled")+('Kiểm thử'!$A$5:$A$573="TC-RS-VAL-025 / formula-school")+('Kiểm thử'!$A$5:$A$573="TC-RS-VAL-025 / formula-year")+('Kiểm thử'!$A$5:$A$573="TC-RS-VAL-025 / formula-missing")),--EXACT('Kiểm thử'!$F$5:$F$573,"Không thực hiện"))=8,"Không thực hiện",IF(SUMPRODUCT(--(('Kiểm thử'!$A$5:$A$573="TC-RS-VAL-025 / condition-disabled")+('Kiểm thử'!$A$5:$A$573="TC-RS-VAL-025 / condition-school")+('Kiểm thử'!$A$5:$A$573="TC-RS-VAL-025 / condition-year")+('Kiểm thử'!$A$5:$A$573="TC-RS-VAL-025 / condition-missing")+('Kiểm thử'!$A$5:$A$573="TC-RS-VAL-025 / formula-disabled")+('Kiểm thử'!$A$5:$A$573="TC-RS-VAL-025 / formula-school")+('Kiểm thử'!$A$5:$A$573="TC-RS-VAL-025 / formula-year")+('Kiểm thử'!$A$5:$A$573="TC-RS-VAL-025 / formula-missing")),--EXACT('Kiểm thử'!$F$5:$F$573,"Bị chặn"))&gt;0,"Bị chặn",IF(SUMPRODUCT(--(('Kiểm thử'!$A$5:$A$573="TC-RS-VAL-025 / condition-disabled")+('Kiểm thử'!$A$5:$A$573="TC-RS-VAL-025 / condition-school")+('Kiểm thử'!$A$5:$A$573="TC-RS-VAL-025 / condition-year")+('Kiểm thử'!$A$5:$A$573="TC-RS-VAL-025 / condition-missing")+('Kiểm thử'!$A$5:$A$573="TC-RS-VAL-025 / formula-disabled")+('Kiểm thử'!$A$5:$A$573="TC-RS-VAL-025 / formula-school")+('Kiểm thử'!$A$5:$A$573="TC-RS-VAL-025 / formula-year")+('Kiểm thử'!$A$5:$A$573="TC-RS-VAL-025 / formula-missing")),--EXACT('Kiểm thử'!$F$5:$F$573,"Chưa thực hiện"))=8,"Chưa thực hiện","Chưa đủ kết luận")))))</f>
        <v/>
      </c>
    </row>
    <row r="119" ht="30" customHeight="1">
      <c r="A119" s="18" t="inlineStr">
        <is>
          <t>TC-RS-CALC-026</t>
        </is>
      </c>
      <c r="B119" s="22">
        <f>IF(0&gt;0,"Không đạt",IF(0=1,"Đạt",IF(SUMPRODUCT(--(('Kiểm thử'!$A$5:$A$573="TC-RS-CALC-026 / Base")),--EXACT('Kiểm thử'!$F$5:$F$573,"Không thực hiện"))=1,"Không thực hiện",IF(SUMPRODUCT(--(('Kiểm thử'!$A$5:$A$573="TC-RS-CALC-026 / Base")),--EXACT('Kiểm thử'!$F$5:$F$573,"Bị chặn"))&gt;0,"Bị chặn",IF(SUMPRODUCT(--(('Kiểm thử'!$A$5:$A$573="TC-RS-CALC-026 / Base")),--EXACT('Kiểm thử'!$F$5:$F$573,"Chưa thực hiện"))=1,"Chưa thực hiện","Chưa đủ kết luận")))))</f>
        <v/>
      </c>
    </row>
    <row r="120" ht="30" customHeight="1">
      <c r="A120" s="18" t="inlineStr">
        <is>
          <t>TC-RS-CALC-027</t>
        </is>
      </c>
      <c r="B120" s="22">
        <f>IF(0&gt;0,"Không đạt",IF(0=1,"Đạt",IF(SUMPRODUCT(--(('Kiểm thử'!$A$5:$A$573="TC-RS-CALC-027 / Base")),--EXACT('Kiểm thử'!$F$5:$F$573,"Không thực hiện"))=1,"Không thực hiện",IF(SUMPRODUCT(--(('Kiểm thử'!$A$5:$A$573="TC-RS-CALC-027 / Base")),--EXACT('Kiểm thử'!$F$5:$F$573,"Bị chặn"))&gt;0,"Bị chặn",IF(SUMPRODUCT(--(('Kiểm thử'!$A$5:$A$573="TC-RS-CALC-027 / Base")),--EXACT('Kiểm thử'!$F$5:$F$573,"Chưa thực hiện"))=1,"Chưa thực hiện","Chưa đủ kết luận")))))</f>
        <v/>
      </c>
    </row>
    <row r="121" ht="30" customHeight="1">
      <c r="A121" s="18" t="inlineStr">
        <is>
          <t>TC-RS-CALC-031</t>
        </is>
      </c>
      <c r="B121" s="22">
        <f>IF(0&gt;0,"Không đạt",IF(0=2,"Đạt",IF(SUMPRODUCT(--(('Kiểm thử'!$A$5:$A$573="TC-RS-CALC-031 / zero-maximum")+('Kiểm thử'!$A$5:$A$573="TC-RS-CALC-031 / zero-count")),--EXACT('Kiểm thử'!$F$5:$F$573,"Không thực hiện"))=2,"Không thực hiện",IF(SUMPRODUCT(--(('Kiểm thử'!$A$5:$A$573="TC-RS-CALC-031 / zero-maximum")+('Kiểm thử'!$A$5:$A$573="TC-RS-CALC-031 / zero-count")),--EXACT('Kiểm thử'!$F$5:$F$573,"Bị chặn"))&gt;0,"Bị chặn",IF(SUMPRODUCT(--(('Kiểm thử'!$A$5:$A$573="TC-RS-CALC-031 / zero-maximum")+('Kiểm thử'!$A$5:$A$573="TC-RS-CALC-031 / zero-count")),--EXACT('Kiểm thử'!$F$5:$F$573,"Chưa thực hiện"))=2,"Chưa thực hiện","Chưa đủ kết luận")))))</f>
        <v/>
      </c>
    </row>
    <row r="122" ht="30" customHeight="1">
      <c r="A122" s="18" t="inlineStr">
        <is>
          <t>TC-RS-CALC-032</t>
        </is>
      </c>
      <c r="B122" s="22">
        <f>IF(0&gt;0,"Không đạt",IF(0=1,"Đạt",IF(SUMPRODUCT(--(('Kiểm thử'!$A$5:$A$573="TC-RS-CALC-032 / Base")),--EXACT('Kiểm thử'!$F$5:$F$573,"Không thực hiện"))=1,"Không thực hiện",IF(SUMPRODUCT(--(('Kiểm thử'!$A$5:$A$573="TC-RS-CALC-032 / Base")),--EXACT('Kiểm thử'!$F$5:$F$573,"Bị chặn"))&gt;0,"Bị chặn",IF(SUMPRODUCT(--(('Kiểm thử'!$A$5:$A$573="TC-RS-CALC-032 / Base")),--EXACT('Kiểm thử'!$F$5:$F$573,"Chưa thực hiện"))=1,"Chưa thực hiện","Chưa đủ kết luận")))))</f>
        <v/>
      </c>
    </row>
    <row r="123" ht="30" customHeight="1">
      <c r="A123" s="18" t="inlineStr">
        <is>
          <t>TC-RS-ERR-016</t>
        </is>
      </c>
      <c r="B123" s="22">
        <f>IF(0&gt;0,"Không đạt",IF(0=1,"Đạt",IF(SUMPRODUCT(--(('Kiểm thử'!$A$5:$A$573="TC-RS-ERR-016 / Base")),--EXACT('Kiểm thử'!$F$5:$F$573,"Không thực hiện"))=1,"Không thực hiện",IF(SUMPRODUCT(--(('Kiểm thử'!$A$5:$A$573="TC-RS-ERR-016 / Base")),--EXACT('Kiểm thử'!$F$5:$F$573,"Bị chặn"))&gt;0,"Bị chặn",IF(SUMPRODUCT(--(('Kiểm thử'!$A$5:$A$573="TC-RS-ERR-016 / Base")),--EXACT('Kiểm thử'!$F$5:$F$573,"Chưa thực hiện"))=1,"Chưa thực hiện","Chưa đủ kết luận")))))</f>
        <v/>
      </c>
    </row>
    <row r="124" ht="30" customHeight="1">
      <c r="A124" s="18" t="inlineStr">
        <is>
          <t>TC-RS-BR-026</t>
        </is>
      </c>
      <c r="B124" s="22">
        <f>IF(0&gt;0,"Không đạt",IF(0=2,"Đạt",IF(SUMPRODUCT(--(('Kiểm thử'!$A$5:$A$573="TC-RS-BR-026 / no-match")+('Kiểm thử'!$A$5:$A$573="TC-RS-BR-026 / missing-input")),--EXACT('Kiểm thử'!$F$5:$F$573,"Không thực hiện"))=2,"Không thực hiện",IF(SUMPRODUCT(--(('Kiểm thử'!$A$5:$A$573="TC-RS-BR-026 / no-match")+('Kiểm thử'!$A$5:$A$573="TC-RS-BR-026 / missing-input")),--EXACT('Kiểm thử'!$F$5:$F$573,"Bị chặn"))&gt;0,"Bị chặn",IF(SUMPRODUCT(--(('Kiểm thử'!$A$5:$A$573="TC-RS-BR-026 / no-match")+('Kiểm thử'!$A$5:$A$573="TC-RS-BR-026 / missing-input")),--EXACT('Kiểm thử'!$F$5:$F$573,"Chưa thực hiện"))=2,"Chưa thực hiện","Chưa đủ kết luận")))))</f>
        <v/>
      </c>
    </row>
    <row r="125" ht="30" customHeight="1">
      <c r="A125" s="18" t="inlineStr">
        <is>
          <t>TC-RS-FUNC-016</t>
        </is>
      </c>
      <c r="B125" s="22">
        <f>IF(0&gt;0,"Không đạt",IF(0=1,"Đạt",IF(SUMPRODUCT(--(('Kiểm thử'!$A$5:$A$573="TC-RS-FUNC-016 / Base")),--EXACT('Kiểm thử'!$F$5:$F$573,"Không thực hiện"))=1,"Không thực hiện",IF(SUMPRODUCT(--(('Kiểm thử'!$A$5:$A$573="TC-RS-FUNC-016 / Base")),--EXACT('Kiểm thử'!$F$5:$F$573,"Bị chặn"))&gt;0,"Bị chặn",IF(SUMPRODUCT(--(('Kiểm thử'!$A$5:$A$573="TC-RS-FUNC-016 / Base")),--EXACT('Kiểm thử'!$F$5:$F$573,"Chưa thực hiện"))=1,"Chưa thực hiện","Chưa đủ kết luận")))))</f>
        <v/>
      </c>
    </row>
    <row r="126" ht="30" customHeight="1">
      <c r="A126" s="18" t="inlineStr">
        <is>
          <t>TC-RS-FUNC-017</t>
        </is>
      </c>
      <c r="B126" s="22">
        <f>IF(0&gt;0,"Không đạt",IF(0=2,"Đạt",IF(SUMPRODUCT(--(('Kiểm thử'!$A$5:$A$573="TC-RS-FUNC-017 / auto-on")+('Kiểm thử'!$A$5:$A$573="TC-RS-FUNC-017 / auto-off")),--EXACT('Kiểm thử'!$F$5:$F$573,"Không thực hiện"))=2,"Không thực hiện",IF(SUMPRODUCT(--(('Kiểm thử'!$A$5:$A$573="TC-RS-FUNC-017 / auto-on")+('Kiểm thử'!$A$5:$A$573="TC-RS-FUNC-017 / auto-off")),--EXACT('Kiểm thử'!$F$5:$F$573,"Bị chặn"))&gt;0,"Bị chặn",IF(SUMPRODUCT(--(('Kiểm thử'!$A$5:$A$573="TC-RS-FUNC-017 / auto-on")+('Kiểm thử'!$A$5:$A$573="TC-RS-FUNC-017 / auto-off")),--EXACT('Kiểm thử'!$F$5:$F$573,"Chưa thực hiện"))=2,"Chưa thực hiện","Chưa đủ kết luận")))))</f>
        <v/>
      </c>
    </row>
    <row r="127" ht="30" customHeight="1">
      <c r="A127" s="18" t="inlineStr">
        <is>
          <t>TC-RS-FUNC-018</t>
        </is>
      </c>
      <c r="B127" s="22">
        <f>IF(0&gt;0,"Không đạt",IF(0=2,"Đạt",IF(SUMPRODUCT(--(('Kiểm thử'!$A$5:$A$573="TC-RS-FUNC-018 / linked")+('Kiểm thử'!$A$5:$A$573="TC-RS-FUNC-018 / auto-skipped")),--EXACT('Kiểm thử'!$F$5:$F$573,"Không thực hiện"))=2,"Không thực hiện",IF(SUMPRODUCT(--(('Kiểm thử'!$A$5:$A$573="TC-RS-FUNC-018 / linked")+('Kiểm thử'!$A$5:$A$573="TC-RS-FUNC-018 / auto-skipped")),--EXACT('Kiểm thử'!$F$5:$F$573,"Bị chặn"))&gt;0,"Bị chặn",IF(SUMPRODUCT(--(('Kiểm thử'!$A$5:$A$573="TC-RS-FUNC-018 / linked")+('Kiểm thử'!$A$5:$A$573="TC-RS-FUNC-018 / auto-skipped")),--EXACT('Kiểm thử'!$F$5:$F$573,"Chưa thực hiện"))=2,"Chưa thực hiện","Chưa đủ kết luận")))))</f>
        <v/>
      </c>
    </row>
    <row r="128" ht="30" customHeight="1">
      <c r="A128" s="18" t="inlineStr">
        <is>
          <t>TC-RS-FUNC-019</t>
        </is>
      </c>
      <c r="B128" s="22">
        <f>IF(0&gt;0,"Không đạt",IF(0=1,"Đạt",IF(SUMPRODUCT(--(('Kiểm thử'!$A$5:$A$573="TC-RS-FUNC-019 / Base")),--EXACT('Kiểm thử'!$F$5:$F$573,"Không thực hiện"))=1,"Không thực hiện",IF(SUMPRODUCT(--(('Kiểm thử'!$A$5:$A$573="TC-RS-FUNC-019 / Base")),--EXACT('Kiểm thử'!$F$5:$F$573,"Bị chặn"))&gt;0,"Bị chặn",IF(SUMPRODUCT(--(('Kiểm thử'!$A$5:$A$573="TC-RS-FUNC-019 / Base")),--EXACT('Kiểm thử'!$F$5:$F$573,"Chưa thực hiện"))=1,"Chưa thực hiện","Chưa đủ kết luận")))))</f>
        <v/>
      </c>
    </row>
    <row r="129" ht="30" customHeight="1">
      <c r="A129" s="18" t="inlineStr">
        <is>
          <t>TC-RS-FUNC-020</t>
        </is>
      </c>
      <c r="B129" s="22">
        <f>IF(0&gt;0,"Không đạt",IF(0=1,"Đạt",IF(SUMPRODUCT(--(('Kiểm thử'!$A$5:$A$573="TC-RS-FUNC-020 / Base")),--EXACT('Kiểm thử'!$F$5:$F$573,"Không thực hiện"))=1,"Không thực hiện",IF(SUMPRODUCT(--(('Kiểm thử'!$A$5:$A$573="TC-RS-FUNC-020 / Base")),--EXACT('Kiểm thử'!$F$5:$F$573,"Bị chặn"))&gt;0,"Bị chặn",IF(SUMPRODUCT(--(('Kiểm thử'!$A$5:$A$573="TC-RS-FUNC-020 / Base")),--EXACT('Kiểm thử'!$F$5:$F$573,"Chưa thực hiện"))=1,"Chưa thực hiện","Chưa đủ kết luận")))))</f>
        <v/>
      </c>
    </row>
    <row r="130" ht="30" customHeight="1">
      <c r="A130" s="18" t="inlineStr">
        <is>
          <t>TC-RS-FUNC-021</t>
        </is>
      </c>
      <c r="B130" s="22">
        <f>IF(0&gt;0,"Không đạt",IF(0=1,"Đạt",IF(SUMPRODUCT(--(('Kiểm thử'!$A$5:$A$573="TC-RS-FUNC-021 / Base")),--EXACT('Kiểm thử'!$F$5:$F$573,"Không thực hiện"))=1,"Không thực hiện",IF(SUMPRODUCT(--(('Kiểm thử'!$A$5:$A$573="TC-RS-FUNC-021 / Base")),--EXACT('Kiểm thử'!$F$5:$F$573,"Bị chặn"))&gt;0,"Bị chặn",IF(SUMPRODUCT(--(('Kiểm thử'!$A$5:$A$573="TC-RS-FUNC-021 / Base")),--EXACT('Kiểm thử'!$F$5:$F$573,"Chưa thực hiện"))=1,"Chưa thực hiện","Chưa đủ kết luận")))))</f>
        <v/>
      </c>
    </row>
    <row r="131" ht="30" customHeight="1">
      <c r="A131" s="18" t="inlineStr">
        <is>
          <t>TC-RS-FUNC-035</t>
        </is>
      </c>
      <c r="B131" s="22">
        <f>IF(0&gt;0,"Không đạt",IF(0=2,"Đạt",IF(SUMPRODUCT(--(('Kiểm thử'!$A$5:$A$573="TC-RS-FUNC-035 / auto-on")+('Kiểm thử'!$A$5:$A$573="TC-RS-FUNC-035 / auto-off")),--EXACT('Kiểm thử'!$F$5:$F$573,"Không thực hiện"))=2,"Không thực hiện",IF(SUMPRODUCT(--(('Kiểm thử'!$A$5:$A$573="TC-RS-FUNC-035 / auto-on")+('Kiểm thử'!$A$5:$A$573="TC-RS-FUNC-035 / auto-off")),--EXACT('Kiểm thử'!$F$5:$F$573,"Bị chặn"))&gt;0,"Bị chặn",IF(SUMPRODUCT(--(('Kiểm thử'!$A$5:$A$573="TC-RS-FUNC-035 / auto-on")+('Kiểm thử'!$A$5:$A$573="TC-RS-FUNC-035 / auto-off")),--EXACT('Kiểm thử'!$F$5:$F$573,"Chưa thực hiện"))=2,"Chưa thực hiện","Chưa đủ kết luận")))))</f>
        <v/>
      </c>
    </row>
    <row r="132" ht="30" customHeight="1">
      <c r="A132" s="18" t="inlineStr">
        <is>
          <t>TC-RS-BR-015</t>
        </is>
      </c>
      <c r="B132" s="22">
        <f>IF(0&gt;0,"Không đạt",IF(0=1,"Đạt",IF(SUMPRODUCT(--(('Kiểm thử'!$A$5:$A$573="TC-RS-BR-015 / Base")),--EXACT('Kiểm thử'!$F$5:$F$573,"Không thực hiện"))=1,"Không thực hiện",IF(SUMPRODUCT(--(('Kiểm thử'!$A$5:$A$573="TC-RS-BR-015 / Base")),--EXACT('Kiểm thử'!$F$5:$F$573,"Bị chặn"))&gt;0,"Bị chặn",IF(SUMPRODUCT(--(('Kiểm thử'!$A$5:$A$573="TC-RS-BR-015 / Base")),--EXACT('Kiểm thử'!$F$5:$F$573,"Chưa thực hiện"))=1,"Chưa thực hiện","Chưa đủ kết luận")))))</f>
        <v/>
      </c>
    </row>
    <row r="133" ht="30" customHeight="1">
      <c r="A133" s="18" t="inlineStr">
        <is>
          <t>TC-RS-BR-016</t>
        </is>
      </c>
      <c r="B133" s="22">
        <f>IF(0&gt;0,"Không đạt",IF(0=1,"Đạt",IF(SUMPRODUCT(--(('Kiểm thử'!$A$5:$A$573="TC-RS-BR-016 / Base")),--EXACT('Kiểm thử'!$F$5:$F$573,"Không thực hiện"))=1,"Không thực hiện",IF(SUMPRODUCT(--(('Kiểm thử'!$A$5:$A$573="TC-RS-BR-016 / Base")),--EXACT('Kiểm thử'!$F$5:$F$573,"Bị chặn"))&gt;0,"Bị chặn",IF(SUMPRODUCT(--(('Kiểm thử'!$A$5:$A$573="TC-RS-BR-016 / Base")),--EXACT('Kiểm thử'!$F$5:$F$573,"Chưa thực hiện"))=1,"Chưa thực hiện","Chưa đủ kết luận")))))</f>
        <v/>
      </c>
    </row>
    <row r="134" ht="30" customHeight="1">
      <c r="A134" s="18" t="inlineStr">
        <is>
          <t>TC-RS-BR-017</t>
        </is>
      </c>
      <c r="B134" s="22">
        <f>IF(0&gt;0,"Không đạt",IF(0=3,"Đạt",IF(SUMPRODUCT(--(('Kiểm thử'!$A$5:$A$573="TC-RS-BR-017 / invalid-M")+('Kiểm thử'!$A$5:$A$573="TC-RS-BR-017 / missing-source")+('Kiểm thử'!$A$5:$A$573="TC-RS-BR-017 / invalid-formula")),--EXACT('Kiểm thử'!$F$5:$F$573,"Không thực hiện"))=3,"Không thực hiện",IF(SUMPRODUCT(--(('Kiểm thử'!$A$5:$A$573="TC-RS-BR-017 / invalid-M")+('Kiểm thử'!$A$5:$A$573="TC-RS-BR-017 / missing-source")+('Kiểm thử'!$A$5:$A$573="TC-RS-BR-017 / invalid-formula")),--EXACT('Kiểm thử'!$F$5:$F$573,"Bị chặn"))&gt;0,"Bị chặn",IF(SUMPRODUCT(--(('Kiểm thử'!$A$5:$A$573="TC-RS-BR-017 / invalid-M")+('Kiểm thử'!$A$5:$A$573="TC-RS-BR-017 / missing-source")+('Kiểm thử'!$A$5:$A$573="TC-RS-BR-017 / invalid-formula")),--EXACT('Kiểm thử'!$F$5:$F$573,"Chưa thực hiện"))=3,"Chưa thực hiện","Chưa đủ kết luận")))))</f>
        <v/>
      </c>
    </row>
    <row r="135" ht="30" customHeight="1">
      <c r="A135" s="18" t="inlineStr">
        <is>
          <t>TC-RS-BR-018</t>
        </is>
      </c>
      <c r="B135" s="22">
        <f>IF(0&gt;0,"Không đạt",IF(0=1,"Đạt",IF(SUMPRODUCT(--(('Kiểm thử'!$A$5:$A$573="TC-RS-BR-018 / Base")),--EXACT('Kiểm thử'!$F$5:$F$573,"Không thực hiện"))=1,"Không thực hiện",IF(SUMPRODUCT(--(('Kiểm thử'!$A$5:$A$573="TC-RS-BR-018 / Base")),--EXACT('Kiểm thử'!$F$5:$F$573,"Bị chặn"))&gt;0,"Bị chặn",IF(SUMPRODUCT(--(('Kiểm thử'!$A$5:$A$573="TC-RS-BR-018 / Base")),--EXACT('Kiểm thử'!$F$5:$F$573,"Chưa thực hiện"))=1,"Chưa thực hiện","Chưa đủ kết luận")))))</f>
        <v/>
      </c>
    </row>
    <row r="136" ht="30" customHeight="1">
      <c r="A136" s="18" t="inlineStr">
        <is>
          <t>TC-RS-BR-019</t>
        </is>
      </c>
      <c r="B136" s="22">
        <f>IF(0&gt;0,"Không đạt",IF(0=2,"Đạt",IF(SUMPRODUCT(--(('Kiểm thử'!$A$5:$A$573="TC-RS-BR-019 / registration")+('Kiểm thử'!$A$5:$A$573="TC-RS-BR-019 / batch")),--EXACT('Kiểm thử'!$F$5:$F$573,"Không thực hiện"))=2,"Không thực hiện",IF(SUMPRODUCT(--(('Kiểm thử'!$A$5:$A$573="TC-RS-BR-019 / registration")+('Kiểm thử'!$A$5:$A$573="TC-RS-BR-019 / batch")),--EXACT('Kiểm thử'!$F$5:$F$573,"Bị chặn"))&gt;0,"Bị chặn",IF(SUMPRODUCT(--(('Kiểm thử'!$A$5:$A$573="TC-RS-BR-019 / registration")+('Kiểm thử'!$A$5:$A$573="TC-RS-BR-019 / batch")),--EXACT('Kiểm thử'!$F$5:$F$573,"Chưa thực hiện"))=2,"Chưa thực hiện","Chưa đủ kết luận")))))</f>
        <v/>
      </c>
    </row>
    <row r="137" ht="30" customHeight="1">
      <c r="A137" s="18" t="inlineStr">
        <is>
          <t>TC-RS-BR-020</t>
        </is>
      </c>
      <c r="B137" s="22">
        <f>IF(0&gt;0,"Không đạt",IF(0=1,"Đạt",IF(SUMPRODUCT(--(('Kiểm thử'!$A$5:$A$573="TC-RS-BR-020 / Base")),--EXACT('Kiểm thử'!$F$5:$F$573,"Không thực hiện"))=1,"Không thực hiện",IF(SUMPRODUCT(--(('Kiểm thử'!$A$5:$A$573="TC-RS-BR-020 / Base")),--EXACT('Kiểm thử'!$F$5:$F$573,"Bị chặn"))&gt;0,"Bị chặn",IF(SUMPRODUCT(--(('Kiểm thử'!$A$5:$A$573="TC-RS-BR-020 / Base")),--EXACT('Kiểm thử'!$F$5:$F$573,"Chưa thực hiện"))=1,"Chưa thực hiện","Chưa đủ kết luận")))))</f>
        <v/>
      </c>
    </row>
    <row r="138" ht="30" customHeight="1">
      <c r="A138" s="18" t="inlineStr">
        <is>
          <t>TC-RS-BR-021</t>
        </is>
      </c>
      <c r="B138" s="22">
        <f>IF(0&gt;0,"Không đạt",IF(0=1,"Đạt",IF(SUMPRODUCT(--(('Kiểm thử'!$A$5:$A$573="TC-RS-BR-021 / Base")),--EXACT('Kiểm thử'!$F$5:$F$573,"Không thực hiện"))=1,"Không thực hiện",IF(SUMPRODUCT(--(('Kiểm thử'!$A$5:$A$573="TC-RS-BR-021 / Base")),--EXACT('Kiểm thử'!$F$5:$F$573,"Bị chặn"))&gt;0,"Bị chặn",IF(SUMPRODUCT(--(('Kiểm thử'!$A$5:$A$573="TC-RS-BR-021 / Base")),--EXACT('Kiểm thử'!$F$5:$F$573,"Chưa thực hiện"))=1,"Chưa thực hiện","Chưa đủ kết luận")))))</f>
        <v/>
      </c>
    </row>
    <row r="139" ht="30" customHeight="1">
      <c r="A139" s="18" t="inlineStr">
        <is>
          <t>TC-RS-BR-022</t>
        </is>
      </c>
      <c r="B139" s="22">
        <f>IF(0&gt;0,"Không đạt",IF(0=1,"Đạt",IF(SUMPRODUCT(--(('Kiểm thử'!$A$5:$A$573="TC-RS-BR-022 / Base")),--EXACT('Kiểm thử'!$F$5:$F$573,"Không thực hiện"))=1,"Không thực hiện",IF(SUMPRODUCT(--(('Kiểm thử'!$A$5:$A$573="TC-RS-BR-022 / Base")),--EXACT('Kiểm thử'!$F$5:$F$573,"Bị chặn"))&gt;0,"Bị chặn",IF(SUMPRODUCT(--(('Kiểm thử'!$A$5:$A$573="TC-RS-BR-022 / Base")),--EXACT('Kiểm thử'!$F$5:$F$573,"Chưa thực hiện"))=1,"Chưa thực hiện","Chưa đủ kết luận")))))</f>
        <v/>
      </c>
    </row>
    <row r="140" ht="30" customHeight="1">
      <c r="A140" s="18" t="inlineStr">
        <is>
          <t>TC-RS-BR-023</t>
        </is>
      </c>
      <c r="B140" s="22">
        <f>IF(0&gt;0,"Không đạt",IF(0=1,"Đạt",IF(SUMPRODUCT(--(('Kiểm thử'!$A$5:$A$573="TC-RS-BR-023 / Base")),--EXACT('Kiểm thử'!$F$5:$F$573,"Không thực hiện"))=1,"Không thực hiện",IF(SUMPRODUCT(--(('Kiểm thử'!$A$5:$A$573="TC-RS-BR-023 / Base")),--EXACT('Kiểm thử'!$F$5:$F$573,"Bị chặn"))&gt;0,"Bị chặn",IF(SUMPRODUCT(--(('Kiểm thử'!$A$5:$A$573="TC-RS-BR-023 / Base")),--EXACT('Kiểm thử'!$F$5:$F$573,"Chưa thực hiện"))=1,"Chưa thực hiện","Chưa đủ kết luận")))))</f>
        <v/>
      </c>
    </row>
    <row r="141" ht="30" customHeight="1">
      <c r="A141" s="18" t="inlineStr">
        <is>
          <t>TC-RS-BR-024</t>
        </is>
      </c>
      <c r="B141" s="22">
        <f>IF(0&gt;0,"Không đạt",IF(0=5,"Đạt",IF(SUMPRODUCT(--(('Kiểm thử'!$A$5:$A$573="TC-RS-BR-024 / extract")+('Kiểm thử'!$A$5:$A$573="TC-RS-BR-024 / excel")+('Kiểm thử'!$A$5:$A$573="TC-RS-BR-024 / publish-web")+('Kiểm thử'!$A$5:$A$573="TC-RS-BR-024 / publish-pdf")+('Kiểm thử'!$A$5:$A$573="TC-RS-BR-024 / report")),--EXACT('Kiểm thử'!$F$5:$F$573,"Không thực hiện"))=5,"Không thực hiện",IF(SUMPRODUCT(--(('Kiểm thử'!$A$5:$A$573="TC-RS-BR-024 / extract")+('Kiểm thử'!$A$5:$A$573="TC-RS-BR-024 / excel")+('Kiểm thử'!$A$5:$A$573="TC-RS-BR-024 / publish-web")+('Kiểm thử'!$A$5:$A$573="TC-RS-BR-024 / publish-pdf")+('Kiểm thử'!$A$5:$A$573="TC-RS-BR-024 / report")),--EXACT('Kiểm thử'!$F$5:$F$573,"Bị chặn"))&gt;0,"Bị chặn",IF(SUMPRODUCT(--(('Kiểm thử'!$A$5:$A$573="TC-RS-BR-024 / extract")+('Kiểm thử'!$A$5:$A$573="TC-RS-BR-024 / excel")+('Kiểm thử'!$A$5:$A$573="TC-RS-BR-024 / publish-web")+('Kiểm thử'!$A$5:$A$573="TC-RS-BR-024 / publish-pdf")+('Kiểm thử'!$A$5:$A$573="TC-RS-BR-024 / report")),--EXACT('Kiểm thử'!$F$5:$F$573,"Chưa thực hiện"))=5,"Chưa thực hiện","Chưa đủ kết luận")))))</f>
        <v/>
      </c>
    </row>
    <row r="142" ht="30" customHeight="1">
      <c r="A142" s="18" t="inlineStr">
        <is>
          <t>TC-RS-BR-027</t>
        </is>
      </c>
      <c r="B142" s="22">
        <f>IF(0&gt;0,"Không đạt",IF(0=1,"Đạt",IF(SUMPRODUCT(--(('Kiểm thử'!$A$5:$A$573="TC-RS-BR-027 / Base")),--EXACT('Kiểm thử'!$F$5:$F$573,"Không thực hiện"))=1,"Không thực hiện",IF(SUMPRODUCT(--(('Kiểm thử'!$A$5:$A$573="TC-RS-BR-027 / Base")),--EXACT('Kiểm thử'!$F$5:$F$573,"Bị chặn"))&gt;0,"Bị chặn",IF(SUMPRODUCT(--(('Kiểm thử'!$A$5:$A$573="TC-RS-BR-027 / Base")),--EXACT('Kiểm thử'!$F$5:$F$573,"Chưa thực hiện"))=1,"Chưa thực hiện","Chưa đủ kết luận")))))</f>
        <v/>
      </c>
    </row>
    <row r="143" ht="30" customHeight="1">
      <c r="A143" s="18" t="inlineStr">
        <is>
          <t>TC-RS-BR-037</t>
        </is>
      </c>
      <c r="B143" s="22">
        <f>IF(0&gt;0,"Không đạt",IF(0=2,"Đạt",IF(SUMPRODUCT(--(('Kiểm thử'!$A$5:$A$573="TC-RS-BR-037 / delete-unit")+('Kiểm thử'!$A$5:$A$573="TC-RS-BR-037 / disable-unit")),--EXACT('Kiểm thử'!$F$5:$F$573,"Không thực hiện"))=2,"Không thực hiện",IF(SUMPRODUCT(--(('Kiểm thử'!$A$5:$A$573="TC-RS-BR-037 / delete-unit")+('Kiểm thử'!$A$5:$A$573="TC-RS-BR-037 / disable-unit")),--EXACT('Kiểm thử'!$F$5:$F$573,"Bị chặn"))&gt;0,"Bị chặn",IF(SUMPRODUCT(--(('Kiểm thử'!$A$5:$A$573="TC-RS-BR-037 / delete-unit")+('Kiểm thử'!$A$5:$A$573="TC-RS-BR-037 / disable-unit")),--EXACT('Kiểm thử'!$F$5:$F$573,"Chưa thực hiện"))=2,"Chưa thực hiện","Chưa đủ kết luận")))))</f>
        <v/>
      </c>
    </row>
    <row r="144" ht="30" customHeight="1">
      <c r="A144" s="18" t="inlineStr">
        <is>
          <t>TC-RS-ERR-012</t>
        </is>
      </c>
      <c r="B144" s="22">
        <f>IF(0&gt;0,"Không đạt",IF(0=1,"Đạt",IF(SUMPRODUCT(--(('Kiểm thử'!$A$5:$A$573="TC-RS-ERR-012 / Base")),--EXACT('Kiểm thử'!$F$5:$F$573,"Không thực hiện"))=1,"Không thực hiện",IF(SUMPRODUCT(--(('Kiểm thử'!$A$5:$A$573="TC-RS-ERR-012 / Base")),--EXACT('Kiểm thử'!$F$5:$F$573,"Bị chặn"))&gt;0,"Bị chặn",IF(SUMPRODUCT(--(('Kiểm thử'!$A$5:$A$573="TC-RS-ERR-012 / Base")),--EXACT('Kiểm thử'!$F$5:$F$573,"Chưa thực hiện"))=1,"Chưa thực hiện","Chưa đủ kết luận")))))</f>
        <v/>
      </c>
    </row>
    <row r="145" ht="30" customHeight="1">
      <c r="A145" s="18" t="inlineStr">
        <is>
          <t>TC-RS-ERR-015</t>
        </is>
      </c>
      <c r="B145" s="22">
        <f>IF(0&gt;0,"Không đạt",IF(0=3,"Đạt",IF(SUMPRODUCT(--(('Kiểm thử'!$A$5:$A$573="TC-RS-ERR-015 / recreate35")+('Kiểm thử'!$A$5:$A$573="TC-RS-ERR-015 / same29")+('Kiểm thử'!$A$5:$A$573="TC-RS-ERR-015 / old-batch")),--EXACT('Kiểm thử'!$F$5:$F$573,"Không thực hiện"))=3,"Không thực hiện",IF(SUMPRODUCT(--(('Kiểm thử'!$A$5:$A$573="TC-RS-ERR-015 / recreate35")+('Kiểm thử'!$A$5:$A$573="TC-RS-ERR-015 / same29")+('Kiểm thử'!$A$5:$A$573="TC-RS-ERR-015 / old-batch")),--EXACT('Kiểm thử'!$F$5:$F$573,"Bị chặn"))&gt;0,"Bị chặn",IF(SUMPRODUCT(--(('Kiểm thử'!$A$5:$A$573="TC-RS-ERR-015 / recreate35")+('Kiểm thử'!$A$5:$A$573="TC-RS-ERR-015 / same29")+('Kiểm thử'!$A$5:$A$573="TC-RS-ERR-015 / old-batch")),--EXACT('Kiểm thử'!$F$5:$F$573,"Chưa thực hiện"))=3,"Chưa thực hiện","Chưa đủ kết luận")))))</f>
        <v/>
      </c>
    </row>
    <row r="146" ht="30" customHeight="1">
      <c r="A146" s="18" t="inlineStr">
        <is>
          <t>TC-RS-FUNC-022</t>
        </is>
      </c>
      <c r="B146" s="22">
        <f>IF(0&gt;0,"Không đạt",IF(0=3,"Đạt",IF(SUMPRODUCT(--(('Kiểm thử'!$A$5:$A$573="TC-RS-FUNC-022 / filter-color")+('Kiểm thử'!$A$5:$A$573="TC-RS-FUNC-022 / prefix-suffix")+('Kiểm thử'!$A$5:$A$573="TC-RS-FUNC-022 / copy")),--EXACT('Kiểm thử'!$F$5:$F$573,"Không thực hiện"))=3,"Không thực hiện",IF(SUMPRODUCT(--(('Kiểm thử'!$A$5:$A$573="TC-RS-FUNC-022 / filter-color")+('Kiểm thử'!$A$5:$A$573="TC-RS-FUNC-022 / prefix-suffix")+('Kiểm thử'!$A$5:$A$573="TC-RS-FUNC-022 / copy")),--EXACT('Kiểm thử'!$F$5:$F$573,"Bị chặn"))&gt;0,"Bị chặn",IF(SUMPRODUCT(--(('Kiểm thử'!$A$5:$A$573="TC-RS-FUNC-022 / filter-color")+('Kiểm thử'!$A$5:$A$573="TC-RS-FUNC-022 / prefix-suffix")+('Kiểm thử'!$A$5:$A$573="TC-RS-FUNC-022 / copy")),--EXACT('Kiểm thử'!$F$5:$F$573,"Chưa thực hiện"))=3,"Chưa thực hiện","Chưa đủ kết luận")))))</f>
        <v/>
      </c>
    </row>
    <row r="147" ht="30" customHeight="1">
      <c r="A147" s="18" t="inlineStr">
        <is>
          <t>TC-RS-FUNC-023</t>
        </is>
      </c>
      <c r="B147" s="22">
        <f>IF(0&gt;0,"Không đạt",IF(0=7,"Đạt",IF(SUMPRODUCT(--(('Kiểm thử'!$A$5:$A$573="TC-RS-FUNC-023 / multi-red-scope")+('Kiểm thử'!$A$5:$A$573="TC-RS-FUNC-023 / one-red-in-scope")+('Kiểm thử'!$A$5:$A$573="TC-RS-FUNC-023 / no-red-in-scope")+('Kiểm thử'!$A$5:$A$573="TC-RS-FUNC-023 / filter-off")+('Kiểm thử'!$A$5:$A$573="TC-RS-FUNC-023 / another-period-only")+('Kiểm thử'!$A$5:$A$573="TC-RS-FUNC-023 / other-unit-only")+('Kiểm thử'!$A$5:$A$573="TC-RS-FUNC-023 / after-delete")),--EXACT('Kiểm thử'!$F$5:$F$573,"Không thực hiện"))=7,"Không thực hiện",IF(SUMPRODUCT(--(('Kiểm thử'!$A$5:$A$573="TC-RS-FUNC-023 / multi-red-scope")+('Kiểm thử'!$A$5:$A$573="TC-RS-FUNC-023 / one-red-in-scope")+('Kiểm thử'!$A$5:$A$573="TC-RS-FUNC-023 / no-red-in-scope")+('Kiểm thử'!$A$5:$A$573="TC-RS-FUNC-023 / filter-off")+('Kiểm thử'!$A$5:$A$573="TC-RS-FUNC-023 / another-period-only")+('Kiểm thử'!$A$5:$A$573="TC-RS-FUNC-023 / other-unit-only")+('Kiểm thử'!$A$5:$A$573="TC-RS-FUNC-023 / after-delete")),--EXACT('Kiểm thử'!$F$5:$F$573,"Bị chặn"))&gt;0,"Bị chặn",IF(SUMPRODUCT(--(('Kiểm thử'!$A$5:$A$573="TC-RS-FUNC-023 / multi-red-scope")+('Kiểm thử'!$A$5:$A$573="TC-RS-FUNC-023 / one-red-in-scope")+('Kiểm thử'!$A$5:$A$573="TC-RS-FUNC-023 / no-red-in-scope")+('Kiểm thử'!$A$5:$A$573="TC-RS-FUNC-023 / filter-off")+('Kiểm thử'!$A$5:$A$573="TC-RS-FUNC-023 / another-period-only")+('Kiểm thử'!$A$5:$A$573="TC-RS-FUNC-023 / other-unit-only")+('Kiểm thử'!$A$5:$A$573="TC-RS-FUNC-023 / after-delete")),--EXACT('Kiểm thử'!$F$5:$F$573,"Chưa thực hiện"))=7,"Chưa thực hiện","Chưa đủ kết luận")))))</f>
        <v/>
      </c>
    </row>
    <row r="148" ht="30" customHeight="1">
      <c r="A148" s="18" t="inlineStr">
        <is>
          <t>TC-RS-FUNC-024</t>
        </is>
      </c>
      <c r="B148" s="22">
        <f>IF(0&gt;0,"Không đạt",IF(0=2,"Đạt",IF(SUMPRODUCT(--(('Kiểm thử'!$A$5:$A$573="TC-RS-FUNC-024 / prefix-color")+('Kiểm thử'!$A$5:$A$573="TC-RS-FUNC-024 / prefix-suffix")),--EXACT('Kiểm thử'!$F$5:$F$573,"Không thực hiện"))=2,"Không thực hiện",IF(SUMPRODUCT(--(('Kiểm thử'!$A$5:$A$573="TC-RS-FUNC-024 / prefix-color")+('Kiểm thử'!$A$5:$A$573="TC-RS-FUNC-024 / prefix-suffix")),--EXACT('Kiểm thử'!$F$5:$F$573,"Bị chặn"))&gt;0,"Bị chặn",IF(SUMPRODUCT(--(('Kiểm thử'!$A$5:$A$573="TC-RS-FUNC-024 / prefix-color")+('Kiểm thử'!$A$5:$A$573="TC-RS-FUNC-024 / prefix-suffix")),--EXACT('Kiểm thử'!$F$5:$F$573,"Chưa thực hiện"))=2,"Chưa thực hiện","Chưa đủ kết luận")))))</f>
        <v/>
      </c>
    </row>
    <row r="149" ht="30" customHeight="1">
      <c r="A149" s="18" t="inlineStr">
        <is>
          <t>TC-RS-FUNC-025</t>
        </is>
      </c>
      <c r="B149" s="22">
        <f>IF(0&gt;0,"Không đạt",IF(0=5,"Đạt",IF(SUMPRODUCT(--(('Kiểm thử'!$A$5:$A$573="TC-RS-FUNC-025 / filter-on")+('Kiểm thử'!$A$5:$A$573="TC-RS-FUNC-025 / filter-off")+('Kiểm thử'!$A$5:$A$573="TC-RS-FUNC-025 / empty")+('Kiểm thử'!$A$5:$A$573="TC-RS-FUNC-025 / stale")+('Kiểm thử'!$A$5:$A$573="TC-RS-FUNC-025 / hidden")),--EXACT('Kiểm thử'!$F$5:$F$573,"Không thực hiện"))=5,"Không thực hiện",IF(SUMPRODUCT(--(('Kiểm thử'!$A$5:$A$573="TC-RS-FUNC-025 / filter-on")+('Kiểm thử'!$A$5:$A$573="TC-RS-FUNC-025 / filter-off")+('Kiểm thử'!$A$5:$A$573="TC-RS-FUNC-025 / empty")+('Kiểm thử'!$A$5:$A$573="TC-RS-FUNC-025 / stale")+('Kiểm thử'!$A$5:$A$573="TC-RS-FUNC-025 / hidden")),--EXACT('Kiểm thử'!$F$5:$F$573,"Bị chặn"))&gt;0,"Bị chặn",IF(SUMPRODUCT(--(('Kiểm thử'!$A$5:$A$573="TC-RS-FUNC-025 / filter-on")+('Kiểm thử'!$A$5:$A$573="TC-RS-FUNC-025 / filter-off")+('Kiểm thử'!$A$5:$A$573="TC-RS-FUNC-025 / empty")+('Kiểm thử'!$A$5:$A$573="TC-RS-FUNC-025 / stale")+('Kiểm thử'!$A$5:$A$573="TC-RS-FUNC-025 / hidden")),--EXACT('Kiểm thử'!$F$5:$F$573,"Chưa thực hiện"))=5,"Chưa thực hiện","Chưa đủ kết luận")))))</f>
        <v/>
      </c>
    </row>
    <row r="150" ht="30" customHeight="1">
      <c r="A150" s="18" t="inlineStr">
        <is>
          <t>TC-RS-VAL-017</t>
        </is>
      </c>
      <c r="B150" s="22">
        <f>IF(0&gt;0,"Không đạt",IF(0=2,"Đạt",IF(SUMPRODUCT(--(('Kiểm thử'!$A$5:$A$573="TC-RS-VAL-017 / prefix")+('Kiểm thử'!$A$5:$A$573="TC-RS-VAL-017 / suffix")),--EXACT('Kiểm thử'!$F$5:$F$573,"Không thực hiện"))=2,"Không thực hiện",IF(SUMPRODUCT(--(('Kiểm thử'!$A$5:$A$573="TC-RS-VAL-017 / prefix")+('Kiểm thử'!$A$5:$A$573="TC-RS-VAL-017 / suffix")),--EXACT('Kiểm thử'!$F$5:$F$573,"Bị chặn"))&gt;0,"Bị chặn",IF(SUMPRODUCT(--(('Kiểm thử'!$A$5:$A$573="TC-RS-VAL-017 / prefix")+('Kiểm thử'!$A$5:$A$573="TC-RS-VAL-017 / suffix")),--EXACT('Kiểm thử'!$F$5:$F$573,"Chưa thực hiện"))=2,"Chưa thực hiện","Chưa đủ kết luận")))))</f>
        <v/>
      </c>
    </row>
    <row r="151" ht="30" customHeight="1">
      <c r="A151" s="18" t="inlineStr">
        <is>
          <t>TC-RS-UI-020</t>
        </is>
      </c>
      <c r="B151" s="22">
        <f>IF(0&gt;0,"Không đạt",IF(0=1,"Đạt",IF(SUMPRODUCT(--(('Kiểm thử'!$A$5:$A$573="TC-RS-UI-020 / Base")),--EXACT('Kiểm thử'!$F$5:$F$573,"Không thực hiện"))=1,"Không thực hiện",IF(SUMPRODUCT(--(('Kiểm thử'!$A$5:$A$573="TC-RS-UI-020 / Base")),--EXACT('Kiểm thử'!$F$5:$F$573,"Bị chặn"))&gt;0,"Bị chặn",IF(SUMPRODUCT(--(('Kiểm thử'!$A$5:$A$573="TC-RS-UI-020 / Base")),--EXACT('Kiểm thử'!$F$5:$F$573,"Chưa thực hiện"))=1,"Chưa thực hiện","Chưa đủ kết luận")))))</f>
        <v/>
      </c>
    </row>
    <row r="152" ht="30" customHeight="1">
      <c r="A152" s="18" t="inlineStr">
        <is>
          <t>TC-RS-UI-021</t>
        </is>
      </c>
      <c r="B152" s="22">
        <f>IF(0&gt;0,"Không đạt",IF(0=2,"Đạt",IF(SUMPRODUCT(--(('Kiểm thử'!$A$5:$A$573="TC-RS-UI-021 / empty")+('Kiểm thử'!$A$5:$A$573="TC-RS-UI-021 / decimal")),--EXACT('Kiểm thử'!$F$5:$F$573,"Không thực hiện"))=2,"Không thực hiện",IF(SUMPRODUCT(--(('Kiểm thử'!$A$5:$A$573="TC-RS-UI-021 / empty")+('Kiểm thử'!$A$5:$A$573="TC-RS-UI-021 / decimal")),--EXACT('Kiểm thử'!$F$5:$F$573,"Bị chặn"))&gt;0,"Bị chặn",IF(SUMPRODUCT(--(('Kiểm thử'!$A$5:$A$573="TC-RS-UI-021 / empty")+('Kiểm thử'!$A$5:$A$573="TC-RS-UI-021 / decimal")),--EXACT('Kiểm thử'!$F$5:$F$573,"Chưa thực hiện"))=2,"Chưa thực hiện","Chưa đủ kết luận")))))</f>
        <v/>
      </c>
    </row>
    <row r="153" ht="30" customHeight="1">
      <c r="A153" s="18" t="inlineStr">
        <is>
          <t>TC-RS-ERR-013</t>
        </is>
      </c>
      <c r="B153" s="22">
        <f>IF(0&gt;0,"Không đạt",IF(0=1,"Đạt",IF(SUMPRODUCT(--(('Kiểm thử'!$A$5:$A$573="TC-RS-ERR-013 / Base")),--EXACT('Kiểm thử'!$F$5:$F$573,"Không thực hiện"))=1,"Không thực hiện",IF(SUMPRODUCT(--(('Kiểm thử'!$A$5:$A$573="TC-RS-ERR-013 / Base")),--EXACT('Kiểm thử'!$F$5:$F$573,"Bị chặn"))&gt;0,"Bị chặn",IF(SUMPRODUCT(--(('Kiểm thử'!$A$5:$A$573="TC-RS-ERR-013 / Base")),--EXACT('Kiểm thử'!$F$5:$F$573,"Chưa thực hiện"))=1,"Chưa thực hiện","Chưa đủ kết luận")))))</f>
        <v/>
      </c>
    </row>
    <row r="154" ht="30" customHeight="1">
      <c r="A154" s="18" t="inlineStr">
        <is>
          <t>TC-RS-REG-006</t>
        </is>
      </c>
      <c r="B154" s="22">
        <f>IF(0&gt;0,"Không đạt",IF(0=4,"Đạt",IF(SUMPRODUCT(--(('Kiểm thử'!$A$5:$A$573="TC-RS-REG-006 / color")+('Kiểm thử'!$A$5:$A$573="TC-RS-REG-006 / filter")+('Kiểm thử'!$A$5:$A$573="TC-RS-REG-006 / symbol")+('Kiểm thử'!$A$5:$A$573="TC-RS-REG-006 / defaults")),--EXACT('Kiểm thử'!$F$5:$F$573,"Không thực hiện"))=4,"Không thực hiện",IF(SUMPRODUCT(--(('Kiểm thử'!$A$5:$A$573="TC-RS-REG-006 / color")+('Kiểm thử'!$A$5:$A$573="TC-RS-REG-006 / filter")+('Kiểm thử'!$A$5:$A$573="TC-RS-REG-006 / symbol")+('Kiểm thử'!$A$5:$A$573="TC-RS-REG-006 / defaults")),--EXACT('Kiểm thử'!$F$5:$F$573,"Bị chặn"))&gt;0,"Bị chặn",IF(SUMPRODUCT(--(('Kiểm thử'!$A$5:$A$573="TC-RS-REG-006 / color")+('Kiểm thử'!$A$5:$A$573="TC-RS-REG-006 / filter")+('Kiểm thử'!$A$5:$A$573="TC-RS-REG-006 / symbol")+('Kiểm thử'!$A$5:$A$573="TC-RS-REG-006 / defaults")),--EXACT('Kiểm thử'!$F$5:$F$573,"Chưa thực hiện"))=4,"Chưa thực hiện","Chưa đủ kết luận")))))</f>
        <v/>
      </c>
    </row>
    <row r="155" ht="30" customHeight="1">
      <c r="A155" s="18" t="inlineStr">
        <is>
          <t>TC-RS-FUNC-026</t>
        </is>
      </c>
      <c r="B155" s="22">
        <f>IF(0&gt;0,"Không đạt",IF(0=4,"Đạt",IF(SUMPRODUCT(--(('Kiểm thử'!$A$5:$A$573="TC-RS-FUNC-026 / parentheses")+('Kiểm thử'!$A$5:$A$573="TC-RS-FUNC-026 / prefix")+('Kiểm thử'!$A$5:$A$573="TC-RS-FUNC-026 / suffix-reopen")+('Kiểm thử'!$A$5:$A$573="TC-RS-FUNC-026 / unit-prefix")),--EXACT('Kiểm thử'!$F$5:$F$573,"Không thực hiện"))=4,"Không thực hiện",IF(SUMPRODUCT(--(('Kiểm thử'!$A$5:$A$573="TC-RS-FUNC-026 / parentheses")+('Kiểm thử'!$A$5:$A$573="TC-RS-FUNC-026 / prefix")+('Kiểm thử'!$A$5:$A$573="TC-RS-FUNC-026 / suffix-reopen")+('Kiểm thử'!$A$5:$A$573="TC-RS-FUNC-026 / unit-prefix")),--EXACT('Kiểm thử'!$F$5:$F$573,"Bị chặn"))&gt;0,"Bị chặn",IF(SUMPRODUCT(--(('Kiểm thử'!$A$5:$A$573="TC-RS-FUNC-026 / parentheses")+('Kiểm thử'!$A$5:$A$573="TC-RS-FUNC-026 / prefix")+('Kiểm thử'!$A$5:$A$573="TC-RS-FUNC-026 / suffix-reopen")+('Kiểm thử'!$A$5:$A$573="TC-RS-FUNC-026 / unit-prefix")),--EXACT('Kiểm thử'!$F$5:$F$573,"Chưa thực hiện"))=4,"Chưa thực hiện","Chưa đủ kết luận")))))</f>
        <v/>
      </c>
    </row>
    <row r="156" ht="30" customHeight="1">
      <c r="A156" s="18" t="inlineStr">
        <is>
          <t>TC-RS-FUNC-027</t>
        </is>
      </c>
      <c r="B156" s="22">
        <f>IF(0&gt;0,"Không đạt",IF(0=6,"Đạt",IF(SUMPRODUCT(--(('Kiểm thử'!$A$5:$A$573="TC-RS-FUNC-027 / a")+('Kiểm thử'!$A$5:$A$573="TC-RS-FUNC-027 / b")+('Kiểm thử'!$A$5:$A$573="TC-RS-FUNC-027 / c")+('Kiểm thử'!$A$5:$A$573="TC-RS-FUNC-027 / d")+('Kiểm thử'!$A$5:$A$573="TC-RS-FUNC-027 / e")+('Kiểm thử'!$A$5:$A$573="TC-RS-FUNC-027 / f")),--EXACT('Kiểm thử'!$F$5:$F$573,"Không thực hiện"))=6,"Không thực hiện",IF(SUMPRODUCT(--(('Kiểm thử'!$A$5:$A$573="TC-RS-FUNC-027 / a")+('Kiểm thử'!$A$5:$A$573="TC-RS-FUNC-027 / b")+('Kiểm thử'!$A$5:$A$573="TC-RS-FUNC-027 / c")+('Kiểm thử'!$A$5:$A$573="TC-RS-FUNC-027 / d")+('Kiểm thử'!$A$5:$A$573="TC-RS-FUNC-027 / e")+('Kiểm thử'!$A$5:$A$573="TC-RS-FUNC-027 / f")),--EXACT('Kiểm thử'!$F$5:$F$573,"Bị chặn"))&gt;0,"Bị chặn",IF(SUMPRODUCT(--(('Kiểm thử'!$A$5:$A$573="TC-RS-FUNC-027 / a")+('Kiểm thử'!$A$5:$A$573="TC-RS-FUNC-027 / b")+('Kiểm thử'!$A$5:$A$573="TC-RS-FUNC-027 / c")+('Kiểm thử'!$A$5:$A$573="TC-RS-FUNC-027 / d")+('Kiểm thử'!$A$5:$A$573="TC-RS-FUNC-027 / e")+('Kiểm thử'!$A$5:$A$573="TC-RS-FUNC-027 / f")),--EXACT('Kiểm thử'!$F$5:$F$573,"Chưa thực hiện"))=6,"Chưa thực hiện","Chưa đủ kết luận")))))</f>
        <v/>
      </c>
    </row>
    <row r="157" ht="30" customHeight="1">
      <c r="A157" s="18" t="inlineStr">
        <is>
          <t>TC-RS-FUNC-028</t>
        </is>
      </c>
      <c r="B157" s="22">
        <f>IF(0&gt;0,"Không đạt",IF(0=3,"Đạt",IF(SUMPRODUCT(--(('Kiểm thử'!$A$5:$A$573="TC-RS-FUNC-028 / web")+('Kiểm thử'!$A$5:$A$573="TC-RS-FUNC-028 / api")+('Kiểm thử'!$A$5:$A$573="TC-RS-FUNC-028 / pdf")),--EXACT('Kiểm thử'!$F$5:$F$573,"Không thực hiện"))=3,"Không thực hiện",IF(SUMPRODUCT(--(('Kiểm thử'!$A$5:$A$573="TC-RS-FUNC-028 / web")+('Kiểm thử'!$A$5:$A$573="TC-RS-FUNC-028 / api")+('Kiểm thử'!$A$5:$A$573="TC-RS-FUNC-028 / pdf")),--EXACT('Kiểm thử'!$F$5:$F$573,"Bị chặn"))&gt;0,"Bị chặn",IF(SUMPRODUCT(--(('Kiểm thử'!$A$5:$A$573="TC-RS-FUNC-028 / web")+('Kiểm thử'!$A$5:$A$573="TC-RS-FUNC-028 / api")+('Kiểm thử'!$A$5:$A$573="TC-RS-FUNC-028 / pdf")),--EXACT('Kiểm thử'!$F$5:$F$573,"Chưa thực hiện"))=3,"Chưa thực hiện","Chưa đủ kết luận")))))</f>
        <v/>
      </c>
    </row>
    <row r="158" ht="30" customHeight="1">
      <c r="A158" s="18" t="inlineStr">
        <is>
          <t>TC-RS-FUNC-037</t>
        </is>
      </c>
      <c r="B158" s="22">
        <f>IF(0&gt;0,"Không đạt",IF(0=6,"Đạt",IF(SUMPRODUCT(--(('Kiểm thử'!$A$5:$A$573="TC-RS-FUNC-037 / web")+('Kiểm thử'!$A$5:$A$573="TC-RS-FUNC-037 / api")+('Kiểm thử'!$A$5:$A$573="TC-RS-FUNC-037 / pdf")+('Kiểm thử'!$A$5:$A$573="TC-RS-FUNC-037 / copy")+('Kiểm thử'!$A$5:$A$573="TC-RS-FUNC-037 / item-types")+('Kiểm thử'!$A$5:$A$573="TC-RS-FUNC-037 / save-failure")),--EXACT('Kiểm thử'!$F$5:$F$573,"Không thực hiện"))=6,"Không thực hiện",IF(SUMPRODUCT(--(('Kiểm thử'!$A$5:$A$573="TC-RS-FUNC-037 / web")+('Kiểm thử'!$A$5:$A$573="TC-RS-FUNC-037 / api")+('Kiểm thử'!$A$5:$A$573="TC-RS-FUNC-037 / pdf")+('Kiểm thử'!$A$5:$A$573="TC-RS-FUNC-037 / copy")+('Kiểm thử'!$A$5:$A$573="TC-RS-FUNC-037 / item-types")+('Kiểm thử'!$A$5:$A$573="TC-RS-FUNC-037 / save-failure")),--EXACT('Kiểm thử'!$F$5:$F$573,"Bị chặn"))&gt;0,"Bị chặn",IF(SUMPRODUCT(--(('Kiểm thử'!$A$5:$A$573="TC-RS-FUNC-037 / web")+('Kiểm thử'!$A$5:$A$573="TC-RS-FUNC-037 / api")+('Kiểm thử'!$A$5:$A$573="TC-RS-FUNC-037 / pdf")+('Kiểm thử'!$A$5:$A$573="TC-RS-FUNC-037 / copy")+('Kiểm thử'!$A$5:$A$573="TC-RS-FUNC-037 / item-types")+('Kiểm thử'!$A$5:$A$573="TC-RS-FUNC-037 / save-failure")),--EXACT('Kiểm thử'!$F$5:$F$573,"Chưa thực hiện"))=6,"Chưa thực hiện","Chưa đủ kết luận")))))</f>
        <v/>
      </c>
    </row>
    <row r="159" ht="30" customHeight="1">
      <c r="A159" s="18" t="inlineStr">
        <is>
          <t>TC-RS-BR-025</t>
        </is>
      </c>
      <c r="B159" s="22">
        <f>IF(0&gt;0,"Không đạt",IF(0=4,"Đạt",IF(SUMPRODUCT(--(('Kiểm thử'!$A$5:$A$573="TC-RS-BR-025 / extract")+('Kiểm thử'!$A$5:$A$573="TC-RS-BR-025 / excel")+('Kiểm thử'!$A$5:$A$573="TC-RS-BR-025 / publish")+('Kiểm thử'!$A$5:$A$573="TC-RS-BR-025 / report")),--EXACT('Kiểm thử'!$F$5:$F$573,"Không thực hiện"))=4,"Không thực hiện",IF(SUMPRODUCT(--(('Kiểm thử'!$A$5:$A$573="TC-RS-BR-025 / extract")+('Kiểm thử'!$A$5:$A$573="TC-RS-BR-025 / excel")+('Kiểm thử'!$A$5:$A$573="TC-RS-BR-025 / publish")+('Kiểm thử'!$A$5:$A$573="TC-RS-BR-025 / report")),--EXACT('Kiểm thử'!$F$5:$F$573,"Bị chặn"))&gt;0,"Bị chặn",IF(SUMPRODUCT(--(('Kiểm thử'!$A$5:$A$573="TC-RS-BR-025 / extract")+('Kiểm thử'!$A$5:$A$573="TC-RS-BR-025 / excel")+('Kiểm thử'!$A$5:$A$573="TC-RS-BR-025 / publish")+('Kiểm thử'!$A$5:$A$573="TC-RS-BR-025 / report")),--EXACT('Kiểm thử'!$F$5:$F$573,"Chưa thực hiện"))=4,"Chưa thực hiện","Chưa đủ kết luận")))))</f>
        <v/>
      </c>
    </row>
    <row r="160" ht="30" customHeight="1">
      <c r="A160" s="18" t="inlineStr">
        <is>
          <t>TC-RS-UI-022</t>
        </is>
      </c>
      <c r="B160" s="22">
        <f>IF(0&gt;0,"Không đạt",IF(0=1,"Đạt",IF(SUMPRODUCT(--(('Kiểm thử'!$A$5:$A$573="TC-RS-UI-022 / Base")),--EXACT('Kiểm thử'!$F$5:$F$573,"Không thực hiện"))=1,"Không thực hiện",IF(SUMPRODUCT(--(('Kiểm thử'!$A$5:$A$573="TC-RS-UI-022 / Base")),--EXACT('Kiểm thử'!$F$5:$F$573,"Bị chặn"))&gt;0,"Bị chặn",IF(SUMPRODUCT(--(('Kiểm thử'!$A$5:$A$573="TC-RS-UI-022 / Base")),--EXACT('Kiểm thử'!$F$5:$F$573,"Chưa thực hiện"))=1,"Chưa thực hiện","Chưa đủ kết luận")))))</f>
        <v/>
      </c>
    </row>
    <row r="161" ht="30" customHeight="1">
      <c r="A161" s="18" t="inlineStr">
        <is>
          <t>TC-RS-UI-023</t>
        </is>
      </c>
      <c r="B161" s="22">
        <f>IF(0&gt;0,"Không đạt",IF(0=1,"Đạt",IF(SUMPRODUCT(--(('Kiểm thử'!$A$5:$A$573="TC-RS-UI-023 / Base")),--EXACT('Kiểm thử'!$F$5:$F$573,"Không thực hiện"))=1,"Không thực hiện",IF(SUMPRODUCT(--(('Kiểm thử'!$A$5:$A$573="TC-RS-UI-023 / Base")),--EXACT('Kiểm thử'!$F$5:$F$573,"Bị chặn"))&gt;0,"Bị chặn",IF(SUMPRODUCT(--(('Kiểm thử'!$A$5:$A$573="TC-RS-UI-023 / Base")),--EXACT('Kiểm thử'!$F$5:$F$573,"Chưa thực hiện"))=1,"Chưa thực hiện","Chưa đủ kết luận")))))</f>
        <v/>
      </c>
    </row>
    <row r="162" ht="30" customHeight="1">
      <c r="A162" s="18" t="inlineStr">
        <is>
          <t>TC-RS-UI-026</t>
        </is>
      </c>
      <c r="B162" s="22">
        <f>IF(0&gt;0,"Không đạt",IF(0=1,"Đạt",IF(SUMPRODUCT(--(('Kiểm thử'!$A$5:$A$573="TC-RS-UI-026 / Base")),--EXACT('Kiểm thử'!$F$5:$F$573,"Không thực hiện"))=1,"Không thực hiện",IF(SUMPRODUCT(--(('Kiểm thử'!$A$5:$A$573="TC-RS-UI-026 / Base")),--EXACT('Kiểm thử'!$F$5:$F$573,"Bị chặn"))&gt;0,"Bị chặn",IF(SUMPRODUCT(--(('Kiểm thử'!$A$5:$A$573="TC-RS-UI-026 / Base")),--EXACT('Kiểm thử'!$F$5:$F$573,"Chưa thực hiện"))=1,"Chưa thực hiện","Chưa đủ kết luận")))))</f>
        <v/>
      </c>
    </row>
    <row r="163" ht="30" customHeight="1">
      <c r="A163" s="18" t="inlineStr">
        <is>
          <t>TC-RS-REG-007</t>
        </is>
      </c>
      <c r="B163" s="22">
        <f>IF(0&gt;0,"Không đạt",IF(0=1,"Đạt",IF(SUMPRODUCT(--(('Kiểm thử'!$A$5:$A$573="TC-RS-REG-007 / Base")),--EXACT('Kiểm thử'!$F$5:$F$573,"Không thực hiện"))=1,"Không thực hiện",IF(SUMPRODUCT(--(('Kiểm thử'!$A$5:$A$573="TC-RS-REG-007 / Base")),--EXACT('Kiểm thử'!$F$5:$F$573,"Bị chặn"))&gt;0,"Bị chặn",IF(SUMPRODUCT(--(('Kiểm thử'!$A$5:$A$573="TC-RS-REG-007 / Base")),--EXACT('Kiểm thử'!$F$5:$F$573,"Chưa thực hiện"))=1,"Chưa thực hiện","Chưa đủ kết luận")))))</f>
        <v/>
      </c>
    </row>
    <row r="164" ht="30" customHeight="1">
      <c r="A164" s="18" t="inlineStr">
        <is>
          <t>TC-RS-REG-008</t>
        </is>
      </c>
      <c r="B164" s="22">
        <f>IF(SUMPRODUCT(--(('Kiểm thử'!$A$5:$A$573="TC-RS-REG-008 / web-open")+('Kiểm thử'!$A$5:$A$573="TC-RS-REG-008 / api-open")+('Kiểm thử'!$A$5:$A$573="TC-RS-REG-008 / pdf-open")+('Kiểm thử'!$A$5:$A$573="TC-RS-REG-008 / web-closed")+('Kiểm thử'!$A$5:$A$573="TC-RS-REG-008 / api-closed")+('Kiểm thử'!$A$5:$A$573="TC-RS-REG-008 / pdf-closed")),--EXACT('Kiểm thử'!$F$5:$F$573,"Không đạt"),--(LEN(SUBSTITUTE(SUBSTITUTE(SUBSTITUTE(SUBSTITUTE(SUBSTITUTE(SUBSTITUTE(SUBSTITUTE(SUBSTITUTE(SUBSTITUTE(SUBSTITUTE(SUBSTITUTE(SUBSTITUTE(SUBSTITUTE(SUBSTITUTE(SUBSTITUTE(SUBSTITUTE(SUBSTITUTE(SUBSTITUTE(SUBSTITUTE(SUBSTITUTE(CLEAN('Kiểm thử'!$E$5:$E$573)," ",""),"","")," ","")," ","")," ","")," ","")," ","")," ","")," ","")," ","")," ","")," ","")," ","")," ","")," ","")," ","")," ","")," ","")," ",""),"　",""))&gt;0),--EXACT(LEFT(LEFT('Kiểm thử'!$G$5:$G$573,FIND(CHAR(10),'Kiểm thử'!$G$5:$G$573&amp;CHAR(10))-1),8),"https://"),--(LEN(SUBSTITUTE(SUBSTITUTE(SUBSTITUTE(SUBSTITUTE(SUBSTITUTE(SUBSTITUTE(SUBSTITUTE(SUBSTITUTE(SUBSTITUTE(SUBSTITUTE(SUBSTITUTE(SUBSTITUTE(SUBSTITUTE(SUBSTITUTE(SUBSTITUTE(SUBSTITUTE(SUBSTITUTE(SUBSTITUTE(SUBSTITUTE(SUBSTITUTE(CLEAN(LEFT('Kiểm thử'!$G$5:$G$573,FIND(CHAR(10),'Kiểm thử'!$G$5:$G$573&amp;CHAR(10))-1))," ",""),"","")," ","")," ","")," ","")," ","")," ","")," ","")," ","")," ","")," ","")," ","")," ","")," ","")," ","")," ","")," ","")," ","")," ",""),"　",""))=LEN(LEFT('Kiểm thử'!$G$5:$G$573,FIND(CHAR(10),'Kiểm thử'!$G$5:$G$573&amp;CHAR(10))-1))),--ISNUMBER(SEARCH("?*.?*",MID(SUBSTITUTE(SUBSTITUTE(LEFT('Kiểm thử'!$G$5:$G$573,FIND(CHAR(10),'Kiểm thử'!$G$5:$G$573&amp;CHAR(10))-1),"?","/"),"#","/"),9,FIND("/",SUBSTITUTE(SUBSTITUTE(LEFT('Kiểm thử'!$G$5:$G$573,FIND(CHAR(10),'Kiểm thử'!$G$5:$G$573&amp;CHAR(10))-1),"?","/"),"#","/")&amp;"/////////",9)-9))),--ISERROR(SEARCH("@",MID(SUBSTITUTE(SUBSTITUTE(LEFT('Kiểm thử'!$G$5:$G$573,FIND(CHAR(10),'Kiểm thử'!$G$5:$G$573&amp;CHAR(10))-1),"?","/"),"#","/"),9,FIND("/",SUBSTITUTE(SUBSTITUTE(LEFT('Kiểm thử'!$G$5:$G$573,FIND(CHAR(10),'Kiểm thử'!$G$5:$G$573&amp;CHAR(10))-1),"?","/"),"#","/")&amp;"/////////",9)-9))))&gt;0,"Không đạt",IF(SUMPRODUCT(--(('Kiểm thử'!$A$5:$A$573="TC-RS-REG-008 / web-open")+('Kiểm thử'!$A$5:$A$573="TC-RS-REG-008 / api-open")+('Kiểm thử'!$A$5:$A$573="TC-RS-REG-008 / pdf-open")+('Kiểm thử'!$A$5:$A$573="TC-RS-REG-008 / web-closed")+('Kiểm thử'!$A$5:$A$573="TC-RS-REG-008 / api-closed")+('Kiểm thử'!$A$5:$A$573="TC-RS-REG-008 / pdf-closed")),--EXACT('Kiểm thử'!$F$5:$F$573,"Đạt"),--(LEN(SUBSTITUTE(SUBSTITUTE(SUBSTITUTE(SUBSTITUTE(SUBSTITUTE(SUBSTITUTE(SUBSTITUTE(SUBSTITUTE(SUBSTITUTE(SUBSTITUTE(SUBSTITUTE(SUBSTITUTE(SUBSTITUTE(SUBSTITUTE(SUBSTITUTE(SUBSTITUTE(SUBSTITUTE(SUBSTITUTE(SUBSTITUTE(SUBSTITUTE(CLEAN('Kiểm thử'!$E$5:$E$573)," ",""),"","")," ","")," ","")," ","")," ","")," ","")," ","")," ","")," ","")," ","")," ","")," ","")," ","")," ","")," ","")," ","")," ","")," ",""),"　",""))&gt;0),--EXACT(LEFT(LEFT('Kiểm thử'!$G$5:$G$573,FIND(CHAR(10),'Kiểm thử'!$G$5:$G$573&amp;CHAR(10))-1),8),"https://"),--(LEN(SUBSTITUTE(SUBSTITUTE(SUBSTITUTE(SUBSTITUTE(SUBSTITUTE(SUBSTITUTE(SUBSTITUTE(SUBSTITUTE(SUBSTITUTE(SUBSTITUTE(SUBSTITUTE(SUBSTITUTE(SUBSTITUTE(SUBSTITUTE(SUBSTITUTE(SUBSTITUTE(SUBSTITUTE(SUBSTITUTE(SUBSTITUTE(SUBSTITUTE(CLEAN(LEFT('Kiểm thử'!$G$5:$G$573,FIND(CHAR(10),'Kiểm thử'!$G$5:$G$573&amp;CHAR(10))-1))," ",""),"","")," ","")," ","")," ","")," ","")," ","")," ","")," ","")," ","")," ","")," ","")," ","")," ","")," ","")," ","")," ","")," ","")," ",""),"　",""))=LEN(LEFT('Kiểm thử'!$G$5:$G$573,FIND(CHAR(10),'Kiểm thử'!$G$5:$G$573&amp;CHAR(10))-1))),--ISNUMBER(SEARCH("?*.?*",MID(SUBSTITUTE(SUBSTITUTE(LEFT('Kiểm thử'!$G$5:$G$573,FIND(CHAR(10),'Kiểm thử'!$G$5:$G$573&amp;CHAR(10))-1),"?","/"),"#","/"),9,FIND("/",SUBSTITUTE(SUBSTITUTE(LEFT('Kiểm thử'!$G$5:$G$573,FIND(CHAR(10),'Kiểm thử'!$G$5:$G$573&amp;CHAR(10))-1),"?","/"),"#","/")&amp;"/////////",9)-9))),--ISERROR(SEARCH("@",MID(SUBSTITUTE(SUBSTITUTE(LEFT('Kiểm thử'!$G$5:$G$573,FIND(CHAR(10),'Kiểm thử'!$G$5:$G$573&amp;CHAR(10))-1),"?","/"),"#","/"),9,FIND("/",SUBSTITUTE(SUBSTITUTE(LEFT('Kiểm thử'!$G$5:$G$573,FIND(CHAR(10),'Kiểm thử'!$G$5:$G$573&amp;CHAR(10))-1),"?","/"),"#","/")&amp;"/////////",9)-9))))=6,"Đạt",IF(SUMPRODUCT(--(('Kiểm thử'!$A$5:$A$573="TC-RS-REG-008 / web-open")+('Kiểm thử'!$A$5:$A$573="TC-RS-REG-008 / api-open")+('Kiểm thử'!$A$5:$A$573="TC-RS-REG-008 / pdf-open")+('Kiểm thử'!$A$5:$A$573="TC-RS-REG-008 / web-closed")+('Kiểm thử'!$A$5:$A$573="TC-RS-REG-008 / api-closed")+('Kiểm thử'!$A$5:$A$573="TC-RS-REG-008 / pdf-closed")),--EXACT('Kiểm thử'!$F$5:$F$573,"Không thực hiện"))=6,"Không thực hiện",IF(SUMPRODUCT(--(('Kiểm thử'!$A$5:$A$573="TC-RS-REG-008 / web-open")+('Kiểm thử'!$A$5:$A$573="TC-RS-REG-008 / api-open")+('Kiểm thử'!$A$5:$A$573="TC-RS-REG-008 / pdf-open")+('Kiểm thử'!$A$5:$A$573="TC-RS-REG-008 / web-closed")+('Kiểm thử'!$A$5:$A$573="TC-RS-REG-008 / api-closed")+('Kiểm thử'!$A$5:$A$573="TC-RS-REG-008 / pdf-closed")),--EXACT('Kiểm thử'!$F$5:$F$573,"Bị chặn"))&gt;0,"Bị chặn",IF(SUMPRODUCT(--(('Kiểm thử'!$A$5:$A$573="TC-RS-REG-008 / web-open")+('Kiểm thử'!$A$5:$A$573="TC-RS-REG-008 / api-open")+('Kiểm thử'!$A$5:$A$573="TC-RS-REG-008 / pdf-open")+('Kiểm thử'!$A$5:$A$573="TC-RS-REG-008 / web-closed")+('Kiểm thử'!$A$5:$A$573="TC-RS-REG-008 / api-closed")+('Kiểm thử'!$A$5:$A$573="TC-RS-REG-008 / pdf-closed")),--EXACT('Kiểm thử'!$F$5:$F$573,"Chưa thực hiện"))=6,"Chưa thực hiện","Chưa đủ kết luận")))))</f>
        <v/>
      </c>
    </row>
    <row r="165" ht="30" customHeight="1">
      <c r="A165" s="18" t="inlineStr">
        <is>
          <t>TC-RS-FUNC-029</t>
        </is>
      </c>
      <c r="B165" s="22">
        <f>IF(0&gt;0,"Không đạt",IF(0=4,"Đạt",IF(SUMPRODUCT(--(('Kiểm thử'!$A$5:$A$573="TC-RS-FUNC-029 / unchanged")+('Kiểm thử'!$A$5:$A$573="TC-RS-FUNC-029 / parentheses")+('Kiểm thử'!$A$5:$A$573="TC-RS-FUNC-029 / prefix")+('Kiểm thử'!$A$5:$A$573="TC-RS-FUNC-029 / suffix")),--EXACT('Kiểm thử'!$F$5:$F$573,"Không thực hiện"))=4,"Không thực hiện",IF(SUMPRODUCT(--(('Kiểm thử'!$A$5:$A$573="TC-RS-FUNC-029 / unchanged")+('Kiểm thử'!$A$5:$A$573="TC-RS-FUNC-029 / parentheses")+('Kiểm thử'!$A$5:$A$573="TC-RS-FUNC-029 / prefix")+('Kiểm thử'!$A$5:$A$573="TC-RS-FUNC-029 / suffix")),--EXACT('Kiểm thử'!$F$5:$F$573,"Bị chặn"))&gt;0,"Bị chặn",IF(SUMPRODUCT(--(('Kiểm thử'!$A$5:$A$573="TC-RS-FUNC-029 / unchanged")+('Kiểm thử'!$A$5:$A$573="TC-RS-FUNC-029 / parentheses")+('Kiểm thử'!$A$5:$A$573="TC-RS-FUNC-029 / prefix")+('Kiểm thử'!$A$5:$A$573="TC-RS-FUNC-029 / suffix")),--EXACT('Kiểm thử'!$F$5:$F$573,"Chưa thực hiện"))=4,"Chưa thực hiện","Chưa đủ kết luận")))))</f>
        <v/>
      </c>
    </row>
    <row r="166" ht="30" customHeight="1">
      <c r="A166" s="18" t="inlineStr">
        <is>
          <t>TC-RS-FUNC-030</t>
        </is>
      </c>
      <c r="B166" s="22">
        <f>IF(0&gt;0,"Không đạt",IF(0=8,"Đạt",IF(SUMPRODUCT(--(('Kiểm thử'!$A$5:$A$573="TC-RS-FUNC-030 / a")+('Kiểm thử'!$A$5:$A$573="TC-RS-FUNC-030 / b")+('Kiểm thử'!$A$5:$A$573="TC-RS-FUNC-030 / c-hidden")+('Kiểm thử'!$A$5:$A$573="TC-RS-FUNC-030 / c-slash")+('Kiểm thử'!$A$5:$A$573="TC-RS-FUNC-030 / d")+('Kiểm thử'!$A$5:$A$573="TC-RS-FUNC-030 / e")+('Kiểm thử'!$A$5:$A$573="TC-RS-FUNC-030 / f")+('Kiểm thử'!$A$5:$A$573="TC-RS-FUNC-030 / g")),--EXACT('Kiểm thử'!$F$5:$F$573,"Không thực hiện"))=8,"Không thực hiện",IF(SUMPRODUCT(--(('Kiểm thử'!$A$5:$A$573="TC-RS-FUNC-030 / a")+('Kiểm thử'!$A$5:$A$573="TC-RS-FUNC-030 / b")+('Kiểm thử'!$A$5:$A$573="TC-RS-FUNC-030 / c-hidden")+('Kiểm thử'!$A$5:$A$573="TC-RS-FUNC-030 / c-slash")+('Kiểm thử'!$A$5:$A$573="TC-RS-FUNC-030 / d")+('Kiểm thử'!$A$5:$A$573="TC-RS-FUNC-030 / e")+('Kiểm thử'!$A$5:$A$573="TC-RS-FUNC-030 / f")+('Kiểm thử'!$A$5:$A$573="TC-RS-FUNC-030 / g")),--EXACT('Kiểm thử'!$F$5:$F$573,"Bị chặn"))&gt;0,"Bị chặn",IF(SUMPRODUCT(--(('Kiểm thử'!$A$5:$A$573="TC-RS-FUNC-030 / a")+('Kiểm thử'!$A$5:$A$573="TC-RS-FUNC-030 / b")+('Kiểm thử'!$A$5:$A$573="TC-RS-FUNC-030 / c-hidden")+('Kiểm thử'!$A$5:$A$573="TC-RS-FUNC-030 / c-slash")+('Kiểm thử'!$A$5:$A$573="TC-RS-FUNC-030 / d")+('Kiểm thử'!$A$5:$A$573="TC-RS-FUNC-030 / e")+('Kiểm thử'!$A$5:$A$573="TC-RS-FUNC-030 / f")+('Kiểm thử'!$A$5:$A$573="TC-RS-FUNC-030 / g")),--EXACT('Kiểm thử'!$F$5:$F$573,"Chưa thực hiện"))=8,"Chưa thực hiện","Chưa đủ kết luận")))))</f>
        <v/>
      </c>
    </row>
    <row r="167" ht="30" customHeight="1">
      <c r="A167" s="18" t="inlineStr">
        <is>
          <t>TC-RS-FUNC-031</t>
        </is>
      </c>
      <c r="B167" s="22">
        <f>IF(0&gt;0,"Không đạt",IF(0=2,"Đạt",IF(SUMPRODUCT(--(('Kiểm thử'!$A$5:$A$573="TC-RS-FUNC-031 / unsaved")+('Kiểm thử'!$A$5:$A$573="TC-RS-FUNC-031 / saved-pdf")),--EXACT('Kiểm thử'!$F$5:$F$573,"Không thực hiện"))=2,"Không thực hiện",IF(SUMPRODUCT(--(('Kiểm thử'!$A$5:$A$573="TC-RS-FUNC-031 / unsaved")+('Kiểm thử'!$A$5:$A$573="TC-RS-FUNC-031 / saved-pdf")),--EXACT('Kiểm thử'!$F$5:$F$573,"Bị chặn"))&gt;0,"Bị chặn",IF(SUMPRODUCT(--(('Kiểm thử'!$A$5:$A$573="TC-RS-FUNC-031 / unsaved")+('Kiểm thử'!$A$5:$A$573="TC-RS-FUNC-031 / saved-pdf")),--EXACT('Kiểm thử'!$F$5:$F$573,"Chưa thực hiện"))=2,"Chưa thực hiện","Chưa đủ kết luận")))))</f>
        <v/>
      </c>
    </row>
    <row r="168" ht="30" customHeight="1">
      <c r="A168" s="18" t="inlineStr">
        <is>
          <t>TC-RS-VAL-018</t>
        </is>
      </c>
      <c r="B168" s="22">
        <f>IF(0&gt;0,"Không đạt",IF(0=4,"Đạt",IF(SUMPRODUCT(--(('Kiểm thử'!$A$5:$A$573="TC-RS-VAL-018 / unchanged")+('Kiểm thử'!$A$5:$A$573="TC-RS-VAL-018 / parentheses")+('Kiểm thử'!$A$5:$A$573="TC-RS-VAL-018 / prefix")+('Kiểm thử'!$A$5:$A$573="TC-RS-VAL-018 / suffix")),--EXACT('Kiểm thử'!$F$5:$F$573,"Không thực hiện"))=4,"Không thực hiện",IF(SUMPRODUCT(--(('Kiểm thử'!$A$5:$A$573="TC-RS-VAL-018 / unchanged")+('Kiểm thử'!$A$5:$A$573="TC-RS-VAL-018 / parentheses")+('Kiểm thử'!$A$5:$A$573="TC-RS-VAL-018 / prefix")+('Kiểm thử'!$A$5:$A$573="TC-RS-VAL-018 / suffix")),--EXACT('Kiểm thử'!$F$5:$F$573,"Bị chặn"))&gt;0,"Bị chặn",IF(SUMPRODUCT(--(('Kiểm thử'!$A$5:$A$573="TC-RS-VAL-018 / unchanged")+('Kiểm thử'!$A$5:$A$573="TC-RS-VAL-018 / parentheses")+('Kiểm thử'!$A$5:$A$573="TC-RS-VAL-018 / prefix")+('Kiểm thử'!$A$5:$A$573="TC-RS-VAL-018 / suffix")),--EXACT('Kiểm thử'!$F$5:$F$573,"Chưa thực hiện"))=4,"Chưa thực hiện","Chưa đủ kết luận")))))</f>
        <v/>
      </c>
    </row>
    <row r="169" ht="30" customHeight="1">
      <c r="A169" s="18" t="inlineStr">
        <is>
          <t>TC-RS-DATA-010</t>
        </is>
      </c>
      <c r="B169" s="22">
        <f>IF(0&gt;0,"Không đạt",IF(0=2,"Đạt",IF(SUMPRODUCT(--(('Kiểm thử'!$A$5:$A$573="TC-RS-DATA-010 / template-a")+('Kiểm thử'!$A$5:$A$573="TC-RS-DATA-010 / template-b")),--EXACT('Kiểm thử'!$F$5:$F$573,"Không thực hiện"))=2,"Không thực hiện",IF(SUMPRODUCT(--(('Kiểm thử'!$A$5:$A$573="TC-RS-DATA-010 / template-a")+('Kiểm thử'!$A$5:$A$573="TC-RS-DATA-010 / template-b")),--EXACT('Kiểm thử'!$F$5:$F$573,"Bị chặn"))&gt;0,"Bị chặn",IF(SUMPRODUCT(--(('Kiểm thử'!$A$5:$A$573="TC-RS-DATA-010 / template-a")+('Kiểm thử'!$A$5:$A$573="TC-RS-DATA-010 / template-b")),--EXACT('Kiểm thử'!$F$5:$F$573,"Chưa thực hiện"))=2,"Chưa thực hiện","Chưa đủ kết luận")))))</f>
        <v/>
      </c>
    </row>
    <row r="170" ht="30" customHeight="1">
      <c r="A170" s="18" t="inlineStr">
        <is>
          <t>TC-RS-UI-024</t>
        </is>
      </c>
      <c r="B170" s="22">
        <f>IF(0&gt;0,"Không đạt",IF(0=1,"Đạt",IF(SUMPRODUCT(--(('Kiểm thử'!$A$5:$A$573="TC-RS-UI-024 / Base")),--EXACT('Kiểm thử'!$F$5:$F$573,"Không thực hiện"))=1,"Không thực hiện",IF(SUMPRODUCT(--(('Kiểm thử'!$A$5:$A$573="TC-RS-UI-024 / Base")),--EXACT('Kiểm thử'!$F$5:$F$573,"Bị chặn"))&gt;0,"Bị chặn",IF(SUMPRODUCT(--(('Kiểm thử'!$A$5:$A$573="TC-RS-UI-024 / Base")),--EXACT('Kiểm thử'!$F$5:$F$573,"Chưa thực hiện"))=1,"Chưa thực hiện","Chưa đủ kết luận")))))</f>
        <v/>
      </c>
    </row>
    <row r="171" ht="30" customHeight="1">
      <c r="A171" s="18" t="inlineStr">
        <is>
          <t>TC-RS-REG-009</t>
        </is>
      </c>
      <c r="B171" s="22">
        <f>IF(0&gt;0,"Không đạt",IF(0=2,"Đạt",IF(SUMPRODUCT(--(('Kiểm thử'!$A$5:$A$573="TC-RS-REG-009 / subject-empty")+('Kiểm thử'!$A$5:$A$573="TC-RS-REG-009 / notexam-hidden")),--EXACT('Kiểm thử'!$F$5:$F$573,"Không thực hiện"))=2,"Không thực hiện",IF(SUMPRODUCT(--(('Kiểm thử'!$A$5:$A$573="TC-RS-REG-009 / subject-empty")+('Kiểm thử'!$A$5:$A$573="TC-RS-REG-009 / notexam-hidden")),--EXACT('Kiểm thử'!$F$5:$F$573,"Bị chặn"))&gt;0,"Bị chặn",IF(SUMPRODUCT(--(('Kiểm thử'!$A$5:$A$573="TC-RS-REG-009 / subject-empty")+('Kiểm thử'!$A$5:$A$573="TC-RS-REG-009 / notexam-hidden")),--EXACT('Kiểm thử'!$F$5:$F$573,"Chưa thực hiện"))=2,"Chưa thực hiện","Chưa đủ kết luận")))))</f>
        <v/>
      </c>
    </row>
    <row r="172" ht="30" customHeight="1">
      <c r="A172" s="18" t="inlineStr">
        <is>
          <t>TC-RS-REG-010</t>
        </is>
      </c>
      <c r="B172" s="22">
        <f>IF(0&gt;0,"Không đạt",IF(0=1,"Đạt",IF(SUMPRODUCT(--(('Kiểm thử'!$A$5:$A$573="TC-RS-REG-010 / Base")),--EXACT('Kiểm thử'!$F$5:$F$573,"Không thực hiện"))=1,"Không thực hiện",IF(SUMPRODUCT(--(('Kiểm thử'!$A$5:$A$573="TC-RS-REG-010 / Base")),--EXACT('Kiểm thử'!$F$5:$F$573,"Bị chặn"))&gt;0,"Bị chặn",IF(SUMPRODUCT(--(('Kiểm thử'!$A$5:$A$573="TC-RS-REG-010 / Base")),--EXACT('Kiểm thử'!$F$5:$F$573,"Chưa thực hiện"))=1,"Chưa thực hiện","Chưa đủ kết luận")))))</f>
        <v/>
      </c>
    </row>
    <row r="173" ht="30" customHeight="1">
      <c r="A173" s="18" t="inlineStr">
        <is>
          <t>TC-RS-FUNC-032</t>
        </is>
      </c>
      <c r="B173" s="22">
        <f>IF(0&gt;0,"Không đạt",IF(0=4,"Đạt",IF(SUMPRODUCT(--(('Kiểm thử'!$A$5:$A$573="TC-RS-FUNC-032 / extract-off")+('Kiểm thử'!$A$5:$A$573="TC-RS-FUNC-032 / extract-on")+('Kiểm thử'!$A$5:$A$573="TC-RS-FUNC-032 / publish")+('Kiểm thử'!$A$5:$A$573="TC-RS-FUNC-032 / report")),--EXACT('Kiểm thử'!$F$5:$F$573,"Không thực hiện"))=4,"Không thực hiện",IF(SUMPRODUCT(--(('Kiểm thử'!$A$5:$A$573="TC-RS-FUNC-032 / extract-off")+('Kiểm thử'!$A$5:$A$573="TC-RS-FUNC-032 / extract-on")+('Kiểm thử'!$A$5:$A$573="TC-RS-FUNC-032 / publish")+('Kiểm thử'!$A$5:$A$573="TC-RS-FUNC-032 / report")),--EXACT('Kiểm thử'!$F$5:$F$573,"Bị chặn"))&gt;0,"Bị chặn",IF(SUMPRODUCT(--(('Kiểm thử'!$A$5:$A$573="TC-RS-FUNC-032 / extract-off")+('Kiểm thử'!$A$5:$A$573="TC-RS-FUNC-032 / extract-on")+('Kiểm thử'!$A$5:$A$573="TC-RS-FUNC-032 / publish")+('Kiểm thử'!$A$5:$A$573="TC-RS-FUNC-032 / report")),--EXACT('Kiểm thử'!$F$5:$F$573,"Chưa thực hiện"))=4,"Chưa thực hiện","Chưa đủ kết luận")))))</f>
        <v/>
      </c>
    </row>
    <row r="174" ht="30" customHeight="1">
      <c r="A174" s="18" t="inlineStr">
        <is>
          <t>TC-RS-ERR-014</t>
        </is>
      </c>
      <c r="B174" s="22">
        <f>IF(0&gt;0,"Không đạt",IF(0=3,"Đạt",IF(SUMPRODUCT(--(('Kiểm thử'!$A$5:$A$573="TC-RS-ERR-014 / extract")+('Kiểm thử'!$A$5:$A$573="TC-RS-ERR-014 / publish")+('Kiểm thử'!$A$5:$A$573="TC-RS-ERR-014 / report")),--EXACT('Kiểm thử'!$F$5:$F$573,"Không thực hiện"))=3,"Không thực hiện",IF(SUMPRODUCT(--(('Kiểm thử'!$A$5:$A$573="TC-RS-ERR-014 / extract")+('Kiểm thử'!$A$5:$A$573="TC-RS-ERR-014 / publish")+('Kiểm thử'!$A$5:$A$573="TC-RS-ERR-014 / report")),--EXACT('Kiểm thử'!$F$5:$F$573,"Bị chặn"))&gt;0,"Bị chặn",IF(SUMPRODUCT(--(('Kiểm thử'!$A$5:$A$573="TC-RS-ERR-014 / extract")+('Kiểm thử'!$A$5:$A$573="TC-RS-ERR-014 / publish")+('Kiểm thử'!$A$5:$A$573="TC-RS-ERR-014 / report")),--EXACT('Kiểm thử'!$F$5:$F$573,"Chưa thực hiện"))=3,"Chưa thực hiện","Chưa đủ kết luận")))))</f>
        <v/>
      </c>
    </row>
    <row r="175" ht="30" customHeight="1">
      <c r="A175" s="18" t="inlineStr">
        <is>
          <t>TC-RS-BR-001</t>
        </is>
      </c>
      <c r="B175" s="22">
        <f>IF(0&gt;0,"Không đạt",IF(0=2,"Đạt",IF(SUMPRODUCT(--(('Kiểm thử'!$A$5:$A$573="TC-RS-BR-001 / priority20")+('Kiểm thử'!$A$5:$A$573="TC-RS-BR-001 / priority30")),--EXACT('Kiểm thử'!$F$5:$F$573,"Không thực hiện"))=2,"Không thực hiện",IF(SUMPRODUCT(--(('Kiểm thử'!$A$5:$A$573="TC-RS-BR-001 / priority20")+('Kiểm thử'!$A$5:$A$573="TC-RS-BR-001 / priority30")),--EXACT('Kiểm thử'!$F$5:$F$573,"Bị chặn"))&gt;0,"Bị chặn",IF(SUMPRODUCT(--(('Kiểm thử'!$A$5:$A$573="TC-RS-BR-001 / priority20")+('Kiểm thử'!$A$5:$A$573="TC-RS-BR-001 / priority30")),--EXACT('Kiểm thử'!$F$5:$F$573,"Chưa thực hiện"))=2,"Chưa thực hiện","Chưa đủ kết luận")))))</f>
        <v/>
      </c>
    </row>
    <row r="176" ht="30" customHeight="1">
      <c r="A176" s="18" t="inlineStr">
        <is>
          <t>TC-RS-BR-002</t>
        </is>
      </c>
      <c r="B176" s="22">
        <f>IF(0&gt;0,"Không đạt",IF(0=1,"Đạt",IF(SUMPRODUCT(--(('Kiểm thử'!$A$5:$A$573="TC-RS-BR-002 / Base")),--EXACT('Kiểm thử'!$F$5:$F$573,"Không thực hiện"))=1,"Không thực hiện",IF(SUMPRODUCT(--(('Kiểm thử'!$A$5:$A$573="TC-RS-BR-002 / Base")),--EXACT('Kiểm thử'!$F$5:$F$573,"Bị chặn"))&gt;0,"Bị chặn",IF(SUMPRODUCT(--(('Kiểm thử'!$A$5:$A$573="TC-RS-BR-002 / Base")),--EXACT('Kiểm thử'!$F$5:$F$573,"Chưa thực hiện"))=1,"Chưa thực hiện","Chưa đủ kết luận")))))</f>
        <v/>
      </c>
    </row>
    <row r="177" ht="30" customHeight="1">
      <c r="A177" s="18" t="inlineStr">
        <is>
          <t>TC-RS-BR-003</t>
        </is>
      </c>
      <c r="B177" s="22">
        <f>IF(0&gt;0,"Không đạt",IF(0=3,"Đạt",IF(SUMPRODUCT(--(('Kiểm thử'!$A$5:$A$573="TC-RS-BR-003 / divide-zero")+('Kiểm thử'!$A$5:$A$573="TC-RS-BR-003 / missing-average")+('Kiểm thử'!$A$5:$A$573="TC-RS-BR-003 / filter-miss")),--EXACT('Kiểm thử'!$F$5:$F$573,"Không thực hiện"))=3,"Không thực hiện",IF(SUMPRODUCT(--(('Kiểm thử'!$A$5:$A$573="TC-RS-BR-003 / divide-zero")+('Kiểm thử'!$A$5:$A$573="TC-RS-BR-003 / missing-average")+('Kiểm thử'!$A$5:$A$573="TC-RS-BR-003 / filter-miss")),--EXACT('Kiểm thử'!$F$5:$F$573,"Bị chặn"))&gt;0,"Bị chặn",IF(SUMPRODUCT(--(('Kiểm thử'!$A$5:$A$573="TC-RS-BR-003 / divide-zero")+('Kiểm thử'!$A$5:$A$573="TC-RS-BR-003 / missing-average")+('Kiểm thử'!$A$5:$A$573="TC-RS-BR-003 / filter-miss")),--EXACT('Kiểm thử'!$F$5:$F$573,"Chưa thực hiện"))=3,"Chưa thực hiện","Chưa đủ kết luận")))))</f>
        <v/>
      </c>
    </row>
    <row r="178" ht="30" customHeight="1">
      <c r="A178" s="18" t="inlineStr">
        <is>
          <t>TC-RS-BR-036</t>
        </is>
      </c>
      <c r="B178" s="22">
        <f>IF(0&gt;0,"Không đạt",IF(0=1,"Đạt",IF(SUMPRODUCT(--(('Kiểm thử'!$A$5:$A$573="TC-RS-BR-036 / Base")),--EXACT('Kiểm thử'!$F$5:$F$573,"Không thực hiện"))=1,"Không thực hiện",IF(SUMPRODUCT(--(('Kiểm thử'!$A$5:$A$573="TC-RS-BR-036 / Base")),--EXACT('Kiểm thử'!$F$5:$F$573,"Bị chặn"))&gt;0,"Bị chặn",IF(SUMPRODUCT(--(('Kiểm thử'!$A$5:$A$573="TC-RS-BR-036 / Base")),--EXACT('Kiểm thử'!$F$5:$F$573,"Chưa thực hiện"))=1,"Chưa thực hiện","Chưa đủ kết luận")))))</f>
        <v/>
      </c>
    </row>
    <row r="179" ht="30" customHeight="1">
      <c r="A179" s="18" t="inlineStr">
        <is>
          <t>TC-RS-CALC-022</t>
        </is>
      </c>
      <c r="B179" s="22">
        <f>IF(0&gt;0,"Không đạt",IF(0=4,"Đạt",IF(SUMPRODUCT(--(('Kiểm thử'!$A$5:$A$573="TC-RS-CALC-022 / a40")+('Kiểm thử'!$A$5:$A$573="TC-RS-CALC-022 / a50")+('Kiểm thử'!$A$5:$A$573="TC-RS-CALC-022 / a4999-none")+('Kiểm thử'!$A$5:$A$573="TC-RS-CALC-022 / a4999-round")),--EXACT('Kiểm thử'!$F$5:$F$573,"Không thực hiện"))=4,"Không thực hiện",IF(SUMPRODUCT(--(('Kiểm thử'!$A$5:$A$573="TC-RS-CALC-022 / a40")+('Kiểm thử'!$A$5:$A$573="TC-RS-CALC-022 / a50")+('Kiểm thử'!$A$5:$A$573="TC-RS-CALC-022 / a4999-none")+('Kiểm thử'!$A$5:$A$573="TC-RS-CALC-022 / a4999-round")),--EXACT('Kiểm thử'!$F$5:$F$573,"Bị chặn"))&gt;0,"Bị chặn",IF(SUMPRODUCT(--(('Kiểm thử'!$A$5:$A$573="TC-RS-CALC-022 / a40")+('Kiểm thử'!$A$5:$A$573="TC-RS-CALC-022 / a50")+('Kiểm thử'!$A$5:$A$573="TC-RS-CALC-022 / a4999-none")+('Kiểm thử'!$A$5:$A$573="TC-RS-CALC-022 / a4999-round")),--EXACT('Kiểm thử'!$F$5:$F$573,"Chưa thực hiện"))=4,"Chưa thực hiện","Chưa đủ kết luận")))))</f>
        <v/>
      </c>
    </row>
    <row r="180" ht="30" customHeight="1">
      <c r="A180" s="18" t="inlineStr">
        <is>
          <t>TC-RS-CALC-023</t>
        </is>
      </c>
      <c r="B180" s="22">
        <f>IF(0&gt;0,"Không đạt",IF(0=2,"Đạt",IF(SUMPRODUCT(--(('Kiểm thử'!$A$5:$A$573="TC-RS-CALC-023 / a60")+('Kiểm thử'!$A$5:$A$573="TC-RS-CALC-023 / a5996")),--EXACT('Kiểm thử'!$F$5:$F$573,"Không thực hiện"))=2,"Không thực hiện",IF(SUMPRODUCT(--(('Kiểm thử'!$A$5:$A$573="TC-RS-CALC-023 / a60")+('Kiểm thử'!$A$5:$A$573="TC-RS-CALC-023 / a5996")),--EXACT('Kiểm thử'!$F$5:$F$573,"Bị chặn"))&gt;0,"Bị chặn",IF(SUMPRODUCT(--(('Kiểm thử'!$A$5:$A$573="TC-RS-CALC-023 / a60")+('Kiểm thử'!$A$5:$A$573="TC-RS-CALC-023 / a5996")),--EXACT('Kiểm thử'!$F$5:$F$573,"Chưa thực hiện"))=2,"Chưa thực hiện","Chưa đủ kết luận")))))</f>
        <v/>
      </c>
    </row>
    <row r="181" ht="30" customHeight="1">
      <c r="A181" s="18" t="inlineStr">
        <is>
          <t>TC-RS-CALC-024</t>
        </is>
      </c>
      <c r="B181" s="22">
        <f>IF(0&gt;0,"Không đạt",IF(0=2,"Đạt",IF(SUMPRODUCT(--(('Kiểm thử'!$A$5:$A$573="TC-RS-CALC-024 / r70")+('Kiểm thử'!$A$5:$A$573="TC-RS-CALC-024 / r60")),--EXACT('Kiểm thử'!$F$5:$F$573,"Không thực hiện"))=2,"Không thực hiện",IF(SUMPRODUCT(--(('Kiểm thử'!$A$5:$A$573="TC-RS-CALC-024 / r70")+('Kiểm thử'!$A$5:$A$573="TC-RS-CALC-024 / r60")),--EXACT('Kiểm thử'!$F$5:$F$573,"Bị chặn"))&gt;0,"Bị chặn",IF(SUMPRODUCT(--(('Kiểm thử'!$A$5:$A$573="TC-RS-CALC-024 / r70")+('Kiểm thử'!$A$5:$A$573="TC-RS-CALC-024 / r60")),--EXACT('Kiểm thử'!$F$5:$F$573,"Chưa thực hiện"))=2,"Chưa thực hiện","Chưa đủ kết luận")))))</f>
        <v/>
      </c>
    </row>
    <row r="182" ht="30" customHeight="1">
      <c r="A182" s="18" t="inlineStr">
        <is>
          <t>TC-RS-CALC-025</t>
        </is>
      </c>
      <c r="B182" s="22">
        <f>IF(0&gt;0,"Không đạt",IF(0=2,"Đạt",IF(SUMPRODUCT(--(('Kiểm thử'!$A$5:$A$573="TC-RS-CALC-025 / r6499")+('Kiểm thử'!$A$5:$A$573="TC-RS-CALC-025 / r65")),--EXACT('Kiểm thử'!$F$5:$F$573,"Không thực hiện"))=2,"Không thực hiện",IF(SUMPRODUCT(--(('Kiểm thử'!$A$5:$A$573="TC-RS-CALC-025 / r6499")+('Kiểm thử'!$A$5:$A$573="TC-RS-CALC-025 / r65")),--EXACT('Kiểm thử'!$F$5:$F$573,"Bị chặn"))&gt;0,"Bị chặn",IF(SUMPRODUCT(--(('Kiểm thử'!$A$5:$A$573="TC-RS-CALC-025 / r6499")+('Kiểm thử'!$A$5:$A$573="TC-RS-CALC-025 / r65")),--EXACT('Kiểm thử'!$F$5:$F$573,"Chưa thực hiện"))=2,"Chưa thực hiện","Chưa đủ kết luận")))))</f>
        <v/>
      </c>
    </row>
    <row r="183" ht="30" customHeight="1">
      <c r="A183" s="18" t="inlineStr">
        <is>
          <t>TC-RS-BR-012</t>
        </is>
      </c>
      <c r="B183" s="22">
        <f>IF(0&gt;0,"Không đạt",IF(0=4,"Đạt",IF(SUMPRODUCT(--(('Kiểm thử'!$A$5:$A$573="TC-RS-BR-012 / projected")+('Kiểm thử'!$A$5:$A$573="TC-RS-BR-012 / manual")+('Kiểm thử'!$A$5:$A$573="TC-RS-BR-012 / clamp-lt")+('Kiểm thử'!$A$5:$A$573="TC-RS-BR-012 / clamp-le")),--EXACT('Kiểm thử'!$F$5:$F$573,"Không thực hiện"))=4,"Không thực hiện",IF(SUMPRODUCT(--(('Kiểm thử'!$A$5:$A$573="TC-RS-BR-012 / projected")+('Kiểm thử'!$A$5:$A$573="TC-RS-BR-012 / manual")+('Kiểm thử'!$A$5:$A$573="TC-RS-BR-012 / clamp-lt")+('Kiểm thử'!$A$5:$A$573="TC-RS-BR-012 / clamp-le")),--EXACT('Kiểm thử'!$F$5:$F$573,"Bị chặn"))&gt;0,"Bị chặn",IF(SUMPRODUCT(--(('Kiểm thử'!$A$5:$A$573="TC-RS-BR-012 / projected")+('Kiểm thử'!$A$5:$A$573="TC-RS-BR-012 / manual")+('Kiểm thử'!$A$5:$A$573="TC-RS-BR-012 / clamp-lt")+('Kiểm thử'!$A$5:$A$573="TC-RS-BR-012 / clamp-le")),--EXACT('Kiểm thử'!$F$5:$F$573,"Chưa thực hiện"))=4,"Chưa thực hiện","Chưa đủ kết luận")))))</f>
        <v/>
      </c>
    </row>
    <row r="184" ht="30" customHeight="1">
      <c r="A184" s="18" t="inlineStr">
        <is>
          <t>TC-RS-BR-013</t>
        </is>
      </c>
      <c r="B184" s="22">
        <f>IF(0&gt;0,"Không đạt",IF(0=3,"Đạt",IF(SUMPRODUCT(--(('Kiểm thử'!$A$5:$A$573="TC-RS-BR-013 / notexam35")+('Kiểm thử'!$A$5:$A$573="TC-RS-BR-013 / notexam25")+('Kiểm thử'!$A$5:$A$573="TC-RS-BR-013 / ranking-excluded")),--EXACT('Kiểm thử'!$F$5:$F$573,"Không thực hiện"))=3,"Không thực hiện",IF(SUMPRODUCT(--(('Kiểm thử'!$A$5:$A$573="TC-RS-BR-013 / notexam35")+('Kiểm thử'!$A$5:$A$573="TC-RS-BR-013 / notexam25")+('Kiểm thử'!$A$5:$A$573="TC-RS-BR-013 / ranking-excluded")),--EXACT('Kiểm thử'!$F$5:$F$573,"Bị chặn"))&gt;0,"Bị chặn",IF(SUMPRODUCT(--(('Kiểm thử'!$A$5:$A$573="TC-RS-BR-013 / notexam35")+('Kiểm thử'!$A$5:$A$573="TC-RS-BR-013 / notexam25")+('Kiểm thử'!$A$5:$A$573="TC-RS-BR-013 / ranking-excluded")),--EXACT('Kiểm thử'!$F$5:$F$573,"Chưa thực hiện"))=3,"Chưa thực hiện","Chưa đủ kết luận")))))</f>
        <v/>
      </c>
    </row>
    <row r="185" ht="30" customHeight="1">
      <c r="A185" s="18" t="inlineStr">
        <is>
          <t>TC-RS-BR-014</t>
        </is>
      </c>
      <c r="B185" s="22">
        <f>IF(0&gt;0,"Không đạt",IF(0=2,"Đạt",IF(SUMPRODUCT(--(('Kiểm thử'!$A$5:$A$573="TC-RS-BR-014 / fixed30-lt")+('Kiểm thử'!$A$5:$A$573="TC-RS-BR-014 / fixed0-le")),--EXACT('Kiểm thử'!$F$5:$F$573,"Không thực hiện"))=2,"Không thực hiện",IF(SUMPRODUCT(--(('Kiểm thử'!$A$5:$A$573="TC-RS-BR-014 / fixed30-lt")+('Kiểm thử'!$A$5:$A$573="TC-RS-BR-014 / fixed0-le")),--EXACT('Kiểm thử'!$F$5:$F$573,"Bị chặn"))&gt;0,"Bị chặn",IF(SUMPRODUCT(--(('Kiểm thử'!$A$5:$A$573="TC-RS-BR-014 / fixed30-lt")+('Kiểm thử'!$A$5:$A$573="TC-RS-BR-014 / fixed0-le")),--EXACT('Kiểm thử'!$F$5:$F$573,"Chưa thực hiện"))=2,"Chưa thực hiện","Chưa đủ kết luận")))))</f>
        <v/>
      </c>
    </row>
    <row r="186" ht="30" customHeight="1">
      <c r="A186" s="18" t="inlineStr">
        <is>
          <t>TC-RS-BR-030</t>
        </is>
      </c>
      <c r="B186" s="22">
        <f>IF(0&gt;0,"Không đạt",IF(0=1,"Đạt",IF(SUMPRODUCT(--(('Kiểm thử'!$A$5:$A$573="TC-RS-BR-030 / Base")),--EXACT('Kiểm thử'!$F$5:$F$573,"Không thực hiện"))=1,"Không thực hiện",IF(SUMPRODUCT(--(('Kiểm thử'!$A$5:$A$573="TC-RS-BR-030 / Base")),--EXACT('Kiểm thử'!$F$5:$F$573,"Bị chặn"))&gt;0,"Bị chặn",IF(SUMPRODUCT(--(('Kiểm thử'!$A$5:$A$573="TC-RS-BR-030 / Base")),--EXACT('Kiểm thử'!$F$5:$F$573,"Chưa thực hiện"))=1,"Chưa thực hiện","Chưa đủ kết luận")))))</f>
        <v/>
      </c>
    </row>
    <row r="187" ht="30" customHeight="1">
      <c r="A187" s="18" t="inlineStr">
        <is>
          <t>TC-RS-REG-003</t>
        </is>
      </c>
      <c r="B187" s="22">
        <f>IF(0&gt;0,"Không đạt",IF(0=1,"Đạt",IF(SUMPRODUCT(--(('Kiểm thử'!$A$5:$A$573="TC-RS-REG-003 / Base")),--EXACT('Kiểm thử'!$F$5:$F$573,"Không thực hiện"))=1,"Không thực hiện",IF(SUMPRODUCT(--(('Kiểm thử'!$A$5:$A$573="TC-RS-REG-003 / Base")),--EXACT('Kiểm thử'!$F$5:$F$573,"Bị chặn"))&gt;0,"Bị chặn",IF(SUMPRODUCT(--(('Kiểm thử'!$A$5:$A$573="TC-RS-REG-003 / Base")),--EXACT('Kiểm thử'!$F$5:$F$573,"Chưa thực hiện"))=1,"Chưa thực hiện","Chưa đủ kết luận")))))</f>
        <v/>
      </c>
    </row>
    <row r="188" ht="30" customHeight="1">
      <c r="A188" s="18" t="inlineStr">
        <is>
          <t>TC-RS-BR-031</t>
        </is>
      </c>
      <c r="B188" s="22">
        <f>IF(0&gt;0,"Không đạt",IF(0=5,"Đạt",IF(SUMPRODUCT(--(('Kiểm thử'!$A$5:$A$573="TC-RS-BR-031 / add")+('Kiểm thử'!$A$5:$A$573="TC-RS-BR-031 / condition")+('Kiểm thử'!$A$5:$A$573="TC-RS-BR-031 / threshold")+('Kiểm thử'!$A$5:$A$573="TC-RS-BR-031 / reorder")+('Kiểm thử'!$A$5:$A$573="TC-RS-BR-031 / delete")),--EXACT('Kiểm thử'!$F$5:$F$573,"Không thực hiện"))=5,"Không thực hiện",IF(SUMPRODUCT(--(('Kiểm thử'!$A$5:$A$573="TC-RS-BR-031 / add")+('Kiểm thử'!$A$5:$A$573="TC-RS-BR-031 / condition")+('Kiểm thử'!$A$5:$A$573="TC-RS-BR-031 / threshold")+('Kiểm thử'!$A$5:$A$573="TC-RS-BR-031 / reorder")+('Kiểm thử'!$A$5:$A$573="TC-RS-BR-031 / delete")),--EXACT('Kiểm thử'!$F$5:$F$573,"Bị chặn"))&gt;0,"Bị chặn",IF(SUMPRODUCT(--(('Kiểm thử'!$A$5:$A$573="TC-RS-BR-031 / add")+('Kiểm thử'!$A$5:$A$573="TC-RS-BR-031 / condition")+('Kiểm thử'!$A$5:$A$573="TC-RS-BR-031 / threshold")+('Kiểm thử'!$A$5:$A$573="TC-RS-BR-031 / reorder")+('Kiểm thử'!$A$5:$A$573="TC-RS-BR-031 / delete")),--EXACT('Kiểm thử'!$F$5:$F$573,"Chưa thực hiện"))=5,"Chưa thực hiện","Chưa đủ kết luận")))))</f>
        <v/>
      </c>
    </row>
    <row r="189" ht="30" customHeight="1">
      <c r="A189" s="18" t="inlineStr">
        <is>
          <t>TC-RS-BR-032</t>
        </is>
      </c>
      <c r="B189" s="22">
        <f>IF(0&gt;0,"Không đạt",IF(0=1,"Đạt",IF(SUMPRODUCT(--(('Kiểm thử'!$A$5:$A$573="TC-RS-BR-032 / Base")),--EXACT('Kiểm thử'!$F$5:$F$573,"Không thực hiện"))=1,"Không thực hiện",IF(SUMPRODUCT(--(('Kiểm thử'!$A$5:$A$573="TC-RS-BR-032 / Base")),--EXACT('Kiểm thử'!$F$5:$F$573,"Bị chặn"))&gt;0,"Bị chặn",IF(SUMPRODUCT(--(('Kiểm thử'!$A$5:$A$573="TC-RS-BR-032 / Base")),--EXACT('Kiểm thử'!$F$5:$F$573,"Chưa thực hiện"))=1,"Chưa thực hiện","Chưa đủ kết luận")))))</f>
        <v/>
      </c>
    </row>
    <row r="190" ht="30" customHeight="1">
      <c r="A190" s="18" t="inlineStr">
        <is>
          <t>TC-RS-BR-033</t>
        </is>
      </c>
      <c r="B190" s="22">
        <f>IF(0&gt;0,"Không đạt",IF(0=1,"Đạt",IF(SUMPRODUCT(--(('Kiểm thử'!$A$5:$A$573="TC-RS-BR-033 / Base")),--EXACT('Kiểm thử'!$F$5:$F$573,"Không thực hiện"))=1,"Không thực hiện",IF(SUMPRODUCT(--(('Kiểm thử'!$A$5:$A$573="TC-RS-BR-033 / Base")),--EXACT('Kiểm thử'!$F$5:$F$573,"Bị chặn"))&gt;0,"Bị chặn",IF(SUMPRODUCT(--(('Kiểm thử'!$A$5:$A$573="TC-RS-BR-033 / Base")),--EXACT('Kiểm thử'!$F$5:$F$573,"Chưa thực hiện"))=1,"Chưa thực hiện","Chưa đủ kết luận")))))</f>
        <v/>
      </c>
    </row>
    <row r="191" ht="30" customHeight="1">
      <c r="A191" s="18" t="inlineStr">
        <is>
          <t>TC-RS-ERR-006</t>
        </is>
      </c>
      <c r="B191" s="22">
        <f>IF(0&gt;0,"Không đạt",IF(0=3,"Đạt",IF(SUMPRODUCT(--(('Kiểm thử'!$A$5:$A$573="TC-RS-ERR-006 / save")+('Kiểm thử'!$A$5:$A$573="TC-RS-ERR-006 / delete")+('Kiểm thử'!$A$5:$A$573="TC-RS-ERR-006 / reorder")),--EXACT('Kiểm thử'!$F$5:$F$573,"Không thực hiện"))=3,"Không thực hiện",IF(SUMPRODUCT(--(('Kiểm thử'!$A$5:$A$573="TC-RS-ERR-006 / save")+('Kiểm thử'!$A$5:$A$573="TC-RS-ERR-006 / delete")+('Kiểm thử'!$A$5:$A$573="TC-RS-ERR-006 / reorder")),--EXACT('Kiểm thử'!$F$5:$F$573,"Bị chặn"))&gt;0,"Bị chặn",IF(SUMPRODUCT(--(('Kiểm thử'!$A$5:$A$573="TC-RS-ERR-006 / save")+('Kiểm thử'!$A$5:$A$573="TC-RS-ERR-006 / delete")+('Kiểm thử'!$A$5:$A$573="TC-RS-ERR-006 / reorder")),--EXACT('Kiểm thử'!$F$5:$F$573,"Chưa thực hiện"))=3,"Chưa thực hiện","Chưa đủ kết luận")))))</f>
        <v/>
      </c>
    </row>
    <row r="192" ht="30" customHeight="1">
      <c r="A192" s="18" t="inlineStr">
        <is>
          <t>TC-RS-ERR-007</t>
        </is>
      </c>
      <c r="B192" s="22">
        <f>IF(0&gt;0,"Không đạt",IF(0=11,"Đạt",IF(SUMPRODUCT(--(('Kiểm thử'!$A$5:$A$573="TC-RS-ERR-007 / read-school")+('Kiểm thử'!$A$5:$A$573="TC-RS-ERR-007 / save-school")+('Kiểm thử'!$A$5:$A$573="TC-RS-ERR-007 / delete-school")+('Kiểm thử'!$A$5:$A$573="TC-RS-ERR-007 / source-school")+('Kiểm thử'!$A$5:$A$573="TC-RS-ERR-007 / source-year")+('Kiểm thử'!$A$5:$A$573="TC-RS-ERR-007 / class-school")+('Kiểm thử'!$A$5:$A$573="TC-RS-ERR-007 / class-year")+('Kiểm thử'!$A$5:$A$573="TC-RS-ERR-007 / group-school")+('Kiểm thử'!$A$5:$A$573="TC-RS-ERR-007 / group-year")+('Kiểm thử'!$A$5:$A$573="TC-RS-ERR-007 / unit-school")+('Kiểm thử'!$A$5:$A$573="TC-RS-ERR-007 / unit-year")),--EXACT('Kiểm thử'!$F$5:$F$573,"Không thực hiện"))=11,"Không thực hiện",IF(SUMPRODUCT(--(('Kiểm thử'!$A$5:$A$573="TC-RS-ERR-007 / read-school")+('Kiểm thử'!$A$5:$A$573="TC-RS-ERR-007 / save-school")+('Kiểm thử'!$A$5:$A$573="TC-RS-ERR-007 / delete-school")+('Kiểm thử'!$A$5:$A$573="TC-RS-ERR-007 / source-school")+('Kiểm thử'!$A$5:$A$573="TC-RS-ERR-007 / source-year")+('Kiểm thử'!$A$5:$A$573="TC-RS-ERR-007 / class-school")+('Kiểm thử'!$A$5:$A$573="TC-RS-ERR-007 / class-year")+('Kiểm thử'!$A$5:$A$573="TC-RS-ERR-007 / group-school")+('Kiểm thử'!$A$5:$A$573="TC-RS-ERR-007 / group-year")+('Kiểm thử'!$A$5:$A$573="TC-RS-ERR-007 / unit-school")+('Kiểm thử'!$A$5:$A$573="TC-RS-ERR-007 / unit-year")),--EXACT('Kiểm thử'!$F$5:$F$573,"Bị chặn"))&gt;0,"Bị chặn",IF(SUMPRODUCT(--(('Kiểm thử'!$A$5:$A$573="TC-RS-ERR-007 / read-school")+('Kiểm thử'!$A$5:$A$573="TC-RS-ERR-007 / save-school")+('Kiểm thử'!$A$5:$A$573="TC-RS-ERR-007 / delete-school")+('Kiểm thử'!$A$5:$A$573="TC-RS-ERR-007 / source-school")+('Kiểm thử'!$A$5:$A$573="TC-RS-ERR-007 / source-year")+('Kiểm thử'!$A$5:$A$573="TC-RS-ERR-007 / class-school")+('Kiểm thử'!$A$5:$A$573="TC-RS-ERR-007 / class-year")+('Kiểm thử'!$A$5:$A$573="TC-RS-ERR-007 / group-school")+('Kiểm thử'!$A$5:$A$573="TC-RS-ERR-007 / group-year")+('Kiểm thử'!$A$5:$A$573="TC-RS-ERR-007 / unit-school")+('Kiểm thử'!$A$5:$A$573="TC-RS-ERR-007 / unit-year")),--EXACT('Kiểm thử'!$F$5:$F$573,"Chưa thực hiện"))=11,"Chưa thực hiện","Chưa đủ kết luận")))))</f>
        <v/>
      </c>
    </row>
    <row r="193" ht="30" customHeight="1">
      <c r="A193" s="18" t="inlineStr">
        <is>
          <t>TC-RS-ERR-008</t>
        </is>
      </c>
      <c r="B193" s="22">
        <f>IF(0&gt;0,"Không đạt",IF(0=1,"Đạt",IF(SUMPRODUCT(--(('Kiểm thử'!$A$5:$A$573="TC-RS-ERR-008 / Base")),--EXACT('Kiểm thử'!$F$5:$F$573,"Không thực hiện"))=1,"Không thực hiện",IF(SUMPRODUCT(--(('Kiểm thử'!$A$5:$A$573="TC-RS-ERR-008 / Base")),--EXACT('Kiểm thử'!$F$5:$F$573,"Bị chặn"))&gt;0,"Bị chặn",IF(SUMPRODUCT(--(('Kiểm thử'!$A$5:$A$573="TC-RS-ERR-008 / Base")),--EXACT('Kiểm thử'!$F$5:$F$573,"Chưa thực hiện"))=1,"Chưa thực hiện","Chưa đủ kết luận")))))</f>
        <v/>
      </c>
    </row>
    <row r="194" ht="30" customHeight="1">
      <c r="A194" s="18" t="inlineStr">
        <is>
          <t>TC-RS-ERR-009</t>
        </is>
      </c>
      <c r="B194" s="22">
        <f>IF(0&gt;0,"Không đạt",IF(0=16,"Đạt",IF(SUMPRODUCT(--(('Kiểm thử'!$A$5:$A$573="TC-RS-ERR-009 / above")+('Kiểm thử'!$A$5:$A$573="TC-RS-ERR-009 / negative")+('Kiểm thử'!$A$5:$A$573="TC-RS-ERR-009 / ratio-above")+('Kiểm thử'!$A$5:$A$573="TC-RS-ERR-009 / divide-zero")+('Kiểm thử'!$A$5:$A$573="TC-RS-ERR-009 / nan")+('Kiểm thử'!$A$5:$A$573="TC-RS-ERR-009 / infinity")+('Kiểm thử'!$A$5:$A$573="TC-RS-ERR-009 / exponent")+('Kiểm thử'!$A$5:$A$573="TC-RS-ERR-009 / empty")+('Kiểm thử'!$A$5:$A$573="TC-RS-ERR-009 / power")+('Kiểm thử'!$A$5:$A$573="TC-RS-ERR-009 / max")+('Kiểm thử'!$A$5:$A$573="TC-RS-ERR-009 / expression")+('Kiểm thử'!$A$5:$A$573="TC-RS-ERR-009 / null")+('Kiểm thử'!$A$5:$A$573="TC-RS-ERR-009 / empty-string")+('Kiểm thử'!$A$5:$A$573="TC-RS-ERR-009 / object")+('Kiểm thử'!$A$5:$A$573="TC-RS-ERR-009 / unknown-key")+('Kiểm thử'!$A$5:$A$573="TC-RS-ERR-009 / arrays")),--EXACT('Kiểm thử'!$F$5:$F$573,"Không thực hiện"))=16,"Không thực hiện",IF(SUMPRODUCT(--(('Kiểm thử'!$A$5:$A$573="TC-RS-ERR-009 / above")+('Kiểm thử'!$A$5:$A$573="TC-RS-ERR-009 / negative")+('Kiểm thử'!$A$5:$A$573="TC-RS-ERR-009 / ratio-above")+('Kiểm thử'!$A$5:$A$573="TC-RS-ERR-009 / divide-zero")+('Kiểm thử'!$A$5:$A$573="TC-RS-ERR-009 / nan")+('Kiểm thử'!$A$5:$A$573="TC-RS-ERR-009 / infinity")+('Kiểm thử'!$A$5:$A$573="TC-RS-ERR-009 / exponent")+('Kiểm thử'!$A$5:$A$573="TC-RS-ERR-009 / empty")+('Kiểm thử'!$A$5:$A$573="TC-RS-ERR-009 / power")+('Kiểm thử'!$A$5:$A$573="TC-RS-ERR-009 / max")+('Kiểm thử'!$A$5:$A$573="TC-RS-ERR-009 / expression")+('Kiểm thử'!$A$5:$A$573="TC-RS-ERR-009 / null")+('Kiểm thử'!$A$5:$A$573="TC-RS-ERR-009 / empty-string")+('Kiểm thử'!$A$5:$A$573="TC-RS-ERR-009 / object")+('Kiểm thử'!$A$5:$A$573="TC-RS-ERR-009 / unknown-key")+('Kiểm thử'!$A$5:$A$573="TC-RS-ERR-009 / arrays")),--EXACT('Kiểm thử'!$F$5:$F$573,"Bị chặn"))&gt;0,"Bị chặn",IF(SUMPRODUCT(--(('Kiểm thử'!$A$5:$A$573="TC-RS-ERR-009 / above")+('Kiểm thử'!$A$5:$A$573="TC-RS-ERR-009 / negative")+('Kiểm thử'!$A$5:$A$573="TC-RS-ERR-009 / ratio-above")+('Kiểm thử'!$A$5:$A$573="TC-RS-ERR-009 / divide-zero")+('Kiểm thử'!$A$5:$A$573="TC-RS-ERR-009 / nan")+('Kiểm thử'!$A$5:$A$573="TC-RS-ERR-009 / infinity")+('Kiểm thử'!$A$5:$A$573="TC-RS-ERR-009 / exponent")+('Kiểm thử'!$A$5:$A$573="TC-RS-ERR-009 / empty")+('Kiểm thử'!$A$5:$A$573="TC-RS-ERR-009 / power")+('Kiểm thử'!$A$5:$A$573="TC-RS-ERR-009 / max")+('Kiểm thử'!$A$5:$A$573="TC-RS-ERR-009 / expression")+('Kiểm thử'!$A$5:$A$573="TC-RS-ERR-009 / null")+('Kiểm thử'!$A$5:$A$573="TC-RS-ERR-009 / empty-string")+('Kiểm thử'!$A$5:$A$573="TC-RS-ERR-009 / object")+('Kiểm thử'!$A$5:$A$573="TC-RS-ERR-009 / unknown-key")+('Kiểm thử'!$A$5:$A$573="TC-RS-ERR-009 / arrays")),--EXACT('Kiểm thử'!$F$5:$F$573,"Chưa thực hiện"))=16,"Chưa thực hiện","Chưa đủ kết luận")))))</f>
        <v/>
      </c>
    </row>
    <row r="195" ht="30" customHeight="1">
      <c r="A195" s="18" t="inlineStr">
        <is>
          <t>TC-RS-ERR-010</t>
        </is>
      </c>
      <c r="B195" s="22">
        <f>IF(0&gt;0,"Không đạt",IF(0=8,"Đạt",IF(SUMPRODUCT(--(('Kiểm thử'!$A$5:$A$573="TC-RS-ERR-010 / forged-red-flag")+('Kiểm thử'!$A$5:$A$573="TC-RS-ERR-010 / forged-prefix")+('Kiểm thử'!$A$5:$A$573="TC-RS-ERR-010 / forged-color")+('Kiểm thử'!$A$5:$A$573="TC-RS-ERR-010 / forged-score")+('Kiểm thử'!$A$5:$A$573="TC-RS-ERR-010 / forged-threshold")+('Kiểm thử'!$A$5:$A$573="TC-RS-ERR-010 / out-of-scope-student")+('Kiểm thử'!$A$5:$A$573="TC-RS-ERR-010 / out-of-scope-school")+('Kiểm thử'!$A$5:$A$573="TC-RS-ERR-010 / out-of-scope-year")),--EXACT('Kiểm thử'!$F$5:$F$573,"Không thực hiện"))=8,"Không thực hiện",IF(SUMPRODUCT(--(('Kiểm thử'!$A$5:$A$573="TC-RS-ERR-010 / forged-red-flag")+('Kiểm thử'!$A$5:$A$573="TC-RS-ERR-010 / forged-prefix")+('Kiểm thử'!$A$5:$A$573="TC-RS-ERR-010 / forged-color")+('Kiểm thử'!$A$5:$A$573="TC-RS-ERR-010 / forged-score")+('Kiểm thử'!$A$5:$A$573="TC-RS-ERR-010 / forged-threshold")+('Kiểm thử'!$A$5:$A$573="TC-RS-ERR-010 / out-of-scope-student")+('Kiểm thử'!$A$5:$A$573="TC-RS-ERR-010 / out-of-scope-school")+('Kiểm thử'!$A$5:$A$573="TC-RS-ERR-010 / out-of-scope-year")),--EXACT('Kiểm thử'!$F$5:$F$573,"Bị chặn"))&gt;0,"Bị chặn",IF(SUMPRODUCT(--(('Kiểm thử'!$A$5:$A$573="TC-RS-ERR-010 / forged-red-flag")+('Kiểm thử'!$A$5:$A$573="TC-RS-ERR-010 / forged-prefix")+('Kiểm thử'!$A$5:$A$573="TC-RS-ERR-010 / forged-color")+('Kiểm thử'!$A$5:$A$573="TC-RS-ERR-010 / forged-score")+('Kiểm thử'!$A$5:$A$573="TC-RS-ERR-010 / forged-threshold")+('Kiểm thử'!$A$5:$A$573="TC-RS-ERR-010 / out-of-scope-student")+('Kiểm thử'!$A$5:$A$573="TC-RS-ERR-010 / out-of-scope-school")+('Kiểm thử'!$A$5:$A$573="TC-RS-ERR-010 / out-of-scope-year")),--EXACT('Kiểm thử'!$F$5:$F$573,"Chưa thực hiện"))=8,"Chưa thực hiện","Chưa đủ kết luận")))))</f>
        <v/>
      </c>
    </row>
    <row r="196" ht="30" customHeight="1">
      <c r="A196" s="18" t="inlineStr">
        <is>
          <t>TC-RS-ERR-017</t>
        </is>
      </c>
      <c r="B196" s="22">
        <f>IF(0&gt;0,"Không đạt",IF(0=3,"Đạt",IF(SUMPRODUCT(--(('Kiểm thử'!$A$5:$A$573="TC-RS-ERR-017 / rule-name")+('Kiểm thử'!$A$5:$A$573="TC-RS-ERR-017 / extract")+('Kiểm thử'!$A$5:$A$573="TC-RS-ERR-017 / report")),--EXACT('Kiểm thử'!$F$5:$F$573,"Không thực hiện"))=3,"Không thực hiện",IF(SUMPRODUCT(--(('Kiểm thử'!$A$5:$A$573="TC-RS-ERR-017 / rule-name")+('Kiểm thử'!$A$5:$A$573="TC-RS-ERR-017 / extract")+('Kiểm thử'!$A$5:$A$573="TC-RS-ERR-017 / report")),--EXACT('Kiểm thử'!$F$5:$F$573,"Bị chặn"))&gt;0,"Bị chặn",IF(SUMPRODUCT(--(('Kiểm thử'!$A$5:$A$573="TC-RS-ERR-017 / rule-name")+('Kiểm thử'!$A$5:$A$573="TC-RS-ERR-017 / extract")+('Kiểm thử'!$A$5:$A$573="TC-RS-ERR-017 / report")),--EXACT('Kiểm thử'!$F$5:$F$573,"Chưa thực hiện"))=3,"Chưa thực hiện","Chưa đủ kết luận")))))</f>
        <v/>
      </c>
    </row>
    <row r="197" ht="30" customHeight="1">
      <c r="A197" s="18" t="inlineStr">
        <is>
          <t>TC-RS-REG-015</t>
        </is>
      </c>
      <c r="B197" s="22">
        <f>IF(0&gt;0,"Không đạt",IF(0=2,"Đạt",IF(SUMPRODUCT(--(('Kiểm thử'!$A$5:$A$573="TC-RS-REG-015 / student")+('Kiểm thử'!$A$5:$A$573="TC-RS-REG-015 / parent")),--EXACT('Kiểm thử'!$F$5:$F$573,"Không thực hiện"))=2,"Không thực hiện",IF(SUMPRODUCT(--(('Kiểm thử'!$A$5:$A$573="TC-RS-REG-015 / student")+('Kiểm thử'!$A$5:$A$573="TC-RS-REG-015 / parent")),--EXACT('Kiểm thử'!$F$5:$F$573,"Bị chặn"))&gt;0,"Bị chặn",IF(SUMPRODUCT(--(('Kiểm thử'!$A$5:$A$573="TC-RS-REG-015 / student")+('Kiểm thử'!$A$5:$A$573="TC-RS-REG-015 / parent")),--EXACT('Kiểm thử'!$F$5:$F$573,"Chưa thực hiện"))=2,"Chưa thực hiện","Chưa đủ kết luận")))))</f>
        <v/>
      </c>
    </row>
    <row r="198" ht="30" customHeight="1">
      <c r="A198" s="18" t="inlineStr">
        <is>
          <t>TC-RS-VAL-006</t>
        </is>
      </c>
      <c r="B198" s="22">
        <f>IF(0&gt;0,"Không đạt",IF(0=6,"Đạt",IF(SUMPRODUCT(--(('Kiểm thử'!$A$5:$A$573="TC-RS-VAL-006 / negative")+('Kiểm thử'!$A$5:$A$573="TC-RS-VAL-006 / zero")+('Kiểm thử'!$A$5:$A$573="TC-RS-VAL-006 / hundred")+('Kiểm thử'!$A$5:$A$573="TC-RS-VAL-006 / above")+('Kiểm thử'!$A$5:$A$573="TC-RS-VAL-006 / decimal")+('Kiểm thử'!$A$5:$A$573="TC-RS-VAL-006 / long-decimal")),--EXACT('Kiểm thử'!$F$5:$F$573,"Không thực hiện"))=6,"Không thực hiện",IF(SUMPRODUCT(--(('Kiểm thử'!$A$5:$A$573="TC-RS-VAL-006 / negative")+('Kiểm thử'!$A$5:$A$573="TC-RS-VAL-006 / zero")+('Kiểm thử'!$A$5:$A$573="TC-RS-VAL-006 / hundred")+('Kiểm thử'!$A$5:$A$573="TC-RS-VAL-006 / above")+('Kiểm thử'!$A$5:$A$573="TC-RS-VAL-006 / decimal")+('Kiểm thử'!$A$5:$A$573="TC-RS-VAL-006 / long-decimal")),--EXACT('Kiểm thử'!$F$5:$F$573,"Bị chặn"))&gt;0,"Bị chặn",IF(SUMPRODUCT(--(('Kiểm thử'!$A$5:$A$573="TC-RS-VAL-006 / negative")+('Kiểm thử'!$A$5:$A$573="TC-RS-VAL-006 / zero")+('Kiểm thử'!$A$5:$A$573="TC-RS-VAL-006 / hundred")+('Kiểm thử'!$A$5:$A$573="TC-RS-VAL-006 / above")+('Kiểm thử'!$A$5:$A$573="TC-RS-VAL-006 / decimal")+('Kiểm thử'!$A$5:$A$573="TC-RS-VAL-006 / long-decimal")),--EXACT('Kiểm thử'!$F$5:$F$573,"Chưa thực hiện"))=6,"Chưa thực hiện","Chưa đủ kết luận")))))</f>
        <v/>
      </c>
    </row>
    <row r="199" ht="30" customHeight="1">
      <c r="A199" s="18" t="inlineStr">
        <is>
          <t>TC-RS-VAL-007</t>
        </is>
      </c>
      <c r="B199" s="22">
        <f>IF(0&gt;0,"Không đạt",IF(0=6,"Đạt",IF(SUMPRODUCT(--(('Kiểm thử'!$A$5:$A$573="TC-RS-VAL-007 / default")+('Kiểm thử'!$A$5:$A$573="TC-RS-VAL-007 / missing-method")+('Kiểm thử'!$A$5:$A$573="TC-RS-VAL-007 / p0")+('Kiểm thử'!$A$5:$A$573="TC-RS-VAL-007 / p1")+('Kiểm thử'!$A$5:$A$573="TC-RS-VAL-007 / p9")+('Kiểm thử'!$A$5:$A$573="TC-RS-VAL-007 / p10")),--EXACT('Kiểm thử'!$F$5:$F$573,"Không thực hiện"))=6,"Không thực hiện",IF(SUMPRODUCT(--(('Kiểm thử'!$A$5:$A$573="TC-RS-VAL-007 / default")+('Kiểm thử'!$A$5:$A$573="TC-RS-VAL-007 / missing-method")+('Kiểm thử'!$A$5:$A$573="TC-RS-VAL-007 / p0")+('Kiểm thử'!$A$5:$A$573="TC-RS-VAL-007 / p1")+('Kiểm thử'!$A$5:$A$573="TC-RS-VAL-007 / p9")+('Kiểm thử'!$A$5:$A$573="TC-RS-VAL-007 / p10")),--EXACT('Kiểm thử'!$F$5:$F$573,"Bị chặn"))&gt;0,"Bị chặn",IF(SUMPRODUCT(--(('Kiểm thử'!$A$5:$A$573="TC-RS-VAL-007 / default")+('Kiểm thử'!$A$5:$A$573="TC-RS-VAL-007 / missing-method")+('Kiểm thử'!$A$5:$A$573="TC-RS-VAL-007 / p0")+('Kiểm thử'!$A$5:$A$573="TC-RS-VAL-007 / p1")+('Kiểm thử'!$A$5:$A$573="TC-RS-VAL-007 / p9")+('Kiểm thử'!$A$5:$A$573="TC-RS-VAL-007 / p10")),--EXACT('Kiểm thử'!$F$5:$F$573,"Chưa thực hiện"))=6,"Chưa thực hiện","Chưa đủ kết luận")))))</f>
        <v/>
      </c>
    </row>
    <row r="200" ht="30" customHeight="1">
      <c r="A200" s="18" t="inlineStr">
        <is>
          <t>TC-RS-CALC-005</t>
        </is>
      </c>
      <c r="B200" s="22">
        <f>IF(0&gt;0,"Không đạt",IF(0=2,"Đạt",IF(SUMPRODUCT(--(('Kiểm thử'!$A$5:$A$573="TC-RS-CALC-005 / lt")+('Kiểm thử'!$A$5:$A$573="TC-RS-CALC-005 / le")),--EXACT('Kiểm thử'!$F$5:$F$573,"Không thực hiện"))=2,"Không thực hiện",IF(SUMPRODUCT(--(('Kiểm thử'!$A$5:$A$573="TC-RS-CALC-005 / lt")+('Kiểm thử'!$A$5:$A$573="TC-RS-CALC-005 / le")),--EXACT('Kiểm thử'!$F$5:$F$573,"Bị chặn"))&gt;0,"Bị chặn",IF(SUMPRODUCT(--(('Kiểm thử'!$A$5:$A$573="TC-RS-CALC-005 / lt")+('Kiểm thử'!$A$5:$A$573="TC-RS-CALC-005 / le")),--EXACT('Kiểm thử'!$F$5:$F$573,"Chưa thực hiện"))=2,"Chưa thực hiện","Chưa đủ kết luận")))))</f>
        <v/>
      </c>
    </row>
    <row r="201" ht="30" customHeight="1">
      <c r="A201" s="18" t="inlineStr">
        <is>
          <t>TC-RS-CALC-006</t>
        </is>
      </c>
      <c r="B201" s="22">
        <f>IF(0&gt;0,"Không đạt",IF(0=2,"Đạt",IF(SUMPRODUCT(--(('Kiểm thử'!$A$5:$A$573="TC-RS-CALC-006 / lt")+('Kiểm thử'!$A$5:$A$573="TC-RS-CALC-006 / le")),--EXACT('Kiểm thử'!$F$5:$F$573,"Không thực hiện"))=2,"Không thực hiện",IF(SUMPRODUCT(--(('Kiểm thử'!$A$5:$A$573="TC-RS-CALC-006 / lt")+('Kiểm thử'!$A$5:$A$573="TC-RS-CALC-006 / le")),--EXACT('Kiểm thử'!$F$5:$F$573,"Bị chặn"))&gt;0,"Bị chặn",IF(SUMPRODUCT(--(('Kiểm thử'!$A$5:$A$573="TC-RS-CALC-006 / lt")+('Kiểm thử'!$A$5:$A$573="TC-RS-CALC-006 / le")),--EXACT('Kiểm thử'!$F$5:$F$573,"Chưa thực hiện"))=2,"Chưa thực hiện","Chưa đủ kết luận")))))</f>
        <v/>
      </c>
    </row>
    <row r="202" ht="30" customHeight="1">
      <c r="A202" s="18" t="inlineStr">
        <is>
          <t>TC-RS-CALC-007</t>
        </is>
      </c>
      <c r="B202" s="22">
        <f>IF(0&gt;0,"Không đạt",IF(0=8,"Đạt",IF(SUMPRODUCT(--(('Kiểm thử'!$A$5:$A$573="TC-RS-CALC-007 / m45-none")+('Kiểm thử'!$A$5:$A$573="TC-RS-CALC-007 / m45-down")+('Kiểm thử'!$A$5:$A$573="TC-RS-CALC-007 / m45-nearest")+('Kiểm thử'!$A$5:$A$573="TC-RS-CALC-007 / m45-up")+('Kiểm thử'!$A$5:$A$573="TC-RS-CALC-007 / m47-none")+('Kiểm thử'!$A$5:$A$573="TC-RS-CALC-007 / m47-down")+('Kiểm thử'!$A$5:$A$573="TC-RS-CALC-007 / m47-nearest")+('Kiểm thử'!$A$5:$A$573="TC-RS-CALC-007 / m47-up")),--EXACT('Kiểm thử'!$F$5:$F$573,"Không thực hiện"))=8,"Không thực hiện",IF(SUMPRODUCT(--(('Kiểm thử'!$A$5:$A$573="TC-RS-CALC-007 / m45-none")+('Kiểm thử'!$A$5:$A$573="TC-RS-CALC-007 / m45-down")+('Kiểm thử'!$A$5:$A$573="TC-RS-CALC-007 / m45-nearest")+('Kiểm thử'!$A$5:$A$573="TC-RS-CALC-007 / m45-up")+('Kiểm thử'!$A$5:$A$573="TC-RS-CALC-007 / m47-none")+('Kiểm thử'!$A$5:$A$573="TC-RS-CALC-007 / m47-down")+('Kiểm thử'!$A$5:$A$573="TC-RS-CALC-007 / m47-nearest")+('Kiểm thử'!$A$5:$A$573="TC-RS-CALC-007 / m47-up")),--EXACT('Kiểm thử'!$F$5:$F$573,"Bị chặn"))&gt;0,"Bị chặn",IF(SUMPRODUCT(--(('Kiểm thử'!$A$5:$A$573="TC-RS-CALC-007 / m45-none")+('Kiểm thử'!$A$5:$A$573="TC-RS-CALC-007 / m45-down")+('Kiểm thử'!$A$5:$A$573="TC-RS-CALC-007 / m45-nearest")+('Kiểm thử'!$A$5:$A$573="TC-RS-CALC-007 / m45-up")+('Kiểm thử'!$A$5:$A$573="TC-RS-CALC-007 / m47-none")+('Kiểm thử'!$A$5:$A$573="TC-RS-CALC-007 / m47-down")+('Kiểm thử'!$A$5:$A$573="TC-RS-CALC-007 / m47-nearest")+('Kiểm thử'!$A$5:$A$573="TC-RS-CALC-007 / m47-up")),--EXACT('Kiểm thử'!$F$5:$F$573,"Chưa thực hiện"))=8,"Chưa thực hiện","Chưa đủ kết luận")))))</f>
        <v/>
      </c>
    </row>
    <row r="203" ht="30" customHeight="1">
      <c r="A203" s="18" t="inlineStr">
        <is>
          <t>TC-RS-CALC-008</t>
        </is>
      </c>
      <c r="B203" s="22">
        <f>IF(0&gt;0,"Không đạt",IF(0=2,"Đạt",IF(SUMPRODUCT(--(('Kiểm thử'!$A$5:$A$573="TC-RS-CALC-008 / none")+('Kiểm thử'!$A$5:$A$573="TC-RS-CALC-008 / down")),--EXACT('Kiểm thử'!$F$5:$F$573,"Không thực hiện"))=2,"Không thực hiện",IF(SUMPRODUCT(--(('Kiểm thử'!$A$5:$A$573="TC-RS-CALC-008 / none")+('Kiểm thử'!$A$5:$A$573="TC-RS-CALC-008 / down")),--EXACT('Kiểm thử'!$F$5:$F$573,"Bị chặn"))&gt;0,"Bị chặn",IF(SUMPRODUCT(--(('Kiểm thử'!$A$5:$A$573="TC-RS-CALC-008 / none")+('Kiểm thử'!$A$5:$A$573="TC-RS-CALC-008 / down")),--EXACT('Kiểm thử'!$F$5:$F$573,"Chưa thực hiện"))=2,"Chưa thực hiện","Chưa đủ kết luận")))))</f>
        <v/>
      </c>
    </row>
    <row r="204" ht="30" customHeight="1">
      <c r="A204" s="18" t="inlineStr">
        <is>
          <t>TC-RS-CALC-009</t>
        </is>
      </c>
      <c r="B204" s="22">
        <f>IF(0&gt;0,"Không đạt",IF(0=4,"Đạt",IF(SUMPRODUCT(--(('Kiểm thử'!$A$5:$A$573="TC-RS-CALC-009 / zero-lt")+('Kiểm thử'!$A$5:$A$573="TC-RS-CALC-009 / zero-le")+('Kiểm thử'!$A$5:$A$573="TC-RS-CALC-009 / hundred-lt")+('Kiểm thử'!$A$5:$A$573="TC-RS-CALC-009 / hundred-le")),--EXACT('Kiểm thử'!$F$5:$F$573,"Không thực hiện"))=4,"Không thực hiện",IF(SUMPRODUCT(--(('Kiểm thử'!$A$5:$A$573="TC-RS-CALC-009 / zero-lt")+('Kiểm thử'!$A$5:$A$573="TC-RS-CALC-009 / zero-le")+('Kiểm thử'!$A$5:$A$573="TC-RS-CALC-009 / hundred-lt")+('Kiểm thử'!$A$5:$A$573="TC-RS-CALC-009 / hundred-le")),--EXACT('Kiểm thử'!$F$5:$F$573,"Bị chặn"))&gt;0,"Bị chặn",IF(SUMPRODUCT(--(('Kiểm thử'!$A$5:$A$573="TC-RS-CALC-009 / zero-lt")+('Kiểm thử'!$A$5:$A$573="TC-RS-CALC-009 / zero-le")+('Kiểm thử'!$A$5:$A$573="TC-RS-CALC-009 / hundred-lt")+('Kiểm thử'!$A$5:$A$573="TC-RS-CALC-009 / hundred-le")),--EXACT('Kiểm thử'!$F$5:$F$573,"Chưa thực hiện"))=4,"Chưa thực hiện","Chưa đủ kết luận")))))</f>
        <v/>
      </c>
    </row>
    <row r="205" ht="30" customHeight="1">
      <c r="A205" s="18" t="inlineStr">
        <is>
          <t>TC-RS-CALC-010</t>
        </is>
      </c>
      <c r="B205" s="22">
        <f>IF(0&gt;0,"Không đạt",IF(0=4,"Đạt",IF(SUMPRODUCT(--(('Kiểm thử'!$A$5:$A$573="TC-RS-CALC-010 / ratio-zero")+('Kiểm thử'!$A$5:$A$573="TC-RS-CALC-010 / ratio-negative")+('Kiểm thử'!$A$5:$A$573="TC-RS-CALC-010 / ratio-missing")+('Kiểm thử'!$A$5:$A$573="TC-RS-CALC-010 / fixed-zero")),--EXACT('Kiểm thử'!$F$5:$F$573,"Không thực hiện"))=4,"Không thực hiện",IF(SUMPRODUCT(--(('Kiểm thử'!$A$5:$A$573="TC-RS-CALC-010 / ratio-zero")+('Kiểm thử'!$A$5:$A$573="TC-RS-CALC-010 / ratio-negative")+('Kiểm thử'!$A$5:$A$573="TC-RS-CALC-010 / ratio-missing")+('Kiểm thử'!$A$5:$A$573="TC-RS-CALC-010 / fixed-zero")),--EXACT('Kiểm thử'!$F$5:$F$573,"Bị chặn"))&gt;0,"Bị chặn",IF(SUMPRODUCT(--(('Kiểm thử'!$A$5:$A$573="TC-RS-CALC-010 / ratio-zero")+('Kiểm thử'!$A$5:$A$573="TC-RS-CALC-010 / ratio-negative")+('Kiểm thử'!$A$5:$A$573="TC-RS-CALC-010 / ratio-missing")+('Kiểm thử'!$A$5:$A$573="TC-RS-CALC-010 / fixed-zero")),--EXACT('Kiểm thử'!$F$5:$F$573,"Chưa thực hiện"))=4,"Chưa thực hiện","Chưa đủ kết luận")))))</f>
        <v/>
      </c>
    </row>
    <row r="206" ht="30" customHeight="1">
      <c r="A206" s="18" t="inlineStr">
        <is>
          <t>TC-RS-CALC-011</t>
        </is>
      </c>
      <c r="B206" s="22">
        <f>IF(0&gt;0,"Không đạt",IF(0=3,"Đạt",IF(SUMPRODUCT(--(('Kiểm thử'!$A$5:$A$573="TC-RS-CALC-011 / resolution")+('Kiểm thử'!$A$5:$A$573="TC-RS-CALC-011 / unassigned")+('Kiểm thử'!$A$5:$A$573="TC-RS-CALC-011 / actual80")),--EXACT('Kiểm thử'!$F$5:$F$573,"Không thực hiện"))=3,"Không thực hiện",IF(SUMPRODUCT(--(('Kiểm thử'!$A$5:$A$573="TC-RS-CALC-011 / resolution")+('Kiểm thử'!$A$5:$A$573="TC-RS-CALC-011 / unassigned")+('Kiểm thử'!$A$5:$A$573="TC-RS-CALC-011 / actual80")),--EXACT('Kiểm thử'!$F$5:$F$573,"Bị chặn"))&gt;0,"Bị chặn",IF(SUMPRODUCT(--(('Kiểm thử'!$A$5:$A$573="TC-RS-CALC-011 / resolution")+('Kiểm thử'!$A$5:$A$573="TC-RS-CALC-011 / unassigned")+('Kiểm thử'!$A$5:$A$573="TC-RS-CALC-011 / actual80")),--EXACT('Kiểm thử'!$F$5:$F$573,"Chưa thực hiện"))=3,"Chưa thực hiện","Chưa đủ kết luận")))))</f>
        <v/>
      </c>
    </row>
    <row r="207" ht="30" customHeight="1">
      <c r="A207" s="18" t="inlineStr">
        <is>
          <t>TC-RS-CALC-012</t>
        </is>
      </c>
      <c r="B207" s="22">
        <f>IF(0&gt;0,"Không đạt",IF(0=1,"Đạt",IF(SUMPRODUCT(--(('Kiểm thử'!$A$5:$A$573="TC-RS-CALC-012 / Base")),--EXACT('Kiểm thử'!$F$5:$F$573,"Không thực hiện"))=1,"Không thực hiện",IF(SUMPRODUCT(--(('Kiểm thử'!$A$5:$A$573="TC-RS-CALC-012 / Base")),--EXACT('Kiểm thử'!$F$5:$F$573,"Bị chặn"))&gt;0,"Bị chặn",IF(SUMPRODUCT(--(('Kiểm thử'!$A$5:$A$573="TC-RS-CALC-012 / Base")),--EXACT('Kiểm thử'!$F$5:$F$573,"Chưa thực hiện"))=1,"Chưa thực hiện","Chưa đủ kết luận")))))</f>
        <v/>
      </c>
    </row>
    <row r="208" ht="30" customHeight="1">
      <c r="A208" s="18" t="inlineStr">
        <is>
          <t>TC-RS-UI-014</t>
        </is>
      </c>
      <c r="B208" s="22">
        <f>IF(0&gt;0,"Không đạt",IF(0=1,"Đạt",IF(SUMPRODUCT(--(('Kiểm thử'!$A$5:$A$573="TC-RS-UI-014 / Base")),--EXACT('Kiểm thử'!$F$5:$F$573,"Không thực hiện"))=1,"Không thực hiện",IF(SUMPRODUCT(--(('Kiểm thử'!$A$5:$A$573="TC-RS-UI-014 / Base")),--EXACT('Kiểm thử'!$F$5:$F$573,"Bị chặn"))&gt;0,"Bị chặn",IF(SUMPRODUCT(--(('Kiểm thử'!$A$5:$A$573="TC-RS-UI-014 / Base")),--EXACT('Kiểm thử'!$F$5:$F$573,"Chưa thực hiện"))=1,"Chưa thực hiện","Chưa đủ kết luận")))))</f>
        <v/>
      </c>
    </row>
    <row r="209" ht="30" customHeight="1">
      <c r="A209" s="18" t="inlineStr">
        <is>
          <t>TC-RS-DATA-002</t>
        </is>
      </c>
      <c r="B209" s="22">
        <f>IF(0&gt;0,"Không đạt",IF(0=1,"Đạt",IF(SUMPRODUCT(--(('Kiểm thử'!$A$5:$A$573="TC-RS-DATA-002 / Base")),--EXACT('Kiểm thử'!$F$5:$F$573,"Không thực hiện"))=1,"Không thực hiện",IF(SUMPRODUCT(--(('Kiểm thử'!$A$5:$A$573="TC-RS-DATA-002 / Base")),--EXACT('Kiểm thử'!$F$5:$F$573,"Bị chặn"))&gt;0,"Bị chặn",IF(SUMPRODUCT(--(('Kiểm thử'!$A$5:$A$573="TC-RS-DATA-002 / Base")),--EXACT('Kiểm thử'!$F$5:$F$573,"Chưa thực hiện"))=1,"Chưa thực hiện","Chưa đủ kết luận")))))</f>
        <v/>
      </c>
    </row>
    <row r="210" ht="30" customHeight="1">
      <c r="A210" s="18" t="inlineStr">
        <is>
          <t>TC-RS-DATA-003</t>
        </is>
      </c>
      <c r="B210" s="22">
        <f>IF(0&gt;0,"Không đạt",IF(0=1,"Đạt",IF(SUMPRODUCT(--(('Kiểm thử'!$A$5:$A$573="TC-RS-DATA-003 / Base")),--EXACT('Kiểm thử'!$F$5:$F$573,"Không thực hiện"))=1,"Không thực hiện",IF(SUMPRODUCT(--(('Kiểm thử'!$A$5:$A$573="TC-RS-DATA-003 / Base")),--EXACT('Kiểm thử'!$F$5:$F$573,"Bị chặn"))&gt;0,"Bị chặn",IF(SUMPRODUCT(--(('Kiểm thử'!$A$5:$A$573="TC-RS-DATA-003 / Base")),--EXACT('Kiểm thử'!$F$5:$F$573,"Chưa thực hiện"))=1,"Chưa thực hiện","Chưa đủ kết luận")))))</f>
        <v/>
      </c>
    </row>
    <row r="211" ht="30" customHeight="1">
      <c r="A211" s="18" t="inlineStr">
        <is>
          <t>TC-RS-DATA-005</t>
        </is>
      </c>
      <c r="B211" s="22">
        <f>IF(0&gt;0,"Không đạt",IF(0=1,"Đạt",IF(SUMPRODUCT(--(('Kiểm thử'!$A$5:$A$573="TC-RS-DATA-005 / Base")),--EXACT('Kiểm thử'!$F$5:$F$573,"Không thực hiện"))=1,"Không thực hiện",IF(SUMPRODUCT(--(('Kiểm thử'!$A$5:$A$573="TC-RS-DATA-005 / Base")),--EXACT('Kiểm thử'!$F$5:$F$573,"Bị chặn"))&gt;0,"Bị chặn",IF(SUMPRODUCT(--(('Kiểm thử'!$A$5:$A$573="TC-RS-DATA-005 / Base")),--EXACT('Kiểm thử'!$F$5:$F$573,"Chưa thực hiện"))=1,"Chưa thực hiện","Chưa đủ kết luận")))))</f>
        <v/>
      </c>
    </row>
    <row r="212" ht="30" customHeight="1">
      <c r="A212" s="18" t="inlineStr">
        <is>
          <t>TC-RS-DATA-007</t>
        </is>
      </c>
      <c r="B212" s="22">
        <f>IF(0&gt;0,"Không đạt",IF(0=3,"Đạt",IF(SUMPRODUCT(--(('Kiểm thử'!$A$5:$A$573="TC-RS-DATA-007 / extract")+('Kiểm thử'!$A$5:$A$573="TC-RS-DATA-007 / publish")+('Kiểm thử'!$A$5:$A$573="TC-RS-DATA-007 / report")),--EXACT('Kiểm thử'!$F$5:$F$573,"Không thực hiện"))=3,"Không thực hiện",IF(SUMPRODUCT(--(('Kiểm thử'!$A$5:$A$573="TC-RS-DATA-007 / extract")+('Kiểm thử'!$A$5:$A$573="TC-RS-DATA-007 / publish")+('Kiểm thử'!$A$5:$A$573="TC-RS-DATA-007 / report")),--EXACT('Kiểm thử'!$F$5:$F$573,"Bị chặn"))&gt;0,"Bị chặn",IF(SUMPRODUCT(--(('Kiểm thử'!$A$5:$A$573="TC-RS-DATA-007 / extract")+('Kiểm thử'!$A$5:$A$573="TC-RS-DATA-007 / publish")+('Kiểm thử'!$A$5:$A$573="TC-RS-DATA-007 / report")),--EXACT('Kiểm thử'!$F$5:$F$573,"Chưa thực hiện"))=3,"Chưa thực hiện","Chưa đủ kết luận")))))</f>
        <v/>
      </c>
    </row>
    <row r="213" ht="30" customHeight="1">
      <c r="A213" s="18" t="inlineStr">
        <is>
          <t>TC-RS-DATA-008</t>
        </is>
      </c>
      <c r="B213" s="22">
        <f>IF(0&gt;0,"Không đạt",IF(0=1,"Đạt",IF(SUMPRODUCT(--(('Kiểm thử'!$A$5:$A$573="TC-RS-DATA-008 / Base")),--EXACT('Kiểm thử'!$F$5:$F$573,"Không thực hiện"))=1,"Không thực hiện",IF(SUMPRODUCT(--(('Kiểm thử'!$A$5:$A$573="TC-RS-DATA-008 / Base")),--EXACT('Kiểm thử'!$F$5:$F$573,"Bị chặn"))&gt;0,"Bị chặn",IF(SUMPRODUCT(--(('Kiểm thử'!$A$5:$A$573="TC-RS-DATA-008 / Base")),--EXACT('Kiểm thử'!$F$5:$F$573,"Chưa thực hiện"))=1,"Chưa thực hiện","Chưa đủ kết luận")))))</f>
        <v/>
      </c>
    </row>
    <row r="214" ht="30" customHeight="1">
      <c r="A214" s="18" t="inlineStr">
        <is>
          <t>TC-RS-DATA-011</t>
        </is>
      </c>
      <c r="B214" s="22">
        <f>IF(0&gt;0,"Không đạt",IF(0=1,"Đạt",IF(SUMPRODUCT(--(('Kiểm thử'!$A$5:$A$573="TC-RS-DATA-011 / Base")),--EXACT('Kiểm thử'!$F$5:$F$573,"Không thực hiện"))=1,"Không thực hiện",IF(SUMPRODUCT(--(('Kiểm thử'!$A$5:$A$573="TC-RS-DATA-011 / Base")),--EXACT('Kiểm thử'!$F$5:$F$573,"Bị chặn"))&gt;0,"Bị chặn",IF(SUMPRODUCT(--(('Kiểm thử'!$A$5:$A$573="TC-RS-DATA-011 / Base")),--EXACT('Kiểm thử'!$F$5:$F$573,"Chưa thực hiện"))=1,"Chưa thực hiện","Chưa đủ kết luận")))))</f>
        <v/>
      </c>
    </row>
    <row r="215" ht="30" customHeight="1">
      <c r="A215" s="18" t="inlineStr">
        <is>
          <t>TC-RS-DATA-012</t>
        </is>
      </c>
      <c r="B215" s="22">
        <f>IF(0&gt;0,"Không đạt",IF(0=3,"Đạt",IF(SUMPRODUCT(--(('Kiểm thử'!$A$5:$A$573="TC-RS-DATA-012 / read-copy")+('Kiểm thử'!$A$5:$A$573="TC-RS-DATA-012 / invalid-enum")+('Kiểm thử'!$A$5:$A$573="TC-RS-DATA-012 / foreign-school")),--EXACT('Kiểm thử'!$F$5:$F$573,"Không thực hiện"))=3,"Không thực hiện",IF(SUMPRODUCT(--(('Kiểm thử'!$A$5:$A$573="TC-RS-DATA-012 / read-copy")+('Kiểm thử'!$A$5:$A$573="TC-RS-DATA-012 / invalid-enum")+('Kiểm thử'!$A$5:$A$573="TC-RS-DATA-012 / foreign-school")),--EXACT('Kiểm thử'!$F$5:$F$573,"Bị chặn"))&gt;0,"Bị chặn",IF(SUMPRODUCT(--(('Kiểm thử'!$A$5:$A$573="TC-RS-DATA-012 / read-copy")+('Kiểm thử'!$A$5:$A$573="TC-RS-DATA-012 / invalid-enum")+('Kiểm thử'!$A$5:$A$573="TC-RS-DATA-012 / foreign-school")),--EXACT('Kiểm thử'!$F$5:$F$573,"Chưa thực hiện"))=3,"Chưa thực hiện","Chưa đủ kết luận")))))</f>
        <v/>
      </c>
    </row>
    <row r="216" ht="30" customHeight="1">
      <c r="A216" s="18" t="inlineStr">
        <is>
          <t>TC-RS-DATA-013</t>
        </is>
      </c>
      <c r="B216" s="22">
        <f>IF(0&gt;0,"Không đạt",IF(0=4,"Đạt",IF(SUMPRODUCT(--(('Kiểm thử'!$A$5:$A$573="TC-RS-DATA-013 / revision")+('Kiểm thử'!$A$5:$A$573="TC-RS-DATA-013 / delete-last-rule")+('Kiểm thử'!$A$5:$A$573="TC-RS-DATA-013 / reservation")+('Kiểm thử'!$A$5:$A$573="TC-RS-DATA-013 / cell-generation")),--EXACT('Kiểm thử'!$F$5:$F$573,"Không thực hiện"))=4,"Không thực hiện",IF(SUMPRODUCT(--(('Kiểm thử'!$A$5:$A$573="TC-RS-DATA-013 / revision")+('Kiểm thử'!$A$5:$A$573="TC-RS-DATA-013 / delete-last-rule")+('Kiểm thử'!$A$5:$A$573="TC-RS-DATA-013 / reservation")+('Kiểm thử'!$A$5:$A$573="TC-RS-DATA-013 / cell-generation")),--EXACT('Kiểm thử'!$F$5:$F$573,"Bị chặn"))&gt;0,"Bị chặn",IF(SUMPRODUCT(--(('Kiểm thử'!$A$5:$A$573="TC-RS-DATA-013 / revision")+('Kiểm thử'!$A$5:$A$573="TC-RS-DATA-013 / delete-last-rule")+('Kiểm thử'!$A$5:$A$573="TC-RS-DATA-013 / reservation")+('Kiểm thử'!$A$5:$A$573="TC-RS-DATA-013 / cell-generation")),--EXACT('Kiểm thử'!$F$5:$F$573,"Chưa thực hiện"))=4,"Chưa thực hiện","Chưa đủ kết luận")))))</f>
        <v/>
      </c>
    </row>
    <row r="217" ht="30" customHeight="1">
      <c r="A217" s="18" t="inlineStr">
        <is>
          <t>TC-RS-DATA-014</t>
        </is>
      </c>
      <c r="B217" s="22">
        <f>IF(0&gt;0,"Không đạt",IF(0=1,"Đạt",IF(SUMPRODUCT(--(('Kiểm thử'!$A$5:$A$573="TC-RS-DATA-014 / Base")),--EXACT('Kiểm thử'!$F$5:$F$573,"Không thực hiện"))=1,"Không thực hiện",IF(SUMPRODUCT(--(('Kiểm thử'!$A$5:$A$573="TC-RS-DATA-014 / Base")),--EXACT('Kiểm thử'!$F$5:$F$573,"Bị chặn"))&gt;0,"Bị chặn",IF(SUMPRODUCT(--(('Kiểm thử'!$A$5:$A$573="TC-RS-DATA-014 / Base")),--EXACT('Kiểm thử'!$F$5:$F$573,"Chưa thực hiện"))=1,"Chưa thực hiện","Chưa đủ kết luận")))))</f>
        <v/>
      </c>
    </row>
    <row r="218" ht="30" customHeight="1">
      <c r="A218" s="18" t="inlineStr">
        <is>
          <t>TC-RS-DATA-015</t>
        </is>
      </c>
      <c r="B218" s="22">
        <f>IF(0&gt;0,"Không đạt",IF(0=1,"Đạt",IF(SUMPRODUCT(--(('Kiểm thử'!$A$5:$A$573="TC-RS-DATA-015 / Base")),--EXACT('Kiểm thử'!$F$5:$F$573,"Không thực hiện"))=1,"Không thực hiện",IF(SUMPRODUCT(--(('Kiểm thử'!$A$5:$A$573="TC-RS-DATA-015 / Base")),--EXACT('Kiểm thử'!$F$5:$F$573,"Bị chặn"))&gt;0,"Bị chặn",IF(SUMPRODUCT(--(('Kiểm thử'!$A$5:$A$573="TC-RS-DATA-015 / Base")),--EXACT('Kiểm thử'!$F$5:$F$573,"Chưa thực hiện"))=1,"Chưa thực hiện","Chưa đủ kết luận")))))</f>
        <v/>
      </c>
    </row>
    <row r="219" ht="30" customHeight="1">
      <c r="A219" s="18" t="inlineStr">
        <is>
          <t>TC-RS-DATA-016</t>
        </is>
      </c>
      <c r="B219" s="22">
        <f>IF(0&gt;0,"Không đạt",IF(0=1,"Đạt",IF(SUMPRODUCT(--(('Kiểm thử'!$A$5:$A$573="TC-RS-DATA-016 / Base")),--EXACT('Kiểm thử'!$F$5:$F$573,"Không thực hiện"))=1,"Không thực hiện",IF(SUMPRODUCT(--(('Kiểm thử'!$A$5:$A$573="TC-RS-DATA-016 / Base")),--EXACT('Kiểm thử'!$F$5:$F$573,"Bị chặn"))&gt;0,"Bị chặn",IF(SUMPRODUCT(--(('Kiểm thử'!$A$5:$A$573="TC-RS-DATA-016 / Base")),--EXACT('Kiểm thử'!$F$5:$F$573,"Chưa thực hiện"))=1,"Chưa thực hiện","Chưa đủ kết luận")))))</f>
        <v/>
      </c>
    </row>
    <row r="220" ht="30" customHeight="1">
      <c r="A220" s="18" t="inlineStr">
        <is>
          <t>TC-RS-DATA-017</t>
        </is>
      </c>
      <c r="B220" s="22">
        <f>IF(0&gt;0,"Không đạt",IF(0=1,"Đạt",IF(SUMPRODUCT(--(('Kiểm thử'!$A$5:$A$573="TC-RS-DATA-017 / Base")),--EXACT('Kiểm thử'!$F$5:$F$573,"Không thực hiện"))=1,"Không thực hiện",IF(SUMPRODUCT(--(('Kiểm thử'!$A$5:$A$573="TC-RS-DATA-017 / Base")),--EXACT('Kiểm thử'!$F$5:$F$573,"Bị chặn"))&gt;0,"Bị chặn",IF(SUMPRODUCT(--(('Kiểm thử'!$A$5:$A$573="TC-RS-DATA-017 / Base")),--EXACT('Kiểm thử'!$F$5:$F$573,"Chưa thực hiện"))=1,"Chưa thực hiện","Chưa đủ kết luận")))))</f>
        <v/>
      </c>
    </row>
    <row r="221" ht="30" customHeight="1">
      <c r="A221" s="18" t="inlineStr">
        <is>
          <t>TC-RS-DATA-018</t>
        </is>
      </c>
      <c r="B221" s="22">
        <f>IF(0&gt;0,"Không đạt",IF(0=1,"Đạt",IF(SUMPRODUCT(--(('Kiểm thử'!$A$5:$A$573="TC-RS-DATA-018 / Base")),--EXACT('Kiểm thử'!$F$5:$F$573,"Không thực hiện"))=1,"Không thực hiện",IF(SUMPRODUCT(--(('Kiểm thử'!$A$5:$A$573="TC-RS-DATA-018 / Base")),--EXACT('Kiểm thử'!$F$5:$F$573,"Bị chặn"))&gt;0,"Bị chặn",IF(SUMPRODUCT(--(('Kiểm thử'!$A$5:$A$573="TC-RS-DATA-018 / Base")),--EXACT('Kiểm thử'!$F$5:$F$573,"Chưa thực hiện"))=1,"Chưa thực hiện","Chưa đủ kết luận")))))</f>
        <v/>
      </c>
    </row>
    <row r="222" ht="30" customHeight="1">
      <c r="A222" s="18" t="inlineStr">
        <is>
          <t>TC-RS-DATA-019</t>
        </is>
      </c>
      <c r="B222" s="22">
        <f>IF(0&gt;0,"Không đạt",IF(0=1,"Đạt",IF(SUMPRODUCT(--(('Kiểm thử'!$A$5:$A$573="TC-RS-DATA-019 / Base")),--EXACT('Kiểm thử'!$F$5:$F$573,"Không thực hiện"))=1,"Không thực hiện",IF(SUMPRODUCT(--(('Kiểm thử'!$A$5:$A$573="TC-RS-DATA-019 / Base")),--EXACT('Kiểm thử'!$F$5:$F$573,"Bị chặn"))&gt;0,"Bị chặn",IF(SUMPRODUCT(--(('Kiểm thử'!$A$5:$A$573="TC-RS-DATA-019 / Base")),--EXACT('Kiểm thử'!$F$5:$F$573,"Chưa thực hiện"))=1,"Chưa thực hiện","Chưa đủ kết luận")))))</f>
        <v/>
      </c>
    </row>
    <row r="223" ht="30" customHeight="1">
      <c r="A223" s="18" t="inlineStr">
        <is>
          <t>TC-RS-DATA-006</t>
        </is>
      </c>
      <c r="B223" s="22">
        <f>IF(0&gt;0,"Không đạt",IF(0=1,"Đạt",IF(SUMPRODUCT(--(('Kiểm thử'!$A$5:$A$573="TC-RS-DATA-006 / Base")),--EXACT('Kiểm thử'!$F$5:$F$573,"Không thực hiện"))=1,"Không thực hiện",IF(SUMPRODUCT(--(('Kiểm thử'!$A$5:$A$573="TC-RS-DATA-006 / Base")),--EXACT('Kiểm thử'!$F$5:$F$573,"Bị chặn"))&gt;0,"Bị chặn",IF(SUMPRODUCT(--(('Kiểm thử'!$A$5:$A$573="TC-RS-DATA-006 / Base")),--EXACT('Kiểm thử'!$F$5:$F$573,"Chưa thực hiện"))=1,"Chưa thực hiện","Chưa đủ kết luận")))))</f>
        <v/>
      </c>
    </row>
    <row r="224" ht="30" customHeight="1">
      <c r="A224" s="18" t="inlineStr">
        <is>
          <t>TC-RS-DATA-009</t>
        </is>
      </c>
      <c r="B224" s="22">
        <f>IF(0&gt;0,"Không đạt",IF(0=4,"Đạt",IF(SUMPRODUCT(--(('Kiểm thử'!$A$5:$A$573="TC-RS-DATA-009 / copy")+('Kiểm thử'!$A$5:$A$573="TC-RS-DATA-009 / year")+('Kiểm thử'!$A$5:$A$573="TC-RS-DATA-009 / import-export")+('Kiểm thử'!$A$5:$A$573="TC-RS-DATA-009 / sync")),--EXACT('Kiểm thử'!$F$5:$F$573,"Không thực hiện"))=4,"Không thực hiện",IF(SUMPRODUCT(--(('Kiểm thử'!$A$5:$A$573="TC-RS-DATA-009 / copy")+('Kiểm thử'!$A$5:$A$573="TC-RS-DATA-009 / year")+('Kiểm thử'!$A$5:$A$573="TC-RS-DATA-009 / import-export")+('Kiểm thử'!$A$5:$A$573="TC-RS-DATA-009 / sync")),--EXACT('Kiểm thử'!$F$5:$F$573,"Bị chặn"))&gt;0,"Bị chặn",IF(SUMPRODUCT(--(('Kiểm thử'!$A$5:$A$573="TC-RS-DATA-009 / copy")+('Kiểm thử'!$A$5:$A$573="TC-RS-DATA-009 / year")+('Kiểm thử'!$A$5:$A$573="TC-RS-DATA-009 / import-export")+('Kiểm thử'!$A$5:$A$573="TC-RS-DATA-009 / sync")),--EXACT('Kiểm thử'!$F$5:$F$573,"Chưa thực hiện"))=4,"Chưa thực hiện","Chưa đủ kết luận")))))</f>
        <v/>
      </c>
    </row>
    <row r="225" ht="30" customHeight="1">
      <c r="A225" s="18" t="inlineStr">
        <is>
          <t>TC-RS-UI-018</t>
        </is>
      </c>
      <c r="B225" s="22">
        <f>IF(0&gt;0,"Không đạt",IF(0=1,"Đạt",IF(SUMPRODUCT(--(('Kiểm thử'!$A$5:$A$573="TC-RS-UI-018 / Base")),--EXACT('Kiểm thử'!$F$5:$F$573,"Không thực hiện"))=1,"Không thực hiện",IF(SUMPRODUCT(--(('Kiểm thử'!$A$5:$A$573="TC-RS-UI-018 / Base")),--EXACT('Kiểm thử'!$F$5:$F$573,"Bị chặn"))&gt;0,"Bị chặn",IF(SUMPRODUCT(--(('Kiểm thử'!$A$5:$A$573="TC-RS-UI-018 / Base")),--EXACT('Kiểm thử'!$F$5:$F$573,"Chưa thực hiện"))=1,"Chưa thực hiện","Chưa đủ kết luận")))))</f>
        <v/>
      </c>
    </row>
    <row r="226" ht="30" customHeight="1">
      <c r="A226" s="18" t="inlineStr">
        <is>
          <t>TC-RS-UI-019</t>
        </is>
      </c>
      <c r="B226" s="22">
        <f>IF(0&gt;0,"Không đạt",IF(0=2,"Đạt",IF(SUMPRODUCT(--(('Kiểm thử'!$A$5:$A$573="TC-RS-UI-019 / missing")+('Kiểm thử'!$A$5:$A$573="TC-RS-UI-019 / partial")),--EXACT('Kiểm thử'!$F$5:$F$573,"Không thực hiện"))=2,"Không thực hiện",IF(SUMPRODUCT(--(('Kiểm thử'!$A$5:$A$573="TC-RS-UI-019 / missing")+('Kiểm thử'!$A$5:$A$573="TC-RS-UI-019 / partial")),--EXACT('Kiểm thử'!$F$5:$F$573,"Bị chặn"))&gt;0,"Bị chặn",IF(SUMPRODUCT(--(('Kiểm thử'!$A$5:$A$573="TC-RS-UI-019 / missing")+('Kiểm thử'!$A$5:$A$573="TC-RS-UI-019 / partial")),--EXACT('Kiểm thử'!$F$5:$F$573,"Chưa thực hiện"))=2,"Chưa thực hiện","Chưa đủ kết luận")))))</f>
        <v/>
      </c>
    </row>
    <row r="227" ht="30" customHeight="1">
      <c r="A227" s="18" t="inlineStr">
        <is>
          <t>TC-RS-ERR-001</t>
        </is>
      </c>
      <c r="B227" s="22">
        <f>IF(0&gt;0,"Không đạt",IF(0=3,"Đạt",IF(SUMPRODUCT(--(('Kiểm thử'!$A$5:$A$573="TC-RS-ERR-001 / extract")+('Kiểm thử'!$A$5:$A$573="TC-RS-ERR-001 / publish")+('Kiểm thử'!$A$5:$A$573="TC-RS-ERR-001 / report")),--EXACT('Kiểm thử'!$F$5:$F$573,"Không thực hiện"))=3,"Không thực hiện",IF(SUMPRODUCT(--(('Kiểm thử'!$A$5:$A$573="TC-RS-ERR-001 / extract")+('Kiểm thử'!$A$5:$A$573="TC-RS-ERR-001 / publish")+('Kiểm thử'!$A$5:$A$573="TC-RS-ERR-001 / report")),--EXACT('Kiểm thử'!$F$5:$F$573,"Bị chặn"))&gt;0,"Bị chặn",IF(SUMPRODUCT(--(('Kiểm thử'!$A$5:$A$573="TC-RS-ERR-001 / extract")+('Kiểm thử'!$A$5:$A$573="TC-RS-ERR-001 / publish")+('Kiểm thử'!$A$5:$A$573="TC-RS-ERR-001 / report")),--EXACT('Kiểm thử'!$F$5:$F$573,"Chưa thực hiện"))=3,"Chưa thực hiện","Chưa đủ kết luận")))))</f>
        <v/>
      </c>
    </row>
    <row r="228" ht="30" customHeight="1">
      <c r="A228" s="18" t="inlineStr">
        <is>
          <t>TC-RS-ERR-002</t>
        </is>
      </c>
      <c r="B228" s="22">
        <f>IF(0&gt;0,"Không đạt",IF(0=15,"Đạt",IF(SUMPRODUCT(--(('Kiểm thử'!$A$5:$A$573="TC-RS-ERR-002 / direct-success-delete")+('Kiểm thử'!$A$5:$A$573="TC-RS-ERR-002 / csv-success-delete")+('Kiểm thử'!$A$5:$A$573="TC-RS-ERR-002 / linked-success-delete")+('Kiểm thử'!$A$5:$A$573="TC-RS-ERR-002 / direct-delete-save-failure")+('Kiểm thử'!$A$5:$A$573="TC-RS-ERR-002 / csv-delete-save-failure")+('Kiểm thử'!$A$5:$A$573="TC-RS-ERR-002 / linked-delete-save-failure")+('Kiểm thử'!$A$5:$A$573="TC-RS-ERR-002 / direct-delete-result-write-failure")+('Kiểm thử'!$A$5:$A$573="TC-RS-ERR-002 / csv-delete-result-write-failure")+('Kiểm thử'!$A$5:$A$573="TC-RS-ERR-002 / linked-delete-result-write-failure")+('Kiểm thử'!$A$5:$A$573="TC-RS-ERR-002 / direct-edit-save-failure")+('Kiểm thử'!$A$5:$A$573="TC-RS-ERR-002 / csv-edit-save-failure")+('Kiểm thử'!$A$5:$A$573="TC-RS-ERR-002 / linked-edit-save-failure")+('Kiểm thử'!$A$5:$A$573="TC-RS-ERR-002 / direct-edit-result-write-failure")+('Kiểm thử'!$A$5:$A$573="TC-RS-ERR-002 / csv-edit-result-write-failure")+('Kiểm thử'!$A$5:$A$573="TC-RS-ERR-002 / linked-edit-result-write-failure")),--EXACT('Kiểm thử'!$F$5:$F$573,"Không thực hiện"))=15,"Không thực hiện",IF(SUMPRODUCT(--(('Kiểm thử'!$A$5:$A$573="TC-RS-ERR-002 / direct-success-delete")+('Kiểm thử'!$A$5:$A$573="TC-RS-ERR-002 / csv-success-delete")+('Kiểm thử'!$A$5:$A$573="TC-RS-ERR-002 / linked-success-delete")+('Kiểm thử'!$A$5:$A$573="TC-RS-ERR-002 / direct-delete-save-failure")+('Kiểm thử'!$A$5:$A$573="TC-RS-ERR-002 / csv-delete-save-failure")+('Kiểm thử'!$A$5:$A$573="TC-RS-ERR-002 / linked-delete-save-failure")+('Kiểm thử'!$A$5:$A$573="TC-RS-ERR-002 / direct-delete-result-write-failure")+('Kiểm thử'!$A$5:$A$573="TC-RS-ERR-002 / csv-delete-result-write-failure")+('Kiểm thử'!$A$5:$A$573="TC-RS-ERR-002 / linked-delete-result-write-failure")+('Kiểm thử'!$A$5:$A$573="TC-RS-ERR-002 / direct-edit-save-failure")+('Kiểm thử'!$A$5:$A$573="TC-RS-ERR-002 / csv-edit-save-failure")+('Kiểm thử'!$A$5:$A$573="TC-RS-ERR-002 / linked-edit-save-failure")+('Kiểm thử'!$A$5:$A$573="TC-RS-ERR-002 / direct-edit-result-write-failure")+('Kiểm thử'!$A$5:$A$573="TC-RS-ERR-002 / csv-edit-result-write-failure")+('Kiểm thử'!$A$5:$A$573="TC-RS-ERR-002 / linked-edit-result-write-failure")),--EXACT('Kiểm thử'!$F$5:$F$573,"Bị chặn"))&gt;0,"Bị chặn",IF(SUMPRODUCT(--(('Kiểm thử'!$A$5:$A$573="TC-RS-ERR-002 / direct-success-delete")+('Kiểm thử'!$A$5:$A$573="TC-RS-ERR-002 / csv-success-delete")+('Kiểm thử'!$A$5:$A$573="TC-RS-ERR-002 / linked-success-delete")+('Kiểm thử'!$A$5:$A$573="TC-RS-ERR-002 / direct-delete-save-failure")+('Kiểm thử'!$A$5:$A$573="TC-RS-ERR-002 / csv-delete-save-failure")+('Kiểm thử'!$A$5:$A$573="TC-RS-ERR-002 / linked-delete-save-failure")+('Kiểm thử'!$A$5:$A$573="TC-RS-ERR-002 / direct-delete-result-write-failure")+('Kiểm thử'!$A$5:$A$573="TC-RS-ERR-002 / csv-delete-result-write-failure")+('Kiểm thử'!$A$5:$A$573="TC-RS-ERR-002 / linked-delete-result-write-failure")+('Kiểm thử'!$A$5:$A$573="TC-RS-ERR-002 / direct-edit-save-failure")+('Kiểm thử'!$A$5:$A$573="TC-RS-ERR-002 / csv-edit-save-failure")+('Kiểm thử'!$A$5:$A$573="TC-RS-ERR-002 / linked-edit-save-failure")+('Kiểm thử'!$A$5:$A$573="TC-RS-ERR-002 / direct-edit-result-write-failure")+('Kiểm thử'!$A$5:$A$573="TC-RS-ERR-002 / csv-edit-result-write-failure")+('Kiểm thử'!$A$5:$A$573="TC-RS-ERR-002 / linked-edit-result-write-failure")),--EXACT('Kiểm thử'!$F$5:$F$573,"Chưa thực hiện"))=15,"Chưa thực hiện","Chưa đủ kết luận")))))</f>
        <v/>
      </c>
    </row>
    <row r="229" ht="30" customHeight="1">
      <c r="A229" s="18" t="inlineStr">
        <is>
          <t>TC-RS-ERR-003</t>
        </is>
      </c>
      <c r="B229" s="22">
        <f>IF(0&gt;0,"Không đạt",IF(0=3,"Đạt",IF(SUMPRODUCT(--(('Kiểm thử'!$A$5:$A$573="TC-RS-ERR-003 / partial-G-A2-failure")+('Kiểm thử'!$A$5:$A$573="TC-RS-ERR-003 / retry-G-A2-only")+('Kiểm thử'!$A$5:$A$573="TC-RS-ERR-003 / concurrent-score-write")),--EXACT('Kiểm thử'!$F$5:$F$573,"Không thực hiện"))=3,"Không thực hiện",IF(SUMPRODUCT(--(('Kiểm thử'!$A$5:$A$573="TC-RS-ERR-003 / partial-G-A2-failure")+('Kiểm thử'!$A$5:$A$573="TC-RS-ERR-003 / retry-G-A2-only")+('Kiểm thử'!$A$5:$A$573="TC-RS-ERR-003 / concurrent-score-write")),--EXACT('Kiểm thử'!$F$5:$F$573,"Bị chặn"))&gt;0,"Bị chặn",IF(SUMPRODUCT(--(('Kiểm thử'!$A$5:$A$573="TC-RS-ERR-003 / partial-G-A2-failure")+('Kiểm thử'!$A$5:$A$573="TC-RS-ERR-003 / retry-G-A2-only")+('Kiểm thử'!$A$5:$A$573="TC-RS-ERR-003 / concurrent-score-write")),--EXACT('Kiểm thử'!$F$5:$F$573,"Chưa thực hiện"))=3,"Chưa thực hiện","Chưa đủ kết luận")))))</f>
        <v/>
      </c>
    </row>
    <row r="230" ht="30" customHeight="1">
      <c r="A230" s="18" t="inlineStr">
        <is>
          <t>TC-RS-ERR-004</t>
        </is>
      </c>
      <c r="B230" s="22">
        <f>IF(0&gt;0,"Không đạt",IF(0=1,"Đạt",IF(SUMPRODUCT(--(('Kiểm thử'!$A$5:$A$573="TC-RS-ERR-004 / Base")),--EXACT('Kiểm thử'!$F$5:$F$573,"Không thực hiện"))=1,"Không thực hiện",IF(SUMPRODUCT(--(('Kiểm thử'!$A$5:$A$573="TC-RS-ERR-004 / Base")),--EXACT('Kiểm thử'!$F$5:$F$573,"Bị chặn"))&gt;0,"Bị chặn",IF(SUMPRODUCT(--(('Kiểm thử'!$A$5:$A$573="TC-RS-ERR-004 / Base")),--EXACT('Kiểm thử'!$F$5:$F$573,"Chưa thực hiện"))=1,"Chưa thực hiện","Chưa đủ kết luận")))))</f>
        <v/>
      </c>
    </row>
    <row r="231" ht="30" customHeight="1">
      <c r="A231" s="18" t="inlineStr">
        <is>
          <t>TC-RS-ERR-005</t>
        </is>
      </c>
      <c r="B231" s="22">
        <f>IF(0&gt;0,"Không đạt",IF(0=4,"Đạt",IF(SUMPRODUCT(--(('Kiểm thử'!$A$5:$A$573="TC-RS-ERR-005 / save-error")+('Kiểm thử'!$A$5:$A$573="TC-RS-ERR-005 / batch-error")+('Kiểm thử'!$A$5:$A$573="TC-RS-ERR-005 / permission-error")+('Kiểm thử'!$A$5:$A$573="TC-RS-ERR-005 / input-error")),--EXACT('Kiểm thử'!$F$5:$F$573,"Không thực hiện"))=4,"Không thực hiện",IF(SUMPRODUCT(--(('Kiểm thử'!$A$5:$A$573="TC-RS-ERR-005 / save-error")+('Kiểm thử'!$A$5:$A$573="TC-RS-ERR-005 / batch-error")+('Kiểm thử'!$A$5:$A$573="TC-RS-ERR-005 / permission-error")+('Kiểm thử'!$A$5:$A$573="TC-RS-ERR-005 / input-error")),--EXACT('Kiểm thử'!$F$5:$F$573,"Bị chặn"))&gt;0,"Bị chặn",IF(SUMPRODUCT(--(('Kiểm thử'!$A$5:$A$573="TC-RS-ERR-005 / save-error")+('Kiểm thử'!$A$5:$A$573="TC-RS-ERR-005 / batch-error")+('Kiểm thử'!$A$5:$A$573="TC-RS-ERR-005 / permission-error")+('Kiểm thử'!$A$5:$A$573="TC-RS-ERR-005 / input-error")),--EXACT('Kiểm thử'!$F$5:$F$573,"Chưa thực hiện"))=4,"Chưa thực hiện","Chưa đủ kết luận")))))</f>
        <v/>
      </c>
    </row>
    <row r="232" ht="30" customHeight="1">
      <c r="A232" s="18" t="inlineStr">
        <is>
          <t>TC-RS-ERR-011</t>
        </is>
      </c>
      <c r="B232" s="22">
        <f>IF(0&gt;0,"Không đạt",IF(0=6,"Đạt",IF(SUMPRODUCT(--(('Kiểm thử'!$A$5:$A$573="TC-RS-ERR-011 / score-update")+('Kiểm thử'!$A$5:$A$573="TC-RS-ERR-011 / rule-update")+('Kiểm thử'!$A$5:$A$573="TC-RS-ERR-011 / aggregation-snapshot-update")+('Kiểm thử'!$A$5:$A$573="TC-RS-ERR-011 / edit-away-and-back")+('Kiểm thử'!$A$5:$A$573="TC-RS-ERR-011 / delete-and-recreate")+('Kiểm thử'!$A$5:$A$573="TC-RS-ERR-011 / rule-update-without-score-write")),--EXACT('Kiểm thử'!$F$5:$F$573,"Không thực hiện"))=6,"Không thực hiện",IF(SUMPRODUCT(--(('Kiểm thử'!$A$5:$A$573="TC-RS-ERR-011 / score-update")+('Kiểm thử'!$A$5:$A$573="TC-RS-ERR-011 / rule-update")+('Kiểm thử'!$A$5:$A$573="TC-RS-ERR-011 / aggregation-snapshot-update")+('Kiểm thử'!$A$5:$A$573="TC-RS-ERR-011 / edit-away-and-back")+('Kiểm thử'!$A$5:$A$573="TC-RS-ERR-011 / delete-and-recreate")+('Kiểm thử'!$A$5:$A$573="TC-RS-ERR-011 / rule-update-without-score-write")),--EXACT('Kiểm thử'!$F$5:$F$573,"Bị chặn"))&gt;0,"Bị chặn",IF(SUMPRODUCT(--(('Kiểm thử'!$A$5:$A$573="TC-RS-ERR-011 / score-update")+('Kiểm thử'!$A$5:$A$573="TC-RS-ERR-011 / rule-update")+('Kiểm thử'!$A$5:$A$573="TC-RS-ERR-011 / aggregation-snapshot-update")+('Kiểm thử'!$A$5:$A$573="TC-RS-ERR-011 / edit-away-and-back")+('Kiểm thử'!$A$5:$A$573="TC-RS-ERR-011 / delete-and-recreate")+('Kiểm thử'!$A$5:$A$573="TC-RS-ERR-011 / rule-update-without-score-write")),--EXACT('Kiểm thử'!$F$5:$F$573,"Chưa thực hiện"))=6,"Chưa thực hiện","Chưa đủ kết luận")))))</f>
        <v/>
      </c>
    </row>
    <row r="233" ht="30" customHeight="1">
      <c r="A233" s="18" t="inlineStr">
        <is>
          <t>TC-RS-ERR-018</t>
        </is>
      </c>
      <c r="B233" s="22">
        <f>IF(0&gt;0,"Không đạt",IF(0=3,"Đạt",IF(SUMPRODUCT(--(('Kiểm thử'!$A$5:$A$573="TC-RS-ERR-018 / concurrent")+('Kiểm thử'!$A$5:$A$573="TC-RS-ERR-018 / replay-form")+('Kiểm thử'!$A$5:$A$573="TC-RS-ERR-018 / replay-job")),--EXACT('Kiểm thử'!$F$5:$F$573,"Không thực hiện"))=3,"Không thực hiện",IF(SUMPRODUCT(--(('Kiểm thử'!$A$5:$A$573="TC-RS-ERR-018 / concurrent")+('Kiểm thử'!$A$5:$A$573="TC-RS-ERR-018 / replay-form")+('Kiểm thử'!$A$5:$A$573="TC-RS-ERR-018 / replay-job")),--EXACT('Kiểm thử'!$F$5:$F$573,"Bị chặn"))&gt;0,"Bị chặn",IF(SUMPRODUCT(--(('Kiểm thử'!$A$5:$A$573="TC-RS-ERR-018 / concurrent")+('Kiểm thử'!$A$5:$A$573="TC-RS-ERR-018 / replay-form")+('Kiểm thử'!$A$5:$A$573="TC-RS-ERR-018 / replay-job")),--EXACT('Kiểm thử'!$F$5:$F$573,"Chưa thực hiện"))=3,"Chưa thực hiện","Chưa đủ kết luận")))))</f>
        <v/>
      </c>
    </row>
    <row r="234" ht="30" customHeight="1">
      <c r="A234" s="18" t="inlineStr">
        <is>
          <t>TC-RS-ERR-019</t>
        </is>
      </c>
      <c r="B234" s="22">
        <f>IF(0&gt;0,"Không đạt",IF(0=1,"Đạt",IF(SUMPRODUCT(--(('Kiểm thử'!$A$5:$A$573="TC-RS-ERR-019 / Base")),--EXACT('Kiểm thử'!$F$5:$F$573,"Không thực hiện"))=1,"Không thực hiện",IF(SUMPRODUCT(--(('Kiểm thử'!$A$5:$A$573="TC-RS-ERR-019 / Base")),--EXACT('Kiểm thử'!$F$5:$F$573,"Bị chặn"))&gt;0,"Bị chặn",IF(SUMPRODUCT(--(('Kiểm thử'!$A$5:$A$573="TC-RS-ERR-019 / Base")),--EXACT('Kiểm thử'!$F$5:$F$573,"Chưa thực hiện"))=1,"Chưa thực hiện","Chưa đủ kết luận")))))</f>
        <v/>
      </c>
    </row>
    <row r="235" ht="30" customHeight="1">
      <c r="A235" s="18" t="inlineStr">
        <is>
          <t>TC-RS-UI-025</t>
        </is>
      </c>
      <c r="B235" s="22">
        <f>IF(0&gt;0,"Không đạt",IF(0=1,"Đạt",IF(SUMPRODUCT(--(('Kiểm thử'!$A$5:$A$573="TC-RS-UI-025 / Base")),--EXACT('Kiểm thử'!$F$5:$F$573,"Không thực hiện"))=1,"Không thực hiện",IF(SUMPRODUCT(--(('Kiểm thử'!$A$5:$A$573="TC-RS-UI-025 / Base")),--EXACT('Kiểm thử'!$F$5:$F$573,"Bị chặn"))&gt;0,"Bị chặn",IF(SUMPRODUCT(--(('Kiểm thử'!$A$5:$A$573="TC-RS-UI-025 / Base")),--EXACT('Kiểm thử'!$F$5:$F$573,"Chưa thực hiện"))=1,"Chưa thực hiện","Chưa đủ kết luận")))))</f>
        <v/>
      </c>
    </row>
    <row r="236" ht="30" customHeight="1">
      <c r="A236" s="18" t="inlineStr">
        <is>
          <t>TC-RS-REG-001</t>
        </is>
      </c>
      <c r="B236" s="22">
        <f>IF(0&gt;0,"Không đạt",IF(0=1,"Đạt",IF(SUMPRODUCT(--(('Kiểm thử'!$A$5:$A$573="TC-RS-REG-001 / Base")),--EXACT('Kiểm thử'!$F$5:$F$573,"Không thực hiện"))=1,"Không thực hiện",IF(SUMPRODUCT(--(('Kiểm thử'!$A$5:$A$573="TC-RS-REG-001 / Base")),--EXACT('Kiểm thử'!$F$5:$F$573,"Bị chặn"))&gt;0,"Bị chặn",IF(SUMPRODUCT(--(('Kiểm thử'!$A$5:$A$573="TC-RS-REG-001 / Base")),--EXACT('Kiểm thử'!$F$5:$F$573,"Chưa thực hiện"))=1,"Chưa thực hiện","Chưa đủ kết luận")))))</f>
        <v/>
      </c>
    </row>
    <row r="237" ht="30" customHeight="1">
      <c r="A237" s="18" t="inlineStr">
        <is>
          <t>TC-RS-REG-002</t>
        </is>
      </c>
      <c r="B237" s="22">
        <f>IF(0&gt;0,"Không đạt",IF(0=1,"Đạt",IF(SUMPRODUCT(--(('Kiểm thử'!$A$5:$A$573="TC-RS-REG-002 / Base")),--EXACT('Kiểm thử'!$F$5:$F$573,"Không thực hiện"))=1,"Không thực hiện",IF(SUMPRODUCT(--(('Kiểm thử'!$A$5:$A$573="TC-RS-REG-002 / Base")),--EXACT('Kiểm thử'!$F$5:$F$573,"Bị chặn"))&gt;0,"Bị chặn",IF(SUMPRODUCT(--(('Kiểm thử'!$A$5:$A$573="TC-RS-REG-002 / Base")),--EXACT('Kiểm thử'!$F$5:$F$573,"Chưa thực hiện"))=1,"Chưa thực hiện","Chưa đủ kết luận")))))</f>
        <v/>
      </c>
    </row>
    <row r="238" ht="30" customHeight="1">
      <c r="A238" s="18" t="inlineStr">
        <is>
          <t>TC-RS-REG-004</t>
        </is>
      </c>
      <c r="B238" s="22">
        <f>IF(0&gt;0,"Không đạt",IF(0=2,"Đạt",IF(SUMPRODUCT(--(('Kiểm thử'!$A$5:$A$573="TC-RS-REG-004 / orange")+('Kiểm thử'!$A$5:$A$573="TC-RS-REG-004 / green")),--EXACT('Kiểm thử'!$F$5:$F$573,"Không thực hiện"))=2,"Không thực hiện",IF(SUMPRODUCT(--(('Kiểm thử'!$A$5:$A$573="TC-RS-REG-004 / orange")+('Kiểm thử'!$A$5:$A$573="TC-RS-REG-004 / green")),--EXACT('Kiểm thử'!$F$5:$F$573,"Bị chặn"))&gt;0,"Bị chặn",IF(SUMPRODUCT(--(('Kiểm thử'!$A$5:$A$573="TC-RS-REG-004 / orange")+('Kiểm thử'!$A$5:$A$573="TC-RS-REG-004 / green")),--EXACT('Kiểm thử'!$F$5:$F$573,"Chưa thực hiện"))=2,"Chưa thực hiện","Chưa đủ kết luận")))))</f>
        <v/>
      </c>
    </row>
    <row r="239" ht="30" customHeight="1">
      <c r="A239" s="18" t="inlineStr">
        <is>
          <t>TC-RS-REG-005</t>
        </is>
      </c>
      <c r="B239" s="22">
        <f>IF(0&gt;0,"Không đạt",IF(0=1,"Đạt",IF(SUMPRODUCT(--(('Kiểm thử'!$A$5:$A$573="TC-RS-REG-005 / Base")),--EXACT('Kiểm thử'!$F$5:$F$573,"Không thực hiện"))=1,"Không thực hiện",IF(SUMPRODUCT(--(('Kiểm thử'!$A$5:$A$573="TC-RS-REG-005 / Base")),--EXACT('Kiểm thử'!$F$5:$F$573,"Bị chặn"))&gt;0,"Bị chặn",IF(SUMPRODUCT(--(('Kiểm thử'!$A$5:$A$573="TC-RS-REG-005 / Base")),--EXACT('Kiểm thử'!$F$5:$F$573,"Chưa thực hiện"))=1,"Chưa thực hiện","Chưa đủ kết luận")))))</f>
        <v/>
      </c>
    </row>
    <row r="240" ht="30" customHeight="1">
      <c r="A240" s="18" t="inlineStr">
        <is>
          <t>TC-RS-REG-013</t>
        </is>
      </c>
      <c r="B240" s="22">
        <f>IF(0&gt;0,"Không đạt",IF(0=3,"Đạt",IF(SUMPRODUCT(--(('Kiểm thử'!$A$5:$A$573="TC-RS-REG-013 / definition")+('Kiểm thử'!$A$5:$A$573="TC-RS-REG-013 / maximum")+('Kiểm thử'!$A$5:$A$573="TC-RS-REG-013 / batch")),--EXACT('Kiểm thử'!$F$5:$F$573,"Không thực hiện"))=3,"Không thực hiện",IF(SUMPRODUCT(--(('Kiểm thử'!$A$5:$A$573="TC-RS-REG-013 / definition")+('Kiểm thử'!$A$5:$A$573="TC-RS-REG-013 / maximum")+('Kiểm thử'!$A$5:$A$573="TC-RS-REG-013 / batch")),--EXACT('Kiểm thử'!$F$5:$F$573,"Bị chặn"))&gt;0,"Bị chặn",IF(SUMPRODUCT(--(('Kiểm thử'!$A$5:$A$573="TC-RS-REG-013 / definition")+('Kiểm thử'!$A$5:$A$573="TC-RS-REG-013 / maximum")+('Kiểm thử'!$A$5:$A$573="TC-RS-REG-013 / batch")),--EXACT('Kiểm thử'!$F$5:$F$573,"Chưa thực hiện"))=3,"Chưa thực hiện","Chưa đủ kết luận")))))</f>
        <v/>
      </c>
    </row>
    <row r="241" ht="30" customHeight="1">
      <c r="A241" s="18" t="inlineStr">
        <is>
          <t>TC-RS-REG-014</t>
        </is>
      </c>
      <c r="B241" s="22">
        <f>IF(0&gt;0,"Không đạt",IF(0=2,"Đạt",IF(SUMPRODUCT(--(('Kiểm thử'!$A$5:$A$573="TC-RS-REG-014 / size10")+('Kiểm thử'!$A$5:$A$573="TC-RS-REG-014 / size100")),--EXACT('Kiểm thử'!$F$5:$F$573,"Không thực hiện"))=2,"Không thực hiện",IF(SUMPRODUCT(--(('Kiểm thử'!$A$5:$A$573="TC-RS-REG-014 / size10")+('Kiểm thử'!$A$5:$A$573="TC-RS-REG-014 / size100")),--EXACT('Kiểm thử'!$F$5:$F$573,"Bị chặn"))&gt;0,"Bị chặn",IF(SUMPRODUCT(--(('Kiểm thử'!$A$5:$A$573="TC-RS-REG-014 / size10")+('Kiểm thử'!$A$5:$A$573="TC-RS-REG-014 / size100")),--EXACT('Kiểm thử'!$F$5:$F$573,"Chưa thực hiện"))=2,"Chưa thực hiện","Chưa đủ kết luận")))))</f>
        <v/>
      </c>
    </row>
    <row r="242" ht="30" customHeight="1">
      <c r="A242" s="18" t="inlineStr">
        <is>
          <t>TC-RS-REG-016</t>
        </is>
      </c>
      <c r="B242" s="22">
        <f>IF(0&gt;0,"Không đạt",IF(0=3,"Đạt",IF(SUMPRODUCT(--(('Kiểm thử'!$A$5:$A$573="TC-RS-REG-016 / direct")+('Kiểm thử'!$A$5:$A$573="TC-RS-REG-016 / csv")+('Kiểm thử'!$A$5:$A$573="TC-RS-REG-016 / hr-csv")),--EXACT('Kiểm thử'!$F$5:$F$573,"Không thực hiện"))=3,"Không thực hiện",IF(SUMPRODUCT(--(('Kiểm thử'!$A$5:$A$573="TC-RS-REG-016 / direct")+('Kiểm thử'!$A$5:$A$573="TC-RS-REG-016 / csv")+('Kiểm thử'!$A$5:$A$573="TC-RS-REG-016 / hr-csv")),--EXACT('Kiểm thử'!$F$5:$F$573,"Bị chặn"))&gt;0,"Bị chặn",IF(SUMPRODUCT(--(('Kiểm thử'!$A$5:$A$573="TC-RS-REG-016 / direct")+('Kiểm thử'!$A$5:$A$573="TC-RS-REG-016 / csv")+('Kiểm thử'!$A$5:$A$573="TC-RS-REG-016 / hr-csv")),--EXACT('Kiểm thử'!$F$5:$F$573,"Chưa thực hiện"))=3,"Chưa thực hiện","Chưa đủ kết luận")))))</f>
        <v/>
      </c>
    </row>
    <row r="243" ht="30" customHeight="1">
      <c r="A243" s="18" t="inlineStr">
        <is>
          <t>TC-RS-REG-017</t>
        </is>
      </c>
      <c r="B243" s="22">
        <f>IF(0&gt;0,"Không đạt",IF(0=1,"Đạt",IF(SUMPRODUCT(--(('Kiểm thử'!$A$5:$A$573="TC-RS-REG-017 / Base")),--EXACT('Kiểm thử'!$F$5:$F$573,"Không thực hiện"))=1,"Không thực hiện",IF(SUMPRODUCT(--(('Kiểm thử'!$A$5:$A$573="TC-RS-REG-017 / Base")),--EXACT('Kiểm thử'!$F$5:$F$573,"Bị chặn"))&gt;0,"Bị chặn",IF(SUMPRODUCT(--(('Kiểm thử'!$A$5:$A$573="TC-RS-REG-017 / Base")),--EXACT('Kiểm thử'!$F$5:$F$573,"Chưa thực hiện"))=1,"Chưa thực hiện","Chưa đủ kết luận")))))</f>
        <v/>
      </c>
    </row>
    <row r="244" ht="30" customHeight="1">
      <c r="A244" s="18" t="inlineStr">
        <is>
          <t>TC-RS-REG-011</t>
        </is>
      </c>
      <c r="B244" s="22">
        <f>IF(0&gt;0,"Không đạt",IF(0=1,"Đạt",IF(SUMPRODUCT(--(('Kiểm thử'!$A$5:$A$573="TC-RS-REG-011 / Base")),--EXACT('Kiểm thử'!$F$5:$F$573,"Không thực hiện"))=1,"Không thực hiện",IF(SUMPRODUCT(--(('Kiểm thử'!$A$5:$A$573="TC-RS-REG-011 / Base")),--EXACT('Kiểm thử'!$F$5:$F$573,"Bị chặn"))&gt;0,"Bị chặn",IF(SUMPRODUCT(--(('Kiểm thử'!$A$5:$A$573="TC-RS-REG-011 / Base")),--EXACT('Kiểm thử'!$F$5:$F$573,"Chưa thực hiện"))=1,"Chưa thực hiện","Chưa đủ kết luận")))))</f>
        <v/>
      </c>
    </row>
    <row r="245" ht="30" customHeight="1">
      <c r="A245" s="18" t="inlineStr">
        <is>
          <t>TC-RS-REG-012</t>
        </is>
      </c>
      <c r="B245" s="22">
        <f>IF(0&gt;0,"Không đạt",IF(0=4,"Đạt",IF(SUMPRODUCT(--(('Kiểm thử'!$A$5:$A$573="TC-RS-REG-012 / copy")+('Kiểm thử'!$A$5:$A$573="TC-RS-REG-012 / year")+('Kiểm thử'!$A$5:$A$573="TC-RS-REG-012 / import")+('Kiểm thử'!$A$5:$A$573="TC-RS-REG-012 / sync")),--EXACT('Kiểm thử'!$F$5:$F$573,"Không thực hiện"))=4,"Không thực hiện",IF(SUMPRODUCT(--(('Kiểm thử'!$A$5:$A$573="TC-RS-REG-012 / copy")+('Kiểm thử'!$A$5:$A$573="TC-RS-REG-012 / year")+('Kiểm thử'!$A$5:$A$573="TC-RS-REG-012 / import")+('Kiểm thử'!$A$5:$A$573="TC-RS-REG-012 / sync")),--EXACT('Kiểm thử'!$F$5:$F$573,"Bị chặn"))&gt;0,"Bị chặn",IF(SUMPRODUCT(--(('Kiểm thử'!$A$5:$A$573="TC-RS-REG-012 / copy")+('Kiểm thử'!$A$5:$A$573="TC-RS-REG-012 / year")+('Kiểm thử'!$A$5:$A$573="TC-RS-REG-012 / import")+('Kiểm thử'!$A$5:$A$573="TC-RS-REG-012 / sync")),--EXACT('Kiểm thử'!$F$5:$F$573,"Chưa thực hiện"))=4,"Chưa thực hiện","Chưa đủ kết luận")))))</f>
        <v/>
      </c>
    </row>
  </sheetData>
  <mergeCells count="1">
    <mergeCell ref="A3:B3"/>
  </mergeCells>
  <printOptions horizontalCentered="0"/>
  <pageMargins left="0.7" right="0.7" top="0.75" bottom="0.75" header="0.3" footer="0.3"/>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G57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2" customWidth="1" min="3" max="3"/>
    <col width="32" customWidth="1" min="4" max="4"/>
    <col width="32" customWidth="1" min="5" max="5"/>
    <col width="17" customWidth="1" min="6" max="6"/>
    <col width="28" customWidth="1" min="7" max="7"/>
  </cols>
  <sheetData>
    <row r="1" ht="32" customHeight="1">
      <c r="A1" s="4" t="inlineStr">
        <is>
          <t>Kiểm thử</t>
        </is>
      </c>
      <c r="B1" s="3" t="n"/>
      <c r="C1" s="3" t="n"/>
      <c r="D1" s="3" t="n"/>
      <c r="E1" s="3" t="n"/>
      <c r="F1" s="3" t="n"/>
      <c r="G1" s="3" t="n"/>
    </row>
    <row r="2" ht="12" customHeight="1">
      <c r="A2" s="3" t="n"/>
      <c r="B2" s="3" t="n"/>
      <c r="C2" s="3" t="n"/>
      <c r="D2" s="3" t="n"/>
      <c r="E2" s="3" t="n"/>
      <c r="F2" s="3" t="n"/>
      <c r="G2" s="3" t="n"/>
    </row>
    <row r="3" ht="58" customHeight="1">
      <c r="A3" s="3" t="inlineStr">
        <is>
          <t>Nhập kết quả thực tế và trạng thái; dòng đầu ô Bằng chứng / lỗi ghi URL HTTPS, các dòng sau ghi lý do và bước tiếp theo khi chưa đạt. Mục ngoài phạm vi chọn Không thực hiện; chỉ phán định Đạt/Không đạt có kỳ vọng đã xác nhận, điều kiện sẵn sàng và dữ liệu nhập đủ mới được tính. Phần trích chỉ để đọc lướt; mở ô có Xem chi tiết để đọc đầy đủ trước khi chạy.</t>
        </is>
      </c>
    </row>
    <row r="4" ht="38" customHeight="1">
      <c r="A4" s="15" t="inlineStr">
        <is>
          <t>Mã kiểm thử</t>
        </is>
      </c>
      <c r="B4" s="15" t="inlineStr">
        <is>
          <t>Màn hình / chức năng</t>
        </is>
      </c>
      <c r="C4" s="15" t="inlineStr">
        <is>
          <t>Điều kiện / thao tác</t>
        </is>
      </c>
      <c r="D4" s="15" t="inlineStr">
        <is>
          <t>Kết quả mong đợi</t>
        </is>
      </c>
      <c r="E4" s="15" t="inlineStr">
        <is>
          <t>Kết quả thực tế</t>
        </is>
      </c>
      <c r="F4" s="15" t="inlineStr">
        <is>
          <t>Trạng thái</t>
        </is>
      </c>
      <c r="G4" s="15" t="inlineStr">
        <is>
          <t>Bằng chứng / lỗi</t>
        </is>
      </c>
    </row>
    <row r="5" ht="163" customHeight="1">
      <c r="A5" s="18" t="inlineStr">
        <is>
          <t>TC-RS-FUNC-001 / integer</t>
        </is>
      </c>
      <c r="B5" s="18" t="inlineStr">
        <is>
          <t>Thiết lập điểm đỏ（赤点設定）
Hàng Thiết lập điểm đỏ（赤点設定） xuất hiện trong Thiết lập ô nhập（入力欄設定） cho mục…
Xem chi tiết</t>
        </is>
      </c>
      <c r="C5" s="18" t="inlineStr">
        <is>
          <t>Chuẩn bị: Đang chuẩn bị
Kỳ vọng: Đề xuất
Dữ liệu (trích): Mục số nguyên
Thao tác (trích): 1. Mở Thiết lập nhập điểm（成績入力設定）→ Thiết lập ô nhập（入力欄設定） của kỳ 1学期期末 (cuối kỳ học kỳ 1).…
Xem chi tiết</t>
        </is>
      </c>
      <c r="D5" s="18" t="inlineStr">
        <is>
          <t>Kỳ vọng: Đề xuất
1. Theo Figma MW, hàng Thiết lập điểm đỏ（赤点設定） được đặt giữa hàng Tính tự động（自動計算） và hàng Thiết lập ẩn mục nhập（入力項目の非表示設定）. Đây là oracle UI PROPOSED; nếu bố cục khác, ghi…
Xem chi tiết</t>
        </is>
      </c>
      <c r="E5" s="19" t="inlineStr"/>
      <c r="F5" s="19" t="inlineStr">
        <is>
          <t>Chưa thực hiện</t>
        </is>
      </c>
      <c r="G5" s="19" t="inlineStr"/>
    </row>
    <row r="6" ht="163" customHeight="1">
      <c r="A6" s="18" t="inlineStr">
        <is>
          <t>TC-RS-FUNC-001 / decimal</t>
        </is>
      </c>
      <c r="B6" s="18" t="inlineStr">
        <is>
          <t>Thiết lập điểm đỏ（赤点設定）
Hàng Thiết lập điểm đỏ（赤点設定） xuất hiện trong Thiết lập ô nhập（入力欄設定） cho mục…
Xem chi tiết</t>
        </is>
      </c>
      <c r="C6" s="18" t="inlineStr">
        <is>
          <t>Chuẩn bị: Đang chuẩn bị
Kỳ vọng: Đề xuất
Dữ liệu (trích): Mục thập phân
Thao tác (trích): 1. Mở Thiết lập nhập điểm（成績入力設定）→ Thiết lập ô nhập（入力欄設定） của kỳ 1学期期末 (cuối kỳ học kỳ 1).…
Xem chi tiết</t>
        </is>
      </c>
      <c r="D6" s="18" t="inlineStr">
        <is>
          <t>Kỳ vọng: Đề xuất
1. Theo Figma MW, hàng Thiết lập điểm đỏ（赤点設定） được đặt giữa hàng Tính tự động（自動計算） và hàng Thiết lập ẩn mục nhập（入力項目の非表示設定）. Đây là oracle UI PROPOSED; nếu bố cục khác, ghi…
Xem chi tiết</t>
        </is>
      </c>
      <c r="E6" s="19" t="inlineStr"/>
      <c r="F6" s="19" t="inlineStr">
        <is>
          <t>Chưa thực hiện</t>
        </is>
      </c>
      <c r="G6" s="19" t="inlineStr"/>
    </row>
    <row r="7" ht="163" customHeight="1">
      <c r="A7" s="18" t="inlineStr">
        <is>
          <t>TC-RS-FUNC-001 / unit</t>
        </is>
      </c>
      <c r="B7" s="18" t="inlineStr">
        <is>
          <t>Thiết lập điểm đỏ（赤点設定）
Hàng Thiết lập điểm đỏ（赤点設定） xuất hiện trong Thiết lập ô nhập（入力欄設定） cho mục…
Xem chi tiết</t>
        </is>
      </c>
      <c r="C7" s="18" t="inlineStr">
        <is>
          <t>Chuẩn bị: Đang chuẩn bị
Kỳ vọng: Đề xuất
Dữ liệu (trích): Mục đơn vị
Thao tác (trích): 1. Mở Thiết lập nhập điểm（成績入力設定）→ Thiết lập ô nhập（入力欄設定） của kỳ 1学期期末 (cuối kỳ học kỳ 1).…
Xem chi tiết</t>
        </is>
      </c>
      <c r="D7" s="18" t="inlineStr">
        <is>
          <t>Kỳ vọng: Đề xuất
1. Theo Figma MW, hàng Thiết lập điểm đỏ（赤点設定） được đặt giữa hàng Tính tự động（自動計算） và hàng Thiết lập ẩn mục nhập（入力項目の非表示設定）. Đây là oracle UI PROPOSED; nếu bố cục khác, ghi…
Xem chi tiết</t>
        </is>
      </c>
      <c r="E7" s="19" t="inlineStr"/>
      <c r="F7" s="19" t="inlineStr">
        <is>
          <t>Chưa thực hiện</t>
        </is>
      </c>
      <c r="G7" s="19" t="inlineStr"/>
    </row>
    <row r="8" ht="129" customHeight="1">
      <c r="A8" s="18" t="inlineStr">
        <is>
          <t>TC-RS-FUNC-002 / choice</t>
        </is>
      </c>
      <c r="B8" s="18" t="inlineStr">
        <is>
          <t>Thiết lập điểm đỏ（赤点設定）
Mục kiểu lựa chọn và Đạt/không đạt（合否） không có thao tác tạo quy tắc đỏ có hiệu…
Xem chi tiết</t>
        </is>
      </c>
      <c r="C8" s="18" t="inlineStr">
        <is>
          <t>Chuẩn bị: Bị chặn
Kỳ vọng: Đã xác nhận
Dữ liệu (trích): Mục lựa chọn, gồm thử URL trực tiếp ở bước 3
Thao tác (trích): 1. Mở Thiết lập ô nhập（入力欄設定）.…
Xem chi tiết</t>
        </is>
      </c>
      <c r="D8" s="18" t="inlineStr">
        <is>
          <t>Kỳ vọng: Đã xác nhận
1. Không có thao tác tạo quy tắc đỏ có hiệu lực cho hai mục này.…
Xem chi tiết</t>
        </is>
      </c>
      <c r="E8" s="19" t="inlineStr"/>
      <c r="F8" s="19" t="inlineStr">
        <is>
          <t>Chưa thực hiện</t>
        </is>
      </c>
      <c r="G8" s="19" t="inlineStr"/>
    </row>
    <row r="9" ht="129" customHeight="1">
      <c r="A9" s="18" t="inlineStr">
        <is>
          <t>TC-RS-FUNC-002 / passfail</t>
        </is>
      </c>
      <c r="B9" s="18" t="inlineStr">
        <is>
          <t>Thiết lập điểm đỏ（赤点設定）
Mục kiểu lựa chọn và Đạt/không đạt（合否） không có thao tác tạo quy tắc đỏ có hiệu…
Xem chi tiết</t>
        </is>
      </c>
      <c r="C9" s="18" t="inlineStr">
        <is>
          <t>Chuẩn bị: Bị chặn
Kỳ vọng: Đã xác nhận
Dữ liệu (trích): Mục Đạt/không đạt ở bước 1–2
Thao tác (trích): 1. Mở Thiết lập ô nhập（入力欄設定）.…
Xem chi tiết</t>
        </is>
      </c>
      <c r="D9" s="18" t="inlineStr">
        <is>
          <t>Kỳ vọng: Đã xác nhận
1. Không có thao tác tạo quy tắc đỏ có hiệu lực cho hai mục này.…
Xem chi tiết</t>
        </is>
      </c>
      <c r="E9" s="19" t="inlineStr"/>
      <c r="F9" s="19" t="inlineStr">
        <is>
          <t>Chưa thực hiện</t>
        </is>
      </c>
      <c r="G9" s="19" t="inlineStr"/>
    </row>
    <row r="10" ht="163" customHeight="1">
      <c r="A10" s="18" t="inlineStr">
        <is>
          <t>TC-RS-FUNC-004 / Base</t>
        </is>
      </c>
      <c r="B10" s="18" t="inlineStr">
        <is>
          <t>Thiết lập điểm đỏ（赤点設定）
Thêm quy tắc qua Điều kiện áp dụng（適用条件） và Ngưỡng（基準設定） rồi quay lại danh sách
Xem chi tiết</t>
        </is>
      </c>
      <c r="C10" s="18" t="inlineStr">
        <is>
          <t>Chuẩn bị: Đang chuẩn bị
Kỳ vọng: Đã xác nhận
Dữ liệu (trích): Toàn bộ thủ tục theo đúng thứ tự; các đối chứng cùng fixture…
Thao tác (trích): 1. Ở danh sách, bấm Thêm thiết lập chi tiết（詳細設定の追加）.…
Xem chi tiết</t>
        </is>
      </c>
      <c r="D10" s="18" t="inlineStr">
        <is>
          <t>Kỳ vọng: Đã xác nhận
1. Sau mỗi lần cập nhật, màn quay về danh sách.…
Xem chi tiết</t>
        </is>
      </c>
      <c r="E10" s="19" t="inlineStr"/>
      <c r="F10" s="19" t="inlineStr">
        <is>
          <t>Chưa thực hiện</t>
        </is>
      </c>
      <c r="G10" s="19" t="inlineStr"/>
    </row>
    <row r="11" ht="146" customHeight="1">
      <c r="A11" s="18" t="inlineStr">
        <is>
          <t>TC-RS-FUNC-005 / Base</t>
        </is>
      </c>
      <c r="B11" s="18" t="inlineStr">
        <is>
          <t>Thiết lập điểm đỏ（赤点設定）
Nhiều quy tắc hiển thị theo ưu tiên; đổi thứ tự bằng ▲▼ được lưu
Xem chi tiết</t>
        </is>
      </c>
      <c r="C11" s="18" t="inlineStr">
        <is>
          <t>Chuẩn bị: Đang chuẩn bị
Kỳ vọng: Đã xác nhận
Dữ liệu (trích): Toàn bộ thủ tục theo đúng thứ tự; các đối chứng cùng fixture…
Thao tác (trích): 1. Bấm ▼ ở quy tắc 1.…
Xem chi tiết</t>
        </is>
      </c>
      <c r="D11" s="18" t="inlineStr">
        <is>
          <t>Kỳ vọng: Đã xác nhận
1. Sau bước 1 thứ tự là quy tắc 2, quy tắc 1, quy tắc 3 và giữ nguyên sau khi tải lại.…
Xem chi tiết</t>
        </is>
      </c>
      <c r="E11" s="19" t="inlineStr"/>
      <c r="F11" s="19" t="inlineStr">
        <is>
          <t>Chưa thực hiện</t>
        </is>
      </c>
      <c r="G11" s="19" t="inlineStr"/>
    </row>
    <row r="12" ht="129" customHeight="1">
      <c r="A12" s="18" t="inlineStr">
        <is>
          <t>TC-RS-FUNC-006 / cancel</t>
        </is>
      </c>
      <c r="B12" s="18" t="inlineStr">
        <is>
          <t>Thiết lập điểm đỏ（赤点設定）
Xóa một quy tắc có xác nhận; Hủy（キャンセル） giữ nguyên
Xem chi tiết</t>
        </is>
      </c>
      <c r="C12" s="18" t="inlineStr">
        <is>
          <t>Chuẩn bị: Đang chuẩn bị
Kỳ vọng: Đã xác nhận
Dữ liệu (trích): Hủy xóa
Thao tác (trích): 1. Bấm Xóa（削除） ở quy tắc thứ 2, chọn Hủy（キャンセル）.…
Xem chi tiết</t>
        </is>
      </c>
      <c r="D12" s="18" t="inlineStr">
        <is>
          <t>Kỳ vọng: Đã xác nhận
1. Hộp xác nhận nêu thiết lập sẽ bị xóa và kết quả học sinh chỉ cập nhật ở lần xét tiếp theo.…
Xem chi tiết</t>
        </is>
      </c>
      <c r="E12" s="19" t="inlineStr"/>
      <c r="F12" s="19" t="inlineStr">
        <is>
          <t>Chưa thực hiện</t>
        </is>
      </c>
      <c r="G12" s="19" t="inlineStr"/>
    </row>
    <row r="13" ht="146" customHeight="1">
      <c r="A13" s="18" t="inlineStr">
        <is>
          <t>TC-RS-FUNC-006 / delete</t>
        </is>
      </c>
      <c r="B13" s="18" t="inlineStr">
        <is>
          <t>Thiết lập điểm đỏ（赤点設定）
Xóa một quy tắc có xác nhận; Hủy（キャンセル） giữ nguyên
Xem chi tiết</t>
        </is>
      </c>
      <c r="C13" s="18" t="inlineStr">
        <is>
          <t>Chuẩn bị: Đang chuẩn bị
Kỳ vọng: Đã xác nhận
Dữ liệu (trích): Xác nhận xóa, dựng lại baseline trước lượt này
Thao tác (trích): 1. Bấm Xóa（削除） ở quy tắc thứ 2, chọn Hủy（キャンセル）.…
Xem chi tiết</t>
        </is>
      </c>
      <c r="D13" s="18" t="inlineStr">
        <is>
          <t>Kỳ vọng: Đã xác nhận
1. Hộp xác nhận nêu thiết lập sẽ bị xóa và kết quả học sinh chỉ cập nhật ở lần xét tiếp theo.…
Xem chi tiết</t>
        </is>
      </c>
      <c r="E13" s="19" t="inlineStr"/>
      <c r="F13" s="19" t="inlineStr">
        <is>
          <t>Chưa thực hiện</t>
        </is>
      </c>
      <c r="G13" s="19" t="inlineStr"/>
    </row>
    <row r="14" ht="163" customHeight="1">
      <c r="A14" s="18" t="inlineStr">
        <is>
          <t>TC-RS-FUNC-007 / back-threshold</t>
        </is>
      </c>
      <c r="B14" s="18" t="inlineStr">
        <is>
          <t>Thiết lập điểm đỏ（赤点設定）
Quay lại（戻る）/hủy chỉnh sửa không lưu dữ liệu đang nhập
Xem chi tiết</t>
        </is>
      </c>
      <c r="C14" s="18" t="inlineStr">
        <is>
          <t>Chuẩn bị: Đang chuẩn bị
Kỳ vọng: Đã xác nhận
Dữ liệu (trích): Quay lại từ màn ngưỡng
Thao tác (trích): 1. Mở Ngưỡng của quy tắc “Cố định 30” (dưới 30), đổi 30 thành 35 và đổi sang Nhỏ hơn hoặc bằng（以下）.…
Xem chi tiết</t>
        </is>
      </c>
      <c r="D14" s="18" t="inlineStr">
        <is>
          <t>Danh sách và hai màn vẫn hiện giá trị đã lưu trước đó (30, Nhỏ hơn, tên cũ).
Bảo toàn: Giữ điểm, cấu hình và đối tượng không đích theo expected; chỉ thay phần thủ tục yêu cầu, không tự đổi oracle hoặc mở rộng phạm vi.</t>
        </is>
      </c>
      <c r="E14" s="19" t="inlineStr"/>
      <c r="F14" s="19" t="inlineStr">
        <is>
          <t>Chưa thực hiện</t>
        </is>
      </c>
      <c r="G14" s="19" t="inlineStr"/>
    </row>
    <row r="15" ht="163" customHeight="1">
      <c r="A15" s="18" t="inlineStr">
        <is>
          <t>TC-RS-FUNC-007 / back-condition</t>
        </is>
      </c>
      <c r="B15" s="18" t="inlineStr">
        <is>
          <t>Thiết lập điểm đỏ（赤点設定）
Quay lại（戻る）/hủy chỉnh sửa không lưu dữ liệu đang nhập
Xem chi tiết</t>
        </is>
      </c>
      <c r="C15" s="18" t="inlineStr">
        <is>
          <t>Chuẩn bị: Đang chuẩn bị
Kỳ vọng: Đã xác nhận
Dữ liệu (trích): Quay lại từ màn điều kiện
Thao tác (trích): 1. Mở Ngưỡng của quy tắc “Cố định 30” (dưới 30), đổi 30 thành 35 và đổi sang Nhỏ hơn hoặc bằng（以下）.…
Xem chi tiết</t>
        </is>
      </c>
      <c r="D15" s="18" t="inlineStr">
        <is>
          <t>Danh sách và hai màn vẫn hiện giá trị đã lưu trước đó (30, Nhỏ hơn, tên cũ).
Bảo toàn: Giữ điểm, cấu hình và đối tượng không đích theo expected; chỉ thay phần thủ tục yêu cầu, không tự đổi oracle hoặc mở rộng phạm vi.</t>
        </is>
      </c>
      <c r="E15" s="19" t="inlineStr"/>
      <c r="F15" s="19" t="inlineStr">
        <is>
          <t>Chưa thực hiện</t>
        </is>
      </c>
      <c r="G15" s="19" t="inlineStr"/>
    </row>
    <row r="16" ht="180" customHeight="1">
      <c r="A16" s="18" t="inlineStr">
        <is>
          <t>TC-RS-FUNC-014 / incomplete-excluded</t>
        </is>
      </c>
      <c r="B16" s="18" t="inlineStr">
        <is>
          <t>Thiết lập điểm đỏ（赤点設定）
Quy tắc mới chỉ có điều kiện, chưa có ngưỡng, không tham gia xét
Xem chi tiết</t>
        </is>
      </c>
      <c r="C16" s="18" t="inlineStr">
        <is>
          <t>Chuẩn bị: Bị chặn
Kỳ vọng: Đã xác nhận
Dữ liệu (trích): Nhánh incomplete-excluded trong thủ tục và Expected của case;…
Thao tác (trích): 1. Với `incomplete-excluded`, dựng fixture riêng, xem dòng chưa hoàn chỉnh; đăng ký S01=29 và đọc kết quả,…
Xem chi tiết</t>
        </is>
      </c>
      <c r="D16" s="18" t="inlineStr">
        <is>
          <t>Kỳ vọng: Đã xác nhận
1. `incomplete-excluded`: dòng nhập dở hiện chưa thiết lập và cho mở ngưỡng; không tạo ngưỡng 0 ngầm. Bộ xét chọn đúng rule đối chứng T=30, S01=29 Đỏ; rule nhập dở không tham gia…
Xem chi tiết</t>
        </is>
      </c>
      <c r="E16" s="19" t="inlineStr"/>
      <c r="F16" s="19" t="inlineStr">
        <is>
          <t>Chưa thực hiện</t>
        </is>
      </c>
      <c r="G16" s="19" t="inlineStr"/>
    </row>
    <row r="17" ht="180" customHeight="1">
      <c r="A17" s="18" t="inlineStr">
        <is>
          <t>TC-RS-FUNC-014 / complete-deleted-stale</t>
        </is>
      </c>
      <c r="B17" s="18" t="inlineStr">
        <is>
          <t>Thiết lập điểm đỏ（赤点設定）
Quy tắc mới chỉ có điều kiện, chưa có ngưỡng, không tham gia xét
Xem chi tiết</t>
        </is>
      </c>
      <c r="C17" s="18" t="inlineStr">
        <is>
          <t>Chuẩn bị: Bị chặn
Kỳ vọng: Đã xác nhận
Dữ liệu (trích): Nhánh complete-deleted-stale trong thủ tục và Expected của case;…
Thao tác (trích): 1. Với `incomplete-excluded`, dựng fixture riêng, xem dòng chưa hoàn chỉnh; đăng ký S01=29 và đọc kết quả,…
Xem chi tiết</t>
        </is>
      </c>
      <c r="D17" s="18" t="inlineStr">
        <is>
          <t>Kỳ vọng: Đã xác nhận
1. `incomplete-excluded`: dòng nhập dở hiện chưa thiết lập và cho mở ngưỡng; không tạo ngưỡng 0 ngầm. Bộ xét chọn đúng rule đối chứng T=30, S01=29 Đỏ; rule nhập dở không tham gia…
Xem chi tiết</t>
        </is>
      </c>
      <c r="E17" s="19" t="inlineStr"/>
      <c r="F17" s="19" t="inlineStr">
        <is>
          <t>Chưa thực hiện</t>
        </is>
      </c>
      <c r="G17" s="19" t="inlineStr"/>
    </row>
    <row r="18" ht="180" customHeight="1">
      <c r="A18" s="18" t="inlineStr">
        <is>
          <t>TC-RS-FUNC-014 / incomplete-deleted-stale</t>
        </is>
      </c>
      <c r="B18" s="18" t="inlineStr">
        <is>
          <t>Thiết lập điểm đỏ（赤点設定）
Quy tắc mới chỉ có điều kiện, chưa có ngưỡng, không tham gia xét
Xem chi tiết</t>
        </is>
      </c>
      <c r="C18" s="18" t="inlineStr">
        <is>
          <t>Chuẩn bị: Bị chặn
Kỳ vọng: Đã xác nhận
Dữ liệu (trích): Nhánh incomplete-deleted-stale trong thủ tục và Expected của…
Thao tác (trích): 1. Với `incomplete-excluded`, dựng fixture riêng, xem dòng chưa hoàn chỉnh; đăng ký S01=29 và đọc kết quả,…
Xem chi tiết</t>
        </is>
      </c>
      <c r="D18" s="18" t="inlineStr">
        <is>
          <t>Kỳ vọng: Đã xác nhận
1. `incomplete-excluded`: dòng nhập dở hiện chưa thiết lập và cho mở ngưỡng; không tạo ngưỡng 0 ngầm. Bộ xét chọn đúng rule đối chứng T=30, S01=29 Đỏ; rule nhập dở không tham gia…
Xem chi tiết</t>
        </is>
      </c>
      <c r="E18" s="19" t="inlineStr"/>
      <c r="F18" s="19" t="inlineStr">
        <is>
          <t>Chưa thực hiện</t>
        </is>
      </c>
      <c r="G18" s="19" t="inlineStr"/>
    </row>
    <row r="19" ht="180" customHeight="1">
      <c r="A19" s="18" t="inlineStr">
        <is>
          <t>TC-RS-FUNC-033 / Base</t>
        </is>
      </c>
      <c r="B19" s="18" t="inlineStr">
        <is>
          <t>Thiết lập điểm đỏ（赤点設定）
Đổi tên quy tắc: giữ liên kết, thứ tự và kết quả
Xem chi tiết</t>
        </is>
      </c>
      <c r="C19" s="18" t="inlineStr">
        <is>
          <t>Chuẩn bị: Đang chuẩn bị
Kỳ vọng: Đã xác nhận
Dữ liệu (trích): Toàn bộ thủ tục theo đúng thứ tự; các đối chứng cùng fixture…
Thao tác (trích): 1. Đổi tên quy tắc “Cố định 30” (dưới 30) từ "Cố định 30" thành "Ngưỡng học kỳ 1", Lưu.…
Xem chi tiết</t>
        </is>
      </c>
      <c r="D19" s="18" t="inlineStr">
        <is>
          <t>Kỳ vọng: Đã xác nhận
1–2. Danh sách hiện tên mới ở cùng vị trí ưu tiên, tóm tắt không đổi; S01 vẫn Đỏ ở ba đầu ra.…
Xem chi tiết</t>
        </is>
      </c>
      <c r="E19" s="19" t="inlineStr"/>
      <c r="F19" s="19" t="inlineStr">
        <is>
          <t>Chưa thực hiện</t>
        </is>
      </c>
      <c r="G19" s="19" t="inlineStr"/>
    </row>
    <row r="20" ht="146" customHeight="1">
      <c r="A20" s="18" t="inlineStr">
        <is>
          <t>TC-RS-VAL-014 / empty</t>
        </is>
      </c>
      <c r="B20" s="18" t="inlineStr">
        <is>
          <t>Quản lý danh sách quy tắc đỏ của một mục — Thiết lập điểm đỏ（赤点設定）
Tên thiết lập: bắt buộc, độ dài, trùng tên</t>
        </is>
      </c>
      <c r="C20" s="18" t="inlineStr">
        <is>
          <t>Chuẩn bị: Đang chuẩn bị
Kỳ vọng: Đề xuất
Dữ liệu (trích): Tên trống
Thao tác (trích): 1. Nhập từng giá trị, Lưu, mở lại.…
Xem chi tiết</t>
        </is>
      </c>
      <c r="D20" s="18" t="inlineStr">
        <is>
          <t>Kỳ vọng: Đề xuất
1. Trống/chỉ khoảng trắng: không lưu được. 255 ký tự: lưu được, mở lại đủ. 256 ký tự: bị từ chối, không tự cắt. 255 ký tự kèm khoảng trắng đầu/cuối: lưu được, tên lưu đã bỏ khoảng…
Xem chi tiết</t>
        </is>
      </c>
      <c r="E20" s="19" t="inlineStr"/>
      <c r="F20" s="19" t="inlineStr">
        <is>
          <t>Chưa thực hiện</t>
        </is>
      </c>
      <c r="G20" s="19" t="inlineStr"/>
    </row>
    <row r="21" ht="146" customHeight="1">
      <c r="A21" s="18" t="inlineStr">
        <is>
          <t>TC-RS-VAL-014 / space</t>
        </is>
      </c>
      <c r="B21" s="18" t="inlineStr">
        <is>
          <t>Quản lý danh sách quy tắc đỏ của một mục — Thiết lập điểm đỏ（赤点設定）
Tên thiết lập: bắt buộc, độ dài, trùng tên</t>
        </is>
      </c>
      <c r="C21" s="18" t="inlineStr">
        <is>
          <t>Chuẩn bị: Đang chuẩn bị
Kỳ vọng: Đề xuất
Dữ liệu (trích): Chỉ khoảng trắng
Thao tác (trích): 1. Nhập từng giá trị, Lưu, mở lại.…
Xem chi tiết</t>
        </is>
      </c>
      <c r="D21" s="18" t="inlineStr">
        <is>
          <t>Kỳ vọng: Đề xuất
1. Trống/chỉ khoảng trắng: không lưu được. 255 ký tự: lưu được, mở lại đủ. 256 ký tự: bị từ chối, không tự cắt. 255 ký tự kèm khoảng trắng đầu/cuối: lưu được, tên lưu đã bỏ khoảng…
Xem chi tiết</t>
        </is>
      </c>
      <c r="E21" s="19" t="inlineStr"/>
      <c r="F21" s="19" t="inlineStr">
        <is>
          <t>Chưa thực hiện</t>
        </is>
      </c>
      <c r="G21" s="19" t="inlineStr"/>
    </row>
    <row r="22" ht="146" customHeight="1">
      <c r="A22" s="18" t="inlineStr">
        <is>
          <t>TC-RS-VAL-014 / len255</t>
        </is>
      </c>
      <c r="B22" s="18" t="inlineStr">
        <is>
          <t>Quản lý danh sách quy tắc đỏ của một mục — Thiết lập điểm đỏ（赤点設定）
Tên thiết lập: bắt buộc, độ dài, trùng tên</t>
        </is>
      </c>
      <c r="C22" s="18" t="inlineStr">
        <is>
          <t>Chuẩn bị: Đang chuẩn bị
Kỳ vọng: Đề xuất
Dữ liệu (trích): 255 ký tự
Thao tác (trích): 1. Nhập từng giá trị, Lưu, mở lại.…
Xem chi tiết</t>
        </is>
      </c>
      <c r="D22" s="18" t="inlineStr">
        <is>
          <t>Kỳ vọng: Đề xuất
1. Trống/chỉ khoảng trắng: không lưu được. 255 ký tự: lưu được, mở lại đủ. 256 ký tự: bị từ chối, không tự cắt. 255 ký tự kèm khoảng trắng đầu/cuối: lưu được, tên lưu đã bỏ khoảng…
Xem chi tiết</t>
        </is>
      </c>
      <c r="E22" s="19" t="inlineStr"/>
      <c r="F22" s="19" t="inlineStr">
        <is>
          <t>Chưa thực hiện</t>
        </is>
      </c>
      <c r="G22" s="19" t="inlineStr"/>
    </row>
    <row r="23" ht="146" customHeight="1">
      <c r="A23" s="18" t="inlineStr">
        <is>
          <t>TC-RS-VAL-014 / len256</t>
        </is>
      </c>
      <c r="B23" s="18" t="inlineStr">
        <is>
          <t>Quản lý danh sách quy tắc đỏ của một mục — Thiết lập điểm đỏ（赤点設定）
Tên thiết lập: bắt buộc, độ dài, trùng tên</t>
        </is>
      </c>
      <c r="C23" s="18" t="inlineStr">
        <is>
          <t>Chuẩn bị: Đang chuẩn bị
Kỳ vọng: Đề xuất
Dữ liệu (trích): 256 ký tự
Thao tác (trích): 1. Nhập từng giá trị, Lưu, mở lại.…
Xem chi tiết</t>
        </is>
      </c>
      <c r="D23" s="18" t="inlineStr">
        <is>
          <t>Kỳ vọng: Đề xuất
1. Trống/chỉ khoảng trắng: không lưu được. 255 ký tự: lưu được, mở lại đủ. 256 ký tự: bị từ chối, không tự cắt. 255 ký tự kèm khoảng trắng đầu/cuối: lưu được, tên lưu đã bỏ khoảng…
Xem chi tiết</t>
        </is>
      </c>
      <c r="E23" s="19" t="inlineStr"/>
      <c r="F23" s="19" t="inlineStr">
        <is>
          <t>Chưa thực hiện</t>
        </is>
      </c>
      <c r="G23" s="19" t="inlineStr"/>
    </row>
    <row r="24" ht="146" customHeight="1">
      <c r="A24" s="18" t="inlineStr">
        <is>
          <t>TC-RS-VAL-014 / padded255</t>
        </is>
      </c>
      <c r="B24" s="18" t="inlineStr">
        <is>
          <t>Quản lý danh sách quy tắc đỏ của một mục — Thiết lập điểm đỏ（赤点設定）
Tên thiết lập: bắt buộc, độ dài, trùng tên</t>
        </is>
      </c>
      <c r="C24" s="18" t="inlineStr">
        <is>
          <t>Chuẩn bị: Đang chuẩn bị
Kỳ vọng: Đề xuất
Dữ liệu (trích): 255 ký tự kèm khoảng trắng
Thao tác (trích): 1. Nhập từng giá trị, Lưu, mở lại.…
Xem chi tiết</t>
        </is>
      </c>
      <c r="D24" s="18" t="inlineStr">
        <is>
          <t>Kỳ vọng: Đề xuất
1. Trống/chỉ khoảng trắng: không lưu được. 255 ký tự: lưu được, mở lại đủ. 256 ký tự: bị từ chối, không tự cắt. 255 ký tự kèm khoảng trắng đầu/cuối: lưu được, tên lưu đã bỏ khoảng…
Xem chi tiết</t>
        </is>
      </c>
      <c r="E24" s="19" t="inlineStr"/>
      <c r="F24" s="19" t="inlineStr">
        <is>
          <t>Chưa thực hiện</t>
        </is>
      </c>
      <c r="G24" s="19" t="inlineStr"/>
    </row>
    <row r="25" ht="146" customHeight="1">
      <c r="A25" s="18" t="inlineStr">
        <is>
          <t>TC-RS-VAL-014 / duplicate</t>
        </is>
      </c>
      <c r="B25" s="18" t="inlineStr">
        <is>
          <t>Quản lý danh sách quy tắc đỏ của một mục — Thiết lập điểm đỏ（赤点設定）
Tên thiết lập: bắt buộc, độ dài, trùng tên</t>
        </is>
      </c>
      <c r="C25" s="18" t="inlineStr">
        <is>
          <t>Chuẩn bị: Đang chuẩn bị
Kỳ vọng: Đề xuất
Dữ liệu (trích): Trùng tên
Thao tác (trích): 1. Nhập từng giá trị, Lưu, mở lại.…
Xem chi tiết</t>
        </is>
      </c>
      <c r="D25" s="18" t="inlineStr">
        <is>
          <t>Kỳ vọng: Đề xuất
1. Trống/chỉ khoảng trắng: không lưu được. 255 ký tự: lưu được, mở lại đủ. 256 ký tự: bị từ chối, không tự cắt. 255 ký tự kèm khoảng trắng đầu/cuối: lưu được, tên lưu đã bỏ khoảng…
Xem chi tiết</t>
        </is>
      </c>
      <c r="E25" s="19" t="inlineStr"/>
      <c r="F25" s="19" t="inlineStr">
        <is>
          <t>Chưa thực hiện</t>
        </is>
      </c>
      <c r="G25" s="19" t="inlineStr"/>
    </row>
    <row r="26" ht="163" customHeight="1">
      <c r="A26" s="18" t="inlineStr">
        <is>
          <t>TC-RS-VAL-016 / Base</t>
        </is>
      </c>
      <c r="B26" s="18" t="inlineStr">
        <is>
          <t>Thiết lập điểm đỏ（赤点設定）
Lỗi khi lưu không làm mất cấu hình/kết quả đã lưu
Xem chi tiết</t>
        </is>
      </c>
      <c r="C26" s="18" t="inlineStr">
        <is>
          <t>Chuẩn bị: Đang chuẩn bị
Kỳ vọng: Đã xác nhận
Dữ liệu (trích): Toàn bộ thủ tục theo đúng thứ tự; các đối chứng cùng fixture…
Thao tác (trích): 1. Mở quy tắc “Cố định 30” (dưới 30), đổi N=101, Lưu (lỗi).…
Xem chi tiết</t>
        </is>
      </c>
      <c r="D26" s="18" t="inlineStr">
        <is>
          <t>Cấu hình vẫn 30; S01 vẫn Đỏ. Giá trị vừa nhập có được giữ trên form hay không: PROPOSED (không must-pass).
Bảo toàn: Giữ điểm, cấu hình và đối tượng không đích theo expected; chỉ thay phần thủ tục yêu cầu, không tự đổi oracle hoặc mở rộng phạm vi.</t>
        </is>
      </c>
      <c r="E26" s="19" t="inlineStr"/>
      <c r="F26" s="19" t="inlineStr">
        <is>
          <t>Chưa thực hiện</t>
        </is>
      </c>
      <c r="G26" s="19" t="inlineStr"/>
    </row>
    <row r="27" ht="163" customHeight="1">
      <c r="A27" s="18" t="inlineStr">
        <is>
          <t>TC-RS-DATA-001 / fixed</t>
        </is>
      </c>
      <c r="B27" s="18" t="inlineStr">
        <is>
          <t>Thiết lập điểm đỏ（赤点設定）
Cấu hình lưu và mở lại đầy đủ, không cắt/làm tròn âm thầm
Xem chi tiết</t>
        </is>
      </c>
      <c r="C27" s="18" t="inlineStr">
        <is>
          <t>Chuẩn bị: Đang chuẩn bị
Kỳ vọng: Đã xác nhận
Dữ liệu (trích): Cố định 29.5
Thao tác (trích): 1. Lưu từng quy tắc.…
Xem chi tiết</t>
        </is>
      </c>
      <c r="D27" s="18" t="inlineStr">
        <is>
          <t>Mọi trường (tên, phạm vi, bộ lọc, điều kiện, loại, N, p, cách làm tròn, toán hạng, so sánh, thứ tự) trùng giá trị đã nhập.
Bảo toàn: Giữ điểm, cấu hình và đối tượng không đích theo expected; chỉ thay phần thủ tục yêu cầu, không tự đổi oracle hoặc mở rộng phạm vi.</t>
        </is>
      </c>
      <c r="E27" s="19" t="inlineStr"/>
      <c r="F27" s="19" t="inlineStr">
        <is>
          <t>Chưa thực hiện</t>
        </is>
      </c>
      <c r="G27" s="19" t="inlineStr"/>
    </row>
    <row r="28" ht="163" customHeight="1">
      <c r="A28" s="18" t="inlineStr">
        <is>
          <t>TC-RS-DATA-001 / ratio</t>
        </is>
      </c>
      <c r="B28" s="18" t="inlineStr">
        <is>
          <t>Thiết lập điểm đỏ（赤点設定）
Cấu hình lưu và mở lại đầy đủ, không cắt/làm tròn âm thầm
Xem chi tiết</t>
        </is>
      </c>
      <c r="C28" s="18" t="inlineStr">
        <is>
          <t>Chuẩn bị: Đang chuẩn bị
Kỳ vọng: Đã xác nhận
Dữ liệu (trích): Tỷ lệ 30 phần trăm cắt xuống
Thao tác (trích): 1. Lưu từng quy tắc.…
Xem chi tiết</t>
        </is>
      </c>
      <c r="D28" s="18" t="inlineStr">
        <is>
          <t>Mọi trường (tên, phạm vi, bộ lọc, điều kiện, loại, N, p, cách làm tròn, toán hạng, so sánh, thứ tự) trùng giá trị đã nhập.
Bảo toàn: Giữ điểm, cấu hình và đối tượng không đích theo expected; chỉ thay phần thủ tục yêu cầu, không tự đổi oracle hoặc mở rộng phạm vi.</t>
        </is>
      </c>
      <c r="E28" s="19" t="inlineStr"/>
      <c r="F28" s="19" t="inlineStr">
        <is>
          <t>Chưa thực hiện</t>
        </is>
      </c>
      <c r="G28" s="19" t="inlineStr"/>
    </row>
    <row r="29" ht="163" customHeight="1">
      <c r="A29" s="18" t="inlineStr">
        <is>
          <t>TC-RS-DATA-001 / formula</t>
        </is>
      </c>
      <c r="B29" s="18" t="inlineStr">
        <is>
          <t>Thiết lập điểm đỏ（赤点設定）
Cấu hình lưu và mở lại đầy đủ, không cắt/làm tròn âm thầm
Xem chi tiết</t>
        </is>
      </c>
      <c r="C29" s="18" t="inlineStr">
        <is>
          <t>Chuẩn bị: Đang chuẩn bị
Kỳ vọng: Đã xác nhận
Dữ liệu (trích): Công thức hai dòng
Thao tác (trích): 1. Lưu từng quy tắc.…
Xem chi tiết</t>
        </is>
      </c>
      <c r="D29" s="18" t="inlineStr">
        <is>
          <t>Mọi trường (tên, phạm vi, bộ lọc, điều kiện, loại, N, p, cách làm tròn, toán hạng, so sánh, thứ tự) trùng giá trị đã nhập.
Bảo toàn: Giữ điểm, cấu hình và đối tượng không đích theo expected; chỉ thay phần thủ tục yêu cầu, không tự đổi oracle hoặc mở rộng phạm vi.</t>
        </is>
      </c>
      <c r="E29" s="19" t="inlineStr"/>
      <c r="F29" s="19" t="inlineStr">
        <is>
          <t>Chưa thực hiện</t>
        </is>
      </c>
      <c r="G29" s="19" t="inlineStr"/>
    </row>
    <row r="30" ht="163" customHeight="1">
      <c r="A30" s="18" t="inlineStr">
        <is>
          <t>TC-RS-DATA-001 / filter</t>
        </is>
      </c>
      <c r="B30" s="18" t="inlineStr">
        <is>
          <t>Thiết lập điểm đỏ（赤点設定）
Cấu hình lưu và mở lại đầy đủ, không cắt/làm tròn âm thầm
Xem chi tiết</t>
        </is>
      </c>
      <c r="C30" s="18" t="inlineStr">
        <is>
          <t>Chuẩn bị: Đang chuẩn bị
Kỳ vọng: Đã xác nhận
Dữ liệu (trích): Bộ lọc kết hợp
Thao tác (trích): 1. Lưu từng quy tắc.…
Xem chi tiết</t>
        </is>
      </c>
      <c r="D30" s="18" t="inlineStr">
        <is>
          <t>Mọi trường (tên, phạm vi, bộ lọc, điều kiện, loại, N, p, cách làm tròn, toán hạng, so sánh, thứ tự) trùng giá trị đã nhập.
Bảo toàn: Giữ điểm, cấu hình và đối tượng không đích theo expected; chỉ thay phần thủ tục yêu cầu, không tự đổi oracle hoặc mở rộng phạm vi.</t>
        </is>
      </c>
      <c r="E30" s="19" t="inlineStr"/>
      <c r="F30" s="19" t="inlineStr">
        <is>
          <t>Chưa thực hiện</t>
        </is>
      </c>
      <c r="G30" s="19" t="inlineStr"/>
    </row>
    <row r="31" ht="146" customHeight="1">
      <c r="A31" s="18" t="inlineStr">
        <is>
          <t>TC-RS-DATA-004 / Base</t>
        </is>
      </c>
      <c r="B31" s="18" t="inlineStr">
        <is>
          <t>Thiết lập điểm đỏ（赤点設定）
Xóa quy tắc không xóa dây chuyền kết quả hay điểm
Xem chi tiết</t>
        </is>
      </c>
      <c r="C31" s="18" t="inlineStr">
        <is>
          <t>Chuẩn bị: Đang chuẩn bị
Kỳ vọng: Đã xác nhận
Dữ liệu (trích): Toàn bộ thủ tục theo đúng thứ tự; các đối chứng cùng fixture…
Thao tác (trích): 1. Xóa quy tắc “Cố định 30” (dưới 30).…
Xem chi tiết</t>
        </is>
      </c>
      <c r="D31" s="18" t="inlineStr">
        <is>
          <t>Kết quả S01 vẫn còn; điểm 29 giữ nguyên.
Bảo toàn: Giữ điểm, cấu hình và đối tượng không đích theo expected; chỉ thay phần thủ tục yêu cầu, không tự đổi oracle hoặc mở rộng phạm vi.</t>
        </is>
      </c>
      <c r="E31" s="19" t="inlineStr"/>
      <c r="F31" s="19" t="inlineStr">
        <is>
          <t>Chưa thực hiện</t>
        </is>
      </c>
      <c r="G31" s="19" t="inlineStr"/>
    </row>
    <row r="32" ht="146" customHeight="1">
      <c r="A32" s="18" t="inlineStr">
        <is>
          <t>TC-RS-UI-001 / Base</t>
        </is>
      </c>
      <c r="B32" s="18" t="inlineStr">
        <is>
          <t>Thiết lập điểm đỏ（赤点設定）
Nhãn trạng thái ở hàng Thiết lập điểm đỏ（赤点設定） trong Thiết lập ô nhập（入力欄設定）
Xem chi tiết</t>
        </is>
      </c>
      <c r="C32" s="18" t="inlineStr">
        <is>
          <t>Chuẩn bị: Đang chuẩn bị
Kỳ vọng: Đề xuất
Dữ liệu (trích): Toàn bộ thủ tục theo đúng thứ tự; các đối chứng cùng fixture…
Thao tác (trích): 1. Mở Thiết lập ô nhập（入力欄設定）.…
Xem chi tiết</t>
        </is>
      </c>
      <c r="D32" s="18" t="inlineStr">
        <is>
          <t>Kỳ vọng: Đề xuất
Mục chưa có quy tắc và mục đã có quy tắc được phân biệt được; mục lựa chọn không có thao tác mở thiết lập (đặc tả v2 mục 4.1 “Điểm vào và trạng thái trống”).…
Xem chi tiết</t>
        </is>
      </c>
      <c r="E32" s="19" t="inlineStr"/>
      <c r="F32" s="19" t="inlineStr">
        <is>
          <t>Chưa thực hiện</t>
        </is>
      </c>
      <c r="G32" s="19" t="inlineStr"/>
    </row>
    <row r="33" ht="197" customHeight="1">
      <c r="A33" s="18" t="inlineStr">
        <is>
          <t>TC-RS-UI-002 / Base</t>
        </is>
      </c>
      <c r="B33" s="18" t="inlineStr">
        <is>
          <t>Thiết lập điểm đỏ（赤点設定）
Cấu trúc màn danh sách Thiết lập điểm đỏ（赤点設定）
Xem chi tiết</t>
        </is>
      </c>
      <c r="C33" s="18" t="inlineStr">
        <is>
          <t>Chuẩn bị: Đang chuẩn bị
Kỳ vọng: Đề xuất
Dữ liệu (trích): Toàn bộ thủ tục theo đúng thứ tự; các đối chứng cùng fixture…
Thao tác (trích): 1. Mở Thiết lập nhập điểm（成績入力設定） (URL ở đường dẫn các màn liên quan) → Thiết lập ô nhập（入力欄設定） của kỳ Cuối…
Xem chi tiết</t>
        </is>
      </c>
      <c r="D33" s="18" t="inlineStr">
        <is>
          <t>Kỳ vọng: Đề xuất
a. Breadcrumb: Thiết lập bảng thành tích（成績帳票設定） - Thiết lập thành tích（成績設定） - Thiết lập nhập điểm（成績入力設定） - Thiết lập điểm đỏ（赤点設定）.…
Xem chi tiết</t>
        </is>
      </c>
      <c r="E33" s="19" t="inlineStr"/>
      <c r="F33" s="19" t="inlineStr">
        <is>
          <t>Chưa thực hiện</t>
        </is>
      </c>
      <c r="G33" s="19" t="inlineStr"/>
    </row>
    <row r="34" ht="163" customHeight="1">
      <c r="A34" s="18" t="inlineStr">
        <is>
          <t>TC-RS-UI-003 / Base</t>
        </is>
      </c>
      <c r="B34" s="18" t="inlineStr">
        <is>
          <t>Quản lý danh sách quy tắc đỏ của một mục — Thiết lập điểm đỏ（赤点設定）
Định dạng tiêu đề màn danh sách</t>
        </is>
      </c>
      <c r="C34" s="18" t="inlineStr">
        <is>
          <t>Chuẩn bị: Đang chuẩn bị
Kỳ vọng: Đã xác nhận
Dữ liệu (trích): Toàn bộ thủ tục theo đúng thứ tự; các đối chứng cùng fixture…
Thao tác (trích): Mở màn danh sách của mục số thập phân (M=100), đọc tiêu đề.
Xem chi tiết</t>
        </is>
      </c>
      <c r="D34" s="18" t="inlineStr">
        <is>
          <t>Kỳ vọng: Đã xác nhận
Theo tiêu chí nghiệm thu “Lưu và mở lại nhiều thiết lập”: màn danh sách thể hiện kỳ Cuối kỳ học kỳ 1（1学期期末）, tên mục, kiểu nhập Nhập số – thập phân（数値入力・小数） và Thiết lập điểm…
Xem chi tiết</t>
        </is>
      </c>
      <c r="E34" s="19" t="inlineStr"/>
      <c r="F34" s="19" t="inlineStr">
        <is>
          <t>Chưa thực hiện</t>
        </is>
      </c>
      <c r="G34" s="19" t="inlineStr"/>
    </row>
    <row r="35" ht="197" customHeight="1">
      <c r="A35" s="18" t="inlineStr">
        <is>
          <t>TC-RS-UI-004 / Base</t>
        </is>
      </c>
      <c r="B35" s="18" t="inlineStr">
        <is>
          <t>Thiết lập điểm đỏ（赤点設定）
Tóm tắt điều kiện và ngưỡng trên từng dòng danh sách
Xem chi tiết</t>
        </is>
      </c>
      <c r="C35" s="18" t="inlineStr">
        <is>
          <t>Chuẩn bị: Đang chuẩn bị
Kỳ vọng: Đề xuất
Dữ liệu (trích): Toàn bộ thủ tục theo đúng thứ tự; các đối chứng cùng fixture…
Thao tác (trích): Xem cột Điều kiện áp dụng（適用条件） và Ngưỡng đỏ（赤点の基準） của từng dòng.
Xem chi tiết</t>
        </is>
      </c>
      <c r="D35" s="18" t="inlineStr">
        <is>
          <t>Mỗi dòng cho biết môn/nguồn/mốc của điều kiện, loại ngưỡng, giá trị, dấu so sánh; dòng công thức cho thấy các dòng tính và xử lý phần lẻ. Định dạng theo Figma (đề xuất).
Bảo toàn: Giữ điểm, cấu hình và đối tượng không đích theo expected; chỉ thay phần thủ tục yêu cầu, không tự đổi oracle hoặc mở rộng phạm vi.</t>
        </is>
      </c>
      <c r="E35" s="19" t="inlineStr"/>
      <c r="F35" s="19" t="inlineStr">
        <is>
          <t>Chưa thực hiện</t>
        </is>
      </c>
      <c r="G35" s="19" t="inlineStr"/>
    </row>
    <row r="36" ht="146" customHeight="1">
      <c r="A36" s="18" t="inlineStr">
        <is>
          <t>TC-RS-UI-005 / Base</t>
        </is>
      </c>
      <c r="B36" s="18" t="inlineStr">
        <is>
          <t>Quản lý danh sách quy tắc đỏ của một mục — Thiết lập điểm đỏ（赤点設定）
Trạng thái danh sách trống</t>
        </is>
      </c>
      <c r="C36" s="18" t="inlineStr">
        <is>
          <t>Chuẩn bị: Đang chuẩn bị
Kỳ vọng: Đề xuất
Dữ liệu (trích): Toàn bộ thủ tục theo đúng thứ tự; các đối chứng cùng fixture…
Thao tác (trích): Mở danh sách.
Xem chi tiết</t>
        </is>
      </c>
      <c r="D36" s="18" t="inlineStr">
        <is>
          <t>Hiển thị câu báo không có thiết lập và nút thêm; không có dòng mẫu.
Bảo toàn: Giữ điểm, cấu hình và đối tượng không đích theo expected; chỉ thay phần thủ tục yêu cầu, không tự đổi oracle hoặc mở rộng phạm vi.</t>
        </is>
      </c>
      <c r="E36" s="19" t="inlineStr"/>
      <c r="F36" s="19" t="inlineStr">
        <is>
          <t>Chưa thực hiện</t>
        </is>
      </c>
      <c r="G36" s="19" t="inlineStr"/>
    </row>
    <row r="37" ht="163" customHeight="1">
      <c r="A37" s="18" t="inlineStr">
        <is>
          <t>TC-RS-UI-006 / Base</t>
        </is>
      </c>
      <c r="B37" s="18" t="inlineStr">
        <is>
          <t>Quản lý danh sách quy tắc đỏ của một mục — Thiết lập điểm đỏ（赤点設定）
Hộp xác nhận khi xóa quy tắc cuối</t>
        </is>
      </c>
      <c r="C37" s="18" t="inlineStr">
        <is>
          <t>Chuẩn bị: Đang chuẩn bị
Kỳ vọng: Đề xuất
Dữ liệu (trích): Toàn bộ thủ tục theo đúng thứ tự; các đối chứng cùng fixture…
Thao tác (trích): Bấm Xóa（削除） ở dòng duy nhất.
Xem chi tiết</t>
        </is>
      </c>
      <c r="D37" s="18" t="inlineStr">
        <is>
          <t>Hộp xác nhận nêu đây là thiết lập cuối, kết quả trước còn dùng tới lần chạy lại, điểm được giữ; có Hủy và Xóa.
Bảo toàn: Giữ điểm, cấu hình và đối tượng không đích theo expected; chỉ thay phần thủ tục yêu cầu, không tự đổi oracle hoặc mở rộng phạm vi.</t>
        </is>
      </c>
      <c r="E37" s="19" t="inlineStr"/>
      <c r="F37" s="19" t="inlineStr">
        <is>
          <t>Chưa thực hiện</t>
        </is>
      </c>
      <c r="G37" s="19" t="inlineStr"/>
    </row>
    <row r="38" ht="180" customHeight="1">
      <c r="A38" s="18" t="inlineStr">
        <is>
          <t>TC-RS-UI-007 / incomplete-row</t>
        </is>
      </c>
      <c r="B38" s="18" t="inlineStr">
        <is>
          <t>Thiết lập điểm đỏ（赤点設定）
Dòng quy tắc mới chỉ có điều kiện, chưa có ngưỡng
Xem chi tiết</t>
        </is>
      </c>
      <c r="C38" s="18" t="inlineStr">
        <is>
          <t>Chuẩn bị: Bị chặn
Kỳ vọng: Đã xác nhận
Dữ liệu (trích): Nhánh incomplete-row trong thủ tục và Expected của case; thực…
Thao tác (trích): 1. Với `incomplete-row`, quay về danh sách, xem dòng nhập dở và thao tác mở thiết lập ngưỡng; chạy xét và đọc…
Xem chi tiết</t>
        </is>
      </c>
      <c r="D38" s="18" t="inlineStr">
        <is>
          <t>Kỳ vọng: Đã xác nhận
1. `incomplete-row`: dòng hiển thị chưa có ngưỡng, có link mở thiết lập ngưỡng và câu báo không dùng để xét. Bộ xét chọn rule đối chứng T=20, S01=29 Không đỏ; không tạo ngưỡng 0…
Xem chi tiết</t>
        </is>
      </c>
      <c r="E38" s="19" t="inlineStr"/>
      <c r="F38" s="19" t="inlineStr">
        <is>
          <t>Chưa thực hiện</t>
        </is>
      </c>
      <c r="G38" s="19" t="inlineStr"/>
    </row>
    <row r="39" ht="180" customHeight="1">
      <c r="A39" s="18" t="inlineStr">
        <is>
          <t>TC-RS-UI-007 / incomplete-deleted-stale</t>
        </is>
      </c>
      <c r="B39" s="18" t="inlineStr">
        <is>
          <t>Thiết lập điểm đỏ（赤点設定）
Dòng quy tắc mới chỉ có điều kiện, chưa có ngưỡng
Xem chi tiết</t>
        </is>
      </c>
      <c r="C39" s="18" t="inlineStr">
        <is>
          <t>Chuẩn bị: Bị chặn
Kỳ vọng: Đã xác nhận
Dữ liệu (trích): Nhánh incomplete-deleted-stale trong thủ tục và Expected của…
Thao tác (trích): 1. Với `incomplete-row`, quay về danh sách, xem dòng nhập dở và thao tác mở thiết lập ngưỡng; chạy xét và đọc…
Xem chi tiết</t>
        </is>
      </c>
      <c r="D39" s="18" t="inlineStr">
        <is>
          <t>Kỳ vọng: Đã xác nhận
1. `incomplete-row`: dòng hiển thị chưa có ngưỡng, có link mở thiết lập ngưỡng và câu báo không dùng để xét. Bộ xét chọn rule đối chứng T=20, S01=29 Không đỏ; không tạo ngưỡng 0…
Xem chi tiết</t>
        </is>
      </c>
      <c r="E39" s="19" t="inlineStr"/>
      <c r="F39" s="19" t="inlineStr">
        <is>
          <t>Chưa thực hiện</t>
        </is>
      </c>
      <c r="G39" s="19" t="inlineStr"/>
    </row>
    <row r="40" ht="163" customHeight="1">
      <c r="A40" s="18" t="inlineStr">
        <is>
          <t>TC-RS-FUNC-003 / Base</t>
        </is>
      </c>
      <c r="B40" s="18" t="inlineStr">
        <is>
          <t>Thiết lập điểm đỏ（赤点設定）
Danh sách trống không tự dựng rule từ cấu hình legacy
Xem chi tiết</t>
        </is>
      </c>
      <c r="C40" s="18" t="inlineStr">
        <is>
          <t>Chuẩn bị: Đang chuẩn bị
Kỳ vọng: Đã xác nhận
Dữ liệu (trích): Toàn bộ thủ tục theo đúng thứ tự; các đối chứng cùng fixture…
Thao tác (trích): 1. Mở danh sách rule đỏ trống.…
Xem chi tiết</t>
        </is>
      </c>
      <c r="D40" s="18" t="inlineStr">
        <is>
          <t>Danh sách không tự tạo rule/default từ ngưỡng legacy. Giá trị và kết quả legacy giữ nguyên; không dùng legacy làm rule fallback.
Bảo toàn: Giữ điểm, cấu hình và đối tượng không đích theo expected; chỉ thay phần thủ tục yêu cầu, không tự đổi oracle hoặc mở rộng phạm vi.</t>
        </is>
      </c>
      <c r="E40" s="19" t="inlineStr"/>
      <c r="F40" s="19" t="inlineStr">
        <is>
          <t>Chưa thực hiện</t>
        </is>
      </c>
      <c r="G40" s="19" t="inlineStr"/>
    </row>
    <row r="41" ht="129" customHeight="1">
      <c r="A41" s="18" t="inlineStr">
        <is>
          <t>TC-RS-FUNC-008 / all</t>
        </is>
      </c>
      <c r="B41" s="18" t="inlineStr">
        <is>
          <t>Điều kiện áp dụng（適用条件）
Điều kiện áp dụng: Toàn bộ đối tượng hoặc giới hạn bằng bộ lọc kế thừa từ tính…
Xem chi tiết</t>
        </is>
      </c>
      <c r="C41" s="18" t="inlineStr">
        <is>
          <t>Chuẩn bị: Đang chuẩn bị
Kỳ vọng: Đã xác nhận
Dữ liệu (trích): Toàn bộ đối tượng
Thao tác (trích): 1. Mở Điều kiện áp dụng của một quy tắc mới.…
Xem chi tiết</t>
        </is>
      </c>
      <c r="D41" s="18" t="inlineStr">
        <is>
          <t>Kỳ vọng: Đã xác nhận
1. Hai lựa chọn đối tượng lưu và mở lại đúng.…
Xem chi tiết</t>
        </is>
      </c>
      <c r="E41" s="19" t="inlineStr"/>
      <c r="F41" s="19" t="inlineStr">
        <is>
          <t>Chưa thực hiện</t>
        </is>
      </c>
      <c r="G41" s="19" t="inlineStr"/>
    </row>
    <row r="42" ht="129" customHeight="1">
      <c r="A42" s="18" t="inlineStr">
        <is>
          <t>TC-RS-FUNC-008 / filter</t>
        </is>
      </c>
      <c r="B42" s="18" t="inlineStr">
        <is>
          <t>Điều kiện áp dụng（適用条件）
Điều kiện áp dụng: Toàn bộ đối tượng hoặc giới hạn bằng bộ lọc kế thừa từ tính…
Xem chi tiết</t>
        </is>
      </c>
      <c r="C42" s="18" t="inlineStr">
        <is>
          <t>Chuẩn bị: Đang chuẩn bị
Kỳ vọng: Đã xác nhận
Dữ liệu (trích): Giới hạn bằng bộ lọc
Thao tác (trích): 1. Mở Điều kiện áp dụng của một quy tắc mới.…
Xem chi tiết</t>
        </is>
      </c>
      <c r="D42" s="18" t="inlineStr">
        <is>
          <t>Kỳ vọng: Đã xác nhận
1. Hai lựa chọn đối tượng lưu và mở lại đúng.…
Xem chi tiết</t>
        </is>
      </c>
      <c r="E42" s="19" t="inlineStr"/>
      <c r="F42" s="19" t="inlineStr">
        <is>
          <t>Chưa thực hiện</t>
        </is>
      </c>
      <c r="G42" s="19" t="inlineStr"/>
    </row>
    <row r="43" ht="180" customHeight="1">
      <c r="A43" s="18" t="inlineStr">
        <is>
          <t>TC-RS-FUNC-009 / below60</t>
        </is>
      </c>
      <c r="B43" s="18" t="inlineStr">
        <is>
          <t>Điều kiện áp dụng（適用条件）
Điều kiện phân nhánh theo Trung bình（平均点） được lưu cùng bộ nguồn
Xem chi tiết</t>
        </is>
      </c>
      <c r="C43" s="18" t="inlineStr">
        <is>
          <t>Chuẩn bị: Đang chuẩn bị
Kỳ vọng: Đã xác nhận
Dữ liệu (trích): Điều kiện dưới 60
Thao tác (trích): 1. Tạo quy tắc "Trung bình dưới 60": thêm bộ lọc Môn（教科・科目）= Toán（数学） và điều kiện Trung bình（平均点）.…
Xem chi tiết</t>
        </is>
      </c>
      <c r="D43" s="18" t="inlineStr">
        <is>
          <t>Kỳ vọng: Đã xác nhận
1. Cả hai quy tắc lưu được, là hai dòng riêng trong danh sách (không phải một form hai nhánh).…
Xem chi tiết</t>
        </is>
      </c>
      <c r="E43" s="19" t="inlineStr"/>
      <c r="F43" s="19" t="inlineStr">
        <is>
          <t>Chưa thực hiện</t>
        </is>
      </c>
      <c r="G43" s="19" t="inlineStr"/>
    </row>
    <row r="44" ht="163" customHeight="1">
      <c r="A44" s="18" t="inlineStr">
        <is>
          <t>TC-RS-FUNC-009 / from60</t>
        </is>
      </c>
      <c r="B44" s="18" t="inlineStr">
        <is>
          <t>Điều kiện áp dụng（適用条件）
Điều kiện phân nhánh theo Trung bình（平均点） được lưu cùng bộ nguồn
Xem chi tiết</t>
        </is>
      </c>
      <c r="C44" s="18" t="inlineStr">
        <is>
          <t>Chuẩn bị: Đang chuẩn bị
Kỳ vọng: Đã xác nhận
Dữ liệu (trích): Điều kiện từ 60
Thao tác (trích): 1. Tạo quy tắc "Trung bình dưới 60": thêm bộ lọc Môn（教科・科目）= Toán（数学） và điều kiện Trung bình（平均点）.…
Xem chi tiết</t>
        </is>
      </c>
      <c r="D44" s="18" t="inlineStr">
        <is>
          <t>Kỳ vọng: Đã xác nhận
1. Cả hai quy tắc lưu được, là hai dòng riêng trong danh sách (không phải một form hai nhánh).…
Xem chi tiết</t>
        </is>
      </c>
      <c r="E44" s="19" t="inlineStr"/>
      <c r="F44" s="19" t="inlineStr">
        <is>
          <t>Chưa thực hiện</t>
        </is>
      </c>
      <c r="G44" s="19" t="inlineStr"/>
    </row>
    <row r="45" ht="197" customHeight="1">
      <c r="A45" s="18" t="inlineStr">
        <is>
          <t>TC-RS-FUNC-010 / Base</t>
        </is>
      </c>
      <c r="B45" s="18" t="inlineStr">
        <is>
          <t>Điều kiện áp dụng（適用条件）
Điều kiện Tỷ lệ điểm của nhóm（集団の得点率） được lưu cùng bộ nguồn
Xem chi tiết</t>
        </is>
      </c>
      <c r="C45" s="18" t="inlineStr">
        <is>
          <t>Chuẩn bị: Đang chuẩn bị
Kỳ vọng: Đã xác nhận
Dữ liệu (trích): Toàn bộ thủ tục theo đúng thứ tự; các đối chứng cùng fixture…
Thao tác (trích): 1. Tạo quy tắc với điều kiện Tỷ lệ điểm của nhóm（集団の得点率）, nguồn mặc định, mốc 65, dấu Từ mức này trở lên（以上）.…
Xem chi tiết</t>
        </is>
      </c>
      <c r="D45" s="18" t="inlineStr">
        <is>
          <t>Lưu và mở lại đúng loại điều kiện, nguồn, mốc 65 và dấu. Không có tùy chọn chọn cách tính A/B.
Bảo toàn: Giữ điểm, cấu hình và đối tượng không đích theo expected; chỉ thay phần thủ tục yêu cầu, không tự đổi oracle hoặc mở rộng phạm vi.</t>
        </is>
      </c>
      <c r="E45" s="19" t="inlineStr"/>
      <c r="F45" s="19" t="inlineStr">
        <is>
          <t>Chưa thực hiện</t>
        </is>
      </c>
      <c r="G45" s="19" t="inlineStr"/>
    </row>
    <row r="46" ht="146" customHeight="1">
      <c r="A46" s="18" t="inlineStr">
        <is>
          <t>TC-RS-BR-004 / Base</t>
        </is>
      </c>
      <c r="B46" s="18" t="inlineStr">
        <is>
          <t>Điều kiện áp dụng — Điều kiện áp dụng（適用条件）
Kết hợp bộ lọc: HOẶC trong cùng loại, VÀ giữa các loại</t>
        </is>
      </c>
      <c r="C46" s="18" t="inlineStr">
        <is>
          <t>Chuẩn bị: Đang chuẩn bị
Kỳ vọng: Đã xác nhận
Dữ liệu (trích): Toàn bộ thủ tục theo đúng thứ tự; các đối chứng cùng fixture…
Thao tác (trích): 1. Đăng ký điểm 20 cho P1–P4.…
Xem chi tiết</t>
        </is>
      </c>
      <c r="D46" s="18" t="inlineStr">
        <is>
          <t>P1, P2: Đỏ. P3, P4: Không áp dụng.
Bảo toàn: Giữ điểm, cấu hình và đối tượng không đích theo expected; chỉ thay phần thủ tục yêu cầu, không tự đổi oracle hoặc mở rộng phạm vi.</t>
        </is>
      </c>
      <c r="E46" s="19" t="inlineStr"/>
      <c r="F46" s="19" t="inlineStr">
        <is>
          <t>Chưa thực hiện</t>
        </is>
      </c>
      <c r="G46" s="19" t="inlineStr"/>
    </row>
    <row r="47" ht="180" customHeight="1">
      <c r="A47" s="18" t="inlineStr">
        <is>
          <t>TC-RS-BR-041 / A-P9</t>
        </is>
      </c>
      <c r="B47" s="18" t="inlineStr">
        <is>
          <t>Điều kiện áp dụng — Điều kiện áp dụng（適用条件）
Điều kiện trung bình cùng nguồn kết hợp AND</t>
        </is>
      </c>
      <c r="C47" s="18" t="inlineStr">
        <is>
          <t>Chuẩn bị: Bị chặn
Kỳ vọng: Đã xác nhận
Dữ liệu (trích): Nhánh A-P9 trong thủ tục và Expected của case; thực hiện các…
Thao tác (trích): 1. Lưu rule A+A. Với từng variant A-P9…A-P16, reset fixture, chọn đúng TD-SRC tương ứng, ghi identity…
Xem chi tiết</t>
        </is>
      </c>
      <c r="D47" s="18" t="inlineStr">
        <is>
          <t>Kỳ vọng: Đã xác nhận
1. Biến thể A: P9/P12/P13/P16 không thỏa; P10/P11/P14/P15 thỏa `50≤A&lt;70`; với `T=70`, chỉ học sinh positive có `S=60` bị Đỏ. Mỗi kết quả chỉ hợp lệ khi source identity/reader…
Xem chi tiết</t>
        </is>
      </c>
      <c r="E47" s="19" t="inlineStr"/>
      <c r="F47" s="19" t="inlineStr">
        <is>
          <t>Chưa thực hiện</t>
        </is>
      </c>
      <c r="G47" s="19" t="inlineStr"/>
    </row>
    <row r="48" ht="180" customHeight="1">
      <c r="A48" s="18" t="inlineStr">
        <is>
          <t>TC-RS-BR-041 / A-P10</t>
        </is>
      </c>
      <c r="B48" s="18" t="inlineStr">
        <is>
          <t>Điều kiện áp dụng — Điều kiện áp dụng（適用条件）
Điều kiện trung bình cùng nguồn kết hợp AND</t>
        </is>
      </c>
      <c r="C48" s="18" t="inlineStr">
        <is>
          <t>Chuẩn bị: Bị chặn
Kỳ vọng: Đã xác nhận
Dữ liệu (trích): Nhánh A-P10 trong thủ tục và Expected của case; thực hiện các…
Thao tác (trích): 1. Lưu rule A+A. Với từng variant A-P9…A-P16, reset fixture, chọn đúng TD-SRC tương ứng, ghi identity…
Xem chi tiết</t>
        </is>
      </c>
      <c r="D48" s="18" t="inlineStr">
        <is>
          <t>Kỳ vọng: Đã xác nhận
1. Biến thể A: P9/P12/P13/P16 không thỏa; P10/P11/P14/P15 thỏa `50≤A&lt;70`; với `T=70`, chỉ học sinh positive có `S=60` bị Đỏ. Mỗi kết quả chỉ hợp lệ khi source identity/reader…
Xem chi tiết</t>
        </is>
      </c>
      <c r="E48" s="19" t="inlineStr"/>
      <c r="F48" s="19" t="inlineStr">
        <is>
          <t>Chưa thực hiện</t>
        </is>
      </c>
      <c r="G48" s="19" t="inlineStr"/>
    </row>
    <row r="49" ht="180" customHeight="1">
      <c r="A49" s="18" t="inlineStr">
        <is>
          <t>TC-RS-BR-041 / A-P11</t>
        </is>
      </c>
      <c r="B49" s="18" t="inlineStr">
        <is>
          <t>Điều kiện áp dụng — Điều kiện áp dụng（適用条件）
Điều kiện trung bình cùng nguồn kết hợp AND</t>
        </is>
      </c>
      <c r="C49" s="18" t="inlineStr">
        <is>
          <t>Chuẩn bị: Bị chặn
Kỳ vọng: Đã xác nhận
Dữ liệu (trích): Nhánh A-P11 trong thủ tục và Expected của case; thực hiện các…
Thao tác (trích): 1. Lưu rule A+A. Với từng variant A-P9…A-P16, reset fixture, chọn đúng TD-SRC tương ứng, ghi identity…
Xem chi tiết</t>
        </is>
      </c>
      <c r="D49" s="18" t="inlineStr">
        <is>
          <t>Kỳ vọng: Đã xác nhận
1. Biến thể A: P9/P12/P13/P16 không thỏa; P10/P11/P14/P15 thỏa `50≤A&lt;70`; với `T=70`, chỉ học sinh positive có `S=60` bị Đỏ. Mỗi kết quả chỉ hợp lệ khi source identity/reader…
Xem chi tiết</t>
        </is>
      </c>
      <c r="E49" s="19" t="inlineStr"/>
      <c r="F49" s="19" t="inlineStr">
        <is>
          <t>Chưa thực hiện</t>
        </is>
      </c>
      <c r="G49" s="19" t="inlineStr"/>
    </row>
    <row r="50" ht="180" customHeight="1">
      <c r="A50" s="18" t="inlineStr">
        <is>
          <t>TC-RS-BR-041 / A-P12</t>
        </is>
      </c>
      <c r="B50" s="18" t="inlineStr">
        <is>
          <t>Điều kiện áp dụng — Điều kiện áp dụng（適用条件）
Điều kiện trung bình cùng nguồn kết hợp AND</t>
        </is>
      </c>
      <c r="C50" s="18" t="inlineStr">
        <is>
          <t>Chuẩn bị: Bị chặn
Kỳ vọng: Đã xác nhận
Dữ liệu (trích): Nhánh A-P12 trong thủ tục và Expected của case; thực hiện các…
Thao tác (trích): 1. Lưu rule A+A. Với từng variant A-P9…A-P16, reset fixture, chọn đúng TD-SRC tương ứng, ghi identity…
Xem chi tiết</t>
        </is>
      </c>
      <c r="D50" s="18" t="inlineStr">
        <is>
          <t>Kỳ vọng: Đã xác nhận
1. Biến thể A: P9/P12/P13/P16 không thỏa; P10/P11/P14/P15 thỏa `50≤A&lt;70`; với `T=70`, chỉ học sinh positive có `S=60` bị Đỏ. Mỗi kết quả chỉ hợp lệ khi source identity/reader…
Xem chi tiết</t>
        </is>
      </c>
      <c r="E50" s="19" t="inlineStr"/>
      <c r="F50" s="19" t="inlineStr">
        <is>
          <t>Chưa thực hiện</t>
        </is>
      </c>
      <c r="G50" s="19" t="inlineStr"/>
    </row>
    <row r="51" ht="180" customHeight="1">
      <c r="A51" s="18" t="inlineStr">
        <is>
          <t>TC-RS-BR-041 / A-P13</t>
        </is>
      </c>
      <c r="B51" s="18" t="inlineStr">
        <is>
          <t>Điều kiện áp dụng — Điều kiện áp dụng（適用条件）
Điều kiện trung bình cùng nguồn kết hợp AND</t>
        </is>
      </c>
      <c r="C51" s="18" t="inlineStr">
        <is>
          <t>Chuẩn bị: Bị chặn
Kỳ vọng: Đã xác nhận
Dữ liệu (trích): Nhánh A-P13 trong thủ tục và Expected của case; thực hiện các…
Thao tác (trích): 1. Lưu rule A+A. Với từng variant A-P9…A-P16, reset fixture, chọn đúng TD-SRC tương ứng, ghi identity…
Xem chi tiết</t>
        </is>
      </c>
      <c r="D51" s="18" t="inlineStr">
        <is>
          <t>Kỳ vọng: Đã xác nhận
1. Biến thể A: P9/P12/P13/P16 không thỏa; P10/P11/P14/P15 thỏa `50≤A&lt;70`; với `T=70`, chỉ học sinh positive có `S=60` bị Đỏ. Mỗi kết quả chỉ hợp lệ khi source identity/reader…
Xem chi tiết</t>
        </is>
      </c>
      <c r="E51" s="19" t="inlineStr"/>
      <c r="F51" s="19" t="inlineStr">
        <is>
          <t>Chưa thực hiện</t>
        </is>
      </c>
      <c r="G51" s="19" t="inlineStr"/>
    </row>
    <row r="52" ht="180" customHeight="1">
      <c r="A52" s="18" t="inlineStr">
        <is>
          <t>TC-RS-BR-041 / A-P14</t>
        </is>
      </c>
      <c r="B52" s="18" t="inlineStr">
        <is>
          <t>Điều kiện áp dụng — Điều kiện áp dụng（適用条件）
Điều kiện trung bình cùng nguồn kết hợp AND</t>
        </is>
      </c>
      <c r="C52" s="18" t="inlineStr">
        <is>
          <t>Chuẩn bị: Bị chặn
Kỳ vọng: Đã xác nhận
Dữ liệu (trích): Nhánh A-P14 trong thủ tục và Expected của case; thực hiện các…
Thao tác (trích): 1. Lưu rule A+A. Với từng variant A-P9…A-P16, reset fixture, chọn đúng TD-SRC tương ứng, ghi identity…
Xem chi tiết</t>
        </is>
      </c>
      <c r="D52" s="18" t="inlineStr">
        <is>
          <t>Kỳ vọng: Đã xác nhận
1. Biến thể A: P9/P12/P13/P16 không thỏa; P10/P11/P14/P15 thỏa `50≤A&lt;70`; với `T=70`, chỉ học sinh positive có `S=60` bị Đỏ. Mỗi kết quả chỉ hợp lệ khi source identity/reader…
Xem chi tiết</t>
        </is>
      </c>
      <c r="E52" s="19" t="inlineStr"/>
      <c r="F52" s="19" t="inlineStr">
        <is>
          <t>Chưa thực hiện</t>
        </is>
      </c>
      <c r="G52" s="19" t="inlineStr"/>
    </row>
    <row r="53" ht="180" customHeight="1">
      <c r="A53" s="18" t="inlineStr">
        <is>
          <t>TC-RS-BR-041 / A-P15</t>
        </is>
      </c>
      <c r="B53" s="18" t="inlineStr">
        <is>
          <t>Điều kiện áp dụng — Điều kiện áp dụng（適用条件）
Điều kiện trung bình cùng nguồn kết hợp AND</t>
        </is>
      </c>
      <c r="C53" s="18" t="inlineStr">
        <is>
          <t>Chuẩn bị: Bị chặn
Kỳ vọng: Đã xác nhận
Dữ liệu (trích): Nhánh A-P15 trong thủ tục và Expected của case; thực hiện các…
Thao tác (trích): 1. Lưu rule A+A. Với từng variant A-P9…A-P16, reset fixture, chọn đúng TD-SRC tương ứng, ghi identity…
Xem chi tiết</t>
        </is>
      </c>
      <c r="D53" s="18" t="inlineStr">
        <is>
          <t>Kỳ vọng: Đã xác nhận
1. Biến thể A: P9/P12/P13/P16 không thỏa; P10/P11/P14/P15 thỏa `50≤A&lt;70`; với `T=70`, chỉ học sinh positive có `S=60` bị Đỏ. Mỗi kết quả chỉ hợp lệ khi source identity/reader…
Xem chi tiết</t>
        </is>
      </c>
      <c r="E53" s="19" t="inlineStr"/>
      <c r="F53" s="19" t="inlineStr">
        <is>
          <t>Chưa thực hiện</t>
        </is>
      </c>
      <c r="G53" s="19" t="inlineStr"/>
    </row>
    <row r="54" ht="180" customHeight="1">
      <c r="A54" s="18" t="inlineStr">
        <is>
          <t>TC-RS-BR-041 / A-P16</t>
        </is>
      </c>
      <c r="B54" s="18" t="inlineStr">
        <is>
          <t>Điều kiện áp dụng — Điều kiện áp dụng（適用条件）
Điều kiện trung bình cùng nguồn kết hợp AND</t>
        </is>
      </c>
      <c r="C54" s="18" t="inlineStr">
        <is>
          <t>Chuẩn bị: Bị chặn
Kỳ vọng: Đã xác nhận
Dữ liệu (trích): Nhánh A-P16 trong thủ tục và Expected của case; thực hiện các…
Thao tác (trích): 1. Lưu rule A+A. Với từng variant A-P9…A-P16, reset fixture, chọn đúng TD-SRC tương ứng, ghi identity…
Xem chi tiết</t>
        </is>
      </c>
      <c r="D54" s="18" t="inlineStr">
        <is>
          <t>Kỳ vọng: Đã xác nhận
1. Biến thể A: P9/P12/P13/P16 không thỏa; P10/P11/P14/P15 thỏa `50≤A&lt;70`; với `T=70`, chỉ học sinh positive có `S=60` bị Đỏ. Mỗi kết quả chỉ hợp lệ khi source identity/reader…
Xem chi tiết</t>
        </is>
      </c>
      <c r="E54" s="19" t="inlineStr"/>
      <c r="F54" s="19" t="inlineStr">
        <is>
          <t>Chưa thực hiện</t>
        </is>
      </c>
      <c r="G54" s="19" t="inlineStr"/>
    </row>
    <row r="55" ht="180" customHeight="1">
      <c r="A55" s="18" t="inlineStr">
        <is>
          <t>TC-RS-BR-041 / RR-60</t>
        </is>
      </c>
      <c r="B55" s="18" t="inlineStr">
        <is>
          <t>Điều kiện áp dụng — Điều kiện áp dụng（適用条件）
Điều kiện trung bình cùng nguồn kết hợp AND</t>
        </is>
      </c>
      <c r="C55" s="18" t="inlineStr">
        <is>
          <t>Chuẩn bị: Bị chặn
Kỳ vọng: Đã xác nhận
Dữ liệu (trích): Nhánh RR-60 trong thủ tục và Expected của case; thực hiện các…
Thao tác (trích): 1. Lưu rule A+A. Với từng variant A-P9…A-P16, reset fixture, chọn đúng TD-SRC tương ứng, ghi identity…
Xem chi tiết</t>
        </is>
      </c>
      <c r="D55" s="18" t="inlineStr">
        <is>
          <t>Kỳ vọng: Đã xác nhận
1. Biến thể A: P9/P12/P13/P16 không thỏa; P10/P11/P14/P15 thỏa `50≤A&lt;70`; với `T=70`, chỉ học sinh positive có `S=60` bị Đỏ. Mỗi kết quả chỉ hợp lệ khi source identity/reader…
Xem chi tiết</t>
        </is>
      </c>
      <c r="E55" s="19" t="inlineStr"/>
      <c r="F55" s="19" t="inlineStr">
        <is>
          <t>Chưa thực hiện</t>
        </is>
      </c>
      <c r="G55" s="19" t="inlineStr"/>
    </row>
    <row r="56" ht="180" customHeight="1">
      <c r="A56" s="18" t="inlineStr">
        <is>
          <t>TC-RS-BR-041 / RR-49.9</t>
        </is>
      </c>
      <c r="B56" s="18" t="inlineStr">
        <is>
          <t>Điều kiện áp dụng — Điều kiện áp dụng（適用条件）
Điều kiện trung bình cùng nguồn kết hợp AND</t>
        </is>
      </c>
      <c r="C56" s="18" t="inlineStr">
        <is>
          <t>Chuẩn bị: Bị chặn
Kỳ vọng: Đã xác nhận
Dữ liệu (trích): Nhánh RR-49.9 trong thủ tục và Expected của case; thực hiện các…
Thao tác (trích): 1. Lưu rule A+A. Với từng variant A-P9…A-P16, reset fixture, chọn đúng TD-SRC tương ứng, ghi identity…
Xem chi tiết</t>
        </is>
      </c>
      <c r="D56" s="18" t="inlineStr">
        <is>
          <t>Kỳ vọng: Đã xác nhận
1. Biến thể A: P9/P12/P13/P16 không thỏa; P10/P11/P14/P15 thỏa `50≤A&lt;70`; với `T=70`, chỉ học sinh positive có `S=60` bị Đỏ. Mỗi kết quả chỉ hợp lệ khi source identity/reader…
Xem chi tiết</t>
        </is>
      </c>
      <c r="E56" s="19" t="inlineStr"/>
      <c r="F56" s="19" t="inlineStr">
        <is>
          <t>Chưa thực hiện</t>
        </is>
      </c>
      <c r="G56" s="19" t="inlineStr"/>
    </row>
    <row r="57" ht="180" customHeight="1">
      <c r="A57" s="18" t="inlineStr">
        <is>
          <t>TC-RS-BR-041 / RR-70</t>
        </is>
      </c>
      <c r="B57" s="18" t="inlineStr">
        <is>
          <t>Điều kiện áp dụng — Điều kiện áp dụng（適用条件）
Điều kiện trung bình cùng nguồn kết hợp AND</t>
        </is>
      </c>
      <c r="C57" s="18" t="inlineStr">
        <is>
          <t>Chuẩn bị: Bị chặn
Kỳ vọng: Đã xác nhận
Dữ liệu (trích): Nhánh RR-70 trong thủ tục và Expected của case; thực hiện các…
Thao tác (trích): 1. Lưu rule A+A. Với từng variant A-P9…A-P16, reset fixture, chọn đúng TD-SRC tương ứng, ghi identity…
Xem chi tiết</t>
        </is>
      </c>
      <c r="D57" s="18" t="inlineStr">
        <is>
          <t>Kỳ vọng: Đã xác nhận
1. Biến thể A: P9/P12/P13/P16 không thỏa; P10/P11/P14/P15 thỏa `50≤A&lt;70`; với `T=70`, chỉ học sinh positive có `S=60` bị Đỏ. Mỗi kết quả chỉ hợp lệ khi source identity/reader…
Xem chi tiết</t>
        </is>
      </c>
      <c r="E57" s="19" t="inlineStr"/>
      <c r="F57" s="19" t="inlineStr">
        <is>
          <t>Chưa thực hiện</t>
        </is>
      </c>
      <c r="G57" s="19" t="inlineStr"/>
    </row>
    <row r="58" ht="180" customHeight="1">
      <c r="A58" s="18" t="inlineStr">
        <is>
          <t>TC-RS-BR-041 / AR-60-60</t>
        </is>
      </c>
      <c r="B58" s="18" t="inlineStr">
        <is>
          <t>Điều kiện áp dụng — Điều kiện áp dụng（適用条件）
Điều kiện trung bình cùng nguồn kết hợp AND</t>
        </is>
      </c>
      <c r="C58" s="18" t="inlineStr">
        <is>
          <t>Chuẩn bị: Bị chặn
Kỳ vọng: Đã xác nhận
Dữ liệu (trích): Nhánh AR-60-60 trong thủ tục và Expected của case; thực hiện các…
Thao tác (trích): 1. Lưu rule A+A. Với từng variant A-P9…A-P16, reset fixture, chọn đúng TD-SRC tương ứng, ghi identity…
Xem chi tiết</t>
        </is>
      </c>
      <c r="D58" s="18" t="inlineStr">
        <is>
          <t>Kỳ vọng: Đã xác nhận
1. Biến thể A: P9/P12/P13/P16 không thỏa; P10/P11/P14/P15 thỏa `50≤A&lt;70`; với `T=70`, chỉ học sinh positive có `S=60` bị Đỏ. Mỗi kết quả chỉ hợp lệ khi source identity/reader…
Xem chi tiết</t>
        </is>
      </c>
      <c r="E58" s="19" t="inlineStr"/>
      <c r="F58" s="19" t="inlineStr">
        <is>
          <t>Chưa thực hiện</t>
        </is>
      </c>
      <c r="G58" s="19" t="inlineStr"/>
    </row>
    <row r="59" ht="180" customHeight="1">
      <c r="A59" s="18" t="inlineStr">
        <is>
          <t>TC-RS-BR-041 / AR-40-60</t>
        </is>
      </c>
      <c r="B59" s="18" t="inlineStr">
        <is>
          <t>Điều kiện áp dụng — Điều kiện áp dụng（適用条件）
Điều kiện trung bình cùng nguồn kết hợp AND</t>
        </is>
      </c>
      <c r="C59" s="18" t="inlineStr">
        <is>
          <t>Chuẩn bị: Bị chặn
Kỳ vọng: Đã xác nhận
Dữ liệu (trích): Nhánh AR-40-60 trong thủ tục và Expected của case; thực hiện các…
Thao tác (trích): 1. Lưu rule A+A. Với từng variant A-P9…A-P16, reset fixture, chọn đúng TD-SRC tương ứng, ghi identity…
Xem chi tiết</t>
        </is>
      </c>
      <c r="D59" s="18" t="inlineStr">
        <is>
          <t>Kỳ vọng: Đã xác nhận
1. Biến thể A: P9/P12/P13/P16 không thỏa; P10/P11/P14/P15 thỏa `50≤A&lt;70`; với `T=70`, chỉ học sinh positive có `S=60` bị Đỏ. Mỗi kết quả chỉ hợp lệ khi source identity/reader…
Xem chi tiết</t>
        </is>
      </c>
      <c r="E59" s="19" t="inlineStr"/>
      <c r="F59" s="19" t="inlineStr">
        <is>
          <t>Chưa thực hiện</t>
        </is>
      </c>
      <c r="G59" s="19" t="inlineStr"/>
    </row>
    <row r="60" ht="180" customHeight="1">
      <c r="A60" s="18" t="inlineStr">
        <is>
          <t>TC-RS-BR-041 / AR-60-40</t>
        </is>
      </c>
      <c r="B60" s="18" t="inlineStr">
        <is>
          <t>Điều kiện áp dụng — Điều kiện áp dụng（適用条件）
Điều kiện trung bình cùng nguồn kết hợp AND</t>
        </is>
      </c>
      <c r="C60" s="18" t="inlineStr">
        <is>
          <t>Chuẩn bị: Bị chặn
Kỳ vọng: Đã xác nhận
Dữ liệu (trích): Nhánh AR-60-40 trong thủ tục và Expected của case; thực hiện các…
Thao tác (trích): 1. Lưu rule A+A. Với từng variant A-P9…A-P16, reset fixture, chọn đúng TD-SRC tương ứng, ghi identity…
Xem chi tiết</t>
        </is>
      </c>
      <c r="D60" s="18" t="inlineStr">
        <is>
          <t>Kỳ vọng: Đã xác nhận
1. Biến thể A: P9/P12/P13/P16 không thỏa; P10/P11/P14/P15 thỏa `50≤A&lt;70`; với `T=70`, chỉ học sinh positive có `S=60` bị Đỏ. Mỗi kết quả chỉ hợp lệ khi source identity/reader…
Xem chi tiết</t>
        </is>
      </c>
      <c r="E60" s="19" t="inlineStr"/>
      <c r="F60" s="19" t="inlineStr">
        <is>
          <t>Chưa thực hiện</t>
        </is>
      </c>
      <c r="G60" s="19" t="inlineStr"/>
    </row>
    <row r="61" ht="180" customHeight="1">
      <c r="A61" s="18" t="inlineStr">
        <is>
          <t>TC-RS-BR-041 / FILTER-POS</t>
        </is>
      </c>
      <c r="B61" s="18" t="inlineStr">
        <is>
          <t>Điều kiện áp dụng — Điều kiện áp dụng（適用条件）
Điều kiện trung bình cùng nguồn kết hợp AND</t>
        </is>
      </c>
      <c r="C61" s="18" t="inlineStr">
        <is>
          <t>Chuẩn bị: Bị chặn
Kỳ vọng: Đã xác nhận
Dữ liệu (trích): Nhánh FILTER-POS trong thủ tục và Expected của case; thực hiện…
Thao tác (trích): 1. Lưu rule A+A. Với từng variant A-P9…A-P16, reset fixture, chọn đúng TD-SRC tương ứng, ghi identity…
Xem chi tiết</t>
        </is>
      </c>
      <c r="D61" s="18" t="inlineStr">
        <is>
          <t>Kỳ vọng: Đã xác nhận
1. Biến thể A: P9/P12/P13/P16 không thỏa; P10/P11/P14/P15 thỏa `50≤A&lt;70`; với `T=70`, chỉ học sinh positive có `S=60` bị Đỏ. Mỗi kết quả chỉ hợp lệ khi source identity/reader…
Xem chi tiết</t>
        </is>
      </c>
      <c r="E61" s="19" t="inlineStr"/>
      <c r="F61" s="19" t="inlineStr">
        <is>
          <t>Chưa thực hiện</t>
        </is>
      </c>
      <c r="G61" s="19" t="inlineStr"/>
    </row>
    <row r="62" ht="180" customHeight="1">
      <c r="A62" s="18" t="inlineStr">
        <is>
          <t>TC-RS-BR-041 / FILTER-GRADE-NEG</t>
        </is>
      </c>
      <c r="B62" s="18" t="inlineStr">
        <is>
          <t>Điều kiện áp dụng — Điều kiện áp dụng（適用条件）
Điều kiện trung bình cùng nguồn kết hợp AND</t>
        </is>
      </c>
      <c r="C62" s="18" t="inlineStr">
        <is>
          <t>Chuẩn bị: Bị chặn
Kỳ vọng: Đã xác nhận
Dữ liệu (trích): Nhánh FILTER-GRADE-NEG trong thủ tục và Expected của case; thực…
Thao tác (trích): 1. Lưu rule A+A. Với từng variant A-P9…A-P16, reset fixture, chọn đúng TD-SRC tương ứng, ghi identity…
Xem chi tiết</t>
        </is>
      </c>
      <c r="D62" s="18" t="inlineStr">
        <is>
          <t>Kỳ vọng: Đã xác nhận
1. Biến thể A: P9/P12/P13/P16 không thỏa; P10/P11/P14/P15 thỏa `50≤A&lt;70`; với `T=70`, chỉ học sinh positive có `S=60` bị Đỏ. Mỗi kết quả chỉ hợp lệ khi source identity/reader…
Xem chi tiết</t>
        </is>
      </c>
      <c r="E62" s="19" t="inlineStr"/>
      <c r="F62" s="19" t="inlineStr">
        <is>
          <t>Chưa thực hiện</t>
        </is>
      </c>
      <c r="G62" s="19" t="inlineStr"/>
    </row>
    <row r="63" ht="180" customHeight="1">
      <c r="A63" s="18" t="inlineStr">
        <is>
          <t>TC-RS-BR-041 / FILTER-GROUP-NEG</t>
        </is>
      </c>
      <c r="B63" s="18" t="inlineStr">
        <is>
          <t>Điều kiện áp dụng — Điều kiện áp dụng（適用条件）
Điều kiện trung bình cùng nguồn kết hợp AND</t>
        </is>
      </c>
      <c r="C63" s="18" t="inlineStr">
        <is>
          <t>Chuẩn bị: Bị chặn
Kỳ vọng: Đã xác nhận
Dữ liệu (trích): Nhánh FILTER-GROUP-NEG trong thủ tục và Expected của case; thực…
Thao tác (trích): 1. Lưu rule A+A. Với từng variant A-P9…A-P16, reset fixture, chọn đúng TD-SRC tương ứng, ghi identity…
Xem chi tiết</t>
        </is>
      </c>
      <c r="D63" s="18" t="inlineStr">
        <is>
          <t>Kỳ vọng: Đã xác nhận
1. Biến thể A: P9/P12/P13/P16 không thỏa; P10/P11/P14/P15 thỏa `50≤A&lt;70`; với `T=70`, chỉ học sinh positive có `S=60` bị Đỏ. Mỗi kết quả chỉ hợp lệ khi source identity/reader…
Xem chi tiết</t>
        </is>
      </c>
      <c r="E63" s="19" t="inlineStr"/>
      <c r="F63" s="19" t="inlineStr">
        <is>
          <t>Chưa thực hiện</t>
        </is>
      </c>
      <c r="G63" s="19" t="inlineStr"/>
    </row>
    <row r="64" ht="180" customHeight="1">
      <c r="A64" s="18" t="inlineStr">
        <is>
          <t>TC-RS-BR-041 / P17-A-NAN</t>
        </is>
      </c>
      <c r="B64" s="18" t="inlineStr">
        <is>
          <t>Điều kiện áp dụng — Điều kiện áp dụng（適用条件）
Điều kiện trung bình cùng nguồn kết hợp AND</t>
        </is>
      </c>
      <c r="C64" s="18" t="inlineStr">
        <is>
          <t>Chuẩn bị: Bị chặn
Kỳ vọng: Đã xác nhận
Dữ liệu (trích): Nhánh P17-A-NAN trong thủ tục và Expected của case; thực hiện…
Thao tác (trích): 1. Lưu rule A+A. Với từng variant A-P9…A-P16, reset fixture, chọn đúng TD-SRC tương ứng, ghi identity…
Xem chi tiết</t>
        </is>
      </c>
      <c r="D64" s="18" t="inlineStr">
        <is>
          <t>Kỳ vọng: Đã xác nhận
1. Biến thể A: P9/P12/P13/P16 không thỏa; P10/P11/P14/P15 thỏa `50≤A&lt;70`; với `T=70`, chỉ học sinh positive có `S=60` bị Đỏ. Mỗi kết quả chỉ hợp lệ khi source identity/reader…
Xem chi tiết</t>
        </is>
      </c>
      <c r="E64" s="19" t="inlineStr"/>
      <c r="F64" s="19" t="inlineStr">
        <is>
          <t>Chưa thực hiện</t>
        </is>
      </c>
      <c r="G64" s="19" t="inlineStr"/>
    </row>
    <row r="65" ht="180" customHeight="1">
      <c r="A65" s="18" t="inlineStr">
        <is>
          <t>TC-RS-BR-041 / P19-A-INFINITY</t>
        </is>
      </c>
      <c r="B65" s="18" t="inlineStr">
        <is>
          <t>Điều kiện áp dụng — Điều kiện áp dụng（適用条件）
Điều kiện trung bình cùng nguồn kết hợp AND</t>
        </is>
      </c>
      <c r="C65" s="18" t="inlineStr">
        <is>
          <t>Chuẩn bị: Bị chặn
Kỳ vọng: Đã xác nhận
Dữ liệu (trích): Nhánh P19-A-INFINITY trong thủ tục và Expected của case; thực…
Thao tác (trích): 1. Lưu rule A+A. Với từng variant A-P9…A-P16, reset fixture, chọn đúng TD-SRC tương ứng, ghi identity…
Xem chi tiết</t>
        </is>
      </c>
      <c r="D65" s="18" t="inlineStr">
        <is>
          <t>Kỳ vọng: Đã xác nhận
1. Biến thể A: P9/P12/P13/P16 không thỏa; P10/P11/P14/P15 thỏa `50≤A&lt;70`; với `T=70`, chỉ học sinh positive có `S=60` bị Đỏ. Mỗi kết quả chỉ hợp lệ khi source identity/reader…
Xem chi tiết</t>
        </is>
      </c>
      <c r="E65" s="19" t="inlineStr"/>
      <c r="F65" s="19" t="inlineStr">
        <is>
          <t>Chưa thực hiện</t>
        </is>
      </c>
      <c r="G65" s="19" t="inlineStr"/>
    </row>
    <row r="66" ht="180" customHeight="1">
      <c r="A66" s="18" t="inlineStr">
        <is>
          <t>TC-RS-BR-041 / P18-A-EMPTY</t>
        </is>
      </c>
      <c r="B66" s="18" t="inlineStr">
        <is>
          <t>Điều kiện áp dụng — Điều kiện áp dụng（適用条件）
Điều kiện trung bình cùng nguồn kết hợp AND</t>
        </is>
      </c>
      <c r="C66" s="18" t="inlineStr">
        <is>
          <t>Chuẩn bị: Bị chặn
Kỳ vọng: Đã xác nhận
Dữ liệu (trích): Nhánh P18-A-EMPTY trong thủ tục và Expected của case; thực hiện…
Thao tác (trích): 1. Lưu rule A+A. Với từng variant A-P9…A-P16, reset fixture, chọn đúng TD-SRC tương ứng, ghi identity…
Xem chi tiết</t>
        </is>
      </c>
      <c r="D66" s="18" t="inlineStr">
        <is>
          <t>Kỳ vọng: Đã xác nhận
1. Biến thể A: P9/P12/P13/P16 không thỏa; P10/P11/P14/P15 thỏa `50≤A&lt;70`; với `T=70`, chỉ học sinh positive có `S=60` bị Đỏ. Mỗi kết quả chỉ hợp lệ khi source identity/reader…
Xem chi tiết</t>
        </is>
      </c>
      <c r="E66" s="19" t="inlineStr"/>
      <c r="F66" s="19" t="inlineStr">
        <is>
          <t>Chưa thực hiện</t>
        </is>
      </c>
      <c r="G66" s="19" t="inlineStr"/>
    </row>
    <row r="67" ht="180" customHeight="1">
      <c r="A67" s="18" t="inlineStr">
        <is>
          <t>TC-RS-BR-041 / P18-S-EMPTY</t>
        </is>
      </c>
      <c r="B67" s="18" t="inlineStr">
        <is>
          <t>Điều kiện áp dụng — Điều kiện áp dụng（適用条件）
Điều kiện trung bình cùng nguồn kết hợp AND</t>
        </is>
      </c>
      <c r="C67" s="18" t="inlineStr">
        <is>
          <t>Chuẩn bị: Bị chặn
Kỳ vọng: Đã xác nhận
Dữ liệu (trích): Nhánh P18-S-EMPTY trong thủ tục và Expected của case; thực hiện…
Thao tác (trích): 1. Lưu rule A+A. Với từng variant A-P9…A-P16, reset fixture, chọn đúng TD-SRC tương ứng, ghi identity…
Xem chi tiết</t>
        </is>
      </c>
      <c r="D67" s="18" t="inlineStr">
        <is>
          <t>Kỳ vọng: Đã xác nhận
1. Biến thể A: P9/P12/P13/P16 không thỏa; P10/P11/P14/P15 thỏa `50≤A&lt;70`; với `T=70`, chỉ học sinh positive có `S=60` bị Đỏ. Mỗi kết quả chỉ hợp lệ khi source identity/reader…
Xem chi tiết</t>
        </is>
      </c>
      <c r="E67" s="19" t="inlineStr"/>
      <c r="F67" s="19" t="inlineStr">
        <is>
          <t>Chưa thực hiện</t>
        </is>
      </c>
      <c r="G67" s="19" t="inlineStr"/>
    </row>
    <row r="68" ht="180" customHeight="1">
      <c r="A68" s="18" t="inlineStr">
        <is>
          <t>TC-RS-BR-041 / reopen-summary</t>
        </is>
      </c>
      <c r="B68" s="18" t="inlineStr">
        <is>
          <t>Điều kiện áp dụng — Điều kiện áp dụng（適用条件）
Điều kiện trung bình cùng nguồn kết hợp AND</t>
        </is>
      </c>
      <c r="C68" s="18" t="inlineStr">
        <is>
          <t>Chuẩn bị: Bị chặn
Kỳ vọng: Đã xác nhận
Dữ liệu (trích): Bước 5 sau từng cấu hình ở bước 1–4, giữ source và phép AND khi…
Thao tác (trích): 1. Lưu rule A+A. Với từng variant A-P9…A-P16, reset fixture, chọn đúng TD-SRC tương ứng, ghi identity…
Xem chi tiết</t>
        </is>
      </c>
      <c r="D68" s="18" t="inlineStr">
        <is>
          <t>Kỳ vọng: Đã xác nhận
1. Biến thể A: P9/P12/P13/P16 không thỏa; P10/P11/P14/P15 thỏa `50≤A&lt;70`; với `T=70`, chỉ học sinh positive có `S=60` bị Đỏ. Mỗi kết quả chỉ hợp lệ khi source identity/reader…
Xem chi tiết</t>
        </is>
      </c>
      <c r="E68" s="19" t="inlineStr"/>
      <c r="F68" s="19" t="inlineStr">
        <is>
          <t>Chưa thực hiện</t>
        </is>
      </c>
      <c r="G68" s="19" t="inlineStr"/>
    </row>
    <row r="69" ht="180" customHeight="1">
      <c r="A69" s="18" t="inlineStr">
        <is>
          <t>TC-RS-BR-005 / Base</t>
        </is>
      </c>
      <c r="B69" s="18" t="inlineStr">
        <is>
          <t>Điều kiện áp dụng（適用条件）
Toàn bộ đối tượng（全員が対象） không vượt phạm vi mục, trường, năm
Xem chi tiết</t>
        </is>
      </c>
      <c r="C69" s="18" t="inlineStr">
        <is>
          <t>Chuẩn bị: Đang chuẩn bị
Kỳ vọng: Đã xác nhận
Dữ liệu (trích): Toàn bộ thủ tục theo đúng thứ tự; các đối chứng cùng fixture…
Thao tác (trích): 1. Chạy xét hàng loạt cho trường A.…
Xem chi tiết</t>
        </is>
      </c>
      <c r="D69" s="18" t="inlineStr">
        <is>
          <t>Chỉ ô của mục số nguyên (M=100) trong trường A năm 2026 được xét. S09 ở mục số thập phân (M=100) và học sinh trường B không bị ảnh hưởng.
Bảo toàn: Giữ điểm, cấu hình và đối tượng không đích theo expected; chỉ thay phần thủ tục yêu cầu, không tự đổi oracle hoặc mở rộng phạm vi.</t>
        </is>
      </c>
      <c r="E69" s="19" t="inlineStr"/>
      <c r="F69" s="19" t="inlineStr">
        <is>
          <t>Chưa thực hiện</t>
        </is>
      </c>
      <c r="G69" s="19" t="inlineStr"/>
    </row>
    <row r="70" ht="197" customHeight="1">
      <c r="A70" s="18" t="inlineStr">
        <is>
          <t>TC-RS-BR-029 / Base</t>
        </is>
      </c>
      <c r="B70" s="18" t="inlineStr">
        <is>
          <t>Điều kiện áp dụng（適用条件）
Mục lựa chọn không được xét, nhưng bộ lọc theo lựa chọn vẫn dùng để chọn đối…
Xem chi tiết</t>
        </is>
      </c>
      <c r="C70" s="18" t="inlineStr">
        <is>
          <t>Chuẩn bị: Đang chuẩn bị
Kỳ vọng: Đã xác nhận
Dữ liệu (trích): Toàn bộ thủ tục theo đúng thứ tự; các đối chứng cùng fixture…
Thao tác (trích): 1. Tạo quy tắc cho mục số nguyên (M=100) với bộ lọc theo lựa chọn（選択肢型） mục kiểu lựa chọn A/B/C = B, cố định…
Xem chi tiết</t>
        </is>
      </c>
      <c r="D70" s="18" t="inlineStr">
        <is>
          <t>S01 Đỏ (thuộc đối tượng); S02 Không áp dụng. Không có ô nào của mục kiểu lựa chọn A/B/C được xét đỏ.
Bảo toàn: Giữ điểm, cấu hình và đối tượng không đích theo expected; chỉ thay phần thủ tục yêu cầu, không tự đổi oracle hoặc mở rộng phạm vi.</t>
        </is>
      </c>
      <c r="E70" s="19" t="inlineStr"/>
      <c r="F70" s="19" t="inlineStr">
        <is>
          <t>Chưa thực hiện</t>
        </is>
      </c>
      <c r="G70" s="19" t="inlineStr"/>
    </row>
    <row r="71" ht="197" customHeight="1">
      <c r="A71" s="18" t="inlineStr">
        <is>
          <t>TC-RS-BR-035 / Base</t>
        </is>
      </c>
      <c r="B71" s="18" t="inlineStr">
        <is>
          <t>Điều kiện áp dụng — Điều kiện áp dụng（適用条件）
Bộ lọc nhóm tổng hợp khác loại phải kết hợp VÀ</t>
        </is>
      </c>
      <c r="C71" s="18" t="inlineStr">
        <is>
          <t>Chuẩn bị: Đang chuẩn bị
Kỳ vọng: Đã xác nhận
Dữ liệu (trích): Toàn bộ thủ tục theo đúng thứ tự; các đối chứng cùng fixture…
Thao tác (trích): 1. Đăng ký điểm 20 cho P5–P8.…
Xem chi tiết</t>
        </is>
      </c>
      <c r="D71" s="18" t="inlineStr">
        <is>
          <t>1–2. Chỉ P7 thỏa cả hai loại nhóm và được xét → Đỏ. P5, P6, P8: Không áp dụng.
3. Mỗi giá trị vẫn gắn đúng loại nhóm của nó.
Bảo toàn: Giữ điểm, cấu hình và đối tượng không đích theo expected; chỉ thay phần thủ tục yêu cầu, không tự đổi oracle hoặc mở rộng phạm vi.</t>
        </is>
      </c>
      <c r="E71" s="19" t="inlineStr"/>
      <c r="F71" s="19" t="inlineStr">
        <is>
          <t>Chưa thực hiện</t>
        </is>
      </c>
      <c r="G71" s="19" t="inlineStr"/>
    </row>
    <row r="72" ht="163" customHeight="1">
      <c r="A72" s="18" t="inlineStr">
        <is>
          <t>TC-RS-VAL-015 / Base</t>
        </is>
      </c>
      <c r="B72" s="18" t="inlineStr">
        <is>
          <t>Điều kiện áp dụng — Điều kiện áp dụng（適用条件）
Chọn giới hạn bằng bộ lọc nhưng không có bộ lọc nào</t>
        </is>
      </c>
      <c r="C72" s="18" t="inlineStr">
        <is>
          <t>Chuẩn bị: Đang chuẩn bị
Kỳ vọng: Đề xuất
Dữ liệu (trích): Toàn bộ thủ tục theo đúng thứ tự; các đối chứng cùng fixture…
Thao tác (trích): Chọn giới hạn bằng bộ lọc, không chọn điều kiện, Lưu.
Xem chi tiết</t>
        </is>
      </c>
      <c r="D72" s="18" t="inlineStr">
        <is>
          <t>Không lưu được; có thông báo lỗi. Câu chữ thông báo không phải must-pass (Figma chưa có).
Bảo toàn: Giữ điểm, cấu hình và đối tượng không đích theo expected; chỉ thay phần thủ tục yêu cầu, không tự đổi oracle hoặc mở rộng phạm vi.</t>
        </is>
      </c>
      <c r="E72" s="19" t="inlineStr"/>
      <c r="F72" s="19" t="inlineStr">
        <is>
          <t>Chưa thực hiện</t>
        </is>
      </c>
      <c r="G72" s="19" t="inlineStr"/>
    </row>
    <row r="73" ht="146" customHeight="1">
      <c r="A73" s="18" t="inlineStr">
        <is>
          <t>TC-RS-VAL-022 / avg-empty</t>
        </is>
      </c>
      <c r="B73" s="18" t="inlineStr">
        <is>
          <t>Điều kiện áp dụng — Điều kiện áp dụng（適用条件）
Giá trị điều kiện phân nhánh (trung bình/tỷ lệ nhóm)</t>
        </is>
      </c>
      <c r="C73" s="18" t="inlineStr">
        <is>
          <t>Chuẩn bị: Đang chuẩn bị
Kỳ vọng: Đề xuất
Dữ liệu (trích): Trung bình trống
Thao tác (trích): Nhập từng giá trị, Lưu.
Xem chi tiết</t>
        </is>
      </c>
      <c r="D73"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73" s="19" t="inlineStr"/>
      <c r="F73" s="19" t="inlineStr">
        <is>
          <t>Chưa thực hiện</t>
        </is>
      </c>
      <c r="G73" s="19" t="inlineStr"/>
    </row>
    <row r="74" ht="146" customHeight="1">
      <c r="A74" s="18" t="inlineStr">
        <is>
          <t>TC-RS-VAL-022 / avg-negative</t>
        </is>
      </c>
      <c r="B74" s="18" t="inlineStr">
        <is>
          <t>Điều kiện áp dụng — Điều kiện áp dụng（適用条件）
Giá trị điều kiện phân nhánh (trung bình/tỷ lệ nhóm)</t>
        </is>
      </c>
      <c r="C74" s="18" t="inlineStr">
        <is>
          <t>Chuẩn bị: Đang chuẩn bị
Kỳ vọng: Đề xuất
Dữ liệu (trích): Trung bình -1
Thao tác (trích): Nhập từng giá trị, Lưu.
Xem chi tiết</t>
        </is>
      </c>
      <c r="D74"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74" s="19" t="inlineStr"/>
      <c r="F74" s="19" t="inlineStr">
        <is>
          <t>Chưa thực hiện</t>
        </is>
      </c>
      <c r="G74" s="19" t="inlineStr"/>
    </row>
    <row r="75" ht="146" customHeight="1">
      <c r="A75" s="18" t="inlineStr">
        <is>
          <t>TC-RS-VAL-022 / avg101</t>
        </is>
      </c>
      <c r="B75" s="18" t="inlineStr">
        <is>
          <t>Điều kiện áp dụng — Điều kiện áp dụng（適用条件）
Giá trị điều kiện phân nhánh (trung bình/tỷ lệ nhóm)</t>
        </is>
      </c>
      <c r="C75" s="18" t="inlineStr">
        <is>
          <t>Chuẩn bị: Đang chuẩn bị
Kỳ vọng: Đề xuất
Dữ liệu (trích): Trung bình 101
Thao tác (trích): Nhập từng giá trị, Lưu.
Xem chi tiết</t>
        </is>
      </c>
      <c r="D75"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75" s="19" t="inlineStr"/>
      <c r="F75" s="19" t="inlineStr">
        <is>
          <t>Chưa thực hiện</t>
        </is>
      </c>
      <c r="G75" s="19" t="inlineStr"/>
    </row>
    <row r="76" ht="146" customHeight="1">
      <c r="A76" s="18" t="inlineStr">
        <is>
          <t>TC-RS-VAL-022 / avg605</t>
        </is>
      </c>
      <c r="B76" s="18" t="inlineStr">
        <is>
          <t>Điều kiện áp dụng — Điều kiện áp dụng（適用条件）
Giá trị điều kiện phân nhánh (trung bình/tỷ lệ nhóm)</t>
        </is>
      </c>
      <c r="C76" s="18" t="inlineStr">
        <is>
          <t>Chuẩn bị: Đang chuẩn bị
Kỳ vọng: Đề xuất
Dữ liệu (trích): Trung bình 60.5
Thao tác (trích): Nhập từng giá trị, Lưu.
Xem chi tiết</t>
        </is>
      </c>
      <c r="D76"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76" s="19" t="inlineStr"/>
      <c r="F76" s="19" t="inlineStr">
        <is>
          <t>Chưa thực hiện</t>
        </is>
      </c>
      <c r="G76" s="19" t="inlineStr"/>
    </row>
    <row r="77" ht="146" customHeight="1">
      <c r="A77" s="18" t="inlineStr">
        <is>
          <t>TC-RS-VAL-022 / avg-long</t>
        </is>
      </c>
      <c r="B77" s="18" t="inlineStr">
        <is>
          <t>Điều kiện áp dụng — Điều kiện áp dụng（適用条件）
Giá trị điều kiện phân nhánh (trung bình/tỷ lệ nhóm)</t>
        </is>
      </c>
      <c r="C77" s="18" t="inlineStr">
        <is>
          <t>Chuẩn bị: Đang chuẩn bị
Kỳ vọng: Đề xuất
Dữ liệu (trích): Trung bình 60.123456789
Thao tác (trích): Nhập từng giá trị, Lưu.
Xem chi tiết</t>
        </is>
      </c>
      <c r="D77"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77" s="19" t="inlineStr"/>
      <c r="F77" s="19" t="inlineStr">
        <is>
          <t>Chưa thực hiện</t>
        </is>
      </c>
      <c r="G77" s="19" t="inlineStr"/>
    </row>
    <row r="78" ht="146" customHeight="1">
      <c r="A78" s="18" t="inlineStr">
        <is>
          <t>TC-RS-VAL-022 / ratio-negative</t>
        </is>
      </c>
      <c r="B78" s="18" t="inlineStr">
        <is>
          <t>Điều kiện áp dụng — Điều kiện áp dụng（適用条件）
Giá trị điều kiện phân nhánh (trung bình/tỷ lệ nhóm)</t>
        </is>
      </c>
      <c r="C78" s="18" t="inlineStr">
        <is>
          <t>Chuẩn bị: Đang chuẩn bị
Kỳ vọng: Đề xuất
Dữ liệu (trích): Tỷ lệ -1
Thao tác (trích): Nhập từng giá trị, Lưu.
Xem chi tiết</t>
        </is>
      </c>
      <c r="D78"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78" s="19" t="inlineStr"/>
      <c r="F78" s="19" t="inlineStr">
        <is>
          <t>Chưa thực hiện</t>
        </is>
      </c>
      <c r="G78" s="19" t="inlineStr"/>
    </row>
    <row r="79" ht="146" customHeight="1">
      <c r="A79" s="18" t="inlineStr">
        <is>
          <t>TC-RS-VAL-022 / ratio0</t>
        </is>
      </c>
      <c r="B79" s="18" t="inlineStr">
        <is>
          <t>Điều kiện áp dụng — Điều kiện áp dụng（適用条件）
Giá trị điều kiện phân nhánh (trung bình/tỷ lệ nhóm)</t>
        </is>
      </c>
      <c r="C79" s="18" t="inlineStr">
        <is>
          <t>Chuẩn bị: Đang chuẩn bị
Kỳ vọng: Đề xuất
Dữ liệu (trích): Tỷ lệ 0
Thao tác (trích): Nhập từng giá trị, Lưu.
Xem chi tiết</t>
        </is>
      </c>
      <c r="D79"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79" s="19" t="inlineStr"/>
      <c r="F79" s="19" t="inlineStr">
        <is>
          <t>Chưa thực hiện</t>
        </is>
      </c>
      <c r="G79" s="19" t="inlineStr"/>
    </row>
    <row r="80" ht="146" customHeight="1">
      <c r="A80" s="18" t="inlineStr">
        <is>
          <t>TC-RS-VAL-022 / ratio100</t>
        </is>
      </c>
      <c r="B80" s="18" t="inlineStr">
        <is>
          <t>Điều kiện áp dụng — Điều kiện áp dụng（適用条件）
Giá trị điều kiện phân nhánh (trung bình/tỷ lệ nhóm)</t>
        </is>
      </c>
      <c r="C80" s="18" t="inlineStr">
        <is>
          <t>Chuẩn bị: Đang chuẩn bị
Kỳ vọng: Đề xuất
Dữ liệu (trích): Tỷ lệ 100
Thao tác (trích): Nhập từng giá trị, Lưu.
Xem chi tiết</t>
        </is>
      </c>
      <c r="D80"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80" s="19" t="inlineStr"/>
      <c r="F80" s="19" t="inlineStr">
        <is>
          <t>Chưa thực hiện</t>
        </is>
      </c>
      <c r="G80" s="19" t="inlineStr"/>
    </row>
    <row r="81" ht="146" customHeight="1">
      <c r="A81" s="18" t="inlineStr">
        <is>
          <t>TC-RS-VAL-022 / ratio101</t>
        </is>
      </c>
      <c r="B81" s="18" t="inlineStr">
        <is>
          <t>Điều kiện áp dụng — Điều kiện áp dụng（適用条件）
Giá trị điều kiện phân nhánh (trung bình/tỷ lệ nhóm)</t>
        </is>
      </c>
      <c r="C81" s="18" t="inlineStr">
        <is>
          <t>Chuẩn bị: Đang chuẩn bị
Kỳ vọng: Đề xuất
Dữ liệu (trích): Tỷ lệ 101
Thao tác (trích): Nhập từng giá trị, Lưu.
Xem chi tiết</t>
        </is>
      </c>
      <c r="D81" s="18" t="inlineStr">
        <is>
          <t>Kỳ vọng: Đề xuất
Đề xuất (thiết kế DB v2): trống → không lưu được (điều kiện chưa đủ); 60.5 lưu được; 60.123456789 (9 chữ số lẻ) bị từ chối; tỷ lệ nhóm 0 và 100 lưu được, −1 và 101 bị từ chối.…
Xem chi tiết</t>
        </is>
      </c>
      <c r="E81" s="19" t="inlineStr"/>
      <c r="F81" s="19" t="inlineStr">
        <is>
          <t>Chưa thực hiện</t>
        </is>
      </c>
      <c r="G81" s="19" t="inlineStr"/>
    </row>
    <row r="82" ht="163" customHeight="1">
      <c r="A82" s="18" t="inlineStr">
        <is>
          <t>TC-RS-UI-008 / Base</t>
        </is>
      </c>
      <c r="B82" s="18" t="inlineStr">
        <is>
          <t>Điều kiện áp dụng（適用条件）
Màn Điều kiện áp dụng（適用条件設定）: bố cục và chuyển Toàn bộ/Bộ lọc
Xem chi tiết</t>
        </is>
      </c>
      <c r="C82" s="18" t="inlineStr">
        <is>
          <t>Chuẩn bị: Đang chuẩn bị
Kỳ vọng: Đề xuất
Dữ liệu (trích): Toàn bộ thủ tục theo đúng thứ tự; các đối chứng cùng fixture…
Thao tác (trích): 1. Đối chiếu bố cục và đọc nguyên văn hướng dẫn điều kiện.…
Xem chi tiết</t>
        </is>
      </c>
      <c r="D82" s="18" t="inlineStr">
        <is>
          <t>Kỳ vọng: Đề xuất
1. Có các phần tử như Source.…
Xem chi tiết</t>
        </is>
      </c>
      <c r="E82" s="19" t="inlineStr"/>
      <c r="F82" s="19" t="inlineStr">
        <is>
          <t>Chưa thực hiện</t>
        </is>
      </c>
      <c r="G82" s="19" t="inlineStr"/>
    </row>
    <row r="83" ht="163" customHeight="1">
      <c r="A83" s="18" t="inlineStr">
        <is>
          <t>TC-RS-UI-009 / Base</t>
        </is>
      </c>
      <c r="B83" s="18" t="inlineStr">
        <is>
          <t>Điều kiện áp dụng（適用条件）
Khối điều kiện Trung bình（平均点） và nguồn tham chiếu, không có ô chọn "kết quả…
Xem chi tiết</t>
        </is>
      </c>
      <c r="C83" s="18" t="inlineStr">
        <is>
          <t>Chuẩn bị: Đang chuẩn bị
Kỳ vọng: Đã xác nhận
Dữ liệu (trích): Toàn bộ thủ tục theo đúng thứ tự; các đối chứng cùng fixture…
Thao tác (trích): Thêm điều kiện Trung bình（平均点）, xem các ô.
Xem chi tiết</t>
        </is>
      </c>
      <c r="D83" s="18" t="inlineStr">
        <is>
          <t>Kỳ vọng: Đã xác nhận
CONFIRMED: có ba ô nguồn (thời kỳ, thiết lập tổng hợp thứ hạng, nhóm tham chiếu); **không** có ô chọn kết quả tổng hợp cụ thể/bản chốt.…
Xem chi tiết</t>
        </is>
      </c>
      <c r="E83" s="19" t="inlineStr"/>
      <c r="F83" s="19" t="inlineStr">
        <is>
          <t>Chưa thực hiện</t>
        </is>
      </c>
      <c r="G83" s="19" t="inlineStr"/>
    </row>
    <row r="84" ht="214" customHeight="1">
      <c r="A84" s="18" t="inlineStr">
        <is>
          <t>TC-RS-UI-010 / Base</t>
        </is>
      </c>
      <c r="B84" s="18" t="inlineStr">
        <is>
          <t>Điều kiện áp dụng — Điều kiện áp dụng（適用条件）
Khối điều kiện Tỷ lệ điểm của nhóm（集団の得点率）</t>
        </is>
      </c>
      <c r="C84" s="18" t="inlineStr">
        <is>
          <t>Chuẩn bị: Đang chuẩn bị
Kỳ vọng: Đề xuất
Dữ liệu (trích): Toàn bộ thủ tục theo đúng thứ tự; các đối chứng cùng fixture…
Thao tác (trích): Thêm điều kiện Tỷ lệ điểm của nhóm（集団の得点率）.
Xem chi tiết</t>
        </is>
      </c>
      <c r="D84" s="18" t="inlineStr">
        <is>
          <t>Có ba ô nguồn như UI-009, ô mốc với đơn vị %, dấu so sánh. Không có tùy chọn cách tính A/B (Q&amp;A nghiệp vụ đã xác nhận câu “Tỷ lệ nhóm có cần xử lý riêng khi các lớp khác điểm tối đa không?” — CONFIRMED).
Bảo toàn: Giữ điểm, cấu hình và đối tượng không đích theo expected; chỉ thay phần thủ tục yêu cầu, không tự đổi oracle hoặc mở rộng phạm vi.</t>
        </is>
      </c>
      <c r="E84" s="19" t="inlineStr"/>
      <c r="F84" s="19" t="inlineStr">
        <is>
          <t>Chưa thực hiện</t>
        </is>
      </c>
      <c r="G84" s="19" t="inlineStr"/>
    </row>
    <row r="85" ht="112" customHeight="1">
      <c r="A85" s="18" t="inlineStr">
        <is>
          <t>TC-RS-FUNC-011 / fixed</t>
        </is>
      </c>
      <c r="B85" s="18" t="inlineStr">
        <is>
          <t>Ngưỡng điểm cố định — Thiết lập ngưỡng（基準設定）
Chọn loại ngưỡng làm thay đổi vùng nhập</t>
        </is>
      </c>
      <c r="C85" s="18" t="inlineStr">
        <is>
          <t>Chuẩn bị: Đang chuẩn bị
Kỳ vọng: Đã xác nhận
Dữ liệu (trích): Chọn cố định
Thao tác (trích): 1. Chọn Điểm cố định（固定点数）.…
Xem chi tiết</t>
        </is>
      </c>
      <c r="D85" s="18" t="inlineStr">
        <is>
          <t>Kỳ vọng: Đã xác nhận
1. Cố định: có ô ngưỡng và dấu so sánh; không có vùng nguồn trung bình, không có xử lý phần lẻ.…
Xem chi tiết</t>
        </is>
      </c>
      <c r="E85" s="19" t="inlineStr"/>
      <c r="F85" s="19" t="inlineStr">
        <is>
          <t>Chưa thực hiện</t>
        </is>
      </c>
      <c r="G85" s="19" t="inlineStr"/>
    </row>
    <row r="86" ht="112" customHeight="1">
      <c r="A86" s="18" t="inlineStr">
        <is>
          <t>TC-RS-FUNC-011 / ratio</t>
        </is>
      </c>
      <c r="B86" s="18" t="inlineStr">
        <is>
          <t>Ngưỡng điểm cố định — Thiết lập ngưỡng（基準設定）
Chọn loại ngưỡng làm thay đổi vùng nhập</t>
        </is>
      </c>
      <c r="C86" s="18" t="inlineStr">
        <is>
          <t>Chuẩn bị: Đang chuẩn bị
Kỳ vọng: Đã xác nhận
Dữ liệu (trích): Chọn tỷ lệ
Thao tác (trích): 1. Chọn Điểm cố định（固定点数）.…
Xem chi tiết</t>
        </is>
      </c>
      <c r="D86" s="18" t="inlineStr">
        <is>
          <t>Kỳ vọng: Đã xác nhận
1. Cố định: có ô ngưỡng và dấu so sánh; không có vùng nguồn trung bình, không có xử lý phần lẻ.…
Xem chi tiết</t>
        </is>
      </c>
      <c r="E86" s="19" t="inlineStr"/>
      <c r="F86" s="19" t="inlineStr">
        <is>
          <t>Chưa thực hiện</t>
        </is>
      </c>
      <c r="G86" s="19" t="inlineStr"/>
    </row>
    <row r="87" ht="112" customHeight="1">
      <c r="A87" s="18" t="inlineStr">
        <is>
          <t>TC-RS-FUNC-011 / formula</t>
        </is>
      </c>
      <c r="B87" s="18" t="inlineStr">
        <is>
          <t>Ngưỡng điểm cố định — Thiết lập ngưỡng（基準設定）
Chọn loại ngưỡng làm thay đổi vùng nhập</t>
        </is>
      </c>
      <c r="C87" s="18" t="inlineStr">
        <is>
          <t>Chuẩn bị: Đang chuẩn bị
Kỳ vọng: Đã xác nhận
Dữ liệu (trích): Chọn công thức
Thao tác (trích): 1. Chọn Điểm cố định（固定点数）.…
Xem chi tiết</t>
        </is>
      </c>
      <c r="D87" s="18" t="inlineStr">
        <is>
          <t>Kỳ vọng: Đã xác nhận
1. Cố định: có ô ngưỡng và dấu so sánh; không có vùng nguồn trung bình, không có xử lý phần lẻ.…
Xem chi tiết</t>
        </is>
      </c>
      <c r="E87" s="19" t="inlineStr"/>
      <c r="F87" s="19" t="inlineStr">
        <is>
          <t>Chưa thực hiện</t>
        </is>
      </c>
      <c r="G87" s="19" t="inlineStr"/>
    </row>
    <row r="88" ht="180" customHeight="1">
      <c r="A88" s="18" t="inlineStr">
        <is>
          <t>TC-RS-FUNC-013 / lt</t>
        </is>
      </c>
      <c r="B88" s="18" t="inlineStr">
        <is>
          <t>Thiết lập ngưỡng（基準設定）
Dấu so sánh Nhỏ hơn（未満）/Nhỏ hơn hoặc bằng（以下） được lưu và hiển thị
Xem chi tiết</t>
        </is>
      </c>
      <c r="C88" s="18" t="inlineStr">
        <is>
          <t>Chuẩn bị: Đang chuẩn bị
Kỳ vọng: Đã xác nhận
Dữ liệu (trích): Dấu nhỏ hơn
Thao tác (trích): 1. Đổi dấu của quy tắc “Cố định 30” (dưới 30) sang Nhỏ hơn hoặc bằng（以下）, lưu, mở lại.…
Xem chi tiết</t>
        </is>
      </c>
      <c r="D88" s="18" t="inlineStr">
        <is>
          <t>Dấu đã chọn được lưu, hiển thị đúng ở form và tóm tắt danh sách. Tác động lên kết quả: case “Ngưỡng cố định 30: S = 29 / 30 / 31 với `&lt;` và `≤`”.
Bảo toàn: Giữ điểm, cấu hình và đối tượng không đích theo expected; chỉ thay phần thủ tục yêu cầu, không tự đổi oracle hoặc mở rộng phạm vi.</t>
        </is>
      </c>
      <c r="E88" s="19" t="inlineStr"/>
      <c r="F88" s="19" t="inlineStr">
        <is>
          <t>Chưa thực hiện</t>
        </is>
      </c>
      <c r="G88" s="19" t="inlineStr"/>
    </row>
    <row r="89" ht="180" customHeight="1">
      <c r="A89" s="18" t="inlineStr">
        <is>
          <t>TC-RS-FUNC-013 / le</t>
        </is>
      </c>
      <c r="B89" s="18" t="inlineStr">
        <is>
          <t>Thiết lập ngưỡng（基準設定）
Dấu so sánh Nhỏ hơn（未満）/Nhỏ hơn hoặc bằng（以下） được lưu và hiển thị
Xem chi tiết</t>
        </is>
      </c>
      <c r="C89" s="18" t="inlineStr">
        <is>
          <t>Chuẩn bị: Đang chuẩn bị
Kỳ vọng: Đã xác nhận
Dữ liệu (trích): Dấu nhỏ hơn hoặc bằng
Thao tác (trích): 1. Đổi dấu của quy tắc “Cố định 30” (dưới 30) sang Nhỏ hơn hoặc bằng（以下）, lưu, mở lại.…
Xem chi tiết</t>
        </is>
      </c>
      <c r="D89" s="18" t="inlineStr">
        <is>
          <t>Dấu đã chọn được lưu, hiển thị đúng ở form và tóm tắt danh sách. Tác động lên kết quả: case “Ngưỡng cố định 30: S = 29 / 30 / 31 với `&lt;` và `≤`”.
Bảo toàn: Giữ điểm, cấu hình và đối tượng không đích theo expected; chỉ thay phần thủ tục yêu cầu, không tự đổi oracle hoặc mở rộng phạm vi.</t>
        </is>
      </c>
      <c r="E89" s="19" t="inlineStr"/>
      <c r="F89" s="19" t="inlineStr">
        <is>
          <t>Chưa thực hiện</t>
        </is>
      </c>
      <c r="G89" s="19" t="inlineStr"/>
    </row>
    <row r="90" ht="180" customHeight="1">
      <c r="A90" s="18" t="inlineStr">
        <is>
          <t>TC-RS-VAL-001 / negative</t>
        </is>
      </c>
      <c r="B90" s="18" t="inlineStr">
        <is>
          <t>Ngưỡng điểm cố định — Thiết lập ngưỡng（基準設定）
Điểm cố định: biên −1 / 0 / 100 / 101 với M=100</t>
        </is>
      </c>
      <c r="C90" s="18" t="inlineStr">
        <is>
          <t>Chuẩn bị: Đang chuẩn bị
Kỳ vọng: Đã xác nhận
Dữ liệu (trích): N=-1
Thao tác (trích): Lần lượt nhập Điểm cố định（固定点数）= −1, 0, 100, 101 và bấm Cập nhật（更新する）.
Xem chi tiết</t>
        </is>
      </c>
      <c r="D90" s="18" t="inlineStr">
        <is>
          <t>−1: không lưu được, có lỗi. 0: lưu được. 100: lưu được. 101: không lưu được, có lỗi vượt M. Khi lỗi, cấu hình đã lưu trước đó không đổi.
Bảo toàn: Giữ điểm, cấu hình và đối tượng không đích theo expected; chỉ thay phần thủ tục yêu cầu, không tự đổi oracle hoặc mở rộng phạm vi.</t>
        </is>
      </c>
      <c r="E90" s="19" t="inlineStr"/>
      <c r="F90" s="19" t="inlineStr">
        <is>
          <t>Chưa thực hiện</t>
        </is>
      </c>
      <c r="G90" s="19" t="inlineStr"/>
    </row>
    <row r="91" ht="180" customHeight="1">
      <c r="A91" s="18" t="inlineStr">
        <is>
          <t>TC-RS-VAL-001 / zero</t>
        </is>
      </c>
      <c r="B91" s="18" t="inlineStr">
        <is>
          <t>Ngưỡng điểm cố định — Thiết lập ngưỡng（基準設定）
Điểm cố định: biên −1 / 0 / 100 / 101 với M=100</t>
        </is>
      </c>
      <c r="C91" s="18" t="inlineStr">
        <is>
          <t>Chuẩn bị: Đang chuẩn bị
Kỳ vọng: Đã xác nhận
Dữ liệu (trích): N=0
Thao tác (trích): Lần lượt nhập Điểm cố định（固定点数）= −1, 0, 100, 101 và bấm Cập nhật（更新する）.
Xem chi tiết</t>
        </is>
      </c>
      <c r="D91" s="18" t="inlineStr">
        <is>
          <t>−1: không lưu được, có lỗi. 0: lưu được. 100: lưu được. 101: không lưu được, có lỗi vượt M. Khi lỗi, cấu hình đã lưu trước đó không đổi.
Bảo toàn: Giữ điểm, cấu hình và đối tượng không đích theo expected; chỉ thay phần thủ tục yêu cầu, không tự đổi oracle hoặc mở rộng phạm vi.</t>
        </is>
      </c>
      <c r="E91" s="19" t="inlineStr"/>
      <c r="F91" s="19" t="inlineStr">
        <is>
          <t>Chưa thực hiện</t>
        </is>
      </c>
      <c r="G91" s="19" t="inlineStr"/>
    </row>
    <row r="92" ht="180" customHeight="1">
      <c r="A92" s="18" t="inlineStr">
        <is>
          <t>TC-RS-VAL-001 / maximum</t>
        </is>
      </c>
      <c r="B92" s="18" t="inlineStr">
        <is>
          <t>Ngưỡng điểm cố định — Thiết lập ngưỡng（基準設定）
Điểm cố định: biên −1 / 0 / 100 / 101 với M=100</t>
        </is>
      </c>
      <c r="C92" s="18" t="inlineStr">
        <is>
          <t>Chuẩn bị: Đang chuẩn bị
Kỳ vọng: Đã xác nhận
Dữ liệu (trích): N=100
Thao tác (trích): Lần lượt nhập Điểm cố định（固定点数）= −1, 0, 100, 101 và bấm Cập nhật（更新する）.
Xem chi tiết</t>
        </is>
      </c>
      <c r="D92" s="18" t="inlineStr">
        <is>
          <t>−1: không lưu được, có lỗi. 0: lưu được. 100: lưu được. 101: không lưu được, có lỗi vượt M. Khi lỗi, cấu hình đã lưu trước đó không đổi.
Bảo toàn: Giữ điểm, cấu hình và đối tượng không đích theo expected; chỉ thay phần thủ tục yêu cầu, không tự đổi oracle hoặc mở rộng phạm vi.</t>
        </is>
      </c>
      <c r="E92" s="19" t="inlineStr"/>
      <c r="F92" s="19" t="inlineStr">
        <is>
          <t>Chưa thực hiện</t>
        </is>
      </c>
      <c r="G92" s="19" t="inlineStr"/>
    </row>
    <row r="93" ht="180" customHeight="1">
      <c r="A93" s="18" t="inlineStr">
        <is>
          <t>TC-RS-VAL-001 / above</t>
        </is>
      </c>
      <c r="B93" s="18" t="inlineStr">
        <is>
          <t>Ngưỡng điểm cố định — Thiết lập ngưỡng（基準設定）
Điểm cố định: biên −1 / 0 / 100 / 101 với M=100</t>
        </is>
      </c>
      <c r="C93" s="18" t="inlineStr">
        <is>
          <t>Chuẩn bị: Đang chuẩn bị
Kỳ vọng: Đã xác nhận
Dữ liệu (trích): N=101
Thao tác (trích): Lần lượt nhập Điểm cố định（固定点数）= −1, 0, 100, 101 và bấm Cập nhật（更新する）.
Xem chi tiết</t>
        </is>
      </c>
      <c r="D93" s="18" t="inlineStr">
        <is>
          <t>−1: không lưu được, có lỗi. 0: lưu được. 100: lưu được. 101: không lưu được, có lỗi vượt M. Khi lỗi, cấu hình đã lưu trước đó không đổi.
Bảo toàn: Giữ điểm, cấu hình và đối tượng không đích theo expected; chỉ thay phần thủ tục yêu cầu, không tự đổi oracle hoặc mở rộng phạm vi.</t>
        </is>
      </c>
      <c r="E93" s="19" t="inlineStr"/>
      <c r="F93" s="19" t="inlineStr">
        <is>
          <t>Chưa thực hiện</t>
        </is>
      </c>
      <c r="G93" s="19" t="inlineStr"/>
    </row>
    <row r="94" ht="146" customHeight="1">
      <c r="A94" s="18" t="inlineStr">
        <is>
          <t>TC-RS-VAL-002 / all30</t>
        </is>
      </c>
      <c r="B94" s="18" t="inlineStr">
        <is>
          <t>Ngưỡng điểm cố định — Thiết lập ngưỡng（基準設定）
Điểm cố định phải ≤ M của mọi đối tượng (M=20 và M=100)</t>
        </is>
      </c>
      <c r="C94" s="18" t="inlineStr">
        <is>
          <t>Chuẩn bị: Đang chuẩn bị
Kỳ vọng: Đã xác nhận
Dữ liệu (trích): Toàn bộ N=30
Thao tác (trích): 1. Toàn bộ đối tượng, N=30, Lưu.…
Xem chi tiết</t>
        </is>
      </c>
      <c r="D94" s="18" t="inlineStr">
        <is>
          <t>1. Không lưu được (G-A M=20).
2. Lưu được.
3. Lưu được.
Bảo toàn: Giữ điểm, cấu hình và đối tượng không đích theo expected; chỉ thay phần thủ tục yêu cầu, không tự đổi oracle hoặc mở rộng phạm vi.</t>
        </is>
      </c>
      <c r="E94" s="19" t="inlineStr"/>
      <c r="F94" s="19" t="inlineStr">
        <is>
          <t>Chưa thực hiện</t>
        </is>
      </c>
      <c r="G94" s="19" t="inlineStr"/>
    </row>
    <row r="95" ht="146" customHeight="1">
      <c r="A95" s="18" t="inlineStr">
        <is>
          <t>TC-RS-VAL-002 / all20</t>
        </is>
      </c>
      <c r="B95" s="18" t="inlineStr">
        <is>
          <t>Ngưỡng điểm cố định — Thiết lập ngưỡng（基準設定）
Điểm cố định phải ≤ M của mọi đối tượng (M=20 và M=100)</t>
        </is>
      </c>
      <c r="C95" s="18" t="inlineStr">
        <is>
          <t>Chuẩn bị: Đang chuẩn bị
Kỳ vọng: Đã xác nhận
Dữ liệu (trích): Toàn bộ N=20
Thao tác (trích): 1. Toàn bộ đối tượng, N=30, Lưu.…
Xem chi tiết</t>
        </is>
      </c>
      <c r="D95" s="18" t="inlineStr">
        <is>
          <t>1. Không lưu được (G-A M=20).
2. Lưu được.
3. Lưu được.
Bảo toàn: Giữ điểm, cấu hình và đối tượng không đích theo expected; chỉ thay phần thủ tục yêu cầu, không tự đổi oracle hoặc mở rộng phạm vi.</t>
        </is>
      </c>
      <c r="E95" s="19" t="inlineStr"/>
      <c r="F95" s="19" t="inlineStr">
        <is>
          <t>Chưa thực hiện</t>
        </is>
      </c>
      <c r="G95" s="19" t="inlineStr"/>
    </row>
    <row r="96" ht="146" customHeight="1">
      <c r="A96" s="18" t="inlineStr">
        <is>
          <t>TC-RS-VAL-002 / gb30</t>
        </is>
      </c>
      <c r="B96" s="18" t="inlineStr">
        <is>
          <t>Ngưỡng điểm cố định — Thiết lập ngưỡng（基準設定）
Điểm cố định phải ≤ M của mọi đối tượng (M=20 và M=100)</t>
        </is>
      </c>
      <c r="C96" s="18" t="inlineStr">
        <is>
          <t>Chuẩn bị: Đang chuẩn bị
Kỳ vọng: Đã xác nhận
Dữ liệu (trích): Chỉ G-B N=30
Thao tác (trích): 1. Toàn bộ đối tượng, N=30, Lưu.…
Xem chi tiết</t>
        </is>
      </c>
      <c r="D96" s="18" t="inlineStr">
        <is>
          <t>1. Không lưu được (G-A M=20).
2. Lưu được.
3. Lưu được.
Bảo toàn: Giữ điểm, cấu hình và đối tượng không đích theo expected; chỉ thay phần thủ tục yêu cầu, không tự đổi oracle hoặc mở rộng phạm vi.</t>
        </is>
      </c>
      <c r="E96" s="19" t="inlineStr"/>
      <c r="F96" s="19" t="inlineStr">
        <is>
          <t>Chưa thực hiện</t>
        </is>
      </c>
      <c r="G96" s="19" t="inlineStr"/>
    </row>
    <row r="97" ht="163" customHeight="1">
      <c r="A97" s="18" t="inlineStr">
        <is>
          <t>TC-RS-VAL-003 / Base</t>
        </is>
      </c>
      <c r="B97" s="18" t="inlineStr">
        <is>
          <t>Thiết lập ngưỡng（基準設定）
Mở rộng phạm vi sau khi lưu: kiểm lại ngưỡng cố định với M của đối tượng mới
Xem chi tiết</t>
        </is>
      </c>
      <c r="C97" s="18" t="inlineStr">
        <is>
          <t>Chuẩn bị: Đang chuẩn bị
Kỳ vọng: Đã xác nhận
Dữ liệu (trích): Toàn bộ thủ tục theo đúng thứ tự; các đối chứng cùng fixture…
Thao tác (trích): Sửa bộ lọc thành G-A hoặc G-B (giữ N=30), bấm Lưu.
Xem chi tiết</t>
        </is>
      </c>
      <c r="D97" s="18" t="inlineStr">
        <is>
          <t>Không lưu được vì G-A có M=20; cấu hình cũ (chỉ G-B) giữ nguyên.
Bảo toàn: Giữ điểm, cấu hình và đối tượng không đích theo expected; chỉ thay phần thủ tục yêu cầu, không tự đổi oracle hoặc mở rộng phạm vi.</t>
        </is>
      </c>
      <c r="E97" s="19" t="inlineStr"/>
      <c r="F97" s="19" t="inlineStr">
        <is>
          <t>Chưa thực hiện</t>
        </is>
      </c>
      <c r="G97" s="19" t="inlineStr"/>
    </row>
    <row r="98" ht="180" customHeight="1">
      <c r="A98" s="18" t="inlineStr">
        <is>
          <t>TC-RS-VAL-004 / fixed-empty</t>
        </is>
      </c>
      <c r="B98" s="18" t="inlineStr">
        <is>
          <t>Ngưỡng điểm cố định — Thiết lập ngưỡng（基準設定）
Ngưỡng cố định/tỷ lệ trống hoặc không phải số</t>
        </is>
      </c>
      <c r="C98" s="18" t="inlineStr">
        <is>
          <t>Chuẩn bị: Đang chuẩn bị
Kỳ vọng: Đã xác nhận
Dữ liệu (trích): Cố định với trống
Thao tác (trích): Với loại Điểm cố định（固定点数） rồi Tỷ lệ điểm tối đa（得点率）: nhập từng giá trị, bấm Lưu.
Xem chi tiết</t>
        </is>
      </c>
      <c r="D98" s="18" t="inlineStr">
        <is>
          <t>Trống, `abc`, `3O`: không lưu được, có lỗi. `３０`: xử lý theo quy ước nhập số hiện hành của BLEND (TBD — có thể chuẩn hóa thành 30 hoặc báo lỗi).
Bảo toàn: Giữ điểm, cấu hình và đối tượng không đích theo expected; chỉ thay phần thủ tục yêu cầu, không tự đổi oracle hoặc mở rộng phạm vi.</t>
        </is>
      </c>
      <c r="E98" s="19" t="inlineStr"/>
      <c r="F98" s="19" t="inlineStr">
        <is>
          <t>Chưa thực hiện</t>
        </is>
      </c>
      <c r="G98" s="19" t="inlineStr"/>
    </row>
    <row r="99" ht="180" customHeight="1">
      <c r="A99" s="18" t="inlineStr">
        <is>
          <t>TC-RS-VAL-004 / fixed-abc</t>
        </is>
      </c>
      <c r="B99" s="18" t="inlineStr">
        <is>
          <t>Ngưỡng điểm cố định — Thiết lập ngưỡng（基準設定）
Ngưỡng cố định/tỷ lệ trống hoặc không phải số</t>
        </is>
      </c>
      <c r="C99" s="18" t="inlineStr">
        <is>
          <t>Chuẩn bị: Đang chuẩn bị
Kỳ vọng: Đã xác nhận
Dữ liệu (trích): Cố định với abc
Thao tác (trích): Với loại Điểm cố định（固定点数） rồi Tỷ lệ điểm tối đa（得点率）: nhập từng giá trị, bấm Lưu.
Xem chi tiết</t>
        </is>
      </c>
      <c r="D99" s="18" t="inlineStr">
        <is>
          <t>Trống, `abc`, `3O`: không lưu được, có lỗi. `３０`: xử lý theo quy ước nhập số hiện hành của BLEND (TBD — có thể chuẩn hóa thành 30 hoặc báo lỗi).
Bảo toàn: Giữ điểm, cấu hình và đối tượng không đích theo expected; chỉ thay phần thủ tục yêu cầu, không tự đổi oracle hoặc mở rộng phạm vi.</t>
        </is>
      </c>
      <c r="E99" s="19" t="inlineStr"/>
      <c r="F99" s="19" t="inlineStr">
        <is>
          <t>Chưa thực hiện</t>
        </is>
      </c>
      <c r="G99" s="19" t="inlineStr"/>
    </row>
    <row r="100" ht="180" customHeight="1">
      <c r="A100" s="18" t="inlineStr">
        <is>
          <t>TC-RS-VAL-004 / fixed-3O</t>
        </is>
      </c>
      <c r="B100" s="18" t="inlineStr">
        <is>
          <t>Ngưỡng điểm cố định — Thiết lập ngưỡng（基準設定）
Ngưỡng cố định/tỷ lệ trống hoặc không phải số</t>
        </is>
      </c>
      <c r="C100" s="18" t="inlineStr">
        <is>
          <t>Chuẩn bị: Đang chuẩn bị
Kỳ vọng: Đã xác nhận
Dữ liệu (trích): Cố định với 3O
Thao tác (trích): Với loại Điểm cố định（固定点数） rồi Tỷ lệ điểm tối đa（得点率）: nhập từng giá trị, bấm Lưu.
Xem chi tiết</t>
        </is>
      </c>
      <c r="D100" s="18" t="inlineStr">
        <is>
          <t>Trống, `abc`, `3O`: không lưu được, có lỗi. `３０`: xử lý theo quy ước nhập số hiện hành của BLEND (TBD — có thể chuẩn hóa thành 30 hoặc báo lỗi).
Bảo toàn: Giữ điểm, cấu hình và đối tượng không đích theo expected; chỉ thay phần thủ tục yêu cầu, không tự đổi oracle hoặc mở rộng phạm vi.</t>
        </is>
      </c>
      <c r="E100" s="19" t="inlineStr"/>
      <c r="F100" s="19" t="inlineStr">
        <is>
          <t>Chưa thực hiện</t>
        </is>
      </c>
      <c r="G100" s="19" t="inlineStr"/>
    </row>
    <row r="101" ht="180" customHeight="1">
      <c r="A101" s="18" t="inlineStr">
        <is>
          <t>TC-RS-VAL-004 / fixed-fullwidth</t>
        </is>
      </c>
      <c r="B101" s="18" t="inlineStr">
        <is>
          <t>Ngưỡng điểm cố định — Thiết lập ngưỡng（基準設定）
Ngưỡng cố định/tỷ lệ trống hoặc không phải số</t>
        </is>
      </c>
      <c r="C101" s="18" t="inlineStr">
        <is>
          <t>Chuẩn bị: Đang chuẩn bị
Kỳ vọng: Đã xác nhận
Dữ liệu (trích): Cố định với chữ số toàn chiều rộng, phần TBD giữ BLOCKED
Thao tác (trích): Với loại Điểm cố định（固定点数） rồi Tỷ lệ điểm tối đa（得点率）: nhập từng giá trị, bấm Lưu.
Xem chi tiết</t>
        </is>
      </c>
      <c r="D101" s="18" t="inlineStr">
        <is>
          <t>Trống, `abc`, `3O`: không lưu được, có lỗi. `３０`: xử lý theo quy ước nhập số hiện hành của BLEND (TBD — có thể chuẩn hóa thành 30 hoặc báo lỗi).
Bảo toàn: Giữ điểm, cấu hình và đối tượng không đích theo expected; chỉ thay phần thủ tục yêu cầu, không tự đổi oracle hoặc mở rộng phạm vi.</t>
        </is>
      </c>
      <c r="E101" s="19" t="inlineStr"/>
      <c r="F101" s="19" t="inlineStr">
        <is>
          <t>Chưa thực hiện</t>
        </is>
      </c>
      <c r="G101" s="19" t="inlineStr"/>
    </row>
    <row r="102" ht="180" customHeight="1">
      <c r="A102" s="18" t="inlineStr">
        <is>
          <t>TC-RS-VAL-004 / ratio-empty</t>
        </is>
      </c>
      <c r="B102" s="18" t="inlineStr">
        <is>
          <t>Ngưỡng điểm cố định — Thiết lập ngưỡng（基準設定）
Ngưỡng cố định/tỷ lệ trống hoặc không phải số</t>
        </is>
      </c>
      <c r="C102" s="18" t="inlineStr">
        <is>
          <t>Chuẩn bị: Đang chuẩn bị
Kỳ vọng: Đã xác nhận
Dữ liệu (trích): Tỷ lệ với trống
Thao tác (trích): Với loại Điểm cố định（固定点数） rồi Tỷ lệ điểm tối đa（得点率）: nhập từng giá trị, bấm Lưu.
Xem chi tiết</t>
        </is>
      </c>
      <c r="D102" s="18" t="inlineStr">
        <is>
          <t>Trống, `abc`, `3O`: không lưu được, có lỗi. `３０`: xử lý theo quy ước nhập số hiện hành của BLEND (TBD — có thể chuẩn hóa thành 30 hoặc báo lỗi).
Bảo toàn: Giữ điểm, cấu hình và đối tượng không đích theo expected; chỉ thay phần thủ tục yêu cầu, không tự đổi oracle hoặc mở rộng phạm vi.</t>
        </is>
      </c>
      <c r="E102" s="19" t="inlineStr"/>
      <c r="F102" s="19" t="inlineStr">
        <is>
          <t>Chưa thực hiện</t>
        </is>
      </c>
      <c r="G102" s="19" t="inlineStr"/>
    </row>
    <row r="103" ht="180" customHeight="1">
      <c r="A103" s="18" t="inlineStr">
        <is>
          <t>TC-RS-VAL-004 / ratio-abc</t>
        </is>
      </c>
      <c r="B103" s="18" t="inlineStr">
        <is>
          <t>Ngưỡng điểm cố định — Thiết lập ngưỡng（基準設定）
Ngưỡng cố định/tỷ lệ trống hoặc không phải số</t>
        </is>
      </c>
      <c r="C103" s="18" t="inlineStr">
        <is>
          <t>Chuẩn bị: Đang chuẩn bị
Kỳ vọng: Đã xác nhận
Dữ liệu (trích): Tỷ lệ với abc
Thao tác (trích): Với loại Điểm cố định（固定点数） rồi Tỷ lệ điểm tối đa（得点率）: nhập từng giá trị, bấm Lưu.
Xem chi tiết</t>
        </is>
      </c>
      <c r="D103" s="18" t="inlineStr">
        <is>
          <t>Trống, `abc`, `3O`: không lưu được, có lỗi. `３０`: xử lý theo quy ước nhập số hiện hành của BLEND (TBD — có thể chuẩn hóa thành 30 hoặc báo lỗi).
Bảo toàn: Giữ điểm, cấu hình và đối tượng không đích theo expected; chỉ thay phần thủ tục yêu cầu, không tự đổi oracle hoặc mở rộng phạm vi.</t>
        </is>
      </c>
      <c r="E103" s="19" t="inlineStr"/>
      <c r="F103" s="19" t="inlineStr">
        <is>
          <t>Chưa thực hiện</t>
        </is>
      </c>
      <c r="G103" s="19" t="inlineStr"/>
    </row>
    <row r="104" ht="180" customHeight="1">
      <c r="A104" s="18" t="inlineStr">
        <is>
          <t>TC-RS-VAL-004 / ratio-3O</t>
        </is>
      </c>
      <c r="B104" s="18" t="inlineStr">
        <is>
          <t>Ngưỡng điểm cố định — Thiết lập ngưỡng（基準設定）
Ngưỡng cố định/tỷ lệ trống hoặc không phải số</t>
        </is>
      </c>
      <c r="C104" s="18" t="inlineStr">
        <is>
          <t>Chuẩn bị: Đang chuẩn bị
Kỳ vọng: Đã xác nhận
Dữ liệu (trích): Tỷ lệ với 3O
Thao tác (trích): Với loại Điểm cố định（固定点数） rồi Tỷ lệ điểm tối đa（得点率）: nhập từng giá trị, bấm Lưu.
Xem chi tiết</t>
        </is>
      </c>
      <c r="D104" s="18" t="inlineStr">
        <is>
          <t>Trống, `abc`, `3O`: không lưu được, có lỗi. `３０`: xử lý theo quy ước nhập số hiện hành của BLEND (TBD — có thể chuẩn hóa thành 30 hoặc báo lỗi).
Bảo toàn: Giữ điểm, cấu hình và đối tượng không đích theo expected; chỉ thay phần thủ tục yêu cầu, không tự đổi oracle hoặc mở rộng phạm vi.</t>
        </is>
      </c>
      <c r="E104" s="19" t="inlineStr"/>
      <c r="F104" s="19" t="inlineStr">
        <is>
          <t>Chưa thực hiện</t>
        </is>
      </c>
      <c r="G104" s="19" t="inlineStr"/>
    </row>
    <row r="105" ht="180" customHeight="1">
      <c r="A105" s="18" t="inlineStr">
        <is>
          <t>TC-RS-VAL-004 / ratio-fullwidth</t>
        </is>
      </c>
      <c r="B105" s="18" t="inlineStr">
        <is>
          <t>Ngưỡng điểm cố định — Thiết lập ngưỡng（基準設定）
Ngưỡng cố định/tỷ lệ trống hoặc không phải số</t>
        </is>
      </c>
      <c r="C105" s="18" t="inlineStr">
        <is>
          <t>Chuẩn bị: Đang chuẩn bị
Kỳ vọng: Đã xác nhận
Dữ liệu (trích): Tỷ lệ với chữ số toàn chiều rộng, phần TBD giữ BLOCKED
Thao tác (trích): Với loại Điểm cố định（固定点数） rồi Tỷ lệ điểm tối đa（得点率）: nhập từng giá trị, bấm Lưu.
Xem chi tiết</t>
        </is>
      </c>
      <c r="D105" s="18" t="inlineStr">
        <is>
          <t>Trống, `abc`, `3O`: không lưu được, có lỗi. `３０`: xử lý theo quy ước nhập số hiện hành của BLEND (TBD — có thể chuẩn hóa thành 30 hoặc báo lỗi).
Bảo toàn: Giữ điểm, cấu hình và đối tượng không đích theo expected; chỉ thay phần thủ tục yêu cầu, không tự đổi oracle hoặc mở rộng phạm vi.</t>
        </is>
      </c>
      <c r="E105" s="19" t="inlineStr"/>
      <c r="F105" s="19" t="inlineStr">
        <is>
          <t>Chưa thực hiện</t>
        </is>
      </c>
      <c r="G105" s="19" t="inlineStr"/>
    </row>
    <row r="106" ht="146" customHeight="1">
      <c r="A106" s="18" t="inlineStr">
        <is>
          <t>TC-RS-VAL-005 / d1</t>
        </is>
      </c>
      <c r="B106" s="18" t="inlineStr">
        <is>
          <t>Ngưỡng điểm cố định — Thiết lập ngưỡng（基準設定）
Điểm cố định thập phân</t>
        </is>
      </c>
      <c r="C106" s="18" t="inlineStr">
        <is>
          <t>Chuẩn bị: Đang chuẩn bị
Kỳ vọng: Đề xuất
Dữ liệu (trích): 29.5
Thao tác (trích): Nhập từng giá trị, Lưu, mở lại.
Xem chi tiết</t>
        </is>
      </c>
      <c r="D106" s="18" t="inlineStr">
        <is>
          <t>Kỳ vọng: Đề xuất
Đề xuất (thiết kế DB v2 mục 4.2 “Xử lý phần lẻ và miền lưu trữ”): 29.5, 29.55, 29.555 lưu và mở lại đúng; 29.5555 bị từ chối, không tự cắt/làm tròn. Tối thiểu (CONFIRMED, đặc tả…
Xem chi tiết</t>
        </is>
      </c>
      <c r="E106" s="19" t="inlineStr"/>
      <c r="F106" s="19" t="inlineStr">
        <is>
          <t>Chưa thực hiện</t>
        </is>
      </c>
      <c r="G106" s="19" t="inlineStr"/>
    </row>
    <row r="107" ht="146" customHeight="1">
      <c r="A107" s="18" t="inlineStr">
        <is>
          <t>TC-RS-VAL-005 / d2</t>
        </is>
      </c>
      <c r="B107" s="18" t="inlineStr">
        <is>
          <t>Ngưỡng điểm cố định — Thiết lập ngưỡng（基準設定）
Điểm cố định thập phân</t>
        </is>
      </c>
      <c r="C107" s="18" t="inlineStr">
        <is>
          <t>Chuẩn bị: Đang chuẩn bị
Kỳ vọng: Đề xuất
Dữ liệu (trích): 29.55
Thao tác (trích): Nhập từng giá trị, Lưu, mở lại.
Xem chi tiết</t>
        </is>
      </c>
      <c r="D107" s="18" t="inlineStr">
        <is>
          <t>Kỳ vọng: Đề xuất
Đề xuất (thiết kế DB v2 mục 4.2 “Xử lý phần lẻ và miền lưu trữ”): 29.5, 29.55, 29.555 lưu và mở lại đúng; 29.5555 bị từ chối, không tự cắt/làm tròn. Tối thiểu (CONFIRMED, đặc tả…
Xem chi tiết</t>
        </is>
      </c>
      <c r="E107" s="19" t="inlineStr"/>
      <c r="F107" s="19" t="inlineStr">
        <is>
          <t>Chưa thực hiện</t>
        </is>
      </c>
      <c r="G107" s="19" t="inlineStr"/>
    </row>
    <row r="108" ht="146" customHeight="1">
      <c r="A108" s="18" t="inlineStr">
        <is>
          <t>TC-RS-VAL-005 / d3</t>
        </is>
      </c>
      <c r="B108" s="18" t="inlineStr">
        <is>
          <t>Ngưỡng điểm cố định — Thiết lập ngưỡng（基準設定）
Điểm cố định thập phân</t>
        </is>
      </c>
      <c r="C108" s="18" t="inlineStr">
        <is>
          <t>Chuẩn bị: Đang chuẩn bị
Kỳ vọng: Đề xuất
Dữ liệu (trích): 29.555
Thao tác (trích): Nhập từng giá trị, Lưu, mở lại.
Xem chi tiết</t>
        </is>
      </c>
      <c r="D108" s="18" t="inlineStr">
        <is>
          <t>Kỳ vọng: Đề xuất
Đề xuất (thiết kế DB v2 mục 4.2 “Xử lý phần lẻ và miền lưu trữ”): 29.5, 29.55, 29.555 lưu và mở lại đúng; 29.5555 bị từ chối, không tự cắt/làm tròn. Tối thiểu (CONFIRMED, đặc tả…
Xem chi tiết</t>
        </is>
      </c>
      <c r="E108" s="19" t="inlineStr"/>
      <c r="F108" s="19" t="inlineStr">
        <is>
          <t>Chưa thực hiện</t>
        </is>
      </c>
      <c r="G108" s="19" t="inlineStr"/>
    </row>
    <row r="109" ht="146" customHeight="1">
      <c r="A109" s="18" t="inlineStr">
        <is>
          <t>TC-RS-VAL-005 / d4</t>
        </is>
      </c>
      <c r="B109" s="18" t="inlineStr">
        <is>
          <t>Ngưỡng điểm cố định — Thiết lập ngưỡng（基準設定）
Điểm cố định thập phân</t>
        </is>
      </c>
      <c r="C109" s="18" t="inlineStr">
        <is>
          <t>Chuẩn bị: Đang chuẩn bị
Kỳ vọng: Đề xuất
Dữ liệu (trích): 29.5555
Thao tác (trích): Nhập từng giá trị, Lưu, mở lại.
Xem chi tiết</t>
        </is>
      </c>
      <c r="D109" s="18" t="inlineStr">
        <is>
          <t>Kỳ vọng: Đề xuất
Đề xuất (thiết kế DB v2 mục 4.2 “Xử lý phần lẻ và miền lưu trữ”): 29.5, 29.55, 29.555 lưu và mở lại đúng; 29.5555 bị từ chối, không tự cắt/làm tròn. Tối thiểu (CONFIRMED, đặc tả…
Xem chi tiết</t>
        </is>
      </c>
      <c r="E109" s="19" t="inlineStr"/>
      <c r="F109" s="19" t="inlineStr">
        <is>
          <t>Chưa thực hiện</t>
        </is>
      </c>
      <c r="G109" s="19" t="inlineStr"/>
    </row>
    <row r="110" ht="180" customHeight="1">
      <c r="A110" s="18" t="inlineStr">
        <is>
          <t>TC-RS-CALC-001 / lt</t>
        </is>
      </c>
      <c r="B110" s="18" t="inlineStr">
        <is>
          <t>Ngưỡng điểm cố định — Thiết lập ngưỡng（基準設定）
Ngưỡng cố định 30: S = 29 / 30 / 31 với `&lt;` và `≤`</t>
        </is>
      </c>
      <c r="C110" s="18" t="inlineStr">
        <is>
          <t>Chuẩn bị: Đang chuẩn bị
Kỳ vọng: Đã xác nhận
Dữ liệu (trích): Ngưỡng 30, dấu nhỏ hơn, cả ba điểm
Thao tác (trích): 1. Chỉ có quy tắc “Cố định 30” (dưới 30) (`T=30`, `&lt;`): đăng ký S01=29, S02=30, S03=31.…
Xem chi tiết</t>
        </is>
      </c>
      <c r="D110" s="18" t="inlineStr">
        <is>
          <t>Bước 1: 29 Đỏ; 30 Không đỏ; 31 Không đỏ.
Bước 2: 29 Đỏ; 30 Đỏ; 31 Không đỏ.
Bảo toàn: Giữ điểm, cấu hình và đối tượng không đích theo expected; chỉ thay phần thủ tục yêu cầu, không tự đổi oracle hoặc mở rộng phạm vi.</t>
        </is>
      </c>
      <c r="E110" s="19" t="inlineStr"/>
      <c r="F110" s="19" t="inlineStr">
        <is>
          <t>Chưa thực hiện</t>
        </is>
      </c>
      <c r="G110" s="19" t="inlineStr"/>
    </row>
    <row r="111" ht="180" customHeight="1">
      <c r="A111" s="18" t="inlineStr">
        <is>
          <t>TC-RS-CALC-001 / le</t>
        </is>
      </c>
      <c r="B111" s="18" t="inlineStr">
        <is>
          <t>Ngưỡng điểm cố định — Thiết lập ngưỡng（基準設定）
Ngưỡng cố định 30: S = 29 / 30 / 31 với `&lt;` và `≤`</t>
        </is>
      </c>
      <c r="C111" s="18" t="inlineStr">
        <is>
          <t>Chuẩn bị: Đang chuẩn bị
Kỳ vọng: Đã xác nhận
Dữ liệu (trích): Ngưỡng 30, dấu nhỏ hơn hoặc bằng, cả ba điểm
Thao tác (trích): 1. Chỉ có quy tắc “Cố định 30” (dưới 30) (`T=30`, `&lt;`): đăng ký S01=29, S02=30, S03=31.…
Xem chi tiết</t>
        </is>
      </c>
      <c r="D111" s="18" t="inlineStr">
        <is>
          <t>Bước 1: 29 Đỏ; 30 Không đỏ; 31 Không đỏ.
Bước 2: 29 Đỏ; 30 Đỏ; 31 Không đỏ.
Bảo toàn: Giữ điểm, cấu hình và đối tượng không đích theo expected; chỉ thay phần thủ tục yêu cầu, không tự đổi oracle hoặc mở rộng phạm vi.</t>
        </is>
      </c>
      <c r="E111" s="19" t="inlineStr"/>
      <c r="F111" s="19" t="inlineStr">
        <is>
          <t>Chưa thực hiện</t>
        </is>
      </c>
      <c r="G111" s="19" t="inlineStr"/>
    </row>
    <row r="112" ht="180" customHeight="1">
      <c r="A112" s="18" t="inlineStr">
        <is>
          <t>TC-RS-CALC-002 / zero-lt</t>
        </is>
      </c>
      <c r="B112" s="18" t="inlineStr">
        <is>
          <t>Ngưỡng điểm cố định — Thiết lập ngưỡng（基準設定）
Điểm 0 với ngưỡng 0 và 30</t>
        </is>
      </c>
      <c r="C112" s="18" t="inlineStr">
        <is>
          <t>Chuẩn bị: Đang chuẩn bị
Kỳ vọng: Đã xác nhận
Dữ liệu (trích): Ngưỡng 0 nhỏ hơn
Thao tác (trích): Với từng cấu hình: cố định 0 `&lt;`, cố định 0 `≤`, cố định 30 `&lt;`: chạy lại, xem S04.
Xem chi tiết</t>
        </is>
      </c>
      <c r="D112" s="18" t="inlineStr">
        <is>
          <t>0 `&lt;`: `0&lt;0` sai → Không đỏ.
0 `≤`: `0≤0` → Đỏ.
30 `&lt;`: `0&lt;30` → Đỏ.
Bảo toàn: Giữ điểm, cấu hình và đối tượng không đích theo expected; chỉ thay phần thủ tục yêu cầu, không tự đổi oracle hoặc mở rộng phạm vi.</t>
        </is>
      </c>
      <c r="E112" s="19" t="inlineStr"/>
      <c r="F112" s="19" t="inlineStr">
        <is>
          <t>Chưa thực hiện</t>
        </is>
      </c>
      <c r="G112" s="19" t="inlineStr"/>
    </row>
    <row r="113" ht="180" customHeight="1">
      <c r="A113" s="18" t="inlineStr">
        <is>
          <t>TC-RS-CALC-002 / zero-le</t>
        </is>
      </c>
      <c r="B113" s="18" t="inlineStr">
        <is>
          <t>Ngưỡng điểm cố định — Thiết lập ngưỡng（基準設定）
Điểm 0 với ngưỡng 0 và 30</t>
        </is>
      </c>
      <c r="C113" s="18" t="inlineStr">
        <is>
          <t>Chuẩn bị: Đang chuẩn bị
Kỳ vọng: Đã xác nhận
Dữ liệu (trích): Ngưỡng 0 nhỏ hơn hoặc bằng
Thao tác (trích): Với từng cấu hình: cố định 0 `&lt;`, cố định 0 `≤`, cố định 30 `&lt;`: chạy lại, xem S04.
Xem chi tiết</t>
        </is>
      </c>
      <c r="D113" s="18" t="inlineStr">
        <is>
          <t>0 `&lt;`: `0&lt;0` sai → Không đỏ.
0 `≤`: `0≤0` → Đỏ.
30 `&lt;`: `0&lt;30` → Đỏ.
Bảo toàn: Giữ điểm, cấu hình và đối tượng không đích theo expected; chỉ thay phần thủ tục yêu cầu, không tự đổi oracle hoặc mở rộng phạm vi.</t>
        </is>
      </c>
      <c r="E113" s="19" t="inlineStr"/>
      <c r="F113" s="19" t="inlineStr">
        <is>
          <t>Chưa thực hiện</t>
        </is>
      </c>
      <c r="G113" s="19" t="inlineStr"/>
    </row>
    <row r="114" ht="180" customHeight="1">
      <c r="A114" s="18" t="inlineStr">
        <is>
          <t>TC-RS-CALC-002 / thirty-lt</t>
        </is>
      </c>
      <c r="B114" s="18" t="inlineStr">
        <is>
          <t>Ngưỡng điểm cố định — Thiết lập ngưỡng（基準設定）
Điểm 0 với ngưỡng 0 và 30</t>
        </is>
      </c>
      <c r="C114" s="18" t="inlineStr">
        <is>
          <t>Chuẩn bị: Đang chuẩn bị
Kỳ vọng: Đã xác nhận
Dữ liệu (trích): Ngưỡng 30 nhỏ hơn
Thao tác (trích): Với từng cấu hình: cố định 0 `&lt;`, cố định 0 `≤`, cố định 30 `&lt;`: chạy lại, xem S04.
Xem chi tiết</t>
        </is>
      </c>
      <c r="D114" s="18" t="inlineStr">
        <is>
          <t>0 `&lt;`: `0&lt;0` sai → Không đỏ.
0 `≤`: `0≤0` → Đỏ.
30 `&lt;`: `0&lt;30` → Đỏ.
Bảo toàn: Giữ điểm, cấu hình và đối tượng không đích theo expected; chỉ thay phần thủ tục yêu cầu, không tự đổi oracle hoặc mở rộng phạm vi.</t>
        </is>
      </c>
      <c r="E114" s="19" t="inlineStr"/>
      <c r="F114" s="19" t="inlineStr">
        <is>
          <t>Chưa thực hiện</t>
        </is>
      </c>
      <c r="G114" s="19" t="inlineStr"/>
    </row>
    <row r="115" ht="180" customHeight="1">
      <c r="A115" s="18" t="inlineStr">
        <is>
          <t>TC-RS-CALC-003 / lt</t>
        </is>
      </c>
      <c r="B115" s="18" t="inlineStr">
        <is>
          <t>Ngưỡng điểm cố định — Thiết lập ngưỡng（基準設定）
Điểm thập phân sát ngưỡng</t>
        </is>
      </c>
      <c r="C115" s="18" t="inlineStr">
        <is>
          <t>Chuẩn bị: Đang chuẩn bị
Kỳ vọng: Đã xác nhận
Dữ liệu (trích): Dấu nhỏ hơn, cả bốn điểm
Thao tác (trích): Đăng ký bốn học sinh với các điểm trên; xét với `&lt;` rồi `≤`.
Xem chi tiết</t>
        </is>
      </c>
      <c r="D115" s="18" t="inlineStr">
        <is>
          <t>`&lt;`: 29.5 Đỏ; 29.9 Đỏ; 30.0 Không đỏ; 30.01 Không đỏ.
`≤`: 29.5 Đỏ; 29.9 Đỏ; 30.0 Đỏ; 30.01 Không đỏ.
Bảo toàn: Giữ điểm, cấu hình và đối tượng không đích theo expected; chỉ thay phần thủ tục yêu cầu, không tự đổi oracle hoặc mở rộng phạm vi.</t>
        </is>
      </c>
      <c r="E115" s="19" t="inlineStr"/>
      <c r="F115" s="19" t="inlineStr">
        <is>
          <t>Chưa thực hiện</t>
        </is>
      </c>
      <c r="G115" s="19" t="inlineStr"/>
    </row>
    <row r="116" ht="180" customHeight="1">
      <c r="A116" s="18" t="inlineStr">
        <is>
          <t>TC-RS-CALC-003 / le</t>
        </is>
      </c>
      <c r="B116" s="18" t="inlineStr">
        <is>
          <t>Ngưỡng điểm cố định — Thiết lập ngưỡng（基準設定）
Điểm thập phân sát ngưỡng</t>
        </is>
      </c>
      <c r="C116" s="18" t="inlineStr">
        <is>
          <t>Chuẩn bị: Đang chuẩn bị
Kỳ vọng: Đã xác nhận
Dữ liệu (trích): Dấu nhỏ hơn hoặc bằng, cả bốn điểm
Thao tác (trích): Đăng ký bốn học sinh với các điểm trên; xét với `&lt;` rồi `≤`.
Xem chi tiết</t>
        </is>
      </c>
      <c r="D116" s="18" t="inlineStr">
        <is>
          <t>`&lt;`: 29.5 Đỏ; 29.9 Đỏ; 30.0 Không đỏ; 30.01 Không đỏ.
`≤`: 29.5 Đỏ; 29.9 Đỏ; 30.0 Đỏ; 30.01 Không đỏ.
Bảo toàn: Giữ điểm, cấu hình và đối tượng không đích theo expected; chỉ thay phần thủ tục yêu cầu, không tự đổi oracle hoặc mở rộng phạm vi.</t>
        </is>
      </c>
      <c r="E116" s="19" t="inlineStr"/>
      <c r="F116" s="19" t="inlineStr">
        <is>
          <t>Chưa thực hiện</t>
        </is>
      </c>
      <c r="G116" s="19" t="inlineStr"/>
    </row>
    <row r="117" ht="197" customHeight="1">
      <c r="A117" s="18" t="inlineStr">
        <is>
          <t>TC-RS-CALC-004 / Base</t>
        </is>
      </c>
      <c r="B117" s="18" t="inlineStr">
        <is>
          <t>Ngưỡng điểm cố định — Thiết lập ngưỡng（基準設定）
Ngưỡng cố định giữ `T=N` khi M đổi về sau</t>
        </is>
      </c>
      <c r="C117" s="18" t="inlineStr">
        <is>
          <t>Chuẩn bị: Đang chuẩn bị
Kỳ vọng: Đã xác nhận
Dữ liệu (trích): Toàn bộ thủ tục theo đúng thứ tự; các đối chứng cùng fixture…
Thao tác (trích): 1. Đăng ký hai học sinh S=15 và S=20.…
Xem chi tiết</t>
        </is>
      </c>
      <c r="D117" s="18" t="inlineStr">
        <is>
          <t>1. `T=30` → 15 Đỏ; 20 Đỏ. Không chuyển thành Chưa xét được; không tự đổi `T` thành 20 hoặc `M×30%`.
2. N vẫn hiển thị 30 (không bị tự sửa).
Bảo toàn: Giữ điểm, cấu hình và đối tượng không đích theo expected; chỉ thay phần thủ tục yêu cầu, không tự đổi oracle hoặc mở rộng phạm vi.</t>
        </is>
      </c>
      <c r="E117" s="19" t="inlineStr"/>
      <c r="F117" s="19" t="inlineStr">
        <is>
          <t>Chưa thực hiện</t>
        </is>
      </c>
      <c r="G117" s="19" t="inlineStr"/>
    </row>
    <row r="118" ht="197" customHeight="1">
      <c r="A118" s="18" t="inlineStr">
        <is>
          <t>TC-RS-UI-011 / lt</t>
        </is>
      </c>
      <c r="B118" s="18" t="inlineStr">
        <is>
          <t>Thiết lập ngưỡng（基準設定）
Màn Ngưỡng（基準設定）: ba loại, dấu so sánh và câu giải thích đổi theo dấu
Xem chi tiết</t>
        </is>
      </c>
      <c r="C118" s="18" t="inlineStr">
        <is>
          <t>Chuẩn bị: Đang chuẩn bị
Kỳ vọng: Đề xuất
Dữ liệu (trích): Dấu nhỏ hơn
Thao tác (trích): 1. Xem ba lựa chọn loại.…
Xem chi tiết</t>
        </is>
      </c>
      <c r="D118" s="18" t="inlineStr">
        <is>
          <t>1. Có Điểm cố định（固定点数）, Tỷ lệ điểm tối đa（得点率）, Công thức（計算式） (theo phạm vi phát hành — xem UI-025).
2. Câu giải thích dưới dấu đổi theo lựa chọn.
Bảo toàn: Giữ điểm, cấu hình và đối tượng không đích theo expected; chỉ thay phần thủ tục yêu cầu, không tự đổi oracle hoặc mở rộng phạm vi.</t>
        </is>
      </c>
      <c r="E118" s="19" t="inlineStr"/>
      <c r="F118" s="19" t="inlineStr">
        <is>
          <t>Chưa thực hiện</t>
        </is>
      </c>
      <c r="G118" s="19" t="inlineStr"/>
    </row>
    <row r="119" ht="197" customHeight="1">
      <c r="A119" s="18" t="inlineStr">
        <is>
          <t>TC-RS-UI-011 / le</t>
        </is>
      </c>
      <c r="B119" s="18" t="inlineStr">
        <is>
          <t>Thiết lập ngưỡng（基準設定）
Màn Ngưỡng（基準設定）: ba loại, dấu so sánh và câu giải thích đổi theo dấu
Xem chi tiết</t>
        </is>
      </c>
      <c r="C119" s="18" t="inlineStr">
        <is>
          <t>Chuẩn bị: Đang chuẩn bị
Kỳ vọng: Đề xuất
Dữ liệu (trích): Dấu nhỏ hơn hoặc bằng
Thao tác (trích): 1. Xem ba lựa chọn loại.…
Xem chi tiết</t>
        </is>
      </c>
      <c r="D119" s="18" t="inlineStr">
        <is>
          <t>1. Có Điểm cố định（固定点数）, Tỷ lệ điểm tối đa（得点率）, Công thức（計算式） (theo phạm vi phát hành — xem UI-025).
2. Câu giải thích dưới dấu đổi theo lựa chọn.
Bảo toàn: Giữ điểm, cấu hình và đối tượng không đích theo expected; chỉ thay phần thủ tục yêu cầu, không tự đổi oracle hoặc mở rộng phạm vi.</t>
        </is>
      </c>
      <c r="E119" s="19" t="inlineStr"/>
      <c r="F119" s="19" t="inlineStr">
        <is>
          <t>Chưa thực hiện</t>
        </is>
      </c>
      <c r="G119" s="19" t="inlineStr"/>
    </row>
    <row r="120" ht="146" customHeight="1">
      <c r="A120" s="18" t="inlineStr">
        <is>
          <t>TC-RS-UI-012 / Base</t>
        </is>
      </c>
      <c r="B120" s="18" t="inlineStr">
        <is>
          <t>Ngưỡng điểm cố định — Thiết lập ngưỡng（基準設定）
Mặc định khi tạo quy tắc mới</t>
        </is>
      </c>
      <c r="C120" s="18" t="inlineStr">
        <is>
          <t>Chuẩn bị: Đang chuẩn bị
Kỳ vọng: Đề xuất
Dữ liệu (trích): Toàn bộ thủ tục theo đúng thứ tự; các đối chứng cùng fixture…
Thao tác (trích): Quan sát giá trị ban đầu.
Xem chi tiết</t>
        </is>
      </c>
      <c r="D120" s="18" t="inlineStr">
        <is>
          <t>Kỳ vọng: Đề xuất
Loại = Điểm cố định（固定点数）; dấu = Nhỏ hơn（未満）; ô Điểm chuẩn（基準点） trống; tỷ lệ/công thức (nếu mở) mặc định Không xử lý phần lẻ（しない）.…
Xem chi tiết</t>
        </is>
      </c>
      <c r="E120" s="19" t="inlineStr"/>
      <c r="F120" s="19" t="inlineStr">
        <is>
          <t>Chưa thực hiện</t>
        </is>
      </c>
      <c r="G120" s="19" t="inlineStr"/>
    </row>
    <row r="121" ht="129" customHeight="1">
      <c r="A121" s="18" t="inlineStr">
        <is>
          <t>TC-RS-UI-013 / Base</t>
        </is>
      </c>
      <c r="B121" s="18" t="inlineStr">
        <is>
          <t>Ngưỡng điểm cố định — Thiết lập ngưỡng（基準設定）
Ngưỡng cố định không hiển thị nguồn trung bình</t>
        </is>
      </c>
      <c r="C121" s="18" t="inlineStr">
        <is>
          <t>Chuẩn bị: Đang chuẩn bị
Kỳ vọng: Đã xác nhận
Dữ liệu (trích): Toàn bộ thủ tục theo đúng thứ tự; các đối chứng cùng fixture…
Thao tác (trích): Xem màn.
Xem chi tiết</t>
        </is>
      </c>
      <c r="D121" s="18" t="inlineStr">
        <is>
          <t>Kỳ vọng: Đã xác nhận
CONFIRMED: không có khối Trung bình tham chiếu（参照する平均点）; lưu không yêu cầu chọn nguồn.…
Xem chi tiết</t>
        </is>
      </c>
      <c r="E121" s="19" t="inlineStr"/>
      <c r="F121" s="19" t="inlineStr">
        <is>
          <t>Chưa thực hiện</t>
        </is>
      </c>
      <c r="G121" s="19" t="inlineStr"/>
    </row>
    <row r="122" ht="180" customHeight="1">
      <c r="A122" s="18" t="inlineStr">
        <is>
          <t>TC-RS-FUNC-012 / Base</t>
        </is>
      </c>
      <c r="B122" s="18" t="inlineStr">
        <is>
          <t>Ngưỡng công thức — Thiết lập ngưỡng（基準設定）
Công thức: thêm/xóa dòng, kết quả dòng cuối là ngưỡng</t>
        </is>
      </c>
      <c r="C122" s="18" t="inlineStr">
        <is>
          <t>Chuẩn bị: Đang chuẩn bị
Kỳ vọng: Đã xác nhận
Dữ liệu (trích): Toàn bộ thủ tục theo đúng thứ tự; các đối chứng cùng fixture…
Thao tác (trích): 1. Cấu hình dòng 1 và dòng 2 như quy tắc công thức hai dòng (trung bình ÷ 2 × 0.8), lưu.…
Xem chi tiết</t>
        </is>
      </c>
      <c r="D122" s="18" t="inlineStr">
        <is>
          <t>Kỳ vọng: Đã xác nhận
1. Lưu được 2 dòng; mở lại giữ vế trái, phép toán, vế phải và xử lý phần lẻ từng dòng (chi tiết form là PROPOSED theo thiết kế).…
Xem chi tiết</t>
        </is>
      </c>
      <c r="E122" s="19" t="inlineStr"/>
      <c r="F122" s="19" t="inlineStr">
        <is>
          <t>Chưa thực hiện</t>
        </is>
      </c>
      <c r="G122" s="19" t="inlineStr"/>
    </row>
    <row r="123" ht="163" customHeight="1">
      <c r="A123" s="18" t="inlineStr">
        <is>
          <t>TC-RS-VAL-008 / Base</t>
        </is>
      </c>
      <c r="B123" s="18" t="inlineStr">
        <is>
          <t>Ngưỡng công thức — Thiết lập ngưỡng（基準設定）
Công thức phải có ít nhất một dòng</t>
        </is>
      </c>
      <c r="C123" s="18" t="inlineStr">
        <is>
          <t>Chuẩn bị: Đang chuẩn bị
Kỳ vọng: Đã xác nhận
Dữ liệu (trích): Toàn bộ thủ tục theo đúng thứ tự; các đối chứng cùng fixture…
Thao tác (trích): Xóa hết các dòng công thức (nếu UI cho phép), bấm Lưu.
Xem chi tiết</t>
        </is>
      </c>
      <c r="D123" s="18" t="inlineStr">
        <is>
          <t>Không lưu được (hoặc UI không cho xóa dòng cuối).
Bảo toàn: Giữ điểm, cấu hình và đối tượng không đích theo expected; chỉ thay phần thủ tục yêu cầu, không tự đổi oracle hoặc mở rộng phạm vi.</t>
        </is>
      </c>
      <c r="E123" s="19" t="inlineStr"/>
      <c r="F123" s="19" t="inlineStr">
        <is>
          <t>Chưa thực hiện</t>
        </is>
      </c>
      <c r="G123" s="19" t="inlineStr"/>
    </row>
    <row r="124" ht="129" customHeight="1">
      <c r="A124" s="18" t="inlineStr">
        <is>
          <t>TC-RS-VAL-009 / zero</t>
        </is>
      </c>
      <c r="B124" s="18" t="inlineStr">
        <is>
          <t>Ngưỡng công thức — Thiết lập ngưỡng（基準設定）
Chia cho số cố định 0 không lưu được</t>
        </is>
      </c>
      <c r="C124" s="18" t="inlineStr">
        <is>
          <t>Chuẩn bị: Đang chuẩn bị
Kỳ vọng: Đã xác nhận
Dữ liệu (trích): Chia 0
Thao tác (trích): Nhập công thức, Lưu.
Xem chi tiết</t>
        </is>
      </c>
      <c r="D124" s="18" t="inlineStr">
        <is>
          <t>Không lưu được; lỗi chỉ rõ dòng/vế phải.
Bảo toàn: Giữ điểm, cấu hình và đối tượng không đích theo expected; chỉ thay phần thủ tục yêu cầu, không tự đổi oracle hoặc mở rộng phạm vi.</t>
        </is>
      </c>
      <c r="E124" s="19" t="inlineStr"/>
      <c r="F124" s="19" t="inlineStr">
        <is>
          <t>Chưa thực hiện</t>
        </is>
      </c>
      <c r="G124" s="19" t="inlineStr"/>
    </row>
    <row r="125" ht="129" customHeight="1">
      <c r="A125" s="18" t="inlineStr">
        <is>
          <t>TC-RS-VAL-009 / decimal-zero</t>
        </is>
      </c>
      <c r="B125" s="18" t="inlineStr">
        <is>
          <t>Ngưỡng công thức — Thiết lập ngưỡng（基準設定）
Chia cho số cố định 0 không lưu được</t>
        </is>
      </c>
      <c r="C125" s="18" t="inlineStr">
        <is>
          <t>Chuẩn bị: Đang chuẩn bị
Kỳ vọng: Đã xác nhận
Dữ liệu (trích): Chia 0.0
Thao tác (trích): Nhập công thức, Lưu.
Xem chi tiết</t>
        </is>
      </c>
      <c r="D125" s="18" t="inlineStr">
        <is>
          <t>Không lưu được; lỗi chỉ rõ dòng/vế phải.
Bảo toàn: Giữ điểm, cấu hình và đối tượng không đích theo expected; chỉ thay phần thủ tục yêu cầu, không tự đổi oracle hoặc mở rộng phạm vi.</t>
        </is>
      </c>
      <c r="E125" s="19" t="inlineStr"/>
      <c r="F125" s="19" t="inlineStr">
        <is>
          <t>Chưa thực hiện</t>
        </is>
      </c>
      <c r="G125" s="19" t="inlineStr"/>
    </row>
    <row r="126" ht="129" customHeight="1">
      <c r="A126" s="18" t="inlineStr">
        <is>
          <t>TC-RS-VAL-010 / empty</t>
        </is>
      </c>
      <c r="B126" s="18" t="inlineStr">
        <is>
          <t>Ngưỡng công thức — Thiết lập ngưỡng（基準設定）
Toán hạng trống hoặc không phải số</t>
        </is>
      </c>
      <c r="C126" s="18" t="inlineStr">
        <is>
          <t>Chuẩn bị: Đang chuẩn bị
Kỳ vọng: Đã xác nhận
Dữ liệu (trích): Trống toán hạng
Thao tác (trích): Nhập từng biến thể, Lưu.
Xem chi tiết</t>
        </is>
      </c>
      <c r="D126" s="18" t="inlineStr">
        <is>
          <t>Không lưu được; lỗi chỉ ra dòng thiếu.
Bảo toàn: Giữ điểm, cấu hình và đối tượng không đích theo expected; chỉ thay phần thủ tục yêu cầu, không tự đổi oracle hoặc mở rộng phạm vi.</t>
        </is>
      </c>
      <c r="E126" s="19" t="inlineStr"/>
      <c r="F126" s="19" t="inlineStr">
        <is>
          <t>Chưa thực hiện</t>
        </is>
      </c>
      <c r="G126" s="19" t="inlineStr"/>
    </row>
    <row r="127" ht="129" customHeight="1">
      <c r="A127" s="18" t="inlineStr">
        <is>
          <t>TC-RS-VAL-010 / text</t>
        </is>
      </c>
      <c r="B127" s="18" t="inlineStr">
        <is>
          <t>Ngưỡng công thức — Thiết lập ngưỡng（基準設定）
Toán hạng trống hoặc không phải số</t>
        </is>
      </c>
      <c r="C127" s="18" t="inlineStr">
        <is>
          <t>Chuẩn bị: Đang chuẩn bị
Kỳ vọng: Đã xác nhận
Dữ liệu (trích): Toán hạng không phải số
Thao tác (trích): Nhập từng biến thể, Lưu.
Xem chi tiết</t>
        </is>
      </c>
      <c r="D127" s="18" t="inlineStr">
        <is>
          <t>Không lưu được; lỗi chỉ ra dòng thiếu.
Bảo toàn: Giữ điểm, cấu hình và đối tượng không đích theo expected; chỉ thay phần thủ tục yêu cầu, không tự đổi oracle hoặc mở rộng phạm vi.</t>
        </is>
      </c>
      <c r="E127" s="19" t="inlineStr"/>
      <c r="F127" s="19" t="inlineStr">
        <is>
          <t>Chưa thực hiện</t>
        </is>
      </c>
      <c r="G127" s="19" t="inlineStr"/>
    </row>
    <row r="128" ht="129" customHeight="1">
      <c r="A128" s="18" t="inlineStr">
        <is>
          <t>TC-RS-VAL-010 / operator</t>
        </is>
      </c>
      <c r="B128" s="18" t="inlineStr">
        <is>
          <t>Ngưỡng công thức — Thiết lập ngưỡng（基準設定）
Toán hạng trống hoặc không phải số</t>
        </is>
      </c>
      <c r="C128" s="18" t="inlineStr">
        <is>
          <t>Chuẩn bị: Đang chuẩn bị
Kỳ vọng: Đã xác nhận
Dữ liệu (trích): Thiếu phép toán
Thao tác (trích): Nhập từng biến thể, Lưu.
Xem chi tiết</t>
        </is>
      </c>
      <c r="D128" s="18" t="inlineStr">
        <is>
          <t>Không lưu được; lỗi chỉ ra dòng thiếu.
Bảo toàn: Giữ điểm, cấu hình và đối tượng không đích theo expected; chỉ thay phần thủ tục yêu cầu, không tự đổi oracle hoặc mở rộng phạm vi.</t>
        </is>
      </c>
      <c r="E128" s="19" t="inlineStr"/>
      <c r="F128" s="19" t="inlineStr">
        <is>
          <t>Chưa thực hiện</t>
        </is>
      </c>
      <c r="G128" s="19" t="inlineStr"/>
    </row>
    <row r="129" ht="163" customHeight="1">
      <c r="A129" s="18" t="inlineStr">
        <is>
          <t>TC-RS-VAL-011 / first</t>
        </is>
      </c>
      <c r="B129" s="18" t="inlineStr">
        <is>
          <t>Ngưỡng công thức — Thiết lập ngưỡng（基準設定）
Kết quả phép tính（式の結果） chỉ tham chiếu dòng phía trước</t>
        </is>
      </c>
      <c r="C129" s="18" t="inlineStr">
        <is>
          <t>Chuẩn bị: Đang chuẩn bị
Kỳ vọng: Đã xác nhận
Dữ liệu (trích): Tham chiếu dòng đầu
Thao tác (trích): Thử từng biến thể, bấm Lưu.
Xem chi tiết</t>
        </is>
      </c>
      <c r="D129" s="18" t="inlineStr">
        <is>
          <t>(a), (b), (c): không chọn được hoặc không lưu được.
(d): lưu được.
Bảo toàn: Giữ điểm, cấu hình và đối tượng không đích theo expected; chỉ thay phần thủ tục yêu cầu, không tự đổi oracle hoặc mở rộng phạm vi.</t>
        </is>
      </c>
      <c r="E129" s="19" t="inlineStr"/>
      <c r="F129" s="19" t="inlineStr">
        <is>
          <t>Chưa thực hiện</t>
        </is>
      </c>
      <c r="G129" s="19" t="inlineStr"/>
    </row>
    <row r="130" ht="163" customHeight="1">
      <c r="A130" s="18" t="inlineStr">
        <is>
          <t>TC-RS-VAL-011 / self</t>
        </is>
      </c>
      <c r="B130" s="18" t="inlineStr">
        <is>
          <t>Ngưỡng công thức — Thiết lập ngưỡng（基準設定）
Kết quả phép tính（式の結果） chỉ tham chiếu dòng phía trước</t>
        </is>
      </c>
      <c r="C130" s="18" t="inlineStr">
        <is>
          <t>Chuẩn bị: Đang chuẩn bị
Kỳ vọng: Đã xác nhận
Dữ liệu (trích): Tham chiếu chính dòng
Thao tác (trích): Thử từng biến thể, bấm Lưu.
Xem chi tiết</t>
        </is>
      </c>
      <c r="D130" s="18" t="inlineStr">
        <is>
          <t>(a), (b), (c): không chọn được hoặc không lưu được.
(d): lưu được.
Bảo toàn: Giữ điểm, cấu hình và đối tượng không đích theo expected; chỉ thay phần thủ tục yêu cầu, không tự đổi oracle hoặc mở rộng phạm vi.</t>
        </is>
      </c>
      <c r="E130" s="19" t="inlineStr"/>
      <c r="F130" s="19" t="inlineStr">
        <is>
          <t>Chưa thực hiện</t>
        </is>
      </c>
      <c r="G130" s="19" t="inlineStr"/>
    </row>
    <row r="131" ht="163" customHeight="1">
      <c r="A131" s="18" t="inlineStr">
        <is>
          <t>TC-RS-VAL-011 / forward</t>
        </is>
      </c>
      <c r="B131" s="18" t="inlineStr">
        <is>
          <t>Ngưỡng công thức — Thiết lập ngưỡng（基準設定）
Kết quả phép tính（式の結果） chỉ tham chiếu dòng phía trước</t>
        </is>
      </c>
      <c r="C131" s="18" t="inlineStr">
        <is>
          <t>Chuẩn bị: Đang chuẩn bị
Kỳ vọng: Đã xác nhận
Dữ liệu (trích): Tham chiếu dòng sau
Thao tác (trích): Thử từng biến thể, bấm Lưu.
Xem chi tiết</t>
        </is>
      </c>
      <c r="D131" s="18" t="inlineStr">
        <is>
          <t>(a), (b), (c): không chọn được hoặc không lưu được.
(d): lưu được.
Bảo toàn: Giữ điểm, cấu hình và đối tượng không đích theo expected; chỉ thay phần thủ tục yêu cầu, không tự đổi oracle hoặc mở rộng phạm vi.</t>
        </is>
      </c>
      <c r="E131" s="19" t="inlineStr"/>
      <c r="F131" s="19" t="inlineStr">
        <is>
          <t>Chưa thực hiện</t>
        </is>
      </c>
      <c r="G131" s="19" t="inlineStr"/>
    </row>
    <row r="132" ht="163" customHeight="1">
      <c r="A132" s="18" t="inlineStr">
        <is>
          <t>TC-RS-VAL-011 / backward</t>
        </is>
      </c>
      <c r="B132" s="18" t="inlineStr">
        <is>
          <t>Ngưỡng công thức — Thiết lập ngưỡng（基準設定）
Kết quả phép tính（式の結果） chỉ tham chiếu dòng phía trước</t>
        </is>
      </c>
      <c r="C132" s="18" t="inlineStr">
        <is>
          <t>Chuẩn bị: Đang chuẩn bị
Kỳ vọng: Đã xác nhận
Dữ liệu (trích): Tham chiếu dòng trước
Thao tác (trích): Thử từng biến thể, bấm Lưu.
Xem chi tiết</t>
        </is>
      </c>
      <c r="D132" s="18" t="inlineStr">
        <is>
          <t>(a), (b), (c): không chọn được hoặc không lưu được.
(d): lưu được.
Bảo toàn: Giữ điểm, cấu hình và đối tượng không đích theo expected; chỉ thay phần thủ tục yêu cầu, không tự đổi oracle hoặc mở rộng phạm vi.</t>
        </is>
      </c>
      <c r="E132" s="19" t="inlineStr"/>
      <c r="F132" s="19" t="inlineStr">
        <is>
          <t>Chưa thực hiện</t>
        </is>
      </c>
      <c r="G132" s="19" t="inlineStr"/>
    </row>
    <row r="133" ht="129" customHeight="1">
      <c r="A133" s="18" t="inlineStr">
        <is>
          <t>TC-RS-VAL-012 / delete</t>
        </is>
      </c>
      <c r="B133" s="18" t="inlineStr">
        <is>
          <t>Ngưỡng công thức — Thiết lập ngưỡng（基準設定）
Xóa/đổi thứ tự dòng không tự nối lại tham chiếu</t>
        </is>
      </c>
      <c r="C133" s="18" t="inlineStr">
        <is>
          <t>Chuẩn bị: Đang chuẩn bị
Kỳ vọng: Đã xác nhận
Dữ liệu (trích): Xóa dòng được tham chiếu
Thao tác (trích): 1. Xóa dòng 2, bấm Lưu.…
Xem chi tiết</t>
        </is>
      </c>
      <c r="D133" s="18" t="inlineStr">
        <is>
          <t>Kỳ vọng: Đã xác nhận
1. Dòng 3 báo tham chiếu không hợp lệ hoặc buộc chọn lại; không âm thầm trỏ sang dòng 1.…
Xem chi tiết</t>
        </is>
      </c>
      <c r="E133" s="19" t="inlineStr"/>
      <c r="F133" s="19" t="inlineStr">
        <is>
          <t>Chưa thực hiện</t>
        </is>
      </c>
      <c r="G133" s="19" t="inlineStr"/>
    </row>
    <row r="134" ht="129" customHeight="1">
      <c r="A134" s="18" t="inlineStr">
        <is>
          <t>TC-RS-VAL-012 / reorder</t>
        </is>
      </c>
      <c r="B134" s="18" t="inlineStr">
        <is>
          <t>Ngưỡng công thức — Thiết lập ngưỡng（基準設定）
Xóa/đổi thứ tự dòng không tự nối lại tham chiếu</t>
        </is>
      </c>
      <c r="C134" s="18" t="inlineStr">
        <is>
          <t>Chuẩn bị: Đang chuẩn bị
Kỳ vọng: Đã xác nhận
Dữ liệu (trích): Đổi thứ tự dòng được tham chiếu
Thao tác (trích): 1. Xóa dòng 2, bấm Lưu.…
Xem chi tiết</t>
        </is>
      </c>
      <c r="D134" s="18" t="inlineStr">
        <is>
          <t>Kỳ vọng: Đã xác nhận
1. Dòng 3 báo tham chiếu không hợp lệ hoặc buộc chọn lại; không âm thầm trỏ sang dòng 1.…
Xem chi tiết</t>
        </is>
      </c>
      <c r="E134" s="19" t="inlineStr"/>
      <c r="F134" s="19" t="inlineStr">
        <is>
          <t>Chưa thực hiện</t>
        </is>
      </c>
      <c r="G134" s="19" t="inlineStr"/>
    </row>
    <row r="135" ht="129" customHeight="1">
      <c r="A135" s="18" t="inlineStr">
        <is>
          <t>TC-RS-VAL-013 / times150</t>
        </is>
      </c>
      <c r="B135" s="18" t="inlineStr">
        <is>
          <t>Ngưỡng công thức — Thiết lập ngưỡng（基準設定）
Số cố định trong công thức không bị giới hạn 0–100</t>
        </is>
      </c>
      <c r="C135" s="18" t="inlineStr">
        <is>
          <t>Chuẩn bị: Đang chuẩn bị
Kỳ vọng: Đề xuất
Dữ liệu (trích): Nhân 150
Thao tác (trích): Nhập từng công thức, Lưu.
Xem chi tiết</t>
        </is>
      </c>
      <c r="D135" s="18" t="inlineStr">
        <is>
          <t>Lưu được (không áp giới hạn 0–100 hay 0–M cho toán hạng).
Bảo toàn: Giữ điểm, cấu hình và đối tượng không đích theo expected; chỉ thay phần thủ tục yêu cầu, không tự đổi oracle hoặc mở rộng phạm vi.</t>
        </is>
      </c>
      <c r="E135" s="19" t="inlineStr"/>
      <c r="F135" s="19" t="inlineStr">
        <is>
          <t>Chưa thực hiện</t>
        </is>
      </c>
      <c r="G135" s="19" t="inlineStr"/>
    </row>
    <row r="136" ht="129" customHeight="1">
      <c r="A136" s="18" t="inlineStr">
        <is>
          <t>TC-RS-VAL-013 / times05</t>
        </is>
      </c>
      <c r="B136" s="18" t="inlineStr">
        <is>
          <t>Ngưỡng công thức — Thiết lập ngưỡng（基準設定）
Số cố định trong công thức không bị giới hạn 0–100</t>
        </is>
      </c>
      <c r="C136" s="18" t="inlineStr">
        <is>
          <t>Chuẩn bị: Đang chuẩn bị
Kỳ vọng: Đề xuất
Dữ liệu (trích): Nhân 0.5
Thao tác (trích): Nhập từng công thức, Lưu.
Xem chi tiết</t>
        </is>
      </c>
      <c r="D136" s="18" t="inlineStr">
        <is>
          <t>Lưu được (không áp giới hạn 0–100 hay 0–M cho toán hạng).
Bảo toàn: Giữ điểm, cấu hình và đối tượng không đích theo expected; chỉ thay phần thủ tục yêu cầu, không tự đổi oracle hoặc mở rộng phạm vi.</t>
        </is>
      </c>
      <c r="E136" s="19" t="inlineStr"/>
      <c r="F136" s="19" t="inlineStr">
        <is>
          <t>Chưa thực hiện</t>
        </is>
      </c>
      <c r="G136" s="19" t="inlineStr"/>
    </row>
    <row r="137" ht="129" customHeight="1">
      <c r="A137" s="18" t="inlineStr">
        <is>
          <t>TC-RS-VAL-013 / minus150</t>
        </is>
      </c>
      <c r="B137" s="18" t="inlineStr">
        <is>
          <t>Ngưỡng công thức — Thiết lập ngưỡng（基準設定）
Số cố định trong công thức không bị giới hạn 0–100</t>
        </is>
      </c>
      <c r="C137" s="18" t="inlineStr">
        <is>
          <t>Chuẩn bị: Đang chuẩn bị
Kỳ vọng: Đề xuất
Dữ liệu (trích): Trừ 150
Thao tác (trích): Nhập từng công thức, Lưu.
Xem chi tiết</t>
        </is>
      </c>
      <c r="D137" s="18" t="inlineStr">
        <is>
          <t>Lưu được (không áp giới hạn 0–100 hay 0–M cho toán hạng).
Bảo toàn: Giữ điểm, cấu hình và đối tượng không đích theo expected; chỉ thay phần thủ tục yêu cầu, không tự đổi oracle hoặc mở rộng phạm vi.</t>
        </is>
      </c>
      <c r="E137" s="19" t="inlineStr"/>
      <c r="F137" s="19" t="inlineStr">
        <is>
          <t>Chưa thực hiện</t>
        </is>
      </c>
      <c r="G137" s="19" t="inlineStr"/>
    </row>
    <row r="138" ht="129" customHeight="1">
      <c r="A138" s="18" t="inlineStr">
        <is>
          <t>TC-RS-VAL-019 / fixed0-lt</t>
        </is>
      </c>
      <c r="B138" s="18" t="inlineStr">
        <is>
          <t>Ngưỡng công thức — Thiết lập ngưỡng（基準設定）
Cảnh báo ngưỡng biên không chặn lưu</t>
        </is>
      </c>
      <c r="C138" s="18" t="inlineStr">
        <is>
          <t>Chuẩn bị: Đang chuẩn bị
Kỳ vọng: Đã xác nhận
Dữ liệu (trích): Cố định 0 nhỏ hơn
Thao tác (trích): Nhập từng giá trị, Lưu, mở lại.
Xem chi tiết</t>
        </is>
      </c>
      <c r="D138" s="18" t="inlineStr">
        <is>
          <t>Kỳ vọng: Đã xác nhận
1. Cảnh báo theo `T` cuối và dấu: `&lt;0` (không ai đỏ) và `≤100` (mọi điểm hợp lệ đỏ) phải có cảnh báo; các tổ hợp biên khác theo thiết kế.…
Xem chi tiết</t>
        </is>
      </c>
      <c r="E138" s="19" t="inlineStr"/>
      <c r="F138" s="19" t="inlineStr">
        <is>
          <t>Chưa thực hiện</t>
        </is>
      </c>
      <c r="G138" s="19" t="inlineStr"/>
    </row>
    <row r="139" ht="129" customHeight="1">
      <c r="A139" s="18" t="inlineStr">
        <is>
          <t>TC-RS-VAL-019 / fixed0-le</t>
        </is>
      </c>
      <c r="B139" s="18" t="inlineStr">
        <is>
          <t>Ngưỡng công thức — Thiết lập ngưỡng（基準設定）
Cảnh báo ngưỡng biên không chặn lưu</t>
        </is>
      </c>
      <c r="C139" s="18" t="inlineStr">
        <is>
          <t>Chuẩn bị: Đang chuẩn bị
Kỳ vọng: Đã xác nhận
Dữ liệu (trích): Cố định 0 nhỏ hơn hoặc bằng
Thao tác (trích): Nhập từng giá trị, Lưu, mở lại.
Xem chi tiết</t>
        </is>
      </c>
      <c r="D139" s="18" t="inlineStr">
        <is>
          <t>Kỳ vọng: Đã xác nhận
1. Cảnh báo theo `T` cuối và dấu: `&lt;0` (không ai đỏ) và `≤100` (mọi điểm hợp lệ đỏ) phải có cảnh báo; các tổ hợp biên khác theo thiết kế.…
Xem chi tiết</t>
        </is>
      </c>
      <c r="E139" s="19" t="inlineStr"/>
      <c r="F139" s="19" t="inlineStr">
        <is>
          <t>Chưa thực hiện</t>
        </is>
      </c>
      <c r="G139" s="19" t="inlineStr"/>
    </row>
    <row r="140" ht="129" customHeight="1">
      <c r="A140" s="18" t="inlineStr">
        <is>
          <t>TC-RS-VAL-019 / fixed100-lt</t>
        </is>
      </c>
      <c r="B140" s="18" t="inlineStr">
        <is>
          <t>Ngưỡng công thức — Thiết lập ngưỡng（基準設定）
Cảnh báo ngưỡng biên không chặn lưu</t>
        </is>
      </c>
      <c r="C140" s="18" t="inlineStr">
        <is>
          <t>Chuẩn bị: Đang chuẩn bị
Kỳ vọng: Đã xác nhận
Dữ liệu (trích): Cố định 100 nhỏ hơn
Thao tác (trích): Nhập từng giá trị, Lưu, mở lại.
Xem chi tiết</t>
        </is>
      </c>
      <c r="D140" s="18" t="inlineStr">
        <is>
          <t>Kỳ vọng: Đã xác nhận
1. Cảnh báo theo `T` cuối và dấu: `&lt;0` (không ai đỏ) và `≤100` (mọi điểm hợp lệ đỏ) phải có cảnh báo; các tổ hợp biên khác theo thiết kế.…
Xem chi tiết</t>
        </is>
      </c>
      <c r="E140" s="19" t="inlineStr"/>
      <c r="F140" s="19" t="inlineStr">
        <is>
          <t>Chưa thực hiện</t>
        </is>
      </c>
      <c r="G140" s="19" t="inlineStr"/>
    </row>
    <row r="141" ht="129" customHeight="1">
      <c r="A141" s="18" t="inlineStr">
        <is>
          <t>TC-RS-VAL-019 / fixed100-le</t>
        </is>
      </c>
      <c r="B141" s="18" t="inlineStr">
        <is>
          <t>Ngưỡng công thức — Thiết lập ngưỡng（基準設定）
Cảnh báo ngưỡng biên không chặn lưu</t>
        </is>
      </c>
      <c r="C141" s="18" t="inlineStr">
        <is>
          <t>Chuẩn bị: Đang chuẩn bị
Kỳ vọng: Đã xác nhận
Dữ liệu (trích): Cố định 100 nhỏ hơn hoặc bằng
Thao tác (trích): Nhập từng giá trị, Lưu, mở lại.
Xem chi tiết</t>
        </is>
      </c>
      <c r="D141" s="18" t="inlineStr">
        <is>
          <t>Kỳ vọng: Đã xác nhận
1. Cảnh báo theo `T` cuối và dấu: `&lt;0` (không ai đỏ) và `≤100` (mọi điểm hợp lệ đỏ) phải có cảnh báo; các tổ hợp biên khác theo thiết kế.…
Xem chi tiết</t>
        </is>
      </c>
      <c r="E141" s="19" t="inlineStr"/>
      <c r="F141" s="19" t="inlineStr">
        <is>
          <t>Chưa thực hiện</t>
        </is>
      </c>
      <c r="G141" s="19" t="inlineStr"/>
    </row>
    <row r="142" ht="146" customHeight="1">
      <c r="A142" s="18" t="inlineStr">
        <is>
          <t>TC-RS-VAL-019 / ratio0</t>
        </is>
      </c>
      <c r="B142" s="18" t="inlineStr">
        <is>
          <t>Ngưỡng công thức — Thiết lập ngưỡng（基準設定）
Cảnh báo ngưỡng biên không chặn lưu</t>
        </is>
      </c>
      <c r="C142" s="18" t="inlineStr">
        <is>
          <t>Chuẩn bị: Đang chuẩn bị
Kỳ vọng: Đã xác nhận
Dữ liệu (trích): Tỷ lệ 0, dấu nhỏ hơn, không xử lý phần lẻ: T=0, có cảnh báo
Thao tác (trích): Nhập từng giá trị, Lưu, mở lại.
Xem chi tiết</t>
        </is>
      </c>
      <c r="D142" s="18" t="inlineStr">
        <is>
          <t>Kỳ vọng: Đã xác nhận
1. Cảnh báo theo `T` cuối và dấu: `&lt;0` (không ai đỏ) và `≤100` (mọi điểm hợp lệ đỏ) phải có cảnh báo; các tổ hợp biên khác theo thiết kế.…
Xem chi tiết</t>
        </is>
      </c>
      <c r="E142" s="19" t="inlineStr"/>
      <c r="F142" s="19" t="inlineStr">
        <is>
          <t>Chưa thực hiện</t>
        </is>
      </c>
      <c r="G142" s="19" t="inlineStr"/>
    </row>
    <row r="143" ht="146" customHeight="1">
      <c r="A143" s="18" t="inlineStr">
        <is>
          <t>TC-RS-VAL-019 / ratio100</t>
        </is>
      </c>
      <c r="B143" s="18" t="inlineStr">
        <is>
          <t>Ngưỡng công thức — Thiết lập ngưỡng（基準設定）
Cảnh báo ngưỡng biên không chặn lưu</t>
        </is>
      </c>
      <c r="C143" s="18" t="inlineStr">
        <is>
          <t>Chuẩn bị: Đang chuẩn bị
Kỳ vọng: Đã xác nhận
Dữ liệu (trích): Tỷ lệ 100, dấu nhỏ hơn hoặc bằng, không xử lý phần lẻ: T=100, có…
Thao tác (trích): Nhập từng giá trị, Lưu, mở lại.
Xem chi tiết</t>
        </is>
      </c>
      <c r="D143" s="18" t="inlineStr">
        <is>
          <t>Kỳ vọng: Đã xác nhận
1. Cảnh báo theo `T` cuối và dấu: `&lt;0` (không ai đỏ) và `≤100` (mọi điểm hợp lệ đỏ) phải có cảnh báo; các tổ hợp biên khác theo thiết kế.…
Xem chi tiết</t>
        </is>
      </c>
      <c r="E143" s="19" t="inlineStr"/>
      <c r="F143" s="19" t="inlineStr">
        <is>
          <t>Chưa thực hiện</t>
        </is>
      </c>
      <c r="G143" s="19" t="inlineStr"/>
    </row>
    <row r="144" ht="146" customHeight="1">
      <c r="A144" s="18" t="inlineStr">
        <is>
          <t>TC-RS-VAL-019 / ratio04</t>
        </is>
      </c>
      <c r="B144" s="18" t="inlineStr">
        <is>
          <t>Ngưỡng công thức — Thiết lập ngưỡng（基準設定）
Cảnh báo ngưỡng biên không chặn lưu</t>
        </is>
      </c>
      <c r="C144" s="18" t="inlineStr">
        <is>
          <t>Chuẩn bị: Đang chuẩn bị
Kỳ vọng: Đã xác nhận
Dữ liệu (trích): Tỷ lệ 0.4, dấu nhỏ hơn, làm tròn gần nhất p=1: T=0, có cảnh báo
Thao tác (trích): Nhập từng giá trị, Lưu, mở lại.
Xem chi tiết</t>
        </is>
      </c>
      <c r="D144" s="18" t="inlineStr">
        <is>
          <t>Kỳ vọng: Đã xác nhận
1. Cảnh báo theo `T` cuối và dấu: `&lt;0` (không ai đỏ) và `≤100` (mọi điểm hợp lệ đỏ) phải có cảnh báo; các tổ hợp biên khác theo thiết kế.…
Xem chi tiết</t>
        </is>
      </c>
      <c r="E144" s="19" t="inlineStr"/>
      <c r="F144" s="19" t="inlineStr">
        <is>
          <t>Chưa thực hiện</t>
        </is>
      </c>
      <c r="G144" s="19" t="inlineStr"/>
    </row>
    <row r="145" ht="129" customHeight="1">
      <c r="A145" s="18" t="inlineStr">
        <is>
          <t>TC-RS-VAL-020 / minus20</t>
        </is>
      </c>
      <c r="B145" s="18" t="inlineStr">
        <is>
          <t>Ngưỡng công thức — Thiết lập ngưỡng（基準設定）
Kết quả công thức âm hoặc vượt M không phải lỗi lưu</t>
        </is>
      </c>
      <c r="C145" s="18" t="inlineStr">
        <is>
          <t>Chuẩn bị: Đang chuẩn bị
Kỳ vọng: Đã xác nhận
Dữ liệu (trích): Trừ 20
Thao tác (trích): Lưu từng công thức.
Xem chi tiết</t>
        </is>
      </c>
      <c r="D145" s="18" t="inlineStr">
        <is>
          <t>Lưu được; không kiểm `0≤T≤M` tại lúc lưu cho công thức.
Bảo toàn: Giữ điểm, cấu hình và đối tượng không đích theo expected; chỉ thay phần thủ tục yêu cầu, không tự đổi oracle hoặc mở rộng phạm vi.</t>
        </is>
      </c>
      <c r="E145" s="19" t="inlineStr"/>
      <c r="F145" s="19" t="inlineStr">
        <is>
          <t>Chưa thực hiện</t>
        </is>
      </c>
      <c r="G145" s="19" t="inlineStr"/>
    </row>
    <row r="146" ht="129" customHeight="1">
      <c r="A146" s="18" t="inlineStr">
        <is>
          <t>TC-RS-VAL-020 / times3</t>
        </is>
      </c>
      <c r="B146" s="18" t="inlineStr">
        <is>
          <t>Ngưỡng công thức — Thiết lập ngưỡng（基準設定）
Kết quả công thức âm hoặc vượt M không phải lỗi lưu</t>
        </is>
      </c>
      <c r="C146" s="18" t="inlineStr">
        <is>
          <t>Chuẩn bị: Đang chuẩn bị
Kỳ vọng: Đã xác nhận
Dữ liệu (trích): Nhân 3
Thao tác (trích): Lưu từng công thức.
Xem chi tiết</t>
        </is>
      </c>
      <c r="D146" s="18" t="inlineStr">
        <is>
          <t>Lưu được; không kiểm `0≤T≤M` tại lúc lưu cho công thức.
Bảo toàn: Giữ điểm, cấu hình và đối tượng không đích theo expected; chỉ thay phần thủ tục yêu cầu, không tự đổi oracle hoặc mở rộng phạm vi.</t>
        </is>
      </c>
      <c r="E146" s="19" t="inlineStr"/>
      <c r="F146" s="19" t="inlineStr">
        <is>
          <t>Chưa thực hiện</t>
        </is>
      </c>
      <c r="G146" s="19" t="inlineStr"/>
    </row>
    <row r="147" ht="180" customHeight="1">
      <c r="A147" s="18" t="inlineStr">
        <is>
          <t>TC-RS-VAL-021 / Base</t>
        </is>
      </c>
      <c r="B147" s="18" t="inlineStr">
        <is>
          <t>Ngưỡng công thức — Thiết lập ngưỡng（基準設定）
Đổi loại ngưỡng trong cùng phiên sửa</t>
        </is>
      </c>
      <c r="C147" s="18" t="inlineStr">
        <is>
          <t>Chuẩn bị: Đang chuẩn bị
Kỳ vọng: Đề xuất
Dữ liệu (trích): Toàn bộ thủ tục theo đúng thứ tự; các đối chứng cùng fixture…
Thao tác (trích): 1. Đổi sang Tỷ lệ, nhập 40, đổi lại Cố định; xem ô Cố định; đổi sang Tỷ lệ lần nữa, xem ô Tỷ lệ.…
Xem chi tiết</t>
        </is>
      </c>
      <c r="D147" s="18" t="inlineStr">
        <is>
          <t>Kỳ vọng: Đề xuất
1. (PROPOSED) Trong phiên: ô Cố định vẫn 30; quay lại Tỷ lệ vẫn thấy 40.…
Xem chi tiết</t>
        </is>
      </c>
      <c r="E147" s="19" t="inlineStr"/>
      <c r="F147" s="19" t="inlineStr">
        <is>
          <t>Chưa thực hiện</t>
        </is>
      </c>
      <c r="G147" s="19" t="inlineStr"/>
    </row>
    <row r="148" ht="112" customHeight="1">
      <c r="A148" s="18" t="inlineStr">
        <is>
          <t>TC-RS-VAL-023 / lines20</t>
        </is>
      </c>
      <c r="B148" s="18" t="inlineStr">
        <is>
          <t>Ngưỡng công thức — Thiết lập ngưỡng（基準設定）
Giới hạn công thức: 20/21 dòng và số chữ số của số cố định</t>
        </is>
      </c>
      <c r="C148" s="18" t="inlineStr">
        <is>
          <t>Chuẩn bị: Đang chuẩn bị
Kỳ vọng: Đề xuất
Dữ liệu (trích): 20 dòng
Thao tác (trích): Nhập từng cấu hình, Lưu, mở lại.
Xem chi tiết</t>
        </is>
      </c>
      <c r="D148" s="18" t="inlineStr">
        <is>
          <t>Kỳ vọng: Đề xuất
(a) Lưu được, mở lại đủ 20 dòng.…
Xem chi tiết</t>
        </is>
      </c>
      <c r="E148" s="19" t="inlineStr"/>
      <c r="F148" s="19" t="inlineStr">
        <is>
          <t>Chưa thực hiện</t>
        </is>
      </c>
      <c r="G148" s="19" t="inlineStr"/>
    </row>
    <row r="149" ht="112" customHeight="1">
      <c r="A149" s="18" t="inlineStr">
        <is>
          <t>TC-RS-VAL-023 / lines21</t>
        </is>
      </c>
      <c r="B149" s="18" t="inlineStr">
        <is>
          <t>Ngưỡng công thức — Thiết lập ngưỡng（基準設定）
Giới hạn công thức: 20/21 dòng và số chữ số của số cố định</t>
        </is>
      </c>
      <c r="C149" s="18" t="inlineStr">
        <is>
          <t>Chuẩn bị: Đang chuẩn bị
Kỳ vọng: Đề xuất
Dữ liệu (trích): 21 dòng
Thao tác (trích): Nhập từng cấu hình, Lưu, mở lại.
Xem chi tiết</t>
        </is>
      </c>
      <c r="D149" s="18" t="inlineStr">
        <is>
          <t>Kỳ vọng: Đề xuất
(a) Lưu được, mở lại đủ 20 dòng.…
Xem chi tiết</t>
        </is>
      </c>
      <c r="E149" s="19" t="inlineStr"/>
      <c r="F149" s="19" t="inlineStr">
        <is>
          <t>Chưa thực hiện</t>
        </is>
      </c>
      <c r="G149" s="19" t="inlineStr"/>
    </row>
    <row r="150" ht="112" customHeight="1">
      <c r="A150" s="18" t="inlineStr">
        <is>
          <t>TC-RS-VAL-023 / constant</t>
        </is>
      </c>
      <c r="B150" s="18" t="inlineStr">
        <is>
          <t>Ngưỡng công thức — Thiết lập ngưỡng（基準設定）
Giới hạn công thức: 20/21 dòng và số chữ số của số cố định</t>
        </is>
      </c>
      <c r="C150" s="18" t="inlineStr">
        <is>
          <t>Chuẩn bị: Đang chuẩn bị
Kỳ vọng: Đề xuất
Dữ liệu (trích): Hằng số cực lớn
Thao tác (trích): Nhập từng cấu hình, Lưu, mở lại.
Xem chi tiết</t>
        </is>
      </c>
      <c r="D150" s="18" t="inlineStr">
        <is>
          <t>Kỳ vọng: Đề xuất
(a) Lưu được, mở lại đủ 20 dòng.…
Xem chi tiết</t>
        </is>
      </c>
      <c r="E150" s="19" t="inlineStr"/>
      <c r="F150" s="19" t="inlineStr">
        <is>
          <t>Chưa thực hiện</t>
        </is>
      </c>
      <c r="G150" s="19" t="inlineStr"/>
    </row>
    <row r="151" ht="129" customHeight="1">
      <c r="A151" s="18" t="inlineStr">
        <is>
          <t>TC-RS-VAL-023 / integer-overflow</t>
        </is>
      </c>
      <c r="B151" s="18" t="inlineStr">
        <is>
          <t>Ngưỡng công thức — Thiết lập ngưỡng（基準設定）
Giới hạn công thức: 20/21 dòng và số chữ số của số cố định</t>
        </is>
      </c>
      <c r="C151" s="18" t="inlineStr">
        <is>
          <t>Chuẩn bị: Đang chuẩn bị
Kỳ vọng: Đề xuất
Dữ liệu (trích): Vượt phần nguyên
Thao tác (trích): Nhập từng cấu hình, Lưu, mở lại.
Xem chi tiết</t>
        </is>
      </c>
      <c r="D151" s="18" t="inlineStr">
        <is>
          <t>Kỳ vọng: Đề xuất
(a) Lưu được, mở lại đủ 20 dòng.…
Xem chi tiết</t>
        </is>
      </c>
      <c r="E151" s="19" t="inlineStr"/>
      <c r="F151" s="19" t="inlineStr">
        <is>
          <t>Chưa thực hiện</t>
        </is>
      </c>
      <c r="G151" s="19" t="inlineStr"/>
    </row>
    <row r="152" ht="129" customHeight="1">
      <c r="A152" s="18" t="inlineStr">
        <is>
          <t>TC-RS-VAL-023 / fraction-overflow</t>
        </is>
      </c>
      <c r="B152" s="18" t="inlineStr">
        <is>
          <t>Ngưỡng công thức — Thiết lập ngưỡng（基準設定）
Giới hạn công thức: 20/21 dòng và số chữ số của số cố định</t>
        </is>
      </c>
      <c r="C152" s="18" t="inlineStr">
        <is>
          <t>Chuẩn bị: Đang chuẩn bị
Kỳ vọng: Đề xuất
Dữ liệu (trích): Vượt phần thập phân
Thao tác (trích): Nhập từng cấu hình, Lưu, mở lại.
Xem chi tiết</t>
        </is>
      </c>
      <c r="D152" s="18" t="inlineStr">
        <is>
          <t>Kỳ vọng: Đề xuất
(a) Lưu được, mở lại đủ 20 dòng.…
Xem chi tiết</t>
        </is>
      </c>
      <c r="E152" s="19" t="inlineStr"/>
      <c r="F152" s="19" t="inlineStr">
        <is>
          <t>Chưa thực hiện</t>
        </is>
      </c>
      <c r="G152" s="19" t="inlineStr"/>
    </row>
    <row r="153" ht="180" customHeight="1">
      <c r="A153" s="18" t="inlineStr">
        <is>
          <t>TC-RS-CALC-013 / multiply</t>
        </is>
      </c>
      <c r="B153" s="18" t="inlineStr">
        <is>
          <t>Ngưỡng công thức — Thiết lập ngưỡng（基準設定）
Công thức một dòng với A=50</t>
        </is>
      </c>
      <c r="C153" s="18" t="inlineStr">
        <is>
          <t>Chuẩn bị: Đang chuẩn bị
Kỳ vọng: Đã xác nhận
Dữ liệu (trích): Nhân 0.5
Thao tác (trích): Với từng công thức, chạy nút cam, xem kết quả.
Xem chi tiết</t>
        </is>
      </c>
      <c r="D153" s="18" t="inlineStr">
        <is>
          <t>(a) `T=25`: 24 Đỏ; 25 Không đỏ.
(b) `T=30`: 29 Đỏ; 30 Không đỏ.
(c) `T=55`: 54 Đỏ; 55 Không đỏ.
Bảo toàn: Giữ điểm, cấu hình và đối tượng không đích theo expected; chỉ thay phần thủ tục yêu cầu, không tự đổi oracle hoặc mở rộng phạm vi.</t>
        </is>
      </c>
      <c r="E153" s="19" t="inlineStr"/>
      <c r="F153" s="19" t="inlineStr">
        <is>
          <t>Chưa thực hiện</t>
        </is>
      </c>
      <c r="G153" s="19" t="inlineStr"/>
    </row>
    <row r="154" ht="180" customHeight="1">
      <c r="A154" s="18" t="inlineStr">
        <is>
          <t>TC-RS-CALC-013 / subtract</t>
        </is>
      </c>
      <c r="B154" s="18" t="inlineStr">
        <is>
          <t>Ngưỡng công thức — Thiết lập ngưỡng（基準設定）
Công thức một dòng với A=50</t>
        </is>
      </c>
      <c r="C154" s="18" t="inlineStr">
        <is>
          <t>Chuẩn bị: Đang chuẩn bị
Kỳ vọng: Đã xác nhận
Dữ liệu (trích): Trừ 20
Thao tác (trích): Với từng công thức, chạy nút cam, xem kết quả.
Xem chi tiết</t>
        </is>
      </c>
      <c r="D154" s="18" t="inlineStr">
        <is>
          <t>(a) `T=25`: 24 Đỏ; 25 Không đỏ.
(b) `T=30`: 29 Đỏ; 30 Không đỏ.
(c) `T=55`: 54 Đỏ; 55 Không đỏ.
Bảo toàn: Giữ điểm, cấu hình và đối tượng không đích theo expected; chỉ thay phần thủ tục yêu cầu, không tự đổi oracle hoặc mở rộng phạm vi.</t>
        </is>
      </c>
      <c r="E154" s="19" t="inlineStr"/>
      <c r="F154" s="19" t="inlineStr">
        <is>
          <t>Chưa thực hiện</t>
        </is>
      </c>
      <c r="G154" s="19" t="inlineStr"/>
    </row>
    <row r="155" ht="180" customHeight="1">
      <c r="A155" s="18" t="inlineStr">
        <is>
          <t>TC-RS-CALC-013 / add</t>
        </is>
      </c>
      <c r="B155" s="18" t="inlineStr">
        <is>
          <t>Ngưỡng công thức — Thiết lập ngưỡng（基準設定）
Công thức một dòng với A=50</t>
        </is>
      </c>
      <c r="C155" s="18" t="inlineStr">
        <is>
          <t>Chuẩn bị: Đang chuẩn bị
Kỳ vọng: Đã xác nhận
Dữ liệu (trích): Cộng 5
Thao tác (trích): Với từng công thức, chạy nút cam, xem kết quả.
Xem chi tiết</t>
        </is>
      </c>
      <c r="D155" s="18" t="inlineStr">
        <is>
          <t>(a) `T=25`: 24 Đỏ; 25 Không đỏ.
(b) `T=30`: 29 Đỏ; 30 Không đỏ.
(c) `T=55`: 54 Đỏ; 55 Không đỏ.
Bảo toàn: Giữ điểm, cấu hình và đối tượng không đích theo expected; chỉ thay phần thủ tục yêu cầu, không tự đổi oracle hoặc mở rộng phạm vi.</t>
        </is>
      </c>
      <c r="E155" s="19" t="inlineStr"/>
      <c r="F155" s="19" t="inlineStr">
        <is>
          <t>Chưa thực hiện</t>
        </is>
      </c>
      <c r="G155" s="19" t="inlineStr"/>
    </row>
    <row r="156" ht="180" customHeight="1">
      <c r="A156" s="18" t="inlineStr">
        <is>
          <t>TC-RS-CALC-014 / Base</t>
        </is>
      </c>
      <c r="B156" s="18" t="inlineStr">
        <is>
          <t>Ngưỡng công thức — Thiết lập ngưỡng（基準設定）
Làm tròn theo từng dòng: A=49.7</t>
        </is>
      </c>
      <c r="C156" s="18" t="inlineStr">
        <is>
          <t>Chuẩn bị: Đang chuẩn bị
Kỳ vọng: Đã xác nhận
Dữ liệu (trích): Toàn bộ thủ tục theo đúng thứ tự; các đối chứng cùng fixture…
Thao tác (trích): 1. Lưu đúng cấu hình: dòng 1 bật xử lý phần lẻ, vị trí 1, làm tròn xuống; dòng 2 không xử lý.…
Xem chi tiết</t>
        </is>
      </c>
      <c r="D156" s="18" t="inlineStr">
        <is>
          <t>1. `24.85→24`; `T=24×0.8=19.2`.
2. Với dấu `&lt;`: `S=19.1` Đỏ và `S=19.2` Không đỏ.
3. Không làm tròn dòng 2 thành `19`.
Bảo toàn: Giữ điểm, cấu hình và đối tượng không đích theo expected; chỉ thay phần thủ tục yêu cầu, không tự đổi oracle hoặc mở rộng phạm vi.</t>
        </is>
      </c>
      <c r="E156" s="19" t="inlineStr"/>
      <c r="F156" s="19" t="inlineStr">
        <is>
          <t>Chưa thực hiện</t>
        </is>
      </c>
      <c r="G156" s="19" t="inlineStr"/>
    </row>
    <row r="157" ht="197" customHeight="1">
      <c r="A157" s="18" t="inlineStr">
        <is>
          <t>TC-RS-CALC-015 / less-than</t>
        </is>
      </c>
      <c r="B157" s="18" t="inlineStr">
        <is>
          <t>Ngưỡng công thức — Thiết lập ngưỡng（基準設定）
Công thức hai dòng theo Figma: (A÷2)×0.8, dòng 1 làm tròn xuống</t>
        </is>
      </c>
      <c r="C157" s="18" t="inlineStr">
        <is>
          <t>Chuẩn bị: Bị chặn
Kỳ vọng: Đã xác nhận
Dữ liệu (trích): Nhánh less-than trong thủ tục và Expected của case; thực hiện…
Thao tác (trích): 1. Tạo dòng 1 `A÷2`; chọn **chữ số thập phân thứ 1（小数第1位）** và **Làm tròn xuống（切り捨て）**, tức kết quả dòng 1…
Xem chi tiết</t>
        </is>
      </c>
      <c r="D157" s="18" t="inlineStr">
        <is>
          <t>Kỳ vọng: Đã xác nhận
Dòng 1 `61÷2=30.5` làm tròn xuống thành `30`; dòng 2 `30×0.8=24`, nên oracle cố định là `T=24`.…
Xem chi tiết</t>
        </is>
      </c>
      <c r="E157" s="19" t="inlineStr"/>
      <c r="F157" s="19" t="inlineStr">
        <is>
          <t>Chưa thực hiện</t>
        </is>
      </c>
      <c r="G157" s="19" t="inlineStr"/>
    </row>
    <row r="158" ht="197" customHeight="1">
      <c r="A158" s="18" t="inlineStr">
        <is>
          <t>TC-RS-CALC-015 / less-or-equal</t>
        </is>
      </c>
      <c r="B158" s="18" t="inlineStr">
        <is>
          <t>Ngưỡng công thức — Thiết lập ngưỡng（基準設定）
Công thức hai dòng theo Figma: (A÷2)×0.8, dòng 1 làm tròn xuống</t>
        </is>
      </c>
      <c r="C158" s="18" t="inlineStr">
        <is>
          <t>Chuẩn bị: Bị chặn
Kỳ vọng: Đã xác nhận
Dữ liệu (trích): Nhánh less-or-equal trong thủ tục và Expected của case; thực…
Thao tác (trích): 1. Tạo dòng 1 `A÷2`; chọn **chữ số thập phân thứ 1（小数第1位）** và **Làm tròn xuống（切り捨て）**, tức kết quả dòng 1…
Xem chi tiết</t>
        </is>
      </c>
      <c r="D158" s="18" t="inlineStr">
        <is>
          <t>Kỳ vọng: Đã xác nhận
Dòng 1 `61÷2=30.5` làm tròn xuống thành `30`; dòng 2 `30×0.8=24`, nên oracle cố định là `T=24`.…
Xem chi tiết</t>
        </is>
      </c>
      <c r="E158" s="19" t="inlineStr"/>
      <c r="F158" s="19" t="inlineStr">
        <is>
          <t>Chưa thực hiện</t>
        </is>
      </c>
      <c r="G158" s="19" t="inlineStr"/>
    </row>
    <row r="159" ht="197" customHeight="1">
      <c r="A159" s="18" t="inlineStr">
        <is>
          <t>TC-RS-CALC-015 / reopen-summary</t>
        </is>
      </c>
      <c r="B159" s="18" t="inlineStr">
        <is>
          <t>Ngưỡng công thức — Thiết lập ngưỡng（基準設定）
Công thức hai dòng theo Figma: (A÷2)×0.8, dòng 1 làm tròn xuống</t>
        </is>
      </c>
      <c r="C159" s="18" t="inlineStr">
        <is>
          <t>Chuẩn bị: Bị chặn
Kỳ vọng: Đã xác nhận
Dữ liệu (trích): Nhánh reopen-summary trong thủ tục và Expected của case; thực…
Thao tác (trích): 1. Tạo dòng 1 `A÷2`; chọn **chữ số thập phân thứ 1（小数第1位）** và **Làm tròn xuống（切り捨て）**, tức kết quả dòng 1…
Xem chi tiết</t>
        </is>
      </c>
      <c r="D159" s="18" t="inlineStr">
        <is>
          <t>Kỳ vọng: Đã xác nhận
Dòng 1 `61÷2=30.5` làm tròn xuống thành `30`; dòng 2 `30×0.8=24`, nên oracle cố định là `T=24`.…
Xem chi tiết</t>
        </is>
      </c>
      <c r="E159" s="19" t="inlineStr"/>
      <c r="F159" s="19" t="inlineStr">
        <is>
          <t>Chưa thực hiện</t>
        </is>
      </c>
      <c r="G159" s="19" t="inlineStr"/>
    </row>
    <row r="160" ht="197" customHeight="1">
      <c r="A160" s="18" t="inlineStr">
        <is>
          <t>TC-RS-CALC-016 / zero-lt</t>
        </is>
      </c>
      <c r="B160" s="18" t="inlineStr">
        <is>
          <t>Ngưỡng công thức — Thiết lập ngưỡng（基準設定）
Ngưỡng âm: A=15, A−20 → T=−5</t>
        </is>
      </c>
      <c r="C160" s="18" t="inlineStr">
        <is>
          <t>Chuẩn bị: Đang chuẩn bị
Kỳ vọng: Đã xác nhận
Dữ liệu (trích): Ngưỡng 0 nhỏ hơn
Thao tác (trích): (a) Xét S=0 với `&lt;` và `≤`.…
Xem chi tiết</t>
        </is>
      </c>
      <c r="D160" s="18" t="inlineStr">
        <is>
          <t>(a) `T=−5`: `&lt;` Không đỏ; `≤` Không đỏ (nếu hệ thống ép `T` về 0 thì `≤` sẽ Đỏ — sai).
(b) `&lt;`: −6 Đỏ; −5 Không đỏ. `≤`: −6 Đỏ; −5 Đỏ.
Bảo toàn: Giữ điểm, cấu hình và đối tượng không đích theo expected; chỉ thay phần thủ tục yêu cầu, không tự đổi oracle hoặc mở rộng phạm vi.</t>
        </is>
      </c>
      <c r="E160" s="19" t="inlineStr"/>
      <c r="F160" s="19" t="inlineStr">
        <is>
          <t>Chưa thực hiện</t>
        </is>
      </c>
      <c r="G160" s="19" t="inlineStr"/>
    </row>
    <row r="161" ht="197" customHeight="1">
      <c r="A161" s="18" t="inlineStr">
        <is>
          <t>TC-RS-CALC-016 / zero-le</t>
        </is>
      </c>
      <c r="B161" s="18" t="inlineStr">
        <is>
          <t>Ngưỡng công thức — Thiết lập ngưỡng（基準設定）
Ngưỡng âm: A=15, A−20 → T=−5</t>
        </is>
      </c>
      <c r="C161" s="18" t="inlineStr">
        <is>
          <t>Chuẩn bị: Đang chuẩn bị
Kỳ vọng: Đã xác nhận
Dữ liệu (trích): Ngưỡng 0 nhỏ hơn hoặc bằng
Thao tác (trích): (a) Xét S=0 với `&lt;` và `≤`.…
Xem chi tiết</t>
        </is>
      </c>
      <c r="D161" s="18" t="inlineStr">
        <is>
          <t>(a) `T=−5`: `&lt;` Không đỏ; `≤` Không đỏ (nếu hệ thống ép `T` về 0 thì `≤` sẽ Đỏ — sai).
(b) `&lt;`: −6 Đỏ; −5 Không đỏ. `≤`: −6 Đỏ; −5 Đỏ.
Bảo toàn: Giữ điểm, cấu hình và đối tượng không đích theo expected; chỉ thay phần thủ tục yêu cầu, không tự đổi oracle hoặc mở rộng phạm vi.</t>
        </is>
      </c>
      <c r="E161" s="19" t="inlineStr"/>
      <c r="F161" s="19" t="inlineStr">
        <is>
          <t>Chưa thực hiện</t>
        </is>
      </c>
      <c r="G161" s="19" t="inlineStr"/>
    </row>
    <row r="162" ht="197" customHeight="1">
      <c r="A162" s="18" t="inlineStr">
        <is>
          <t>TC-RS-CALC-016 / negative-lt</t>
        </is>
      </c>
      <c r="B162" s="18" t="inlineStr">
        <is>
          <t>Ngưỡng công thức — Thiết lập ngưỡng（基準設定）
Ngưỡng âm: A=15, A−20 → T=−5</t>
        </is>
      </c>
      <c r="C162" s="18" t="inlineStr">
        <is>
          <t>Chuẩn bị: Đang chuẩn bị
Kỳ vọng: Đã xác nhận
Dữ liệu (trích): Ngưỡng âm nhỏ hơn
Thao tác (trích): (a) Xét S=0 với `&lt;` và `≤`.…
Xem chi tiết</t>
        </is>
      </c>
      <c r="D162" s="18" t="inlineStr">
        <is>
          <t>(a) `T=−5`: `&lt;` Không đỏ; `≤` Không đỏ (nếu hệ thống ép `T` về 0 thì `≤` sẽ Đỏ — sai).
(b) `&lt;`: −6 Đỏ; −5 Không đỏ. `≤`: −6 Đỏ; −5 Đỏ.
Bảo toàn: Giữ điểm, cấu hình và đối tượng không đích theo expected; chỉ thay phần thủ tục yêu cầu, không tự đổi oracle hoặc mở rộng phạm vi.</t>
        </is>
      </c>
      <c r="E162" s="19" t="inlineStr"/>
      <c r="F162" s="19" t="inlineStr">
        <is>
          <t>Chưa thực hiện</t>
        </is>
      </c>
      <c r="G162" s="19" t="inlineStr"/>
    </row>
    <row r="163" ht="197" customHeight="1">
      <c r="A163" s="18" t="inlineStr">
        <is>
          <t>TC-RS-CALC-016 / negative-le</t>
        </is>
      </c>
      <c r="B163" s="18" t="inlineStr">
        <is>
          <t>Ngưỡng công thức — Thiết lập ngưỡng（基準設定）
Ngưỡng âm: A=15, A−20 → T=−5</t>
        </is>
      </c>
      <c r="C163" s="18" t="inlineStr">
        <is>
          <t>Chuẩn bị: Đang chuẩn bị
Kỳ vọng: Đã xác nhận
Dữ liệu (trích): Ngưỡng âm nhỏ hơn hoặc bằng
Thao tác (trích): (a) Xét S=0 với `&lt;` và `≤`.…
Xem chi tiết</t>
        </is>
      </c>
      <c r="D163" s="18" t="inlineStr">
        <is>
          <t>(a) `T=−5`: `&lt;` Không đỏ; `≤` Không đỏ (nếu hệ thống ép `T` về 0 thì `≤` sẽ Đỏ — sai).
(b) `&lt;`: −6 Đỏ; −5 Không đỏ. `≤`: −6 Đỏ; −5 Đỏ.
Bảo toàn: Giữ điểm, cấu hình và đối tượng không đích theo expected; chỉ thay phần thủ tục yêu cầu, không tự đổi oracle hoặc mở rộng phạm vi.</t>
        </is>
      </c>
      <c r="E163" s="19" t="inlineStr"/>
      <c r="F163" s="19" t="inlineStr">
        <is>
          <t>Chưa thực hiện</t>
        </is>
      </c>
      <c r="G163" s="19" t="inlineStr"/>
    </row>
    <row r="164" ht="146" customHeight="1">
      <c r="A164" s="18" t="inlineStr">
        <is>
          <t>TC-RS-CALC-017 / Base</t>
        </is>
      </c>
      <c r="B164" s="18" t="inlineStr">
        <is>
          <t>Ngưỡng công thức — Thiết lập ngưỡng（基準設定）
Ngưỡng công thức vượt M vẫn hợp lệ</t>
        </is>
      </c>
      <c r="C164" s="18" t="inlineStr">
        <is>
          <t>Chuẩn bị: Đang chuẩn bị
Kỳ vọng: Đã xác nhận
Dữ liệu (trích): Toàn bộ thủ tục theo đúng thứ tự; các đối chứng cùng fixture…
Thao tác (trích): Chạy nút cam; xem kết quả.
Xem chi tiết</t>
        </is>
      </c>
      <c r="D164" s="18" t="inlineStr">
        <is>
          <t>`T=120`; `100&lt;120` → Đỏ. Không bị Chưa xét được, không ép `T` về 100.
Bảo toàn: Giữ điểm, cấu hình và đối tượng không đích theo expected; chỉ thay phần thủ tục yêu cầu, không tự đổi oracle hoặc mở rộng phạm vi.</t>
        </is>
      </c>
      <c r="E164" s="19" t="inlineStr"/>
      <c r="F164" s="19" t="inlineStr">
        <is>
          <t>Chưa thực hiện</t>
        </is>
      </c>
      <c r="G164" s="19" t="inlineStr"/>
    </row>
    <row r="165" ht="163" customHeight="1">
      <c r="A165" s="18" t="inlineStr">
        <is>
          <t>TC-RS-CALC-018 / Base</t>
        </is>
      </c>
      <c r="B165" s="18" t="inlineStr">
        <is>
          <t>Ngưỡng công thức — Thiết lập ngưỡng（基準設定）
Công thức A−0 cho ngưỡng bằng A</t>
        </is>
      </c>
      <c r="C165" s="18" t="inlineStr">
        <is>
          <t>Chuẩn bị: Đang chuẩn bị
Kỳ vọng: Đã xác nhận
Dữ liệu (trích): Toàn bộ thủ tục theo đúng thứ tự; các đối chứng cùng fixture…
Thao tác (trích): 1. Lưu công thức (quan sát cảnh báo).…
Xem chi tiết</t>
        </is>
      </c>
      <c r="D165" s="18" t="inlineStr">
        <is>
          <t>1. Có cảnh báo giúp hiểu ngưỡng là A (câu chữ TBD), vẫn lưu được.
2. `T=50`: 49 Đỏ; 50 Không đỏ.
Bảo toàn: Giữ điểm, cấu hình và đối tượng không đích theo expected; chỉ thay phần thủ tục yêu cầu, không tự đổi oracle hoặc mở rộng phạm vi.</t>
        </is>
      </c>
      <c r="E165" s="19" t="inlineStr"/>
      <c r="F165" s="19" t="inlineStr">
        <is>
          <t>Chưa thực hiện</t>
        </is>
      </c>
      <c r="G165" s="19" t="inlineStr"/>
    </row>
    <row r="166" ht="163" customHeight="1">
      <c r="A166" s="18" t="inlineStr">
        <is>
          <t>TC-RS-CALC-019 / positive-none</t>
        </is>
      </c>
      <c r="B166" s="18" t="inlineStr">
        <is>
          <t>Ngưỡng công thức — Thiết lập ngưỡng（基準設定）
Định nghĩa phương thức làm tròn, số âm và p=9</t>
        </is>
      </c>
      <c r="C166" s="18" t="inlineStr">
        <is>
          <t>Chuẩn bị: Bị chặn
Kỳ vọng: Chờ xác nhận
Dữ liệu (trích): 29.7 không xử lý
Thao tác (trích): 1. Với từng dòng của Expected Result: đặt `A` (nguồn dummy, dữ liệu giả cho bản tổng hợp đã chốt), chọn xử lý…
Xem chi tiết</t>
        </is>
      </c>
      <c r="D166"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66" s="19" t="inlineStr"/>
      <c r="F166" s="19" t="inlineStr">
        <is>
          <t>Chưa thực hiện</t>
        </is>
      </c>
      <c r="G166" s="19" t="inlineStr"/>
    </row>
    <row r="167" ht="146" customHeight="1">
      <c r="A167" s="18" t="inlineStr">
        <is>
          <t>TC-RS-CALC-019 / positive-down</t>
        </is>
      </c>
      <c r="B167" s="18" t="inlineStr">
        <is>
          <t>Ngưỡng công thức — Thiết lập ngưỡng（基準設定）
Định nghĩa phương thức làm tròn, số âm và p=9</t>
        </is>
      </c>
      <c r="C167" s="18" t="inlineStr">
        <is>
          <t>Chuẩn bị: Bị chặn
Kỳ vọng: Chờ xác nhận
Dữ liệu (trích): 29.7 xuống p1
Thao tác (trích): 1. Với từng dòng của Expected Result: đặt `A` (nguồn dummy, dữ liệu giả cho bản tổng hợp đã chốt), chọn xử lý…
Xem chi tiết</t>
        </is>
      </c>
      <c r="D167"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67" s="19" t="inlineStr"/>
      <c r="F167" s="19" t="inlineStr">
        <is>
          <t>Chưa thực hiện</t>
        </is>
      </c>
      <c r="G167" s="19" t="inlineStr"/>
    </row>
    <row r="168" ht="163" customHeight="1">
      <c r="A168" s="18" t="inlineStr">
        <is>
          <t>TC-RS-CALC-019 / positive-nearest</t>
        </is>
      </c>
      <c r="B168" s="18" t="inlineStr">
        <is>
          <t>Ngưỡng công thức — Thiết lập ngưỡng（基準設定）
Định nghĩa phương thức làm tròn, số âm và p=9</t>
        </is>
      </c>
      <c r="C168" s="18" t="inlineStr">
        <is>
          <t>Chuẩn bị: Bị chặn
Kỳ vọng: Chờ xác nhận
Dữ liệu (trích): 29.75 gần nhất p2
Thao tác (trích): 1. Với từng dòng của Expected Result: đặt `A` (nguồn dummy, dữ liệu giả cho bản tổng hợp đã chốt), chọn xử lý…
Xem chi tiết</t>
        </is>
      </c>
      <c r="D168"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68" s="19" t="inlineStr"/>
      <c r="F168" s="19" t="inlineStr">
        <is>
          <t>Chưa thực hiện</t>
        </is>
      </c>
      <c r="G168" s="19" t="inlineStr"/>
    </row>
    <row r="169" ht="146" customHeight="1">
      <c r="A169" s="18" t="inlineStr">
        <is>
          <t>TC-RS-CALC-019 / negative-up</t>
        </is>
      </c>
      <c r="B169" s="18" t="inlineStr">
        <is>
          <t>Ngưỡng công thức — Thiết lập ngưỡng（基準設定）
Định nghĩa phương thức làm tròn, số âm và p=9</t>
        </is>
      </c>
      <c r="C169" s="18" t="inlineStr">
        <is>
          <t>Chuẩn bị: Bị chặn
Kỳ vọng: Chờ xác nhận
Dữ liệu (trích): -5.2 lên p1
Thao tác (trích): 1. Với từng dòng của Expected Result: đặt `A` (nguồn dummy, dữ liệu giả cho bản tổng hợp đã chốt), chọn xử lý…
Xem chi tiết</t>
        </is>
      </c>
      <c r="D169"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69" s="19" t="inlineStr"/>
      <c r="F169" s="19" t="inlineStr">
        <is>
          <t>Chưa thực hiện</t>
        </is>
      </c>
      <c r="G169" s="19" t="inlineStr"/>
    </row>
    <row r="170" ht="146" customHeight="1">
      <c r="A170" s="18" t="inlineStr">
        <is>
          <t>TC-RS-CALC-019 / negative-down</t>
        </is>
      </c>
      <c r="B170" s="18" t="inlineStr">
        <is>
          <t>Ngưỡng công thức — Thiết lập ngưỡng（基準設定）
Định nghĩa phương thức làm tròn, số âm và p=9</t>
        </is>
      </c>
      <c r="C170" s="18" t="inlineStr">
        <is>
          <t>Chuẩn bị: Bị chặn
Kỳ vọng: Chờ xác nhận
Dữ liệu (trích): -5.2 xuống p1
Thao tác (trích): 1. Với từng dòng của Expected Result: đặt `A` (nguồn dummy, dữ liệu giả cho bản tổng hợp đã chốt), chọn xử lý…
Xem chi tiết</t>
        </is>
      </c>
      <c r="D170"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0" s="19" t="inlineStr"/>
      <c r="F170" s="19" t="inlineStr">
        <is>
          <t>Chưa thực hiện</t>
        </is>
      </c>
      <c r="G170" s="19" t="inlineStr"/>
    </row>
    <row r="171" ht="163" customHeight="1">
      <c r="A171" s="18" t="inlineStr">
        <is>
          <t>TC-RS-CALC-019 / negative-nearest</t>
        </is>
      </c>
      <c r="B171" s="18" t="inlineStr">
        <is>
          <t>Ngưỡng công thức — Thiết lập ngưỡng（基準設定）
Định nghĩa phương thức làm tròn, số âm và p=9</t>
        </is>
      </c>
      <c r="C171" s="18" t="inlineStr">
        <is>
          <t>Chuẩn bị: Bị chặn
Kỳ vọng: Chờ xác nhận
Dữ liệu (trích): -5.5 gần nhất p1
Thao tác (trích): 1. Với từng dòng của Expected Result: đặt `A` (nguồn dummy, dữ liệu giả cho bản tổng hợp đã chốt), chọn xử lý…
Xem chi tiết</t>
        </is>
      </c>
      <c r="D171"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1" s="19" t="inlineStr"/>
      <c r="F171" s="19" t="inlineStr">
        <is>
          <t>Chưa thực hiện</t>
        </is>
      </c>
      <c r="G171" s="19" t="inlineStr"/>
    </row>
    <row r="172" ht="163" customHeight="1">
      <c r="A172" s="18" t="inlineStr">
        <is>
          <t>TC-RS-CALC-019 / half-positive</t>
        </is>
      </c>
      <c r="B172" s="18" t="inlineStr">
        <is>
          <t>Ngưỡng công thức — Thiết lập ngưỡng（基準設定）
Định nghĩa phương thức làm tròn, số âm và p=9</t>
        </is>
      </c>
      <c r="C172" s="18" t="inlineStr">
        <is>
          <t>Chuẩn bị: Bị chặn
Kỳ vọng: Chờ xác nhận
Dữ liệu (trích): 12.5 gần nhất p1
Thao tác (trích): 1. Với từng dòng của Expected Result: đặt `A` (nguồn dummy, dữ liệu giả cho bản tổng hợp đã chốt), chọn xử lý…
Xem chi tiết</t>
        </is>
      </c>
      <c r="D172"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2" s="19" t="inlineStr"/>
      <c r="F172" s="19" t="inlineStr">
        <is>
          <t>Chưa thực hiện</t>
        </is>
      </c>
      <c r="G172" s="19" t="inlineStr"/>
    </row>
    <row r="173" ht="163" customHeight="1">
      <c r="A173" s="18" t="inlineStr">
        <is>
          <t>TC-RS-CALC-019 / half-negative</t>
        </is>
      </c>
      <c r="B173" s="18" t="inlineStr">
        <is>
          <t>Ngưỡng công thức — Thiết lập ngưỡng（基準設定）
Định nghĩa phương thức làm tròn, số âm và p=9</t>
        </is>
      </c>
      <c r="C173" s="18" t="inlineStr">
        <is>
          <t>Chuẩn bị: Bị chặn
Kỳ vọng: Chờ xác nhận
Dữ liệu (trích): -12.5 gần nhất p1
Thao tác (trích): 1. Với từng dòng của Expected Result: đặt `A` (nguồn dummy, dữ liệu giả cho bản tổng hợp đã chốt), chọn xử lý…
Xem chi tiết</t>
        </is>
      </c>
      <c r="D173"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3" s="19" t="inlineStr"/>
      <c r="F173" s="19" t="inlineStr">
        <is>
          <t>Chưa thực hiện</t>
        </is>
      </c>
      <c r="G173" s="19" t="inlineStr"/>
    </row>
    <row r="174" ht="146" customHeight="1">
      <c r="A174" s="18" t="inlineStr">
        <is>
          <t>TC-RS-CALC-019 / half-up</t>
        </is>
      </c>
      <c r="B174" s="18" t="inlineStr">
        <is>
          <t>Ngưỡng công thức — Thiết lập ngưỡng（基準設定）
Định nghĩa phương thức làm tròn, số âm và p=9</t>
        </is>
      </c>
      <c r="C174" s="18" t="inlineStr">
        <is>
          <t>Chuẩn bị: Bị chặn
Kỳ vọng: Chờ xác nhận
Dữ liệu (trích): -12.5 lên p1
Thao tác (trích): 1. Với từng dòng của Expected Result: đặt `A` (nguồn dummy, dữ liệu giả cho bản tổng hợp đã chốt), chọn xử lý…
Xem chi tiết</t>
        </is>
      </c>
      <c r="D174"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4" s="19" t="inlineStr"/>
      <c r="F174" s="19" t="inlineStr">
        <is>
          <t>Chưa thực hiện</t>
        </is>
      </c>
      <c r="G174" s="19" t="inlineStr"/>
    </row>
    <row r="175" ht="146" customHeight="1">
      <c r="A175" s="18" t="inlineStr">
        <is>
          <t>TC-RS-CALC-019 / half-down</t>
        </is>
      </c>
      <c r="B175" s="18" t="inlineStr">
        <is>
          <t>Ngưỡng công thức — Thiết lập ngưỡng（基準設定）
Định nghĩa phương thức làm tròn, số âm và p=9</t>
        </is>
      </c>
      <c r="C175" s="18" t="inlineStr">
        <is>
          <t>Chuẩn bị: Bị chặn
Kỳ vọng: Chờ xác nhận
Dữ liệu (trích): -12.5 xuống p1
Thao tác (trích): 1. Với từng dòng của Expected Result: đặt `A` (nguồn dummy, dữ liệu giả cho bản tổng hợp đã chốt), chọn xử lý…
Xem chi tiết</t>
        </is>
      </c>
      <c r="D175"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5" s="19" t="inlineStr"/>
      <c r="F175" s="19" t="inlineStr">
        <is>
          <t>Chưa thực hiện</t>
        </is>
      </c>
      <c r="G175" s="19" t="inlineStr"/>
    </row>
    <row r="176" ht="163" customHeight="1">
      <c r="A176" s="18" t="inlineStr">
        <is>
          <t>TC-RS-CALC-019 / decimal-nearest</t>
        </is>
      </c>
      <c r="B176" s="18" t="inlineStr">
        <is>
          <t>Ngưỡng công thức — Thiết lập ngưỡng（基準設定）
Định nghĩa phương thức làm tròn, số âm và p=9</t>
        </is>
      </c>
      <c r="C176" s="18" t="inlineStr">
        <is>
          <t>Chuẩn bị: Bị chặn
Kỳ vọng: Chờ xác nhận
Dữ liệu (trích): 12.345 gần nhất p2
Thao tác (trích): 1. Với từng dòng của Expected Result: đặt `A` (nguồn dummy, dữ liệu giả cho bản tổng hợp đã chốt), chọn xử lý…
Xem chi tiết</t>
        </is>
      </c>
      <c r="D176"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6" s="19" t="inlineStr"/>
      <c r="F176" s="19" t="inlineStr">
        <is>
          <t>Chưa thực hiện</t>
        </is>
      </c>
      <c r="G176" s="19" t="inlineStr"/>
    </row>
    <row r="177" ht="146" customHeight="1">
      <c r="A177" s="18" t="inlineStr">
        <is>
          <t>TC-RS-CALC-019 / decimal-up</t>
        </is>
      </c>
      <c r="B177" s="18" t="inlineStr">
        <is>
          <t>Ngưỡng công thức — Thiết lập ngưỡng（基準設定）
Định nghĩa phương thức làm tròn, số âm và p=9</t>
        </is>
      </c>
      <c r="C177" s="18" t="inlineStr">
        <is>
          <t>Chuẩn bị: Bị chặn
Kỳ vọng: Chờ xác nhận
Dữ liệu (trích): 12.345 lên p2
Thao tác (trích): 1. Với từng dòng của Expected Result: đặt `A` (nguồn dummy, dữ liệu giả cho bản tổng hợp đã chốt), chọn xử lý…
Xem chi tiết</t>
        </is>
      </c>
      <c r="D177"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7" s="19" t="inlineStr"/>
      <c r="F177" s="19" t="inlineStr">
        <is>
          <t>Chưa thực hiện</t>
        </is>
      </c>
      <c r="G177" s="19" t="inlineStr"/>
    </row>
    <row r="178" ht="163" customHeight="1">
      <c r="A178" s="18" t="inlineStr">
        <is>
          <t>TC-RS-CALC-019 / p3</t>
        </is>
      </c>
      <c r="B178" s="18" t="inlineStr">
        <is>
          <t>Ngưỡng công thức — Thiết lập ngưỡng（基準設定）
Định nghĩa phương thức làm tròn, số âm và p=9</t>
        </is>
      </c>
      <c r="C178" s="18" t="inlineStr">
        <is>
          <t>Chuẩn bị: Bị chặn
Kỳ vọng: Chờ xác nhận
Dữ liệu (trích): 2.675 gần nhất p3
Thao tác (trích): 1. Với từng dòng của Expected Result: đặt `A` (nguồn dummy, dữ liệu giả cho bản tổng hợp đã chốt), chọn xử lý…
Xem chi tiết</t>
        </is>
      </c>
      <c r="D178"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8" s="19" t="inlineStr"/>
      <c r="F178" s="19" t="inlineStr">
        <is>
          <t>Chưa thực hiện</t>
        </is>
      </c>
      <c r="G178" s="19" t="inlineStr"/>
    </row>
    <row r="179" ht="163" customHeight="1">
      <c r="A179" s="18" t="inlineStr">
        <is>
          <t>TC-RS-CALC-019 / p9-nearest</t>
        </is>
      </c>
      <c r="B179" s="18" t="inlineStr">
        <is>
          <t>Ngưỡng công thức — Thiết lập ngưỡng（基準設定）
Định nghĩa phương thức làm tròn, số âm và p=9</t>
        </is>
      </c>
      <c r="C179" s="18" t="inlineStr">
        <is>
          <t>Chuẩn bị: Bị chặn
Kỳ vọng: Chờ xác nhận
Dữ liệu (trích): 1.123456789 gần nhất p9
Thao tác (trích): 1. Với từng dòng của Expected Result: đặt `A` (nguồn dummy, dữ liệu giả cho bản tổng hợp đã chốt), chọn xử lý…
Xem chi tiết</t>
        </is>
      </c>
      <c r="D179"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79" s="19" t="inlineStr"/>
      <c r="F179" s="19" t="inlineStr">
        <is>
          <t>Chưa thực hiện</t>
        </is>
      </c>
      <c r="G179" s="19" t="inlineStr"/>
    </row>
    <row r="180" ht="163" customHeight="1">
      <c r="A180" s="18" t="inlineStr">
        <is>
          <t>TC-RS-CALC-019 / p9-down</t>
        </is>
      </c>
      <c r="B180" s="18" t="inlineStr">
        <is>
          <t>Ngưỡng công thức — Thiết lập ngưỡng（基準設定）
Định nghĩa phương thức làm tròn, số âm và p=9</t>
        </is>
      </c>
      <c r="C180" s="18" t="inlineStr">
        <is>
          <t>Chuẩn bị: Bị chặn
Kỳ vọng: Chờ xác nhận
Dữ liệu (trích): 1.123456789 xuống p9
Thao tác (trích): 1. Với từng dòng của Expected Result: đặt `A` (nguồn dummy, dữ liệu giả cho bản tổng hợp đã chốt), chọn xử lý…
Xem chi tiết</t>
        </is>
      </c>
      <c r="D180" s="18" t="inlineStr">
        <is>
          <t>Kỳ vọng: Chờ xác nhận
Các phép thử có fixture/source được quan sát dùng expected dưới đây. Giới hạn `p=9`, miền âm và quy tắc làm tròn âm là PROPOSED/TBD nếu đợt phát hành chưa chốt; thiếu seam thì…
Xem chi tiết</t>
        </is>
      </c>
      <c r="E180" s="19" t="inlineStr"/>
      <c r="F180" s="19" t="inlineStr">
        <is>
          <t>Chưa thực hiện</t>
        </is>
      </c>
      <c r="G180" s="19" t="inlineStr"/>
    </row>
    <row r="181" ht="112" customHeight="1">
      <c r="A181" s="18" t="inlineStr">
        <is>
          <t>TC-RS-CALC-020 / down</t>
        </is>
      </c>
      <c r="B181" s="18" t="inlineStr">
        <is>
          <t>Ngưỡng công thức — Thiết lập ngưỡng（基準設定）
Làm tròn ngưỡng, không làm tròn điểm học sinh</t>
        </is>
      </c>
      <c r="C181" s="18" t="inlineStr">
        <is>
          <t>Chuẩn bị: Đang chuẩn bị
Kỳ vọng: Đã xác nhận
Dữ liệu (trích): Cắt xuống
Thao tác (trích): (a) Xuống p1.…
Xem chi tiết</t>
        </is>
      </c>
      <c r="D181" s="18" t="inlineStr">
        <is>
          <t>Kỳ vọng: Đã xác nhận
(a) `T=29`; `29.5&lt;29` sai → Không đỏ. (Nếu làm tròn S thành 29 và giữ `T=29.7` → Đỏ — sai.)…
Xem chi tiết</t>
        </is>
      </c>
      <c r="E181" s="19" t="inlineStr"/>
      <c r="F181" s="19" t="inlineStr">
        <is>
          <t>Chưa thực hiện</t>
        </is>
      </c>
      <c r="G181" s="19" t="inlineStr"/>
    </row>
    <row r="182" ht="112" customHeight="1">
      <c r="A182" s="18" t="inlineStr">
        <is>
          <t>TC-RS-CALC-020 / nearest</t>
        </is>
      </c>
      <c r="B182" s="18" t="inlineStr">
        <is>
          <t>Ngưỡng công thức — Thiết lập ngưỡng（基準設定）
Làm tròn ngưỡng, không làm tròn điểm học sinh</t>
        </is>
      </c>
      <c r="C182" s="18" t="inlineStr">
        <is>
          <t>Chuẩn bị: Đang chuẩn bị
Kỳ vọng: Đã xác nhận
Dữ liệu (trích): Làm tròn gần nhất
Thao tác (trích): (a) Xuống p1.…
Xem chi tiết</t>
        </is>
      </c>
      <c r="D182" s="18" t="inlineStr">
        <is>
          <t>Kỳ vọng: Đã xác nhận
(a) `T=29`; `29.5&lt;29` sai → Không đỏ. (Nếu làm tròn S thành 29 và giữ `T=29.7` → Đỏ — sai.)…
Xem chi tiết</t>
        </is>
      </c>
      <c r="E182" s="19" t="inlineStr"/>
      <c r="F182" s="19" t="inlineStr">
        <is>
          <t>Chưa thực hiện</t>
        </is>
      </c>
      <c r="G182" s="19" t="inlineStr"/>
    </row>
    <row r="183" ht="214" customHeight="1">
      <c r="A183" s="18" t="inlineStr">
        <is>
          <t>TC-RS-CALC-021 / a0</t>
        </is>
      </c>
      <c r="B183" s="18" t="inlineStr">
        <is>
          <t>Ngưỡng công thức — Thiết lập ngưỡng（基準設定）
Chia 0 phát sinh khi chạy → Chưa xét được</t>
        </is>
      </c>
      <c r="C183" s="18" t="inlineStr">
        <is>
          <t>Chuẩn bị: Đang chuẩn bị
Kỳ vọng: Đã xác nhận
Dữ liệu (trích): A0
Thao tác (trích): Chạy nút cam cho từng nguồn.
Xem chi tiết</t>
        </is>
      </c>
      <c r="D183" s="18" t="inlineStr">
        <is>
          <t>(a) Chưa xét được; không dùng ưu tiên thấp hơn.
(b) `T=25` → 24 Đỏ.
(c) `T=33.333…` → 33.33 Đỏ; 33.34 Không đỏ.
Bảo toàn: Giữ điểm, cấu hình và đối tượng không đích theo expected; chỉ thay phần thủ tục yêu cầu, không tự đổi oracle hoặc mở rộng phạm vi.</t>
        </is>
      </c>
      <c r="E183" s="19" t="inlineStr"/>
      <c r="F183" s="19" t="inlineStr">
        <is>
          <t>Chưa thực hiện</t>
        </is>
      </c>
      <c r="G183" s="19" t="inlineStr"/>
    </row>
    <row r="184" ht="214" customHeight="1">
      <c r="A184" s="18" t="inlineStr">
        <is>
          <t>TC-RS-CALC-021 / a4</t>
        </is>
      </c>
      <c r="B184" s="18" t="inlineStr">
        <is>
          <t>Ngưỡng công thức — Thiết lập ngưỡng（基準設定）
Chia 0 phát sinh khi chạy → Chưa xét được</t>
        </is>
      </c>
      <c r="C184" s="18" t="inlineStr">
        <is>
          <t>Chuẩn bị: Đang chuẩn bị
Kỳ vọng: Đã xác nhận
Dữ liệu (trích): A4
Thao tác (trích): Chạy nút cam cho từng nguồn.
Xem chi tiết</t>
        </is>
      </c>
      <c r="D184" s="18" t="inlineStr">
        <is>
          <t>(a) Chưa xét được; không dùng ưu tiên thấp hơn.
(b) `T=25` → 24 Đỏ.
(c) `T=33.333…` → 33.33 Đỏ; 33.34 Không đỏ.
Bảo toàn: Giữ điểm, cấu hình và đối tượng không đích theo expected; chỉ thay phần thủ tục yêu cầu, không tự đổi oracle hoặc mở rộng phạm vi.</t>
        </is>
      </c>
      <c r="E184" s="19" t="inlineStr"/>
      <c r="F184" s="19" t="inlineStr">
        <is>
          <t>Chưa thực hiện</t>
        </is>
      </c>
      <c r="G184" s="19" t="inlineStr"/>
    </row>
    <row r="185" ht="214" customHeight="1">
      <c r="A185" s="18" t="inlineStr">
        <is>
          <t>TC-RS-CALC-021 / a3</t>
        </is>
      </c>
      <c r="B185" s="18" t="inlineStr">
        <is>
          <t>Ngưỡng công thức — Thiết lập ngưỡng（基準設定）
Chia 0 phát sinh khi chạy → Chưa xét được</t>
        </is>
      </c>
      <c r="C185" s="18" t="inlineStr">
        <is>
          <t>Chuẩn bị: Đang chuẩn bị
Kỳ vọng: Đã xác nhận
Dữ liệu (trích): A3
Thao tác (trích): Chạy nút cam cho từng nguồn.
Xem chi tiết</t>
        </is>
      </c>
      <c r="D185" s="18" t="inlineStr">
        <is>
          <t>(a) Chưa xét được; không dùng ưu tiên thấp hơn.
(b) `T=25` → 24 Đỏ.
(c) `T=33.333…` → 33.33 Đỏ; 33.34 Không đỏ.
Bảo toàn: Giữ điểm, cấu hình và đối tượng không đích theo expected; chỉ thay phần thủ tục yêu cầu, không tự đổi oracle hoặc mở rộng phạm vi.</t>
        </is>
      </c>
      <c r="E185" s="19" t="inlineStr"/>
      <c r="F185" s="19" t="inlineStr">
        <is>
          <t>Chưa thực hiện</t>
        </is>
      </c>
      <c r="G185" s="19" t="inlineStr"/>
    </row>
    <row r="186" ht="180" customHeight="1">
      <c r="A186" s="18" t="inlineStr">
        <is>
          <t>TC-RS-CALC-028 / multiply-lt</t>
        </is>
      </c>
      <c r="B186" s="18" t="inlineStr">
        <is>
          <t>Ngưỡng công thức — Thiết lập ngưỡng（基準設定）
Không sai kết quả do sai số dấu phẩy động</t>
        </is>
      </c>
      <c r="C186" s="18" t="inlineStr">
        <is>
          <t>Chuẩn bị: Đang chuẩn bị
Kỳ vọng: Đã xác nhận
Dữ liệu (trích): A1.1 nhân 3 nhỏ hơn
Thao tác (trích): Xét với `&lt;` và `≤`.
Xem chi tiết</t>
        </is>
      </c>
      <c r="D186" s="18" t="inlineStr">
        <is>
          <t>(a) `T=3.3`: `&lt;` Không đỏ; `≤` Đỏ.
(b) `T=0.3`: `&lt;` Không đỏ; `≤` Đỏ.
Bảo toàn: Giữ điểm, cấu hình và đối tượng không đích theo expected; chỉ thay phần thủ tục yêu cầu, không tự đổi oracle hoặc mở rộng phạm vi.</t>
        </is>
      </c>
      <c r="E186" s="19" t="inlineStr"/>
      <c r="F186" s="19" t="inlineStr">
        <is>
          <t>Chưa thực hiện</t>
        </is>
      </c>
      <c r="G186" s="19" t="inlineStr"/>
    </row>
    <row r="187" ht="180" customHeight="1">
      <c r="A187" s="18" t="inlineStr">
        <is>
          <t>TC-RS-CALC-028 / multiply-le</t>
        </is>
      </c>
      <c r="B187" s="18" t="inlineStr">
        <is>
          <t>Ngưỡng công thức — Thiết lập ngưỡng（基準設定）
Không sai kết quả do sai số dấu phẩy động</t>
        </is>
      </c>
      <c r="C187" s="18" t="inlineStr">
        <is>
          <t>Chuẩn bị: Đang chuẩn bị
Kỳ vọng: Đã xác nhận
Dữ liệu (trích): A1.1 nhân 3 nhỏ hơn hoặc bằng
Thao tác (trích): Xét với `&lt;` và `≤`.
Xem chi tiết</t>
        </is>
      </c>
      <c r="D187" s="18" t="inlineStr">
        <is>
          <t>(a) `T=3.3`: `&lt;` Không đỏ; `≤` Đỏ.
(b) `T=0.3`: `&lt;` Không đỏ; `≤` Đỏ.
Bảo toàn: Giữ điểm, cấu hình và đối tượng không đích theo expected; chỉ thay phần thủ tục yêu cầu, không tự đổi oracle hoặc mở rộng phạm vi.</t>
        </is>
      </c>
      <c r="E187" s="19" t="inlineStr"/>
      <c r="F187" s="19" t="inlineStr">
        <is>
          <t>Chưa thực hiện</t>
        </is>
      </c>
      <c r="G187" s="19" t="inlineStr"/>
    </row>
    <row r="188" ht="180" customHeight="1">
      <c r="A188" s="18" t="inlineStr">
        <is>
          <t>TC-RS-CALC-028 / add-lt</t>
        </is>
      </c>
      <c r="B188" s="18" t="inlineStr">
        <is>
          <t>Ngưỡng công thức — Thiết lập ngưỡng（基準設定）
Không sai kết quả do sai số dấu phẩy động</t>
        </is>
      </c>
      <c r="C188" s="18" t="inlineStr">
        <is>
          <t>Chuẩn bị: Đang chuẩn bị
Kỳ vọng: Đã xác nhận
Dữ liệu (trích): A0.1 cộng 0.2 nhỏ hơn
Thao tác (trích): Xét với `&lt;` và `≤`.
Xem chi tiết</t>
        </is>
      </c>
      <c r="D188" s="18" t="inlineStr">
        <is>
          <t>(a) `T=3.3`: `&lt;` Không đỏ; `≤` Đỏ.
(b) `T=0.3`: `&lt;` Không đỏ; `≤` Đỏ.
Bảo toàn: Giữ điểm, cấu hình và đối tượng không đích theo expected; chỉ thay phần thủ tục yêu cầu, không tự đổi oracle hoặc mở rộng phạm vi.</t>
        </is>
      </c>
      <c r="E188" s="19" t="inlineStr"/>
      <c r="F188" s="19" t="inlineStr">
        <is>
          <t>Chưa thực hiện</t>
        </is>
      </c>
      <c r="G188" s="19" t="inlineStr"/>
    </row>
    <row r="189" ht="180" customHeight="1">
      <c r="A189" s="18" t="inlineStr">
        <is>
          <t>TC-RS-CALC-028 / add-le</t>
        </is>
      </c>
      <c r="B189" s="18" t="inlineStr">
        <is>
          <t>Ngưỡng công thức — Thiết lập ngưỡng（基準設定）
Không sai kết quả do sai số dấu phẩy động</t>
        </is>
      </c>
      <c r="C189" s="18" t="inlineStr">
        <is>
          <t>Chuẩn bị: Đang chuẩn bị
Kỳ vọng: Đã xác nhận
Dữ liệu (trích): A0.1 cộng 0.2 nhỏ hơn hoặc bằng
Thao tác (trích): Xét với `&lt;` và `≤`.
Xem chi tiết</t>
        </is>
      </c>
      <c r="D189" s="18" t="inlineStr">
        <is>
          <t>(a) `T=3.3`: `&lt;` Không đỏ; `≤` Đỏ.
(b) `T=0.3`: `&lt;` Không đỏ; `≤` Đỏ.
Bảo toàn: Giữ điểm, cấu hình và đối tượng không đích theo expected; chỉ thay phần thủ tục yêu cầu, không tự đổi oracle hoặc mở rộng phạm vi.</t>
        </is>
      </c>
      <c r="E189" s="19" t="inlineStr"/>
      <c r="F189" s="19" t="inlineStr">
        <is>
          <t>Chưa thực hiện</t>
        </is>
      </c>
      <c r="G189" s="19" t="inlineStr"/>
    </row>
    <row r="190" ht="112" customHeight="1">
      <c r="A190" s="18" t="inlineStr">
        <is>
          <t>TC-RS-CALC-029 / constant</t>
        </is>
      </c>
      <c r="B190" s="18" t="inlineStr">
        <is>
          <t>Ngưỡng công thức — Thiết lập ngưỡng（基準設定）
Tràn số không tạo kết luận đỏ/không đỏ</t>
        </is>
      </c>
      <c r="C190" s="18" t="inlineStr">
        <is>
          <t>Chuẩn bị: Đang chuẩn bị
Kỳ vọng: Đã xác nhận
Dữ liệu (trích): Hằng số cực lớn
Thao tác (trích): 1. Nhập (a), Lưu.…
Xem chi tiết</t>
        </is>
      </c>
      <c r="D190" s="18" t="inlineStr">
        <is>
          <t>Kỳ vọng: Đã xác nhận
1. (a) vượt giới hạn nhập đề xuất (9 chữ số nguyên, 8 chữ số lẻ) → bị từ chối khi lưu, không tự cắt số.…
Xem chi tiết</t>
        </is>
      </c>
      <c r="E190" s="19" t="inlineStr"/>
      <c r="F190" s="19" t="inlineStr">
        <is>
          <t>Chưa thực hiện</t>
        </is>
      </c>
      <c r="G190" s="19" t="inlineStr"/>
    </row>
    <row r="191" ht="112" customHeight="1">
      <c r="A191" s="18" t="inlineStr">
        <is>
          <t>TC-RS-CALC-029 / divisor</t>
        </is>
      </c>
      <c r="B191" s="18" t="inlineStr">
        <is>
          <t>Ngưỡng công thức — Thiết lập ngưỡng（基準設定）
Tràn số không tạo kết luận đỏ/không đỏ</t>
        </is>
      </c>
      <c r="C191" s="18" t="inlineStr">
        <is>
          <t>Chuẩn bị: Đang chuẩn bị
Kỳ vọng: Đã xác nhận
Dữ liệu (trích): Số chia cực nhỏ
Thao tác (trích): 1. Nhập (a), Lưu.…
Xem chi tiết</t>
        </is>
      </c>
      <c r="D191" s="18" t="inlineStr">
        <is>
          <t>Kỳ vọng: Đã xác nhận
1. (a) vượt giới hạn nhập đề xuất (9 chữ số nguyên, 8 chữ số lẻ) → bị từ chối khi lưu, không tự cắt số.…
Xem chi tiết</t>
        </is>
      </c>
      <c r="E191" s="19" t="inlineStr"/>
      <c r="F191" s="19" t="inlineStr">
        <is>
          <t>Chưa thực hiện</t>
        </is>
      </c>
      <c r="G191" s="19" t="inlineStr"/>
    </row>
    <row r="192" ht="129" customHeight="1">
      <c r="A192" s="18" t="inlineStr">
        <is>
          <t>TC-RS-CALC-029 / overflow</t>
        </is>
      </c>
      <c r="B192" s="18" t="inlineStr">
        <is>
          <t>Ngưỡng công thức — Thiết lập ngưỡng（基準設定）
Tràn số không tạo kết luận đỏ/không đỏ</t>
        </is>
      </c>
      <c r="C192" s="18" t="inlineStr">
        <is>
          <t>Chuẩn bị: Đang chuẩn bị
Kỳ vọng: Đã xác nhận
Dữ liệu (trích): Tràn trong lúc tính
Thao tác (trích): 1. Nhập (a), Lưu.…
Xem chi tiết</t>
        </is>
      </c>
      <c r="D192" s="18" t="inlineStr">
        <is>
          <t>Kỳ vọng: Đã xác nhận
1. (a) vượt giới hạn nhập đề xuất (9 chữ số nguyên, 8 chữ số lẻ) → bị từ chối khi lưu, không tự cắt số.…
Xem chi tiết</t>
        </is>
      </c>
      <c r="E192" s="19" t="inlineStr"/>
      <c r="F192" s="19" t="inlineStr">
        <is>
          <t>Chưa thực hiện</t>
        </is>
      </c>
      <c r="G192" s="19" t="inlineStr"/>
    </row>
    <row r="193" ht="146" customHeight="1">
      <c r="A193" s="18" t="inlineStr">
        <is>
          <t>TC-RS-CALC-030 / lt</t>
        </is>
      </c>
      <c r="B193" s="18" t="inlineStr">
        <is>
          <t>Ngưỡng công thức — Thiết lập ngưỡng（基準設定）
Công thức cho T=0; ô trống vẫn là Không có điểm</t>
        </is>
      </c>
      <c r="C193" s="18" t="inlineStr">
        <is>
          <t>Chuẩn bị: Đang chuẩn bị
Kỳ vọng: Đã xác nhận
Dữ liệu (trích): Dấu nhỏ hơn
Thao tác (trích): Xét với `&lt;` rồi `≤`.
Xem chi tiết</t>
        </is>
      </c>
      <c r="D193" s="18" t="inlineStr">
        <is>
          <t>`T=0`. `&lt;`: S04 Không đỏ. `≤`: S04 Đỏ. S05: Không có điểm ở cả hai (không bị coi là 0).
Bảo toàn: Giữ điểm, cấu hình và đối tượng không đích theo expected; chỉ thay phần thủ tục yêu cầu, không tự đổi oracle hoặc mở rộng phạm vi.</t>
        </is>
      </c>
      <c r="E193" s="19" t="inlineStr"/>
      <c r="F193" s="19" t="inlineStr">
        <is>
          <t>Chưa thực hiện</t>
        </is>
      </c>
      <c r="G193" s="19" t="inlineStr"/>
    </row>
    <row r="194" ht="146" customHeight="1">
      <c r="A194" s="18" t="inlineStr">
        <is>
          <t>TC-RS-CALC-030 / le</t>
        </is>
      </c>
      <c r="B194" s="18" t="inlineStr">
        <is>
          <t>Ngưỡng công thức — Thiết lập ngưỡng（基準設定）
Công thức cho T=0; ô trống vẫn là Không có điểm</t>
        </is>
      </c>
      <c r="C194" s="18" t="inlineStr">
        <is>
          <t>Chuẩn bị: Đang chuẩn bị
Kỳ vọng: Đã xác nhận
Dữ liệu (trích): Dấu nhỏ hơn hoặc bằng
Thao tác (trích): Xét với `&lt;` rồi `≤`.
Xem chi tiết</t>
        </is>
      </c>
      <c r="D194" s="18" t="inlineStr">
        <is>
          <t>`T=0`. `&lt;`: S04 Không đỏ. `≤`: S04 Đỏ. S05: Không có điểm ở cả hai (không bị coi là 0).
Bảo toàn: Giữ điểm, cấu hình và đối tượng không đích theo expected; chỉ thay phần thủ tục yêu cầu, không tự đổi oracle hoặc mở rộng phạm vi.</t>
        </is>
      </c>
      <c r="E194" s="19" t="inlineStr"/>
      <c r="F194" s="19" t="inlineStr">
        <is>
          <t>Chưa thực hiện</t>
        </is>
      </c>
      <c r="G194" s="19" t="inlineStr"/>
    </row>
    <row r="195" ht="146" customHeight="1">
      <c r="A195" s="18" t="inlineStr">
        <is>
          <t>TC-RS-UI-015 / Base</t>
        </is>
      </c>
      <c r="B195" s="18" t="inlineStr">
        <is>
          <t>Ngưỡng công thức — Thiết lập ngưỡng（基準設定）
Màn Công thức: thứ tự khối nguồn trung bình và dòng công thức</t>
        </is>
      </c>
      <c r="C195" s="18" t="inlineStr">
        <is>
          <t>Chuẩn bị: Đang chuẩn bị
Kỳ vọng: Đề xuất
Dữ liệu (trích): Toàn bộ thủ tục theo đúng thứ tự; các đối chứng cùng fixture…
Thao tác (trích): Ghi lại thứ tự các khối từ trên xuống.
Xem chi tiết</t>
        </is>
      </c>
      <c r="D195" s="18" t="inlineStr">
        <is>
          <t>Kỳ vọng: Đề xuất
Khối nguồn chỉ hiện với Công thức, không hiện với cố định/tỷ lệ (đặc tả v2 mục 5.6 “Khi nào không cần nguồn?”).…
Xem chi tiết</t>
        </is>
      </c>
      <c r="E195" s="19" t="inlineStr"/>
      <c r="F195" s="19" t="inlineStr">
        <is>
          <t>Chưa thực hiện</t>
        </is>
      </c>
      <c r="G195" s="19" t="inlineStr"/>
    </row>
    <row r="196" ht="180" customHeight="1">
      <c r="A196" s="18" t="inlineStr">
        <is>
          <t>TC-RS-UI-016 / Base</t>
        </is>
      </c>
      <c r="B196" s="18" t="inlineStr">
        <is>
          <t>Ngưỡng công thức — Thiết lập ngưỡng（基準設定）
Bảng dòng công thức</t>
        </is>
      </c>
      <c r="C196" s="18" t="inlineStr">
        <is>
          <t>Chuẩn bị: Đang chuẩn bị
Kỳ vọng: Đề xuất
Dữ liệu (trích): Toàn bộ thủ tục theo đúng thứ tự; các đối chứng cùng fixture…
Thao tác (trích): 1. Nhập quy tắc công thức hai dòng (trung bình ÷ 2 × 0.8).…
Xem chi tiết</t>
        </is>
      </c>
      <c r="D196" s="18" t="inlineStr">
        <is>
          <t>Có đủ cột; chọn Kết quả phép tính（式の結果） thì hiện ô chọn dòng; mỗi dòng có Xử lý phần lẻ riêng; thêm/xóa dòng được; có câu dòng cuối là ngưỡng.
Bảo toàn: Giữ điểm, cấu hình và đối tượng không đích theo expected; chỉ thay phần thủ tục yêu cầu, không tự đổi oracle hoặc mở rộng phạm vi.</t>
        </is>
      </c>
      <c r="E196" s="19" t="inlineStr"/>
      <c r="F196" s="19" t="inlineStr">
        <is>
          <t>Chưa thực hiện</t>
        </is>
      </c>
      <c r="G196" s="19" t="inlineStr"/>
    </row>
    <row r="197" ht="163" customHeight="1">
      <c r="A197" s="18" t="inlineStr">
        <is>
          <t>TC-RS-UI-017 / maximum</t>
        </is>
      </c>
      <c r="B197" s="18" t="inlineStr">
        <is>
          <t>Ngưỡng công thức — Thiết lập ngưỡng（基準設定）
Thông báo lỗi vượt điểm tối đa và chia 0</t>
        </is>
      </c>
      <c r="C197" s="18" t="inlineStr">
        <is>
          <t>Chuẩn bị: Đang chuẩn bị
Kỳ vọng: Đề xuất
Dữ liệu (trích): N120
Thao tác (trích): 1. Lưu N=120.…
Xem chi tiết</t>
        </is>
      </c>
      <c r="D197" s="18" t="inlineStr">
        <is>
          <t>Kỳ vọng: Đề xuất
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
Xem chi tiết</t>
        </is>
      </c>
      <c r="E197" s="19" t="inlineStr"/>
      <c r="F197" s="19" t="inlineStr">
        <is>
          <t>Chưa thực hiện</t>
        </is>
      </c>
      <c r="G197" s="19" t="inlineStr"/>
    </row>
    <row r="198" ht="163" customHeight="1">
      <c r="A198" s="18" t="inlineStr">
        <is>
          <t>TC-RS-UI-017 / divide-zero</t>
        </is>
      </c>
      <c r="B198" s="18" t="inlineStr">
        <is>
          <t>Ngưỡng công thức — Thiết lập ngưỡng（基準設定）
Thông báo lỗi vượt điểm tối đa và chia 0</t>
        </is>
      </c>
      <c r="C198" s="18" t="inlineStr">
        <is>
          <t>Chuẩn bị: Đang chuẩn bị
Kỳ vọng: Đề xuất
Dữ liệu (trích): Công thức chia 0
Thao tác (trích): 1. Lưu N=120.…
Xem chi tiết</t>
        </is>
      </c>
      <c r="D198" s="18" t="inlineStr">
        <is>
          <t>Kỳ vọng: Đề xuất
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
Xem chi tiết</t>
        </is>
      </c>
      <c r="E198" s="19" t="inlineStr"/>
      <c r="F198" s="19" t="inlineStr">
        <is>
          <t>Chưa thực hiện</t>
        </is>
      </c>
      <c r="G198" s="19" t="inlineStr"/>
    </row>
    <row r="199" ht="197" customHeight="1">
      <c r="A199" s="18" t="inlineStr">
        <is>
          <t>TC-RS-FUNC-015 / Base</t>
        </is>
      </c>
      <c r="B199" s="18" t="inlineStr">
        <is>
          <t>Nguồn tổng hợp
Quy trình vận hành dùng trung bình: tắt tự tổng hợp → nút xanh → nút cam
Xem chi tiết</t>
        </is>
      </c>
      <c r="C199" s="18" t="inlineStr">
        <is>
          <t>Chuẩn bị: Đang chuẩn bị
Kỳ vọng: Đã xác nhận
Dữ liệu (trích): Toàn bộ thủ tục theo đúng thứ tự; các đối chứng cùng fixture…
Thao tác (trích): 1. Thiết lập tổng hợp thứ hạng（順位集計設定）→ Thiết lập chi tiết（詳細設定）: đặt tự tổng hợp khi đăng ký điểm là Không…
Xem chi tiết</t>
        </is>
      </c>
      <c r="D199" s="18" t="inlineStr">
        <is>
          <t>Kỳ vọng: Đã xác nhận
1. Sau bước 2 (chỉ nút xanh), kết quả đỏ chưa thay đổi.…
Xem chi tiết</t>
        </is>
      </c>
      <c r="E199" s="19" t="inlineStr"/>
      <c r="F199" s="19" t="inlineStr">
        <is>
          <t>Chưa thực hiện</t>
        </is>
      </c>
      <c r="G199" s="19" t="inlineStr"/>
    </row>
    <row r="200" ht="146" customHeight="1">
      <c r="A200" s="18" t="inlineStr">
        <is>
          <t>TC-RS-FUNC-034 / Base</t>
        </is>
      </c>
      <c r="B200" s="18" t="inlineStr">
        <is>
          <t>Nguồn trung bình và tỷ lệ nhóm — Nguồn tổng hợp
Nguồn của điều kiện áp dụng và nguồn của công thức lưu độc lập</t>
        </is>
      </c>
      <c r="C200" s="18" t="inlineStr">
        <is>
          <t>Chuẩn bị: Đang chuẩn bị
Kỳ vọng: Đã xác nhận
Dữ liệu (trích): Toàn bộ thủ tục theo đúng thứ tự; các đối chứng cùng fixture…
Thao tác (trích): 1. Lưu quy tắc, mở lại.…
Xem chi tiết</t>
        </is>
      </c>
      <c r="D200" s="18" t="inlineStr">
        <is>
          <t>Kỳ vọng: Đã xác nhận
1. Mỗi phần hiện đúng nguồn của mình (điều kiện: P; công thức: Q).…
Xem chi tiết</t>
        </is>
      </c>
      <c r="E200" s="19" t="inlineStr"/>
      <c r="F200" s="19" t="inlineStr">
        <is>
          <t>Chưa thực hiện</t>
        </is>
      </c>
      <c r="G200" s="19" t="inlineStr"/>
    </row>
    <row r="201" ht="180" customHeight="1">
      <c r="A201" s="18" t="inlineStr">
        <is>
          <t>TC-RS-FUNC-036 / switch-sequence</t>
        </is>
      </c>
      <c r="B201" s="18" t="inlineStr">
        <is>
          <t>Nguồn trung bình và tỷ lệ nhóm — Nguồn tổng hợp
Danh sách nhóm tham chiếu theo thiết lập tổng hợp hiện hữu</t>
        </is>
      </c>
      <c r="C201" s="18" t="inlineStr">
        <is>
          <t>Chuẩn bị: Đang chuẩn bị
Kỳ vọng: Đã xác nhận
Dữ liệu (trích): Bước 1–3 cùng X theo thứ tự
Thao tác (trích): 1. Ở nguồn của điều kiện: chọn Thời kỳ tổng hợp（集計対象時期）, chọn Thiết lập tổng hợp thứ hạng（順位集計設定） X, rồi mở…
Xem chi tiết</t>
        </is>
      </c>
      <c r="D201" s="18" t="inlineStr">
        <is>
          <t>Kỳ vọng: Đã xác nhận
1. Trong ba loại cơ bản chỉ có Khối（学年） và Lớp chủ nhiệm（ホームルーム）; không có Lớp học（授業）. Có nhóm tổng hợp thứ hạng “Toán I khối 1+2”, nhóm tổ hợp “Tổ hợp Toán”, nhóm môn học “Nhóm…
Xem chi tiết</t>
        </is>
      </c>
      <c r="E201" s="19" t="inlineStr"/>
      <c r="F201" s="19" t="inlineStr">
        <is>
          <t>Chưa thực hiện</t>
        </is>
      </c>
      <c r="G201" s="19" t="inlineStr"/>
    </row>
    <row r="202" ht="180" customHeight="1">
      <c r="A202" s="18" t="inlineStr">
        <is>
          <t>TC-RS-FUNC-036 / grade-only</t>
        </is>
      </c>
      <c r="B202" s="18" t="inlineStr">
        <is>
          <t>Nguồn trung bình và tỷ lệ nhóm — Nguồn tổng hợp
Danh sách nhóm tham chiếu theo thiết lập tổng hợp hiện hữu</t>
        </is>
      </c>
      <c r="C202" s="18" t="inlineStr">
        <is>
          <t>Chuẩn bị: Đang chuẩn bị
Kỳ vọng: Đã xác nhận
Dữ liệu (trích): Bước 4 với fixture chỉ khối
Thao tác (trích): 1. Ở nguồn của điều kiện: chọn Thời kỳ tổng hợp（集計対象時期）, chọn Thiết lập tổng hợp thứ hạng（順位集計設定） X, rồi mở…
Xem chi tiết</t>
        </is>
      </c>
      <c r="D202" s="18" t="inlineStr">
        <is>
          <t>Kỳ vọng: Đã xác nhận
1. Trong ba loại cơ bản chỉ có Khối（学年） và Lớp chủ nhiệm（ホームルーム）; không có Lớp học（授業）. Có nhóm tổng hợp thứ hạng “Toán I khối 1+2”, nhóm tổ hợp “Tổ hợp Toán”, nhóm môn học “Nhóm…
Xem chi tiết</t>
        </is>
      </c>
      <c r="E202" s="19" t="inlineStr"/>
      <c r="F202" s="19" t="inlineStr">
        <is>
          <t>Chưa thực hiện</t>
        </is>
      </c>
      <c r="G202" s="19" t="inlineStr"/>
    </row>
    <row r="203" ht="180" customHeight="1">
      <c r="A203" s="18" t="inlineStr">
        <is>
          <t>TC-RS-FUNC-036 / formula-source</t>
        </is>
      </c>
      <c r="B203" s="18" t="inlineStr">
        <is>
          <t>Nguồn trung bình và tỷ lệ nhóm — Nguồn tổng hợp
Danh sách nhóm tham chiếu theo thiết lập tổng hợp hiện hữu</t>
        </is>
      </c>
      <c r="C203" s="18" t="inlineStr">
        <is>
          <t>Chuẩn bị: Đang chuẩn bị
Kỳ vọng: Đã xác nhận
Dữ liệu (trích): Bước 5, chuẩn bị nguồn điều kiện trước
Thao tác (trích): 1. Ở nguồn của điều kiện: chọn Thời kỳ tổng hợp（集計対象時期）, chọn Thiết lập tổng hợp thứ hạng（順位集計設定） X, rồi mở…
Xem chi tiết</t>
        </is>
      </c>
      <c r="D203" s="18" t="inlineStr">
        <is>
          <t>Kỳ vọng: Đã xác nhận
1. Trong ba loại cơ bản chỉ có Khối（学年） và Lớp chủ nhiệm（ホームルーム）; không có Lớp học（授業）. Có nhóm tổng hợp thứ hạng “Toán I khối 1+2”, nhóm tổ hợp “Tổ hợp Toán”, nhóm môn học “Nhóm…
Xem chi tiết</t>
        </is>
      </c>
      <c r="E203" s="19" t="inlineStr"/>
      <c r="F203" s="19" t="inlineStr">
        <is>
          <t>Chưa thực hiện</t>
        </is>
      </c>
      <c r="G203" s="19" t="inlineStr"/>
    </row>
    <row r="204" ht="163" customHeight="1">
      <c r="A204" s="18" t="inlineStr">
        <is>
          <t>TC-RS-BR-006 / Base</t>
        </is>
      </c>
      <c r="B204" s="18" t="inlineStr">
        <is>
          <t>Nguồn tổng hợp
Nhóm tham chiếu tách khỏi đối tượng áp dụng và danh sách đang lọc ở đầu ra
Xem chi tiết</t>
        </is>
      </c>
      <c r="C204" s="18" t="inlineStr">
        <is>
          <t>Chuẩn bị: Đang chuẩn bị
Kỳ vọng: Đã xác nhận
Dữ liệu (trích): Toàn bộ thủ tục theo đúng thứ tự; các đối chứng cùng fixture…
Thao tác (trích): 1. Xem kết quả của học sinh G-A điểm 24 (Đỏ) và 26 (Không đỏ).…
Xem chi tiết</t>
        </is>
      </c>
      <c r="D204" s="18" t="inlineStr">
        <is>
          <t>Kết quả vẫn dùng `T=25` (từ `A=50` của cả nhóm). Lọc lớp ở đầu ra hoặc đối tượng chỉ G-A không làm trung bình thành 40 (`T=20`).
Bảo toàn: Giữ điểm, cấu hình và đối tượng không đích theo expected; chỉ thay phần thủ tục yêu cầu, không tự đổi oracle hoặc mở rộng phạm vi.</t>
        </is>
      </c>
      <c r="E204" s="19" t="inlineStr"/>
      <c r="F204" s="19" t="inlineStr">
        <is>
          <t>Chưa thực hiện</t>
        </is>
      </c>
      <c r="G204" s="19" t="inlineStr"/>
    </row>
    <row r="205" ht="180" customHeight="1">
      <c r="A205" s="18" t="inlineStr">
        <is>
          <t>TC-RS-BR-007 / Base</t>
        </is>
      </c>
      <c r="B205" s="18" t="inlineStr">
        <is>
          <t>Nguồn trung bình và tỷ lệ nhóm — Nguồn tổng hợp
Nguồn: bản đã chốt được ưu tiên hơn tổng hợp mới hơn</t>
        </is>
      </c>
      <c r="C205" s="18" t="inlineStr">
        <is>
          <t>Chuẩn bị: Đang chuẩn bị
Kỳ vọng: Đã xác nhận
Dữ liệu (trích): Toàn bộ thủ tục theo đúng thứ tự; các đối chứng cùng fixture…
Thao tác (trích): 1. Chạy nút cam.…
Xem chi tiết</t>
        </is>
      </c>
      <c r="D205" s="18" t="inlineStr">
        <is>
          <t>Dùng `A=49.99` → nhánh ưu tiên 2 (`A&lt;60`), `T=24.995` → điểm 24 Đỏ, điểm 26 Không đỏ. Không dùng `A=62` (sẽ vào nhánh `A≥60`, `T=30`, điểm 26 Đỏ).
Bảo toàn: Giữ điểm, cấu hình và đối tượng không đích theo expected; chỉ thay phần thủ tục yêu cầu, không tự đổi oracle hoặc mở rộng phạm vi.</t>
        </is>
      </c>
      <c r="E205" s="19" t="inlineStr"/>
      <c r="F205" s="19" t="inlineStr">
        <is>
          <t>Chưa thực hiện</t>
        </is>
      </c>
      <c r="G205" s="19" t="inlineStr"/>
    </row>
    <row r="206" ht="129" customHeight="1">
      <c r="A206" s="18" t="inlineStr">
        <is>
          <t>TC-RS-BR-008 / completed</t>
        </is>
      </c>
      <c r="B206" s="18" t="inlineStr">
        <is>
          <t>Nguồn tổng hợp
Nguồn: chưa có bản chốt → dùng tổng hợp hoàn tất mới nhất cùng phạm vi
Xem chi tiết</t>
        </is>
      </c>
      <c r="C206" s="18" t="inlineStr">
        <is>
          <t>Chuẩn bị: Đang chuẩn bị
Kỳ vọng: Đã xác nhận
Dữ liệu (trích): Bản mới nhất hoàn tất
Thao tác (trích): 1. Chạy nút cam.…
Xem chi tiết</t>
        </is>
      </c>
      <c r="D206" s="18" t="inlineStr">
        <is>
          <t>Kỳ vọng: Đã xác nhận
1–2. Dùng `A=62` (mới nhất, cùng kỳ) → nhánh `A≥60`, `T=30` → 26 và 29 Đỏ. Không dùng bản cũ hơn hoặc bản khác kỳ.…
Xem chi tiết</t>
        </is>
      </c>
      <c r="E206" s="19" t="inlineStr"/>
      <c r="F206" s="19" t="inlineStr">
        <is>
          <t>Chưa thực hiện</t>
        </is>
      </c>
      <c r="G206" s="19" t="inlineStr"/>
    </row>
    <row r="207" ht="129" customHeight="1">
      <c r="A207" s="18" t="inlineStr">
        <is>
          <t>TC-RS-BR-008 / running</t>
        </is>
      </c>
      <c r="B207" s="18" t="inlineStr">
        <is>
          <t>Nguồn tổng hợp
Nguồn: chưa có bản chốt → dùng tổng hợp hoàn tất mới nhất cùng phạm vi
Xem chi tiết</t>
        </is>
      </c>
      <c r="C207" s="18" t="inlineStr">
        <is>
          <t>Chuẩn bị: Đang chuẩn bị
Kỳ vọng: Đã xác nhận
Dữ liệu (trích): Bản mới đang chạy
Thao tác (trích): 1. Chạy nút cam.…
Xem chi tiết</t>
        </is>
      </c>
      <c r="D207" s="18" t="inlineStr">
        <is>
          <t>Kỳ vọng: Đã xác nhận
1–2. Dùng `A=62` (mới nhất, cùng kỳ) → nhánh `A≥60`, `T=30` → 26 và 29 Đỏ. Không dùng bản cũ hơn hoặc bản khác kỳ.…
Xem chi tiết</t>
        </is>
      </c>
      <c r="E207" s="19" t="inlineStr"/>
      <c r="F207" s="19" t="inlineStr">
        <is>
          <t>Chưa thực hiện</t>
        </is>
      </c>
      <c r="G207" s="19" t="inlineStr"/>
    </row>
    <row r="208" ht="129" customHeight="1">
      <c r="A208" s="18" t="inlineStr">
        <is>
          <t>TC-RS-BR-008 / failed</t>
        </is>
      </c>
      <c r="B208" s="18" t="inlineStr">
        <is>
          <t>Nguồn tổng hợp
Nguồn: chưa có bản chốt → dùng tổng hợp hoàn tất mới nhất cùng phạm vi
Xem chi tiết</t>
        </is>
      </c>
      <c r="C208" s="18" t="inlineStr">
        <is>
          <t>Chuẩn bị: Đang chuẩn bị
Kỳ vọng: Đã xác nhận
Dữ liệu (trích): Bản mới thất bại
Thao tác (trích): 1. Chạy nút cam.…
Xem chi tiết</t>
        </is>
      </c>
      <c r="D208" s="18" t="inlineStr">
        <is>
          <t>Kỳ vọng: Đã xác nhận
1–2. Dùng `A=62` (mới nhất, cùng kỳ) → nhánh `A≥60`, `T=30` → 26 và 29 Đỏ. Không dùng bản cũ hơn hoặc bản khác kỳ.…
Xem chi tiết</t>
        </is>
      </c>
      <c r="E208" s="19" t="inlineStr"/>
      <c r="F208" s="19" t="inlineStr">
        <is>
          <t>Chưa thực hiện</t>
        </is>
      </c>
      <c r="G208" s="19" t="inlineStr"/>
    </row>
    <row r="209" ht="180" customHeight="1">
      <c r="A209" s="18" t="inlineStr">
        <is>
          <t>TC-RS-BR-009 / Base</t>
        </is>
      </c>
      <c r="B209" s="18" t="inlineStr">
        <is>
          <t>Nguồn tổng hợp
Nguồn: bản đã chốt thiếu dữ liệu → Chưa xét được, không chuyển sang bản thường
Xem chi tiết</t>
        </is>
      </c>
      <c r="C209" s="18" t="inlineStr">
        <is>
          <t>Chuẩn bị: Đang chuẩn bị
Kỳ vọng: Đã xác nhận
Dữ liệu (trích): Toàn bộ thủ tục theo đúng thứ tự; các đối chứng cùng fixture…
Thao tác (trích): 1. Chạy nút cam.…
Xem chi tiết</t>
        </is>
      </c>
      <c r="D209" s="18" t="inlineStr">
        <is>
          <t>Chưa xét được; ngừng dùng dấu/lọc đỏ cũ; điểm giữ nguyên. Không dùng bản tổng hợp mới nhất chưa chốt (trung bình 62) hay bản khác kỳ.
Bảo toàn: Giữ điểm, cấu hình và đối tượng không đích theo expected; chỉ thay phần thủ tục yêu cầu, không tự đổi oracle hoặc mở rộng phạm vi.</t>
        </is>
      </c>
      <c r="E209" s="19" t="inlineStr"/>
      <c r="F209" s="19" t="inlineStr">
        <is>
          <t>Chưa thực hiện</t>
        </is>
      </c>
      <c r="G209" s="19" t="inlineStr"/>
    </row>
    <row r="210" ht="163" customHeight="1">
      <c r="A210" s="18" t="inlineStr">
        <is>
          <t>TC-RS-BR-010 / Base</t>
        </is>
      </c>
      <c r="B210" s="18" t="inlineStr">
        <is>
          <t>Nguồn tổng hợp
Chưa có kết quả tổng hợp → Chưa xét được, không thay bằng 0 hay nhóm khác
Xem chi tiết</t>
        </is>
      </c>
      <c r="C210" s="18" t="inlineStr">
        <is>
          <t>Chuẩn bị: Đang chuẩn bị
Kỳ vọng: Đã xác nhận
Dữ liệu (trích): Toàn bộ thủ tục theo đúng thứ tự; các đối chứng cùng fixture…
Thao tác (trích): 1. Chạy nút cam.…
Xem chi tiết</t>
        </is>
      </c>
      <c r="D210" s="18" t="inlineStr">
        <is>
          <t>Chưa xét được; `A` không bị coi là 0 (nếu coi 0 thì `T=0`, mọi điểm dương Không đỏ); không dùng nhóm khác; ngừng dấu đỏ cũ.
Bảo toàn: Giữ điểm, cấu hình và đối tượng không đích theo expected; chỉ thay phần thủ tục yêu cầu, không tự đổi oracle hoặc mở rộng phạm vi.</t>
        </is>
      </c>
      <c r="E210" s="19" t="inlineStr"/>
      <c r="F210" s="19" t="inlineStr">
        <is>
          <t>Chưa thực hiện</t>
        </is>
      </c>
      <c r="G210" s="19" t="inlineStr"/>
    </row>
    <row r="211" ht="180" customHeight="1">
      <c r="A211" s="18" t="inlineStr">
        <is>
          <t>TC-RS-BR-011 / fixed</t>
        </is>
      </c>
      <c r="B211" s="18" t="inlineStr">
        <is>
          <t>Nguồn trung bình và tỷ lệ nhóm — Nguồn tổng hợp
Nguồn chỉ cần khi quy tắc đọc trung bình/tỷ lệ nhóm</t>
        </is>
      </c>
      <c r="C211" s="18" t="inlineStr">
        <is>
          <t>Chuẩn bị: Đang chuẩn bị
Kỳ vọng: Đã xác nhận
Dữ liệu (trích): Ngưỡng cố định
Thao tác (trích): 1. Chỉ có quy tắc “Cố định 30” (dưới 30) (Toàn bộ, không điều kiện trung bình): đăng ký S01=29.…
Xem chi tiết</t>
        </is>
      </c>
      <c r="D211" s="18" t="inlineStr">
        <is>
          <t>1. Đỏ (không cần nguồn).
2. Đỏ (`M=100`, `T=30`; không cần nguồn).
3. Chưa xét được; không bỏ điều kiện để áp 30 cho mọi học sinh.
Bảo toàn: Giữ điểm, cấu hình và đối tượng không đích theo expected; chỉ thay phần thủ tục yêu cầu, không tự đổi oracle hoặc mở rộng phạm vi.</t>
        </is>
      </c>
      <c r="E211" s="19" t="inlineStr"/>
      <c r="F211" s="19" t="inlineStr">
        <is>
          <t>Chưa thực hiện</t>
        </is>
      </c>
      <c r="G211" s="19" t="inlineStr"/>
    </row>
    <row r="212" ht="180" customHeight="1">
      <c r="A212" s="18" t="inlineStr">
        <is>
          <t>TC-RS-BR-011 / ratio</t>
        </is>
      </c>
      <c r="B212" s="18" t="inlineStr">
        <is>
          <t>Nguồn trung bình và tỷ lệ nhóm — Nguồn tổng hợp
Nguồn chỉ cần khi quy tắc đọc trung bình/tỷ lệ nhóm</t>
        </is>
      </c>
      <c r="C212" s="18" t="inlineStr">
        <is>
          <t>Chuẩn bị: Đang chuẩn bị
Kỳ vọng: Đã xác nhận
Dữ liệu (trích): Ngưỡng tỷ lệ
Thao tác (trích): 1. Chỉ có quy tắc “Cố định 30” (dưới 30) (Toàn bộ, không điều kiện trung bình): đăng ký S01=29.…
Xem chi tiết</t>
        </is>
      </c>
      <c r="D212" s="18" t="inlineStr">
        <is>
          <t>1. Đỏ (không cần nguồn).
2. Đỏ (`M=100`, `T=30`; không cần nguồn).
3. Chưa xét được; không bỏ điều kiện để áp 30 cho mọi học sinh.
Bảo toàn: Giữ điểm, cấu hình và đối tượng không đích theo expected; chỉ thay phần thủ tục yêu cầu, không tự đổi oracle hoặc mở rộng phạm vi.</t>
        </is>
      </c>
      <c r="E212" s="19" t="inlineStr"/>
      <c r="F212" s="19" t="inlineStr">
        <is>
          <t>Chưa thực hiện</t>
        </is>
      </c>
      <c r="G212" s="19" t="inlineStr"/>
    </row>
    <row r="213" ht="180" customHeight="1">
      <c r="A213" s="18" t="inlineStr">
        <is>
          <t>TC-RS-BR-011 / average-condition</t>
        </is>
      </c>
      <c r="B213" s="18" t="inlineStr">
        <is>
          <t>Nguồn trung bình và tỷ lệ nhóm — Nguồn tổng hợp
Nguồn chỉ cần khi quy tắc đọc trung bình/tỷ lệ nhóm</t>
        </is>
      </c>
      <c r="C213" s="18" t="inlineStr">
        <is>
          <t>Chuẩn bị: Đang chuẩn bị
Kỳ vọng: Đã xác nhận
Dữ liệu (trích): Điều kiện trung bình
Thao tác (trích): 1. Chỉ có quy tắc “Cố định 30” (dưới 30) (Toàn bộ, không điều kiện trung bình): đăng ký S01=29.…
Xem chi tiết</t>
        </is>
      </c>
      <c r="D213" s="18" t="inlineStr">
        <is>
          <t>1. Đỏ (không cần nguồn).
2. Đỏ (`M=100`, `T=30`; không cần nguồn).
3. Chưa xét được; không bỏ điều kiện để áp 30 cho mọi học sinh.
Bảo toàn: Giữ điểm, cấu hình và đối tượng không đích theo expected; chỉ thay phần thủ tục yêu cầu, không tự đổi oracle hoặc mở rộng phạm vi.</t>
        </is>
      </c>
      <c r="E213" s="19" t="inlineStr"/>
      <c r="F213" s="19" t="inlineStr">
        <is>
          <t>Chưa thực hiện</t>
        </is>
      </c>
      <c r="G213" s="19" t="inlineStr"/>
    </row>
    <row r="214" ht="180" customHeight="1">
      <c r="A214" s="18" t="inlineStr">
        <is>
          <t>TC-RS-BR-028 / Base</t>
        </is>
      </c>
      <c r="B214" s="18" t="inlineStr">
        <is>
          <t>Nguồn trung bình và tỷ lệ nhóm — Nguồn tổng hợp
Nhóm tham chiếu có lớp khác M không gây lỗi dừng xử lý</t>
        </is>
      </c>
      <c r="C214" s="18" t="inlineStr">
        <is>
          <t>Chuẩn bị: Đang chuẩn bị
Kỳ vọng: Đã xác nhận
Dữ liệu (trích): Toàn bộ thủ tục theo đúng thứ tự; các đối chứng cùng fixture…
Thao tác (trích): 1. Lưu quy tắc theo tỷ lệ điểm của nhóm từ 65% với nguồn là nhóm trên; ghi source snapshot/reader và xác nhận…
Xem chi tiết</t>
        </is>
      </c>
      <c r="D214" s="18" t="inlineStr">
        <is>
          <t>Kỳ vọng: Đã xác nhận
1. Lưu được; không bị chặn vì nhóm có lớp khác M.…
Xem chi tiết</t>
        </is>
      </c>
      <c r="E214" s="19" t="inlineStr"/>
      <c r="F214" s="19" t="inlineStr">
        <is>
          <t>Chưa thực hiện</t>
        </is>
      </c>
      <c r="G214" s="19" t="inlineStr"/>
    </row>
    <row r="215" ht="163" customHeight="1">
      <c r="A215" s="18" t="inlineStr">
        <is>
          <t>TC-RS-BR-034 / Base</t>
        </is>
      </c>
      <c r="B215" s="18" t="inlineStr">
        <is>
          <t>Nguồn tổng hợp
Bật tự tổng hợp khi đăng ký: hệ thống không chặn; quy tắc độc lập với trung…
Xem chi tiết</t>
        </is>
      </c>
      <c r="C215" s="18" t="inlineStr">
        <is>
          <t>Chuẩn bị: Đang chuẩn bị
Kỳ vọng: Đã xác nhận
Dữ liệu (trích): Toàn bộ thủ tục theo đúng thứ tự; các đối chứng cùng fixture…
Thao tác (trích): 1. Lưu quy tắc công thức (không bị chặn vì tự tổng hợp đang bật).…
Xem chi tiết</t>
        </is>
      </c>
      <c r="D215" s="18" t="inlineStr">
        <is>
          <t>1. Lưu được; không có ràng buộc hệ thống buộc tắt.
2. S01 vẫn được xét khi đăng ký → Đỏ.
Bảo toàn: Giữ điểm, cấu hình và đối tượng không đích theo expected; chỉ thay phần thủ tục yêu cầu, không tự đổi oracle hoặc mở rộng phạm vi.</t>
        </is>
      </c>
      <c r="E215" s="19" t="inlineStr"/>
      <c r="F215" s="19" t="inlineStr">
        <is>
          <t>Chưa thực hiện</t>
        </is>
      </c>
      <c r="G215" s="19" t="inlineStr"/>
    </row>
    <row r="216" ht="214" customHeight="1">
      <c r="A216" s="18" t="inlineStr">
        <is>
          <t>TC-RS-BR-038 / Base</t>
        </is>
      </c>
      <c r="B216" s="18" t="inlineStr">
        <is>
          <t>Nguồn tổng hợp
Nhóm lớp học（授業）: dùng kết quả tổng hợp của đúng lớp chứa ô đang xét
Xem chi tiết</t>
        </is>
      </c>
      <c r="C216" s="18" t="inlineStr">
        <is>
          <t>Chuẩn bị: Đang chuẩn bị
Kỳ vọng: Đã xác nhận
Dữ liệu (trích): Toàn bộ thủ tục theo đúng thứ tự; các đối chứng cùng fixture…
Thao tác (trích): 1. Chạy nút cam cho G-A và G-D.…
Xem chi tiết</t>
        </is>
      </c>
      <c r="D216" s="18" t="inlineStr">
        <is>
          <t>- Ô ở G-A: `T=40×0.5=20` → 25 Không đỏ.
- Ô ở G-D: `T=70×0.5=35` → 25 Đỏ.
- Không ô nào dùng kết quả của lớp kia, của khối/lớp chủ nhiệm, hay trung bình chung của môn.
Bảo toàn: Giữ điểm, cấu hình và đối tượng không đích theo expected; chỉ thay phần thủ tục yêu cầu, không tự đổi oracle hoặc mở rộng phạm vi.</t>
        </is>
      </c>
      <c r="E216" s="19" t="inlineStr"/>
      <c r="F216" s="19" t="inlineStr">
        <is>
          <t>Chưa thực hiện</t>
        </is>
      </c>
      <c r="G216" s="19" t="inlineStr"/>
    </row>
    <row r="217" ht="112" customHeight="1">
      <c r="A217" s="18" t="inlineStr">
        <is>
          <t>TC-RS-BR-039 / private</t>
        </is>
      </c>
      <c r="B217" s="18" t="inlineStr">
        <is>
          <t>Nguồn tổng hợp
Nhóm môn học（科目グループ）: dùng cấu hình riêng của môn hoặc default đã lưu;…
Xem chi tiết</t>
        </is>
      </c>
      <c r="C217" s="18" t="inlineStr">
        <is>
          <t>Chuẩn bị: Đang chuẩn bị
Kỳ vọng: Đã xác nhận
Dữ liệu (trích): Nguồn riêng
Thao tác (trích): 1. Chạy nút cam; xem S01 và nhóm được dùng.…
Xem chi tiết</t>
        </is>
      </c>
      <c r="D217" s="18" t="inlineStr">
        <is>
          <t>Kỳ vọng: Đã xác nhận
1. Dùng kết quả của nhóm theo cấu hình riêng của Toán I.…
Xem chi tiết</t>
        </is>
      </c>
      <c r="E217" s="19" t="inlineStr"/>
      <c r="F217" s="19" t="inlineStr">
        <is>
          <t>Chưa thực hiện</t>
        </is>
      </c>
      <c r="G217" s="19" t="inlineStr"/>
    </row>
    <row r="218" ht="112" customHeight="1">
      <c r="A218" s="18" t="inlineStr">
        <is>
          <t>TC-RS-BR-039 / default</t>
        </is>
      </c>
      <c r="B218" s="18" t="inlineStr">
        <is>
          <t>Nguồn tổng hợp
Nhóm môn học（科目グループ）: dùng cấu hình riêng của môn hoặc default đã lưu;…
Xem chi tiết</t>
        </is>
      </c>
      <c r="C218" s="18" t="inlineStr">
        <is>
          <t>Chuẩn bị: Đang chuẩn bị
Kỳ vọng: Đã xác nhận
Dữ liệu (trích): Nguồn mặc định
Thao tác (trích): 1. Chạy nút cam; xem S01 và nhóm được dùng.…
Xem chi tiết</t>
        </is>
      </c>
      <c r="D218" s="18" t="inlineStr">
        <is>
          <t>Kỳ vọng: Đã xác nhận
1. Dùng kết quả của nhóm theo cấu hình riêng của Toán I.…
Xem chi tiết</t>
        </is>
      </c>
      <c r="E218" s="19" t="inlineStr"/>
      <c r="F218" s="19" t="inlineStr">
        <is>
          <t>Chưa thực hiện</t>
        </is>
      </c>
      <c r="G218" s="19" t="inlineStr"/>
    </row>
    <row r="219" ht="129" customHeight="1">
      <c r="A219" s="18" t="inlineStr">
        <is>
          <t>TC-RS-BR-039 / default-missing</t>
        </is>
      </c>
      <c r="B219" s="18" t="inlineStr">
        <is>
          <t>Nguồn tổng hợp
Nhóm môn học（科目グループ）: dùng cấu hình riêng của môn hoặc default đã lưu;…
Xem chi tiết</t>
        </is>
      </c>
      <c r="C219" s="18" t="inlineStr">
        <is>
          <t>Chuẩn bị: Đang chuẩn bị
Kỳ vọng: Đã xác nhận
Dữ liệu (trích): Nguồn mặc định thiếu
Thao tác (trích): 1. Chạy nút cam; xem S01 và nhóm được dùng.…
Xem chi tiết</t>
        </is>
      </c>
      <c r="D219" s="18" t="inlineStr">
        <is>
          <t>Kỳ vọng: Đã xác nhận
1. Dùng kết quả của nhóm theo cấu hình riêng của Toán I.…
Xem chi tiết</t>
        </is>
      </c>
      <c r="E219" s="19" t="inlineStr"/>
      <c r="F219" s="19" t="inlineStr">
        <is>
          <t>Chưa thực hiện</t>
        </is>
      </c>
      <c r="G219" s="19" t="inlineStr"/>
    </row>
    <row r="220" ht="129" customHeight="1">
      <c r="A220" s="18" t="inlineStr">
        <is>
          <t>TC-RS-BR-039 / default-invalid</t>
        </is>
      </c>
      <c r="B220" s="18" t="inlineStr">
        <is>
          <t>Nguồn tổng hợp
Nhóm môn học（科目グループ）: dùng cấu hình riêng của môn hoặc default đã lưu;…
Xem chi tiết</t>
        </is>
      </c>
      <c r="C220" s="18" t="inlineStr">
        <is>
          <t>Chuẩn bị: Đang chuẩn bị
Kỳ vọng: Đã xác nhận
Dữ liệu (trích): Nguồn mặc định không hợp lệ
Thao tác (trích): 1. Chạy nút cam; xem S01 và nhóm được dùng.…
Xem chi tiết</t>
        </is>
      </c>
      <c r="D220" s="18" t="inlineStr">
        <is>
          <t>Kỳ vọng: Đã xác nhận
1. Dùng kết quả của nhóm theo cấu hình riêng của Toán I.…
Xem chi tiết</t>
        </is>
      </c>
      <c r="E220" s="19" t="inlineStr"/>
      <c r="F220" s="19" t="inlineStr">
        <is>
          <t>Chưa thực hiện</t>
        </is>
      </c>
      <c r="G220" s="19" t="inlineStr"/>
    </row>
    <row r="221" ht="146" customHeight="1">
      <c r="A221" s="18" t="inlineStr">
        <is>
          <t>TC-RS-BR-040 / missing-source</t>
        </is>
      </c>
      <c r="B221" s="18" t="inlineStr">
        <is>
          <t>Nguồn tổng hợp
Loại nhóm được bật nhưng chưa có kết quả, hoặc tham chiếu đã lưu không còn hợp…
Xem chi tiết</t>
        </is>
      </c>
      <c r="C221" s="18" t="inlineStr">
        <is>
          <t>Chuẩn bị: Đang chuẩn bị
Kỳ vọng: Đã xác nhận
Dữ liệu (trích): Nguồn mới thiếu
Thao tác (trích): 1. (a) Tạo quy tắc mới dùng nhóm tổng hợp nhóm tổng hợp thứ hạng “Toán I khối 1+2” nhưng X chưa chạy tổng hợp…
Xem chi tiết</t>
        </is>
      </c>
      <c r="D221" s="18" t="inlineStr">
        <is>
          <t>Kỳ vọng: Đã xác nhận
1. S01 Chưa xét được (thiếu nguồn); lựa chọn nhóm tồn tại không có nghĩa đã có dữ liệu.…
Xem chi tiết</t>
        </is>
      </c>
      <c r="E221" s="19" t="inlineStr"/>
      <c r="F221" s="19" t="inlineStr">
        <is>
          <t>Chưa thực hiện</t>
        </is>
      </c>
      <c r="G221" s="19" t="inlineStr"/>
    </row>
    <row r="222" ht="146" customHeight="1">
      <c r="A222" s="18" t="inlineStr">
        <is>
          <t>TC-RS-BR-040 / disabled-group</t>
        </is>
      </c>
      <c r="B222" s="18" t="inlineStr">
        <is>
          <t>Nguồn tổng hợp
Loại nhóm được bật nhưng chưa có kết quả, hoặc tham chiếu đã lưu không còn hợp…
Xem chi tiết</t>
        </is>
      </c>
      <c r="C222" s="18" t="inlineStr">
        <is>
          <t>Chuẩn bị: Đang chuẩn bị
Kỳ vọng: Đã xác nhận
Dữ liệu (trích): Nhóm bị tắt
Thao tác (trích): 1. (a) Tạo quy tắc mới dùng nhóm tổng hợp nhóm tổng hợp thứ hạng “Toán I khối 1+2” nhưng X chưa chạy tổng hợp…
Xem chi tiết</t>
        </is>
      </c>
      <c r="D222" s="18" t="inlineStr">
        <is>
          <t>Kỳ vọng: Đã xác nhận
1. S01 Chưa xét được (thiếu nguồn); lựa chọn nhóm tồn tại không có nghĩa đã có dữ liệu.…
Xem chi tiết</t>
        </is>
      </c>
      <c r="E222" s="19" t="inlineStr"/>
      <c r="F222" s="19" t="inlineStr">
        <is>
          <t>Chưa thực hiện</t>
        </is>
      </c>
      <c r="G222" s="19" t="inlineStr"/>
    </row>
    <row r="223" ht="146" customHeight="1">
      <c r="A223" s="18" t="inlineStr">
        <is>
          <t>TC-RS-BR-040 / deleted-group</t>
        </is>
      </c>
      <c r="B223" s="18" t="inlineStr">
        <is>
          <t>Nguồn tổng hợp
Loại nhóm được bật nhưng chưa có kết quả, hoặc tham chiếu đã lưu không còn hợp…
Xem chi tiết</t>
        </is>
      </c>
      <c r="C223" s="18" t="inlineStr">
        <is>
          <t>Chuẩn bị: Đang chuẩn bị
Kỳ vọng: Đã xác nhận
Dữ liệu (trích): Nhóm bị xóa
Thao tác (trích): 1. (a) Tạo quy tắc mới dùng nhóm tổng hợp nhóm tổng hợp thứ hạng “Toán I khối 1+2” nhưng X chưa chạy tổng hợp…
Xem chi tiết</t>
        </is>
      </c>
      <c r="D223" s="18" t="inlineStr">
        <is>
          <t>Kỳ vọng: Đã xác nhận
1. S01 Chưa xét được (thiếu nguồn); lựa chọn nhóm tồn tại không có nghĩa đã có dữ liệu.…
Xem chi tiết</t>
        </is>
      </c>
      <c r="E223" s="19" t="inlineStr"/>
      <c r="F223" s="19" t="inlineStr">
        <is>
          <t>Chưa thực hiện</t>
        </is>
      </c>
      <c r="G223" s="19" t="inlineStr"/>
    </row>
    <row r="224" ht="180" customHeight="1">
      <c r="A224" s="18" t="inlineStr">
        <is>
          <t>TC-RS-VAL-024 / condition-period</t>
        </is>
      </c>
      <c r="B224" s="18" t="inlineStr">
        <is>
          <t>Nguồn trung bình và tỷ lệ nhóm — Nguồn tổng hợp
Quy tắc dùng trung bình/tỷ lệ nhóm không lưu được khi thiếu nguồn</t>
        </is>
      </c>
      <c r="C224" s="18" t="inlineStr">
        <is>
          <t>Chuẩn bị: Đang chuẩn bị
Kỳ vọng: Đã xác nhận
Dữ liệu (trích): Điều kiện trung bình thiếu kỳ
Thao tác (trích): Nhập từng biến thể, bấm Lưu; mở lại danh sách.
Xem chi tiết</t>
        </is>
      </c>
      <c r="D224" s="18" t="inlineStr">
        <is>
          <t>Cả ba biến thể không lưu được; có thông báo thiếu nguồn. Không lưu quy tắc với điều kiện bị bỏ đi hoặc nguồn trống; danh sách quy tắc không đổi.
Bảo toàn: Giữ điểm, cấu hình và đối tượng không đích theo expected; chỉ thay phần thủ tục yêu cầu, không tự đổi oracle hoặc mở rộng phạm vi.</t>
        </is>
      </c>
      <c r="E224" s="19" t="inlineStr"/>
      <c r="F224" s="19" t="inlineStr">
        <is>
          <t>Chưa thực hiện</t>
        </is>
      </c>
      <c r="G224" s="19" t="inlineStr"/>
    </row>
    <row r="225" ht="180" customHeight="1">
      <c r="A225" s="18" t="inlineStr">
        <is>
          <t>TC-RS-VAL-024 / condition-setting</t>
        </is>
      </c>
      <c r="B225" s="18" t="inlineStr">
        <is>
          <t>Nguồn trung bình và tỷ lệ nhóm — Nguồn tổng hợp
Quy tắc dùng trung bình/tỷ lệ nhóm không lưu được khi thiếu nguồn</t>
        </is>
      </c>
      <c r="C225" s="18" t="inlineStr">
        <is>
          <t>Chuẩn bị: Đang chuẩn bị
Kỳ vọng: Đã xác nhận
Dữ liệu (trích): Điều kiện trung bình thiếu thiết lập
Thao tác (trích): Nhập từng biến thể, bấm Lưu; mở lại danh sách.
Xem chi tiết</t>
        </is>
      </c>
      <c r="D225" s="18" t="inlineStr">
        <is>
          <t>Cả ba biến thể không lưu được; có thông báo thiếu nguồn. Không lưu quy tắc với điều kiện bị bỏ đi hoặc nguồn trống; danh sách quy tắc không đổi.
Bảo toàn: Giữ điểm, cấu hình và đối tượng không đích theo expected; chỉ thay phần thủ tục yêu cầu, không tự đổi oracle hoặc mở rộng phạm vi.</t>
        </is>
      </c>
      <c r="E225" s="19" t="inlineStr"/>
      <c r="F225" s="19" t="inlineStr">
        <is>
          <t>Chưa thực hiện</t>
        </is>
      </c>
      <c r="G225" s="19" t="inlineStr"/>
    </row>
    <row r="226" ht="180" customHeight="1">
      <c r="A226" s="18" t="inlineStr">
        <is>
          <t>TC-RS-VAL-024 / condition-group</t>
        </is>
      </c>
      <c r="B226" s="18" t="inlineStr">
        <is>
          <t>Nguồn trung bình và tỷ lệ nhóm — Nguồn tổng hợp
Quy tắc dùng trung bình/tỷ lệ nhóm không lưu được khi thiếu nguồn</t>
        </is>
      </c>
      <c r="C226" s="18" t="inlineStr">
        <is>
          <t>Chuẩn bị: Đang chuẩn bị
Kỳ vọng: Đã xác nhận
Dữ liệu (trích): Điều kiện trung bình thiếu nhóm
Thao tác (trích): Nhập từng biến thể, bấm Lưu; mở lại danh sách.
Xem chi tiết</t>
        </is>
      </c>
      <c r="D226" s="18" t="inlineStr">
        <is>
          <t>Cả ba biến thể không lưu được; có thông báo thiếu nguồn. Không lưu quy tắc với điều kiện bị bỏ đi hoặc nguồn trống; danh sách quy tắc không đổi.
Bảo toàn: Giữ điểm, cấu hình và đối tượng không đích theo expected; chỉ thay phần thủ tục yêu cầu, không tự đổi oracle hoặc mở rộng phạm vi.</t>
        </is>
      </c>
      <c r="E226" s="19" t="inlineStr"/>
      <c r="F226" s="19" t="inlineStr">
        <is>
          <t>Chưa thực hiện</t>
        </is>
      </c>
      <c r="G226" s="19" t="inlineStr"/>
    </row>
    <row r="227" ht="180" customHeight="1">
      <c r="A227" s="18" t="inlineStr">
        <is>
          <t>TC-RS-VAL-024 / condition-all</t>
        </is>
      </c>
      <c r="B227" s="18" t="inlineStr">
        <is>
          <t>Nguồn trung bình và tỷ lệ nhóm — Nguồn tổng hợp
Quy tắc dùng trung bình/tỷ lệ nhóm không lưu được khi thiếu nguồn</t>
        </is>
      </c>
      <c r="C227" s="18" t="inlineStr">
        <is>
          <t>Chuẩn bị: Đang chuẩn bị
Kỳ vọng: Đã xác nhận
Dữ liệu (trích): Điều kiện trung bình thiếu toàn bộ
Thao tác (trích): Nhập từng biến thể, bấm Lưu; mở lại danh sách.
Xem chi tiết</t>
        </is>
      </c>
      <c r="D227" s="18" t="inlineStr">
        <is>
          <t>Cả ba biến thể không lưu được; có thông báo thiếu nguồn. Không lưu quy tắc với điều kiện bị bỏ đi hoặc nguồn trống; danh sách quy tắc không đổi.
Bảo toàn: Giữ điểm, cấu hình và đối tượng không đích theo expected; chỉ thay phần thủ tục yêu cầu, không tự đổi oracle hoặc mở rộng phạm vi.</t>
        </is>
      </c>
      <c r="E227" s="19" t="inlineStr"/>
      <c r="F227" s="19" t="inlineStr">
        <is>
          <t>Chưa thực hiện</t>
        </is>
      </c>
      <c r="G227" s="19" t="inlineStr"/>
    </row>
    <row r="228" ht="180" customHeight="1">
      <c r="A228" s="18" t="inlineStr">
        <is>
          <t>TC-RS-VAL-024 / ratio-all</t>
        </is>
      </c>
      <c r="B228" s="18" t="inlineStr">
        <is>
          <t>Nguồn trung bình và tỷ lệ nhóm — Nguồn tổng hợp
Quy tắc dùng trung bình/tỷ lệ nhóm không lưu được khi thiếu nguồn</t>
        </is>
      </c>
      <c r="C228" s="18" t="inlineStr">
        <is>
          <t>Chuẩn bị: Đang chuẩn bị
Kỳ vọng: Đã xác nhận
Dữ liệu (trích): Điều kiện tỷ lệ thiếu nguồn
Thao tác (trích): Nhập từng biến thể, bấm Lưu; mở lại danh sách.
Xem chi tiết</t>
        </is>
      </c>
      <c r="D228" s="18" t="inlineStr">
        <is>
          <t>Cả ba biến thể không lưu được; có thông báo thiếu nguồn. Không lưu quy tắc với điều kiện bị bỏ đi hoặc nguồn trống; danh sách quy tắc không đổi.
Bảo toàn: Giữ điểm, cấu hình và đối tượng không đích theo expected; chỉ thay phần thủ tục yêu cầu, không tự đổi oracle hoặc mở rộng phạm vi.</t>
        </is>
      </c>
      <c r="E228" s="19" t="inlineStr"/>
      <c r="F228" s="19" t="inlineStr">
        <is>
          <t>Chưa thực hiện</t>
        </is>
      </c>
      <c r="G228" s="19" t="inlineStr"/>
    </row>
    <row r="229" ht="180" customHeight="1">
      <c r="A229" s="18" t="inlineStr">
        <is>
          <t>TC-RS-VAL-024 / formula-all</t>
        </is>
      </c>
      <c r="B229" s="18" t="inlineStr">
        <is>
          <t>Nguồn trung bình và tỷ lệ nhóm — Nguồn tổng hợp
Quy tắc dùng trung bình/tỷ lệ nhóm không lưu được khi thiếu nguồn</t>
        </is>
      </c>
      <c r="C229" s="18" t="inlineStr">
        <is>
          <t>Chuẩn bị: Đang chuẩn bị
Kỳ vọng: Đã xác nhận
Dữ liệu (trích): Công thức thiếu nguồn
Thao tác (trích): Nhập từng biến thể, bấm Lưu; mở lại danh sách.
Xem chi tiết</t>
        </is>
      </c>
      <c r="D229" s="18" t="inlineStr">
        <is>
          <t>Cả ba biến thể không lưu được; có thông báo thiếu nguồn. Không lưu quy tắc với điều kiện bị bỏ đi hoặc nguồn trống; danh sách quy tắc không đổi.
Bảo toàn: Giữ điểm, cấu hình và đối tượng không đích theo expected; chỉ thay phần thủ tục yêu cầu, không tự đổi oracle hoặc mở rộng phạm vi.</t>
        </is>
      </c>
      <c r="E229" s="19" t="inlineStr"/>
      <c r="F229" s="19" t="inlineStr">
        <is>
          <t>Chưa thực hiện</t>
        </is>
      </c>
      <c r="G229" s="19" t="inlineStr"/>
    </row>
    <row r="230" ht="163" customHeight="1">
      <c r="A230" s="18" t="inlineStr">
        <is>
          <t>TC-RS-VAL-025 / condition-disabled</t>
        </is>
      </c>
      <c r="B230" s="18" t="inlineStr">
        <is>
          <t>Nguồn tổng hợp
Server từ chối lưu nhóm tham chiếu không khả dụng hoặc ngoài trường/năm
Xem chi tiết</t>
        </is>
      </c>
      <c r="C230" s="18" t="inlineStr">
        <is>
          <t>Chuẩn bị: Đang chuẩn bị
Kỳ vọng: Đã xác nhận
Dữ liệu (trích): Điều kiện nhóm tắt
Thao tác (trích): Gửi request lưu quy tắc có nguồn (điều kiện hoặc công thức) với từng biến thể:…
Xem chi tiết</t>
        </is>
      </c>
      <c r="D230" s="18" t="inlineStr">
        <is>
          <t>Cả bốn biến thể bị từ chối; không lưu quy tắc; danh sách quy tắc không đổi; không trả về tên/dữ liệu của trường hay năm khác.
Bảo toàn: Giữ điểm, cấu hình và đối tượng không đích theo expected; chỉ thay phần thủ tục yêu cầu, không tự đổi oracle hoặc mở rộng phạm vi.</t>
        </is>
      </c>
      <c r="E230" s="19" t="inlineStr"/>
      <c r="F230" s="19" t="inlineStr">
        <is>
          <t>Chưa thực hiện</t>
        </is>
      </c>
      <c r="G230" s="19" t="inlineStr"/>
    </row>
    <row r="231" ht="163" customHeight="1">
      <c r="A231" s="18" t="inlineStr">
        <is>
          <t>TC-RS-VAL-025 / condition-school</t>
        </is>
      </c>
      <c r="B231" s="18" t="inlineStr">
        <is>
          <t>Nguồn tổng hợp
Server từ chối lưu nhóm tham chiếu không khả dụng hoặc ngoài trường/năm
Xem chi tiết</t>
        </is>
      </c>
      <c r="C231" s="18" t="inlineStr">
        <is>
          <t>Chuẩn bị: Đang chuẩn bị
Kỳ vọng: Đã xác nhận
Dữ liệu (trích): Điều kiện sai trường
Thao tác (trích): Gửi request lưu quy tắc có nguồn (điều kiện hoặc công thức) với từng biến thể:…
Xem chi tiết</t>
        </is>
      </c>
      <c r="D231" s="18" t="inlineStr">
        <is>
          <t>Cả bốn biến thể bị từ chối; không lưu quy tắc; danh sách quy tắc không đổi; không trả về tên/dữ liệu của trường hay năm khác.
Bảo toàn: Giữ điểm, cấu hình và đối tượng không đích theo expected; chỉ thay phần thủ tục yêu cầu, không tự đổi oracle hoặc mở rộng phạm vi.</t>
        </is>
      </c>
      <c r="E231" s="19" t="inlineStr"/>
      <c r="F231" s="19" t="inlineStr">
        <is>
          <t>Chưa thực hiện</t>
        </is>
      </c>
      <c r="G231" s="19" t="inlineStr"/>
    </row>
    <row r="232" ht="163" customHeight="1">
      <c r="A232" s="18" t="inlineStr">
        <is>
          <t>TC-RS-VAL-025 / condition-year</t>
        </is>
      </c>
      <c r="B232" s="18" t="inlineStr">
        <is>
          <t>Nguồn tổng hợp
Server từ chối lưu nhóm tham chiếu không khả dụng hoặc ngoài trường/năm
Xem chi tiết</t>
        </is>
      </c>
      <c r="C232" s="18" t="inlineStr">
        <is>
          <t>Chuẩn bị: Đang chuẩn bị
Kỳ vọng: Đã xác nhận
Dữ liệu (trích): Điều kiện sai năm
Thao tác (trích): Gửi request lưu quy tắc có nguồn (điều kiện hoặc công thức) với từng biến thể:…
Xem chi tiết</t>
        </is>
      </c>
      <c r="D232" s="18" t="inlineStr">
        <is>
          <t>Cả bốn biến thể bị từ chối; không lưu quy tắc; danh sách quy tắc không đổi; không trả về tên/dữ liệu của trường hay năm khác.
Bảo toàn: Giữ điểm, cấu hình và đối tượng không đích theo expected; chỉ thay phần thủ tục yêu cầu, không tự đổi oracle hoặc mở rộng phạm vi.</t>
        </is>
      </c>
      <c r="E232" s="19" t="inlineStr"/>
      <c r="F232" s="19" t="inlineStr">
        <is>
          <t>Chưa thực hiện</t>
        </is>
      </c>
      <c r="G232" s="19" t="inlineStr"/>
    </row>
    <row r="233" ht="163" customHeight="1">
      <c r="A233" s="18" t="inlineStr">
        <is>
          <t>TC-RS-VAL-025 / condition-missing</t>
        </is>
      </c>
      <c r="B233" s="18" t="inlineStr">
        <is>
          <t>Nguồn tổng hợp
Server từ chối lưu nhóm tham chiếu không khả dụng hoặc ngoài trường/năm
Xem chi tiết</t>
        </is>
      </c>
      <c r="C233" s="18" t="inlineStr">
        <is>
          <t>Chuẩn bị: Đang chuẩn bị
Kỳ vọng: Đã xác nhận
Dữ liệu (trích): Điều kiện nhóm không tồn tại
Thao tác (trích): Gửi request lưu quy tắc có nguồn (điều kiện hoặc công thức) với từng biến thể:…
Xem chi tiết</t>
        </is>
      </c>
      <c r="D233" s="18" t="inlineStr">
        <is>
          <t>Cả bốn biến thể bị từ chối; không lưu quy tắc; danh sách quy tắc không đổi; không trả về tên/dữ liệu của trường hay năm khác.
Bảo toàn: Giữ điểm, cấu hình và đối tượng không đích theo expected; chỉ thay phần thủ tục yêu cầu, không tự đổi oracle hoặc mở rộng phạm vi.</t>
        </is>
      </c>
      <c r="E233" s="19" t="inlineStr"/>
      <c r="F233" s="19" t="inlineStr">
        <is>
          <t>Chưa thực hiện</t>
        </is>
      </c>
      <c r="G233" s="19" t="inlineStr"/>
    </row>
    <row r="234" ht="163" customHeight="1">
      <c r="A234" s="18" t="inlineStr">
        <is>
          <t>TC-RS-VAL-025 / formula-disabled</t>
        </is>
      </c>
      <c r="B234" s="18" t="inlineStr">
        <is>
          <t>Nguồn tổng hợp
Server từ chối lưu nhóm tham chiếu không khả dụng hoặc ngoài trường/năm
Xem chi tiết</t>
        </is>
      </c>
      <c r="C234" s="18" t="inlineStr">
        <is>
          <t>Chuẩn bị: Đang chuẩn bị
Kỳ vọng: Đã xác nhận
Dữ liệu (trích): Công thức nhóm tắt
Thao tác (trích): Gửi request lưu quy tắc có nguồn (điều kiện hoặc công thức) với từng biến thể:…
Xem chi tiết</t>
        </is>
      </c>
      <c r="D234" s="18" t="inlineStr">
        <is>
          <t>Cả bốn biến thể bị từ chối; không lưu quy tắc; danh sách quy tắc không đổi; không trả về tên/dữ liệu của trường hay năm khác.
Bảo toàn: Giữ điểm, cấu hình và đối tượng không đích theo expected; chỉ thay phần thủ tục yêu cầu, không tự đổi oracle hoặc mở rộng phạm vi.</t>
        </is>
      </c>
      <c r="E234" s="19" t="inlineStr"/>
      <c r="F234" s="19" t="inlineStr">
        <is>
          <t>Chưa thực hiện</t>
        </is>
      </c>
      <c r="G234" s="19" t="inlineStr"/>
    </row>
    <row r="235" ht="163" customHeight="1">
      <c r="A235" s="18" t="inlineStr">
        <is>
          <t>TC-RS-VAL-025 / formula-school</t>
        </is>
      </c>
      <c r="B235" s="18" t="inlineStr">
        <is>
          <t>Nguồn tổng hợp
Server từ chối lưu nhóm tham chiếu không khả dụng hoặc ngoài trường/năm
Xem chi tiết</t>
        </is>
      </c>
      <c r="C235" s="18" t="inlineStr">
        <is>
          <t>Chuẩn bị: Đang chuẩn bị
Kỳ vọng: Đã xác nhận
Dữ liệu (trích): Công thức sai trường
Thao tác (trích): Gửi request lưu quy tắc có nguồn (điều kiện hoặc công thức) với từng biến thể:…
Xem chi tiết</t>
        </is>
      </c>
      <c r="D235" s="18" t="inlineStr">
        <is>
          <t>Cả bốn biến thể bị từ chối; không lưu quy tắc; danh sách quy tắc không đổi; không trả về tên/dữ liệu của trường hay năm khác.
Bảo toàn: Giữ điểm, cấu hình và đối tượng không đích theo expected; chỉ thay phần thủ tục yêu cầu, không tự đổi oracle hoặc mở rộng phạm vi.</t>
        </is>
      </c>
      <c r="E235" s="19" t="inlineStr"/>
      <c r="F235" s="19" t="inlineStr">
        <is>
          <t>Chưa thực hiện</t>
        </is>
      </c>
      <c r="G235" s="19" t="inlineStr"/>
    </row>
    <row r="236" ht="163" customHeight="1">
      <c r="A236" s="18" t="inlineStr">
        <is>
          <t>TC-RS-VAL-025 / formula-year</t>
        </is>
      </c>
      <c r="B236" s="18" t="inlineStr">
        <is>
          <t>Nguồn tổng hợp
Server từ chối lưu nhóm tham chiếu không khả dụng hoặc ngoài trường/năm
Xem chi tiết</t>
        </is>
      </c>
      <c r="C236" s="18" t="inlineStr">
        <is>
          <t>Chuẩn bị: Đang chuẩn bị
Kỳ vọng: Đã xác nhận
Dữ liệu (trích): Công thức sai năm
Thao tác (trích): Gửi request lưu quy tắc có nguồn (điều kiện hoặc công thức) với từng biến thể:…
Xem chi tiết</t>
        </is>
      </c>
      <c r="D236" s="18" t="inlineStr">
        <is>
          <t>Cả bốn biến thể bị từ chối; không lưu quy tắc; danh sách quy tắc không đổi; không trả về tên/dữ liệu của trường hay năm khác.
Bảo toàn: Giữ điểm, cấu hình và đối tượng không đích theo expected; chỉ thay phần thủ tục yêu cầu, không tự đổi oracle hoặc mở rộng phạm vi.</t>
        </is>
      </c>
      <c r="E236" s="19" t="inlineStr"/>
      <c r="F236" s="19" t="inlineStr">
        <is>
          <t>Chưa thực hiện</t>
        </is>
      </c>
      <c r="G236" s="19" t="inlineStr"/>
    </row>
    <row r="237" ht="163" customHeight="1">
      <c r="A237" s="18" t="inlineStr">
        <is>
          <t>TC-RS-VAL-025 / formula-missing</t>
        </is>
      </c>
      <c r="B237" s="18" t="inlineStr">
        <is>
          <t>Nguồn tổng hợp
Server từ chối lưu nhóm tham chiếu không khả dụng hoặc ngoài trường/năm
Xem chi tiết</t>
        </is>
      </c>
      <c r="C237" s="18" t="inlineStr">
        <is>
          <t>Chuẩn bị: Đang chuẩn bị
Kỳ vọng: Đã xác nhận
Dữ liệu (trích): Công thức nhóm không tồn tại
Thao tác (trích): Gửi request lưu quy tắc có nguồn (điều kiện hoặc công thức) với từng biến thể:…
Xem chi tiết</t>
        </is>
      </c>
      <c r="D237" s="18" t="inlineStr">
        <is>
          <t>Cả bốn biến thể bị từ chối; không lưu quy tắc; danh sách quy tắc không đổi; không trả về tên/dữ liệu của trường hay năm khác.
Bảo toàn: Giữ điểm, cấu hình và đối tượng không đích theo expected; chỉ thay phần thủ tục yêu cầu, không tự đổi oracle hoặc mở rộng phạm vi.</t>
        </is>
      </c>
      <c r="E237" s="19" t="inlineStr"/>
      <c r="F237" s="19" t="inlineStr">
        <is>
          <t>Chưa thực hiện</t>
        </is>
      </c>
      <c r="G237" s="19" t="inlineStr"/>
    </row>
    <row r="238" ht="197" customHeight="1">
      <c r="A238" s="18" t="inlineStr">
        <is>
          <t>TC-RS-CALC-026 / Base</t>
        </is>
      </c>
      <c r="B238" s="18" t="inlineStr">
        <is>
          <t>Nguồn trung bình và tỷ lệ nhóm — Nguồn tổng hợp
Mẫu số trung bình khi có học sinh bị loại khỏi xếp hạng</t>
        </is>
      </c>
      <c r="C238" s="18" t="inlineStr">
        <is>
          <t>Chuẩn bị: Đang chuẩn bị
Kỳ vọng: Đã xác nhận
Dữ liệu (trích): Toàn bộ thủ tục theo đúng thứ tự; các đối chứng cùng fixture…
Thao tác (trích): Chạy nút xanh rồi nút cam; ghi `A` đọc được.
Xem chi tiết</t>
        </is>
      </c>
      <c r="D238" s="18" t="inlineStr">
        <is>
          <t>`A = (60+40+20)/3 = 40` (mẫu số là số người có điểm của cùng bản) → `T=20` → S=22 Không đỏ. Nếu hệ thống dùng số người thuộc xếp hạng (`A=100/2=50`, `T=25` → Đỏ) là sai.
Bảo toàn: Giữ điểm, cấu hình và đối tượng không đích theo expected; chỉ thay phần thủ tục yêu cầu, không tự đổi oracle hoặc mở rộng phạm vi.</t>
        </is>
      </c>
      <c r="E238" s="19" t="inlineStr"/>
      <c r="F238" s="19" t="inlineStr">
        <is>
          <t>Chưa thực hiện</t>
        </is>
      </c>
      <c r="G238" s="19" t="inlineStr"/>
    </row>
    <row r="239" ht="197" customHeight="1">
      <c r="A239" s="18" t="inlineStr">
        <is>
          <t>TC-RS-CALC-027 / Base</t>
        </is>
      </c>
      <c r="B239" s="18" t="inlineStr">
        <is>
          <t>Nguồn trung bình và tỷ lệ nhóm — Nguồn tổng hợp
Trung bình riêng cho từng đơn vị</t>
        </is>
      </c>
      <c r="C239" s="18" t="inlineStr">
        <is>
          <t>Chuẩn bị: Bị chặn
Kỳ vọng: Đã xác nhận
Dữ liệu (trích): Toàn bộ thủ tục theo đúng thứ tự; các đối chứng cùng fixture…
Thao tác (trích): Chạy nút xanh rồi nút cam.
Xem chi tiết</t>
        </is>
      </c>
      <c r="D239" s="18" t="inlineStr">
        <is>
          <t>Kỳ vọng theo đặc tả v2: U1 `T=20` → 25 Không đỏ; U2 `T=35` → 30 Đỏ. Nguồn trung bình theo đơn vị chưa tích hợp (đặc tả v2 mục 13.1): nếu không tách được thì ghi nhận, không đánh PASS.
Bảo toàn: Giữ điểm, cấu hình và đối tượng không đích theo expected; chỉ thay phần thủ tục yêu cầu, không tự đổi oracle hoặc mở rộng phạm vi.</t>
        </is>
      </c>
      <c r="E239" s="19" t="inlineStr"/>
      <c r="F239" s="19" t="inlineStr">
        <is>
          <t>Chưa thực hiện</t>
        </is>
      </c>
      <c r="G239" s="19" t="inlineStr"/>
    </row>
    <row r="240" ht="146" customHeight="1">
      <c r="A240" s="18" t="inlineStr">
        <is>
          <t>TC-RS-CALC-031 / zero-maximum</t>
        </is>
      </c>
      <c r="B240" s="18" t="inlineStr">
        <is>
          <t>Nguồn tổng hợp
Nguồn không có mẫu số hợp lệ (tổng điểm tối đa 0, số người có điểm 0) → Chưa…
Xem chi tiết</t>
        </is>
      </c>
      <c r="C240" s="18" t="inlineStr">
        <is>
          <t>Chuẩn bị: Đang chuẩn bị
Kỳ vọng: Đã xác nhận
Dữ liệu (trích): Tổng điểm tối đa bằng 0
Thao tác (trích): Với từng nguồn: chạy nút xanh (nếu cần) rồi nút cam; xem kết quả S01.
Xem chi tiết</t>
        </is>
      </c>
      <c r="D240" s="18" t="inlineStr">
        <is>
          <t>Kỳ vọng: Đã xác nhận
(a) Điều kiện tỷ lệ nhóm không xác định được → Chưa xét được; không coi `R=0` là không khớp để thành Không áp dụng hay chuyển xuống ưu tiên thấp hơn.…
Xem chi tiết</t>
        </is>
      </c>
      <c r="E240" s="19" t="inlineStr"/>
      <c r="F240" s="19" t="inlineStr">
        <is>
          <t>Chưa thực hiện</t>
        </is>
      </c>
      <c r="G240" s="19" t="inlineStr"/>
    </row>
    <row r="241" ht="129" customHeight="1">
      <c r="A241" s="18" t="inlineStr">
        <is>
          <t>TC-RS-CALC-031 / zero-count</t>
        </is>
      </c>
      <c r="B241" s="18" t="inlineStr">
        <is>
          <t>Nguồn tổng hợp
Nguồn không có mẫu số hợp lệ (tổng điểm tối đa 0, số người có điểm 0) → Chưa…
Xem chi tiết</t>
        </is>
      </c>
      <c r="C241" s="18" t="inlineStr">
        <is>
          <t>Chuẩn bị: Đang chuẩn bị
Kỳ vọng: Đã xác nhận
Dữ liệu (trích): Số người bằng 0
Thao tác (trích): Với từng nguồn: chạy nút xanh (nếu cần) rồi nút cam; xem kết quả S01.
Xem chi tiết</t>
        </is>
      </c>
      <c r="D241" s="18" t="inlineStr">
        <is>
          <t>Kỳ vọng: Đã xác nhận
(a) Điều kiện tỷ lệ nhóm không xác định được → Chưa xét được; không coi `R=0` là không khớp để thành Không áp dụng hay chuyển xuống ưu tiên thấp hơn.…
Xem chi tiết</t>
        </is>
      </c>
      <c r="E241" s="19" t="inlineStr"/>
      <c r="F241" s="19" t="inlineStr">
        <is>
          <t>Chưa thực hiện</t>
        </is>
      </c>
      <c r="G241" s="19" t="inlineStr"/>
    </row>
    <row r="242" ht="180" customHeight="1">
      <c r="A242" s="18" t="inlineStr">
        <is>
          <t>TC-RS-CALC-032 / Base</t>
        </is>
      </c>
      <c r="B242" s="18" t="inlineStr">
        <is>
          <t>Nguồn trung bình và tỷ lệ nhóm — Nguồn tổng hợp
Tỷ lệ nhóm: tử số và mẫu số lấy cùng tập đóng góp</t>
        </is>
      </c>
      <c r="C242" s="18" t="inlineStr">
        <is>
          <t>Chuẩn bị: Đang chuẩn bị
Kỳ vọng: Đã xác nhận
Dữ liệu (trích): Toàn bộ thủ tục theo đúng thứ tự; các đối chứng cùng fixture…
Thao tác (trích): 1. Chạy nút xanh; ghi tổng điểm và tổng điểm tối đa hiển thị ở kết quả tổng hợp.…
Xem chi tiết</t>
        </is>
      </c>
      <c r="D242" s="18" t="inlineStr">
        <is>
          <t>Kỳ vọng: Đã xác nhận
1. Tổng điểm và tổng điểm tối đa lấy cùng tập học sinh có điểm theo cấu hình tổng hợp.…
Xem chi tiết</t>
        </is>
      </c>
      <c r="E242" s="19" t="inlineStr"/>
      <c r="F242" s="19" t="inlineStr">
        <is>
          <t>Chưa thực hiện</t>
        </is>
      </c>
      <c r="G242" s="19" t="inlineStr"/>
    </row>
    <row r="243" ht="180" customHeight="1">
      <c r="A243" s="18" t="inlineStr">
        <is>
          <t>TC-RS-ERR-016 / Base</t>
        </is>
      </c>
      <c r="B243" s="18" t="inlineStr">
        <is>
          <t>Nguồn tổng hợp
Chưa xét được: sửa nguồn nhưng chỉ lưu cấu hình vẫn chưa có kết luận; xét lại…
Xem chi tiết</t>
        </is>
      </c>
      <c r="C243" s="18" t="inlineStr">
        <is>
          <t>Chuẩn bị: Đang chuẩn bị
Kỳ vọng: Đã xác nhận
Dữ liệu (trích): Toàn bộ thủ tục theo đúng thứ tự; các đối chứng cùng fixture…
Thao tác (trích): 1. Chạy Thực hiện tổng hợp（集計実行） cho nguồn để có `A=62`; mở lại và lưu thiết lập quy tắc (không đổi nội…
Xem chi tiết</t>
        </is>
      </c>
      <c r="D243" s="18" t="inlineStr">
        <is>
          <t>1. Vẫn Chưa xét được; không có dấu đỏ.
2. `T=62×0.5=31` → S01=29 Đỏ.
Bảo toàn: Giữ điểm, cấu hình và đối tượng không đích theo expected; chỉ thay phần thủ tục yêu cầu, không tự đổi oracle hoặc mở rộng phạm vi.</t>
        </is>
      </c>
      <c r="E243" s="19" t="inlineStr"/>
      <c r="F243" s="19" t="inlineStr">
        <is>
          <t>Chưa thực hiện</t>
        </is>
      </c>
      <c r="G243" s="19" t="inlineStr"/>
    </row>
    <row r="244" ht="197" customHeight="1">
      <c r="A244" s="18" t="inlineStr">
        <is>
          <t>TC-RS-BR-026 / no-match</t>
        </is>
      </c>
      <c r="B244" s="18" t="inlineStr">
        <is>
          <t>Nguồn tổng hợp
Không fallback sang legacy khi rule mới thiếu hoặc không khớp dữ liệu
Xem chi tiết</t>
        </is>
      </c>
      <c r="C244" s="18" t="inlineStr">
        <is>
          <t>Chuẩn bị: Đang chuẩn bị
Kỳ vọng: Đã xác nhận
Dữ liệu (trích): Không quy tắc khớp
Thao tác (trích): 1. Chạy nút cam.…
Xem chi tiết</t>
        </is>
      </c>
      <c r="D244" s="18" t="inlineStr">
        <is>
          <t>Ô chuyển đúng trạng thái Chưa xét được/Không áp dụng theo nguyên nhân; không dùng legacy làm fallback và không tự ghi đè kết quả cũ ngoài chính sách trạng thái đã xác nhận.
Bảo toàn: Giữ điểm, cấu hình và đối tượng không đích theo expected; chỉ thay phần thủ tục yêu cầu, không tự đổi oracle hoặc mở rộng phạm vi.</t>
        </is>
      </c>
      <c r="E244" s="19" t="inlineStr"/>
      <c r="F244" s="19" t="inlineStr">
        <is>
          <t>Chưa thực hiện</t>
        </is>
      </c>
      <c r="G244" s="19" t="inlineStr"/>
    </row>
    <row r="245" ht="197" customHeight="1">
      <c r="A245" s="18" t="inlineStr">
        <is>
          <t>TC-RS-BR-026 / missing-input</t>
        </is>
      </c>
      <c r="B245" s="18" t="inlineStr">
        <is>
          <t>Nguồn tổng hợp
Không fallback sang legacy khi rule mới thiếu hoặc không khớp dữ liệu
Xem chi tiết</t>
        </is>
      </c>
      <c r="C245" s="18" t="inlineStr">
        <is>
          <t>Chuẩn bị: Đang chuẩn bị
Kỳ vọng: Đã xác nhận
Dữ liệu (trích): Thiếu dữ liệu để xét
Thao tác (trích): 1. Chạy nút cam.…
Xem chi tiết</t>
        </is>
      </c>
      <c r="D245" s="18" t="inlineStr">
        <is>
          <t>Ô chuyển đúng trạng thái Chưa xét được/Không áp dụng theo nguyên nhân; không dùng legacy làm fallback và không tự ghi đè kết quả cũ ngoài chính sách trạng thái đã xác nhận.
Bảo toàn: Giữ điểm, cấu hình và đối tượng không đích theo expected; chỉ thay phần thủ tục yêu cầu, không tự đổi oracle hoặc mở rộng phạm vi.</t>
        </is>
      </c>
      <c r="E245" s="19" t="inlineStr"/>
      <c r="F245" s="19" t="inlineStr">
        <is>
          <t>Chưa thực hiện</t>
        </is>
      </c>
      <c r="G245" s="19" t="inlineStr"/>
    </row>
    <row r="246" ht="214" customHeight="1">
      <c r="A246" s="18" t="inlineStr">
        <is>
          <t>TC-RS-FUNC-016 / Base</t>
        </is>
      </c>
      <c r="B246" s="18" t="inlineStr">
        <is>
          <t>Thời điểm xét và vòng đời kết quả — Vòng đời kết quả
Đăng ký/sửa điểm trực tiếp ở màn lớp kích hoạt xét</t>
        </is>
      </c>
      <c r="C246" s="18" t="inlineStr">
        <is>
          <t>Chuẩn bị: Đang chuẩn bị
Kỳ vọng: Đã xác nhận
Dữ liệu (trích): Toàn bộ thủ tục theo đúng thứ tự; các đối chứng cùng fixture…
Thao tác (trích): 1. Ở màn đăng ký điểm của lớp G-A, nhập S01=29, S03=31, lưu.…
Xem chi tiết</t>
        </is>
      </c>
      <c r="D246" s="18" t="inlineStr">
        <is>
          <t>Sau khi lưu thành công: S01 Đỏ, S03 Không đỏ. Đây là đường đăng ký trực tiếp với quy tắc cố định, nên không yêu cầu nguồn trung bình hoặc nút cam; không suy rộng kết luận này cho case dùng trung bình/tỷ lệ nhóm.
Bảo toàn: Giữ điểm, cấu hình và đối tượng không đích theo expected; chỉ thay phần thủ tục yêu cầu, không tự đổi oracle hoặc mở rộng phạm vi.</t>
        </is>
      </c>
      <c r="E246" s="19" t="inlineStr"/>
      <c r="F246" s="19" t="inlineStr">
        <is>
          <t>Chưa thực hiện</t>
        </is>
      </c>
      <c r="G246" s="19" t="inlineStr"/>
    </row>
    <row r="247" ht="180" customHeight="1">
      <c r="A247" s="18" t="inlineStr">
        <is>
          <t>TC-RS-FUNC-017 / auto-on</t>
        </is>
      </c>
      <c r="B247" s="18" t="inlineStr">
        <is>
          <t>Thời điểm xét và vòng đời kết quả — Vòng đời kết quả
Nhập CSV điểm lớp học phần (NB) kích hoạt xét</t>
        </is>
      </c>
      <c r="C247" s="18" t="inlineStr">
        <is>
          <t>Chuẩn bị: Đang chuẩn bị
Kỳ vọng: Đã xác nhận
Dữ liệu (trích): Trường có tính tự động, thực hiện toàn bộ chuỗi CSV
Thao tác (trích): 1. Mở Đăng ký thành tích bằng CSV（成績CSV登録） của lớp G-A, nhập CSV với S01=29.…
Xem chi tiết</t>
        </is>
      </c>
      <c r="D247" s="18" t="inlineStr">
        <is>
          <t>Kỳ vọng: Đã xác nhận
1–2. Nhập thành công → S01 được xét: Đỏ, ở cả (a) và (b) (không phụ thuộc việc trường có tính tự động).…
Xem chi tiết</t>
        </is>
      </c>
      <c r="E247" s="19" t="inlineStr"/>
      <c r="F247" s="19" t="inlineStr">
        <is>
          <t>Chưa thực hiện</t>
        </is>
      </c>
      <c r="G247" s="19" t="inlineStr"/>
    </row>
    <row r="248" ht="163" customHeight="1">
      <c r="A248" s="18" t="inlineStr">
        <is>
          <t>TC-RS-FUNC-017 / auto-off</t>
        </is>
      </c>
      <c r="B248" s="18" t="inlineStr">
        <is>
          <t>Thời điểm xét và vòng đời kết quả — Vòng đời kết quả
Nhập CSV điểm lớp học phần (NB) kích hoạt xét</t>
        </is>
      </c>
      <c r="C248" s="18" t="inlineStr">
        <is>
          <t>Chuẩn bị: Đang chuẩn bị
Kỳ vọng: Đã xác nhận
Dữ liệu (trích): Trường không có tính tự động, cùng chuỗi CSV
Thao tác (trích): 1. Mở Đăng ký thành tích bằng CSV（成績CSV登録） của lớp G-A, nhập CSV với S01=29.…
Xem chi tiết</t>
        </is>
      </c>
      <c r="D248" s="18" t="inlineStr">
        <is>
          <t>Kỳ vọng: Đã xác nhận
1–2. Nhập thành công → S01 được xét: Đỏ, ở cả (a) và (b) (không phụ thuộc việc trường có tính tự động).…
Xem chi tiết</t>
        </is>
      </c>
      <c r="E248" s="19" t="inlineStr"/>
      <c r="F248" s="19" t="inlineStr">
        <is>
          <t>Chưa thực hiện</t>
        </is>
      </c>
      <c r="G248" s="19" t="inlineStr"/>
    </row>
    <row r="249" ht="163" customHeight="1">
      <c r="A249" s="18" t="inlineStr">
        <is>
          <t>TC-RS-FUNC-018 / linked</t>
        </is>
      </c>
      <c r="B249" s="18" t="inlineStr">
        <is>
          <t>Thời điểm xét và vòng đời kết quả — Vòng đời kết quả
Liên kết kết quả chấm bài thi kích hoạt xét</t>
        </is>
      </c>
      <c r="C249" s="18" t="inlineStr">
        <is>
          <t>Chuẩn bị: Bị chặn
Kỳ vọng: Đã xác nhận
Dữ liệu (trích): Liên kết điểm ở G-A
Thao tác (trích): 1. Liên kết kết quả chấm của G-A với S01=29 (quy tắc cố định quy tắc “Cố định 30” (dưới 30)), gồm trường hợp…
Xem chi tiết</t>
        </is>
      </c>
      <c r="D249" s="18" t="inlineStr">
        <is>
          <t>Kỳ vọng: Đã xác nhận
1. S01 Đỏ.…
Xem chi tiết</t>
        </is>
      </c>
      <c r="E249" s="19" t="inlineStr"/>
      <c r="F249" s="19" t="inlineStr">
        <is>
          <t>Chưa thực hiện</t>
        </is>
      </c>
      <c r="G249" s="19" t="inlineStr"/>
    </row>
    <row r="250" ht="163" customHeight="1">
      <c r="A250" s="18" t="inlineStr">
        <is>
          <t>TC-RS-FUNC-018 / auto-skipped</t>
        </is>
      </c>
      <c r="B250" s="18" t="inlineStr">
        <is>
          <t>Thời điểm xét và vòng đời kết quả — Vòng đời kết quả
Liên kết kết quả chấm bài thi kích hoạt xét</t>
        </is>
      </c>
      <c r="C250" s="18" t="inlineStr">
        <is>
          <t>Chuẩn bị: Bị chặn
Kỳ vọng: Đã xác nhận
Dữ liệu (trích): Nhánh AutoRating bỏ qua ở G-C
Thao tác (trích): 1. Liên kết kết quả chấm của G-A với S01=29 (quy tắc cố định quy tắc “Cố định 30” (dưới 30)), gồm trường hợp…
Xem chi tiết</t>
        </is>
      </c>
      <c r="D250" s="18" t="inlineStr">
        <is>
          <t>Kỳ vọng: Đã xác nhận
1. S01 Đỏ.…
Xem chi tiết</t>
        </is>
      </c>
      <c r="E250" s="19" t="inlineStr"/>
      <c r="F250" s="19" t="inlineStr">
        <is>
          <t>Chưa thực hiện</t>
        </is>
      </c>
      <c r="G250" s="19" t="inlineStr"/>
    </row>
    <row r="251" ht="163" customHeight="1">
      <c r="A251" s="18" t="inlineStr">
        <is>
          <t>TC-RS-FUNC-019 / Base</t>
        </is>
      </c>
      <c r="B251" s="18" t="inlineStr">
        <is>
          <t>Thời điểm xét và vòng đời kết quả — Vòng đời kết quả
Lưu lựa chọn điểm tối đa của lớp khi đăng ký điểm kích hoạt xét</t>
        </is>
      </c>
      <c r="C251" s="18" t="inlineStr">
        <is>
          <t>Chuẩn bị: Đang chuẩn bị
Kỳ vọng: Đã xác nhận
Dữ liệu (trích): Toàn bộ thủ tục theo đúng thứ tự; các đối chứng cùng fixture…
Thao tác (trích): 1. Ở màn đăng ký điểm lớp G-B, chọn lựa chọn lớp M=50 cho U1, lưu.…
Xem chi tiết</t>
        </is>
      </c>
      <c r="D251" s="18" t="inlineStr">
        <is>
          <t>Sau khi lưu thành công: M=50 → T=15 → S06=14 Đỏ.
Bảo toàn: Giữ điểm, cấu hình và đối tượng không đích theo expected; chỉ thay phần thủ tục yêu cầu, không tự đổi oracle hoặc mở rộng phạm vi.</t>
        </is>
      </c>
      <c r="E251" s="19" t="inlineStr"/>
      <c r="F251" s="19" t="inlineStr">
        <is>
          <t>Chưa thực hiện</t>
        </is>
      </c>
      <c r="G251" s="19" t="inlineStr"/>
    </row>
    <row r="252" ht="180" customHeight="1">
      <c r="A252" s="18" t="inlineStr">
        <is>
          <t>TC-RS-FUNC-020 / Base</t>
        </is>
      </c>
      <c r="B252" s="18" t="inlineStr">
        <is>
          <t>Vòng đời kết quả
Lưu Thiết lập điểm tối đa hàng loạt（満点一括設定） xếp hàng tính toán rồi mới có kết…
Xem chi tiết</t>
        </is>
      </c>
      <c r="C252" s="18" t="inlineStr">
        <is>
          <t>Chuẩn bị: Đang chuẩn bị
Kỳ vọng: Đã xác nhận
Dữ liệu (trích): Toàn bộ thủ tục theo đúng thứ tự; các đối chứng cùng fixture…
Thao tác (trích): 1. Lưu M=50 cho các lớp/kỳ được phép.…
Xem chi tiết</t>
        </is>
      </c>
      <c r="D252" s="18" t="inlineStr">
        <is>
          <t>1. Ngay sau khi lưu: kết quả cũ vẫn hiện; không báo "hoàn tất" khi mới xếp hàng.
2. Sau batch thành công: kết quả theo M=50.
Bảo toàn: Giữ điểm, cấu hình và đối tượng không đích theo expected; chỉ thay phần thủ tục yêu cầu, không tự đổi oracle hoặc mở rộng phạm vi.</t>
        </is>
      </c>
      <c r="E252" s="19" t="inlineStr"/>
      <c r="F252" s="19" t="inlineStr">
        <is>
          <t>Chưa thực hiện</t>
        </is>
      </c>
      <c r="G252" s="19" t="inlineStr"/>
    </row>
    <row r="253" ht="180" customHeight="1">
      <c r="A253" s="18" t="inlineStr">
        <is>
          <t>TC-RS-FUNC-021 / Base</t>
        </is>
      </c>
      <c r="B253" s="18" t="inlineStr">
        <is>
          <t>Vòng đời kết quả
Trường chỉ có quy tắc đỏ (không có tính tự động) vẫn có đường chạy hàng loạt
Xem chi tiết</t>
        </is>
      </c>
      <c r="C253" s="18" t="inlineStr">
        <is>
          <t>Chuẩn bị: Đang chuẩn bị
Kỳ vọng: Đã xác nhận
Dữ liệu (trích): Toàn bộ thủ tục theo đúng thứ tự; các đối chứng cùng fixture…
Thao tác (trích): 1. Mở Tổng hợp thành tích（成績集計） (`/admin/grade/grade_setting_system/grade_calc`).…
Xem chi tiết</t>
        </is>
      </c>
      <c r="D253" s="18" t="inlineStr">
        <is>
          <t>Kỳ vọng: Đã xác nhận
Chạy được bằng thao tác hàng loạt hiện có (không có chế độ xét đỏ riêng); sau khi chạy, các ô được xét theo quy tắc “Cố định 30” (dưới 30). Nhãn/cách hiện nút cho trường không có…
Xem chi tiết</t>
        </is>
      </c>
      <c r="E253" s="19" t="inlineStr"/>
      <c r="F253" s="19" t="inlineStr">
        <is>
          <t>Chưa thực hiện</t>
        </is>
      </c>
      <c r="G253" s="19" t="inlineStr"/>
    </row>
    <row r="254" ht="163" customHeight="1">
      <c r="A254" s="18" t="inlineStr">
        <is>
          <t>TC-RS-FUNC-035 / auto-on</t>
        </is>
      </c>
      <c r="B254" s="18" t="inlineStr">
        <is>
          <t>Vòng đời kết quả
Nhập CSV đăng ký điểm lớp chủ nhiệm hàng loạt（HR成績CSV一括登録） kích hoạt xét
Xem chi tiết</t>
        </is>
      </c>
      <c r="C254" s="18" t="inlineStr">
        <is>
          <t>Chuẩn bị: Đang chuẩn bị
Kỳ vọng: Chờ xác nhận
Dữ liệu (trích): Trường có tính tự động
Thao tác (trích): 1. Nhập CSV đăng ký điểm lớp chủ nhiệm hàng loạt（HR成績CSV一括登録） với S01=28.…
Xem chi tiết</t>
        </is>
      </c>
      <c r="D254" s="18" t="inlineStr">
        <is>
          <t>Kỳ vọng: Chờ xác nhận
Theo đặc tả v2 mục 7.2 “Bảng sự kiện”: nhập thành công → S01 Đỏ. tài liệu chia công việc v2 chưa đưa đường ghi điểm “HR成績CSV一括登録 (đăng ký điểm hàng loạt bằng CSV)” vào đường được…
Xem chi tiết</t>
        </is>
      </c>
      <c r="E254" s="19" t="inlineStr"/>
      <c r="F254" s="19" t="inlineStr">
        <is>
          <t>Chưa thực hiện</t>
        </is>
      </c>
      <c r="G254" s="19" t="inlineStr"/>
    </row>
    <row r="255" ht="163" customHeight="1">
      <c r="A255" s="18" t="inlineStr">
        <is>
          <t>TC-RS-FUNC-035 / auto-off</t>
        </is>
      </c>
      <c r="B255" s="18" t="inlineStr">
        <is>
          <t>Vòng đời kết quả
Nhập CSV đăng ký điểm lớp chủ nhiệm hàng loạt（HR成績CSV一括登録） kích hoạt xét
Xem chi tiết</t>
        </is>
      </c>
      <c r="C255" s="18" t="inlineStr">
        <is>
          <t>Chuẩn bị: Đang chuẩn bị
Kỳ vọng: Chờ xác nhận
Dữ liệu (trích): Trường không có tính tự động
Thao tác (trích): 1. Nhập CSV đăng ký điểm lớp chủ nhiệm hàng loạt（HR成績CSV一括登録） với S01=28.…
Xem chi tiết</t>
        </is>
      </c>
      <c r="D255" s="18" t="inlineStr">
        <is>
          <t>Kỳ vọng: Chờ xác nhận
Theo đặc tả v2 mục 7.2 “Bảng sự kiện”: nhập thành công → S01 Đỏ. tài liệu chia công việc v2 chưa đưa đường ghi điểm “HR成績CSV一括登録 (đăng ký điểm hàng loạt bằng CSV)” vào đường được…
Xem chi tiết</t>
        </is>
      </c>
      <c r="E255" s="19" t="inlineStr"/>
      <c r="F255" s="19" t="inlineStr">
        <is>
          <t>Chưa thực hiện</t>
        </is>
      </c>
      <c r="G255" s="19" t="inlineStr"/>
    </row>
    <row r="256" ht="146" customHeight="1">
      <c r="A256" s="18" t="inlineStr">
        <is>
          <t>TC-RS-BR-015 / Base</t>
        </is>
      </c>
      <c r="B256" s="18" t="inlineStr">
        <is>
          <t>Thời điểm xét và vòng đời kết quả — Vòng đời kết quả
Lưu cấu hình không xét; kết quả trước giữ tới lần chạy lại</t>
        </is>
      </c>
      <c r="C256" s="18" t="inlineStr">
        <is>
          <t>Chuẩn bị: Đang chuẩn bị
Kỳ vọng: Đã xác nhận
Dữ liệu (trích): Toàn bộ thủ tục theo đúng thứ tự; các đối chứng cùng fixture…
Thao tác (trích): 1. Đổi ngưỡng thành 35 `&lt;`, lưu.…
Xem chi tiết</t>
        </is>
      </c>
      <c r="D256" s="18" t="inlineStr">
        <is>
          <t>Kỳ vọng: Đã xác nhận
1. Sau lưu: không báo "đã cập nhật điểm đỏ học sinh"; có hướng dẫn chạy lại.…
Xem chi tiết</t>
        </is>
      </c>
      <c r="E256" s="19" t="inlineStr"/>
      <c r="F256" s="19" t="inlineStr">
        <is>
          <t>Chưa thực hiện</t>
        </is>
      </c>
      <c r="G256" s="19" t="inlineStr"/>
    </row>
    <row r="257" ht="146" customHeight="1">
      <c r="A257" s="18" t="inlineStr">
        <is>
          <t>TC-RS-BR-016 / Base</t>
        </is>
      </c>
      <c r="B257" s="18" t="inlineStr">
        <is>
          <t>Thời điểm xét và vòng đời kết quả — Vòng đời kết quả
Sửa điểm 29 → 40 được lưu và xét trong cùng lượt</t>
        </is>
      </c>
      <c r="C257" s="18" t="inlineStr">
        <is>
          <t>Chuẩn bị: Đang chuẩn bị
Kỳ vọng: Đã xác nhận
Dữ liệu (trích): Toàn bộ thủ tục theo đúng thứ tự; các đối chứng cùng fixture…
Thao tác (trích): 1. Sửa S01 thành 40, lưu thành công.…
Xem chi tiết</t>
        </is>
      </c>
      <c r="D257" s="18" t="inlineStr">
        <is>
          <t>S01 Không đỏ; không cần bật một chế độ thủ công/tự động riêng.
Bảo toàn: Giữ điểm, cấu hình và đối tượng không đích theo expected; chỉ thay phần thủ tục yêu cầu, không tự đổi oracle hoặc mở rộng phạm vi.</t>
        </is>
      </c>
      <c r="E257" s="19" t="inlineStr"/>
      <c r="F257" s="19" t="inlineStr">
        <is>
          <t>Chưa thực hiện</t>
        </is>
      </c>
      <c r="G257" s="19" t="inlineStr"/>
    </row>
    <row r="258" ht="197" customHeight="1">
      <c r="A258" s="18" t="inlineStr">
        <is>
          <t>TC-RS-BR-017 / invalid-M</t>
        </is>
      </c>
      <c r="B258" s="18" t="inlineStr">
        <is>
          <t>Vòng đời kết quả
Chạy lại không tạo được ngưỡng hợp lệ → Chưa xét được, ngừng kết quả cũ, giữ…
Xem chi tiết</t>
        </is>
      </c>
      <c r="C258" s="18" t="inlineStr">
        <is>
          <t>Chuẩn bị: Đang chuẩn bị
Kỳ vọng: Đã xác nhận
Dữ liệu (trích): Nhánh invalid-M trong thủ tục và Expected của case; thực hiện…
Thao tác (trích): 1. Từ baseline độc lập, xác nhận S01=29 đang Đỏ; tạo biến thể (a) bằng cách đổi nguồn sang nguồn chưa có kết…
Xem chi tiết</t>
        </is>
      </c>
      <c r="D258" s="18" t="inlineStr">
        <is>
          <t>Mỗi biến thể: trạng thái Chưa xét được; dấu/lọc đỏ cũ ngừng ở cả ba đầu ra; điểm S01 vẫn 29; không đi xuống quy tắc thấp hơn; không bật lại ngưỡng cũ `red_score`.
Bảo toàn: Giữ điểm, cấu hình và đối tượng không đích theo expected; chỉ thay phần thủ tục yêu cầu, không tự đổi oracle hoặc mở rộng phạm vi.</t>
        </is>
      </c>
      <c r="E258" s="19" t="inlineStr"/>
      <c r="F258" s="19" t="inlineStr">
        <is>
          <t>Chưa thực hiện</t>
        </is>
      </c>
      <c r="G258" s="19" t="inlineStr"/>
    </row>
    <row r="259" ht="197" customHeight="1">
      <c r="A259" s="18" t="inlineStr">
        <is>
          <t>TC-RS-BR-017 / missing-source</t>
        </is>
      </c>
      <c r="B259" s="18" t="inlineStr">
        <is>
          <t>Vòng đời kết quả
Chạy lại không tạo được ngưỡng hợp lệ → Chưa xét được, ngừng kết quả cũ, giữ…
Xem chi tiết</t>
        </is>
      </c>
      <c r="C259" s="18" t="inlineStr">
        <is>
          <t>Chuẩn bị: Đang chuẩn bị
Kỳ vọng: Đã xác nhận
Dữ liệu (trích): Nhánh missing-source trong thủ tục và Expected của case; thực…
Thao tác (trích): 1. Từ baseline độc lập, xác nhận S01=29 đang Đỏ; tạo biến thể (a) bằng cách đổi nguồn sang nguồn chưa có kết…
Xem chi tiết</t>
        </is>
      </c>
      <c r="D259" s="18" t="inlineStr">
        <is>
          <t>Mỗi biến thể: trạng thái Chưa xét được; dấu/lọc đỏ cũ ngừng ở cả ba đầu ra; điểm S01 vẫn 29; không đi xuống quy tắc thấp hơn; không bật lại ngưỡng cũ `red_score`.
Bảo toàn: Giữ điểm, cấu hình và đối tượng không đích theo expected; chỉ thay phần thủ tục yêu cầu, không tự đổi oracle hoặc mở rộng phạm vi.</t>
        </is>
      </c>
      <c r="E259" s="19" t="inlineStr"/>
      <c r="F259" s="19" t="inlineStr">
        <is>
          <t>Chưa thực hiện</t>
        </is>
      </c>
      <c r="G259" s="19" t="inlineStr"/>
    </row>
    <row r="260" ht="197" customHeight="1">
      <c r="A260" s="18" t="inlineStr">
        <is>
          <t>TC-RS-BR-017 / invalid-formula</t>
        </is>
      </c>
      <c r="B260" s="18" t="inlineStr">
        <is>
          <t>Vòng đời kết quả
Chạy lại không tạo được ngưỡng hợp lệ → Chưa xét được, ngừng kết quả cũ, giữ…
Xem chi tiết</t>
        </is>
      </c>
      <c r="C260" s="18" t="inlineStr">
        <is>
          <t>Chuẩn bị: Đang chuẩn bị
Kỳ vọng: Đã xác nhận
Dữ liệu (trích): Nhánh invalid-formula trong thủ tục và Expected của case; thực…
Thao tác (trích): 1. Từ baseline độc lập, xác nhận S01=29 đang Đỏ; tạo biến thể (a) bằng cách đổi nguồn sang nguồn chưa có kết…
Xem chi tiết</t>
        </is>
      </c>
      <c r="D260" s="18" t="inlineStr">
        <is>
          <t>Mỗi biến thể: trạng thái Chưa xét được; dấu/lọc đỏ cũ ngừng ở cả ba đầu ra; điểm S01 vẫn 29; không đi xuống quy tắc thấp hơn; không bật lại ngưỡng cũ `red_score`.
Bảo toàn: Giữ điểm, cấu hình và đối tượng không đích theo expected; chỉ thay phần thủ tục yêu cầu, không tự đổi oracle hoặc mở rộng phạm vi.</t>
        </is>
      </c>
      <c r="E260" s="19" t="inlineStr"/>
      <c r="F260" s="19" t="inlineStr">
        <is>
          <t>Chưa thực hiện</t>
        </is>
      </c>
      <c r="G260" s="19" t="inlineStr"/>
    </row>
    <row r="261" ht="146" customHeight="1">
      <c r="A261" s="18" t="inlineStr">
        <is>
          <t>TC-RS-BR-018 / Base</t>
        </is>
      </c>
      <c r="B261" s="18" t="inlineStr">
        <is>
          <t>Vòng đời kết quả
Đổi phạm vi làm ô không còn quy tắc áp dụng: giữ khi chưa chạy; chạy lại →…
Xem chi tiết</t>
        </is>
      </c>
      <c r="C261" s="18" t="inlineStr">
        <is>
          <t>Chuẩn bị: Đang chuẩn bị
Kỳ vọng: Đã xác nhận
Dữ liệu (trích): Toàn bộ thủ tục theo đúng thứ tự; các đối chứng cùng fixture…
Thao tác (trích): 1. Đổi bộ lọc sang lớp G-B, lưu. Xem đầu ra.…
Xem chi tiết</t>
        </is>
      </c>
      <c r="D261" s="18" t="inlineStr">
        <is>
          <t>1. S01 vẫn Đỏ (kết quả trước).
2. S01 Không áp dụng; ngừng dấu/lọc đỏ cũ; điểm giữ nguyên.
Bảo toàn: Giữ điểm, cấu hình và đối tượng không đích theo expected; chỉ thay phần thủ tục yêu cầu, không tự đổi oracle hoặc mở rộng phạm vi.</t>
        </is>
      </c>
      <c r="E261" s="19" t="inlineStr"/>
      <c r="F261" s="19" t="inlineStr">
        <is>
          <t>Chưa thực hiện</t>
        </is>
      </c>
      <c r="G261" s="19" t="inlineStr"/>
    </row>
    <row r="262" ht="146" customHeight="1">
      <c r="A262" s="18" t="inlineStr">
        <is>
          <t>TC-RS-BR-019 / registration</t>
        </is>
      </c>
      <c r="B262" s="18" t="inlineStr">
        <is>
          <t>Vòng đời kết quả
Xóa quy tắc cuối: giữ kết quả tới lần chạy lại; chạy lại → Không áp dụng
Xem chi tiết</t>
        </is>
      </c>
      <c r="C262" s="18" t="inlineStr">
        <is>
          <t>Chuẩn bị: Đang chuẩn bị
Kỳ vọng: Đã xác nhận
Dữ liệu (trích): Chạy lại bằng đăng ký điểm
Thao tác (trích): 1. Xóa quy tắc “Cố định 30” (dưới 30) (quy tắc cuối).…
Xem chi tiết</t>
        </is>
      </c>
      <c r="D262" s="18" t="inlineStr">
        <is>
          <t>Kỳ vọng: Đã xác nhận
1–2. Danh sách rỗng nhưng S01 vẫn hiện dấu đỏ/thỏa lọc ở ba đầu ra.…
Xem chi tiết</t>
        </is>
      </c>
      <c r="E262" s="19" t="inlineStr"/>
      <c r="F262" s="19" t="inlineStr">
        <is>
          <t>Chưa thực hiện</t>
        </is>
      </c>
      <c r="G262" s="19" t="inlineStr"/>
    </row>
    <row r="263" ht="163" customHeight="1">
      <c r="A263" s="18" t="inlineStr">
        <is>
          <t>TC-RS-BR-019 / batch</t>
        </is>
      </c>
      <c r="B263" s="18" t="inlineStr">
        <is>
          <t>Vòng đời kết quả
Xóa quy tắc cuối: giữ kết quả tới lần chạy lại; chạy lại → Không áp dụng
Xem chi tiết</t>
        </is>
      </c>
      <c r="C263" s="18" t="inlineStr">
        <is>
          <t>Chuẩn bị: Đang chuẩn bị
Kỳ vọng: Đã xác nhận
Dữ liệu (trích): Chạy lại bằng nút cam, reset baseline trước lượt này
Thao tác (trích): 1. Xóa quy tắc “Cố định 30” (dưới 30) (quy tắc cuối).…
Xem chi tiết</t>
        </is>
      </c>
      <c r="D263" s="18" t="inlineStr">
        <is>
          <t>Kỳ vọng: Đã xác nhận
1–2. Danh sách rỗng nhưng S01 vẫn hiện dấu đỏ/thỏa lọc ở ba đầu ra.…
Xem chi tiết</t>
        </is>
      </c>
      <c r="E263" s="19" t="inlineStr"/>
      <c r="F263" s="19" t="inlineStr">
        <is>
          <t>Chưa thực hiện</t>
        </is>
      </c>
      <c r="G263" s="19" t="inlineStr"/>
    </row>
    <row r="264" ht="146" customHeight="1">
      <c r="A264" s="18" t="inlineStr">
        <is>
          <t>TC-RS-BR-020 / Base</t>
        </is>
      </c>
      <c r="B264" s="18" t="inlineStr">
        <is>
          <t>Thời điểm xét và vòng đời kết quả — Vòng đời kết quả
Xóa điểm thành trống → Không có điểm, bỏ dấu đỏ cũ</t>
        </is>
      </c>
      <c r="C264" s="18" t="inlineStr">
        <is>
          <t>Chuẩn bị: Đang chuẩn bị
Kỳ vọng: Đã xác nhận
Dữ liệu (trích): Toàn bộ thủ tục theo đúng thứ tự; các đối chứng cùng fixture…
Thao tác (trích): 1. Xóa điểm S01 thành trống, lưu.…
Xem chi tiết</t>
        </is>
      </c>
      <c r="D264" s="18" t="inlineStr">
        <is>
          <t>S01 Không có điểm; không còn dấu đỏ; không thỏa lọc đỏ nhờ ô này. Không cần chờ chạy lại.
Bảo toàn: Giữ điểm, cấu hình và đối tượng không đích theo expected; chỉ thay phần thủ tục yêu cầu, không tự đổi oracle hoặc mở rộng phạm vi.</t>
        </is>
      </c>
      <c r="E264" s="19" t="inlineStr"/>
      <c r="F264" s="19" t="inlineStr">
        <is>
          <t>Chưa thực hiện</t>
        </is>
      </c>
      <c r="G264" s="19" t="inlineStr"/>
    </row>
    <row r="265" ht="180" customHeight="1">
      <c r="A265" s="18" t="inlineStr">
        <is>
          <t>TC-RS-BR-021 / Base</t>
        </is>
      </c>
      <c r="B265" s="18" t="inlineStr">
        <is>
          <t>Thời điểm xét và vòng đời kết quả — Vòng đời kết quả
Tổng hợp lại hoặc đổi nhóm tham chiếu không tự xét lại</t>
        </is>
      </c>
      <c r="C265" s="18" t="inlineStr">
        <is>
          <t>Chuẩn bị: Đang chuẩn bị
Kỳ vọng: Đã xác nhận
Dữ liệu (trích): Toàn bộ thủ tục theo đúng thứ tự; các đối chứng cùng fixture…
Thao tác (trích): 1. Sửa điểm nhóm để trung bình mới là 40, bấm Thực hiện tổng hợp（集計実行）.…
Xem chi tiết</t>
        </is>
      </c>
      <c r="D265" s="18" t="inlineStr">
        <is>
          <t>1–2. Vẫn Đỏ theo kết quả trước (không tự xét lại).
3. `A=40` → `T=20` → 24 Không đỏ.
Bảo toàn: Giữ điểm, cấu hình và đối tượng không đích theo expected; chỉ thay phần thủ tục yêu cầu, không tự đổi oracle hoặc mở rộng phạm vi.</t>
        </is>
      </c>
      <c r="E265" s="19" t="inlineStr"/>
      <c r="F265" s="19" t="inlineStr">
        <is>
          <t>Chưa thực hiện</t>
        </is>
      </c>
      <c r="G265" s="19" t="inlineStr"/>
    </row>
    <row r="266" ht="197" customHeight="1">
      <c r="A266" s="18" t="inlineStr">
        <is>
          <t>TC-RS-BR-022 / Base</t>
        </is>
      </c>
      <c r="B266" s="18" t="inlineStr">
        <is>
          <t>Vòng đời kết quả
Đổi M ở Thiết lập điểm tối đa（満点設定） hoặc Giá trị tối đa（最大値） không tự xét lại
Xem chi tiết</t>
        </is>
      </c>
      <c r="C266" s="18" t="inlineStr">
        <is>
          <t>Chuẩn bị: Đang chuẩn bị
Kỳ vọng: Đã xác nhận
Dữ liệu (trích): Toàn bộ thủ tục theo đúng thứ tự; các đối chứng cùng fixture…
Thao tác (trích): 1. Sửa Giá trị tối đa（最大値） của mục số nguyên (M=100) ở Thiết lập ô nhập（入力欄設定） thành 200, lưu. Xem kết quả.…
Xem chi tiết</t>
        </is>
      </c>
      <c r="D266" s="18" t="inlineStr">
        <is>
          <t>1–2. S03 vẫn Không đỏ (kết quả trước).
3. `M=200` → `T=60` → S03=31 Đỏ.
Bảo toàn: Giữ điểm, cấu hình và đối tượng không đích theo expected; chỉ thay phần thủ tục yêu cầu, không tự đổi oracle hoặc mở rộng phạm vi.</t>
        </is>
      </c>
      <c r="E266" s="19" t="inlineStr"/>
      <c r="F266" s="19" t="inlineStr">
        <is>
          <t>Chưa thực hiện</t>
        </is>
      </c>
      <c r="G266" s="19" t="inlineStr"/>
    </row>
    <row r="267" ht="163" customHeight="1">
      <c r="A267" s="18" t="inlineStr">
        <is>
          <t>TC-RS-BR-023 / Base</t>
        </is>
      </c>
      <c r="B267" s="18" t="inlineStr">
        <is>
          <t>Thời điểm xét và vòng đời kết quả — Vòng đời kết quả
Nút xanh Thực hiện tổng hợp（集計実行） không xét điểm đỏ</t>
        </is>
      </c>
      <c r="C267" s="18" t="inlineStr">
        <is>
          <t>Chuẩn bị: Đang chuẩn bị
Kỳ vọng: Đã xác nhận
Dữ liệu (trích): Toàn bộ thủ tục theo đúng thứ tự; các đối chứng cùng fixture…
Thao tác (trích): 1. Bấm Thực hiện tổng hợp（集計実行）, chờ hoàn tất.…
Xem chi tiết</t>
        </is>
      </c>
      <c r="D267" s="18" t="inlineStr">
        <is>
          <t>S03 vẫn Không đỏ.
Bảo toàn: Giữ điểm, cấu hình và đối tượng không đích theo expected; chỉ thay phần thủ tục yêu cầu, không tự đổi oracle hoặc mở rộng phạm vi.</t>
        </is>
      </c>
      <c r="E267" s="19" t="inlineStr"/>
      <c r="F267" s="19" t="inlineStr">
        <is>
          <t>Chưa thực hiện</t>
        </is>
      </c>
      <c r="G267" s="19" t="inlineStr"/>
    </row>
    <row r="268" ht="180" customHeight="1">
      <c r="A268" s="18" t="inlineStr">
        <is>
          <t>TC-RS-BR-024 / extract</t>
        </is>
      </c>
      <c r="B268" s="18" t="inlineStr">
        <is>
          <t>Thời điểm xét và vòng đời kết quả — Vòng đời kết quả
Xem, xuất, công khai, in lại không kích hoạt xét</t>
        </is>
      </c>
      <c r="C268" s="18" t="inlineStr">
        <is>
          <t>Chuẩn bị: Đang chuẩn bị
Kỳ vọng: Đã xác nhận
Dữ liệu (trích): Trích xuất màn
Thao tác (trích): 1. Chạy trích xuất, xuất Excel.…
Xem chi tiết</t>
        </is>
      </c>
      <c r="D268" s="18" t="inlineStr">
        <is>
          <t>S03 vẫn Không đỏ ở mọi đầu ra; không có lượt xét mới (thời điểm kết quả không đổi); không có lượt tổng hợp mới (lượt/thời điểm tổng hợp mới nhất không đổi).
Bảo toàn: Giữ điểm, cấu hình và đối tượng không đích theo expected; chỉ thay phần thủ tục yêu cầu, không tự đổi oracle hoặc mở rộng phạm vi.</t>
        </is>
      </c>
      <c r="E268" s="19" t="inlineStr"/>
      <c r="F268" s="19" t="inlineStr">
        <is>
          <t>Chưa thực hiện</t>
        </is>
      </c>
      <c r="G268" s="19" t="inlineStr"/>
    </row>
    <row r="269" ht="180" customHeight="1">
      <c r="A269" s="18" t="inlineStr">
        <is>
          <t>TC-RS-BR-024 / excel</t>
        </is>
      </c>
      <c r="B269" s="18" t="inlineStr">
        <is>
          <t>Thời điểm xét và vòng đời kết quả — Vòng đời kết quả
Xem, xuất, công khai, in lại không kích hoạt xét</t>
        </is>
      </c>
      <c r="C269" s="18" t="inlineStr">
        <is>
          <t>Chuẩn bị: Đang chuẩn bị
Kỳ vọng: Đã xác nhận
Dữ liệu (trích): File Excel
Thao tác (trích): 1. Chạy trích xuất, xuất Excel.…
Xem chi tiết</t>
        </is>
      </c>
      <c r="D269" s="18" t="inlineStr">
        <is>
          <t>S03 vẫn Không đỏ ở mọi đầu ra; không có lượt xét mới (thời điểm kết quả không đổi); không có lượt tổng hợp mới (lượt/thời điểm tổng hợp mới nhất không đổi).
Bảo toàn: Giữ điểm, cấu hình và đối tượng không đích theo expected; chỉ thay phần thủ tục yêu cầu, không tự đổi oracle hoặc mở rộng phạm vi.</t>
        </is>
      </c>
      <c r="E269" s="19" t="inlineStr"/>
      <c r="F269" s="19" t="inlineStr">
        <is>
          <t>Chưa thực hiện</t>
        </is>
      </c>
      <c r="G269" s="19" t="inlineStr"/>
    </row>
    <row r="270" ht="180" customHeight="1">
      <c r="A270" s="18" t="inlineStr">
        <is>
          <t>TC-RS-BR-024 / publish-web</t>
        </is>
      </c>
      <c r="B270" s="18" t="inlineStr">
        <is>
          <t>Thời điểm xét và vòng đời kết quả — Vòng đời kết quả
Xem, xuất, công khai, in lại không kích hoạt xét</t>
        </is>
      </c>
      <c r="C270" s="18" t="inlineStr">
        <is>
          <t>Chuẩn bị: Đang chuẩn bị
Kỳ vọng: Đã xác nhận
Dữ liệu (trích): Màn công khai
Thao tác (trích): 1. Chạy trích xuất, xuất Excel.…
Xem chi tiết</t>
        </is>
      </c>
      <c r="D270" s="18" t="inlineStr">
        <is>
          <t>S03 vẫn Không đỏ ở mọi đầu ra; không có lượt xét mới (thời điểm kết quả không đổi); không có lượt tổng hợp mới (lượt/thời điểm tổng hợp mới nhất không đổi).
Bảo toàn: Giữ điểm, cấu hình và đối tượng không đích theo expected; chỉ thay phần thủ tục yêu cầu, không tự đổi oracle hoặc mở rộng phạm vi.</t>
        </is>
      </c>
      <c r="E270" s="19" t="inlineStr"/>
      <c r="F270" s="19" t="inlineStr">
        <is>
          <t>Chưa thực hiện</t>
        </is>
      </c>
      <c r="G270" s="19" t="inlineStr"/>
    </row>
    <row r="271" ht="180" customHeight="1">
      <c r="A271" s="18" t="inlineStr">
        <is>
          <t>TC-RS-BR-024 / publish-pdf</t>
        </is>
      </c>
      <c r="B271" s="18" t="inlineStr">
        <is>
          <t>Thời điểm xét và vòng đời kết quả — Vòng đời kết quả
Xem, xuất, công khai, in lại không kích hoạt xét</t>
        </is>
      </c>
      <c r="C271" s="18" t="inlineStr">
        <is>
          <t>Chuẩn bị: Đang chuẩn bị
Kỳ vọng: Đã xác nhận
Dữ liệu (trích): PDF công khai
Thao tác (trích): 1. Chạy trích xuất, xuất Excel.…
Xem chi tiết</t>
        </is>
      </c>
      <c r="D271" s="18" t="inlineStr">
        <is>
          <t>S03 vẫn Không đỏ ở mọi đầu ra; không có lượt xét mới (thời điểm kết quả không đổi); không có lượt tổng hợp mới (lượt/thời điểm tổng hợp mới nhất không đổi).
Bảo toàn: Giữ điểm, cấu hình và đối tượng không đích theo expected; chỉ thay phần thủ tục yêu cầu, không tự đổi oracle hoặc mở rộng phạm vi.</t>
        </is>
      </c>
      <c r="E271" s="19" t="inlineStr"/>
      <c r="F271" s="19" t="inlineStr">
        <is>
          <t>Chưa thực hiện</t>
        </is>
      </c>
      <c r="G271" s="19" t="inlineStr"/>
    </row>
    <row r="272" ht="180" customHeight="1">
      <c r="A272" s="18" t="inlineStr">
        <is>
          <t>TC-RS-BR-024 / report</t>
        </is>
      </c>
      <c r="B272" s="18" t="inlineStr">
        <is>
          <t>Thời điểm xét và vòng đời kết quả — Vòng đời kết quả
Xem, xuất, công khai, in lại không kích hoạt xét</t>
        </is>
      </c>
      <c r="C272" s="18" t="inlineStr">
        <is>
          <t>Chuẩn bị: Đang chuẩn bị
Kỳ vọng: Đã xác nhận
Dữ liệu (trích): Phiếu điểm
Thao tác (trích): 1. Chạy trích xuất, xuất Excel.…
Xem chi tiết</t>
        </is>
      </c>
      <c r="D272" s="18" t="inlineStr">
        <is>
          <t>S03 vẫn Không đỏ ở mọi đầu ra; không có lượt xét mới (thời điểm kết quả không đổi); không có lượt tổng hợp mới (lượt/thời điểm tổng hợp mới nhất không đổi).
Bảo toàn: Giữ điểm, cấu hình và đối tượng không đích theo expected; chỉ thay phần thủ tục yêu cầu, không tự đổi oracle hoặc mở rộng phạm vi.</t>
        </is>
      </c>
      <c r="E272" s="19" t="inlineStr"/>
      <c r="F272" s="19" t="inlineStr">
        <is>
          <t>Chưa thực hiện</t>
        </is>
      </c>
      <c r="G272" s="19" t="inlineStr"/>
    </row>
    <row r="273" ht="163" customHeight="1">
      <c r="A273" s="18" t="inlineStr">
        <is>
          <t>TC-RS-BR-027 / Base</t>
        </is>
      </c>
      <c r="B273" s="18" t="inlineStr">
        <is>
          <t>Thời điểm xét và vòng đời kết quả — Vòng đời kết quả
Chạy lại nhiều lần cho cùng kết quả, không nhân đôi dấu</t>
        </is>
      </c>
      <c r="C273" s="18" t="inlineStr">
        <is>
          <t>Chuẩn bị: Đang chuẩn bị
Kỳ vọng: Đã xác nhận
Dữ liệu (trích): Toàn bộ thủ tục theo đúng thứ tự; các đối chứng cùng fixture…
Thao tác (trích): 1. Chạy nút cam 3 lần liên tiếp (chờ mỗi lần hoàn tất).…
Xem chi tiết</t>
        </is>
      </c>
      <c r="D273" s="18" t="inlineStr">
        <is>
          <t>Ô S01 hiện `※29!` (không `※※29!!`); chỉ một kết quả hiện hành cho ô.
Bảo toàn: Giữ điểm, cấu hình và đối tượng không đích theo expected; chỉ thay phần thủ tục yêu cầu, không tự đổi oracle hoặc mở rộng phạm vi.</t>
        </is>
      </c>
      <c r="E273" s="19" t="inlineStr"/>
      <c r="F273" s="19" t="inlineStr">
        <is>
          <t>Chưa thực hiện</t>
        </is>
      </c>
      <c r="G273" s="19" t="inlineStr"/>
    </row>
    <row r="274" ht="214" customHeight="1">
      <c r="A274" s="18" t="inlineStr">
        <is>
          <t>TC-RS-BR-037 / delete-unit</t>
        </is>
      </c>
      <c r="B274" s="18" t="inlineStr">
        <is>
          <t>Thời điểm xét và vòng đời kết quả — Vòng đời kết quả
Xóa hoặc thôi dùng điểm đơn vị thì ngừng kết quả đỏ cũ của ô đó</t>
        </is>
      </c>
      <c r="C274" s="18" t="inlineStr">
        <is>
          <t>Chuẩn bị: Đang chuẩn bị
Kỳ vọng: Đã xác nhận
Dữ liệu (trích): Nhánh delete-unit trong thủ tục và Expected của case; thực hiện…
Thao tác (trích): 1. Xác nhận U1 Đỏ ở ba đầu ra.…
Xem chi tiết</t>
        </is>
      </c>
      <c r="D274" s="18" t="inlineStr">
        <is>
          <t>1. Mỗi biến thể dùng fixture độc lập. Sau (a) hoặc (b), ô U1 của S06 trong fixture tương ứng không còn dấu đỏ ở ba đầu ra; bộ lọc đỏ không giữ S06 chỉ vì U1 cũ.
2. U2 giữ kết quả Không đỏ; không bị gộp hay xét lại sai.
Bảo toàn: Giữ điểm, cấu hình và đối tượng không đích theo expected; chỉ thay phần thủ tục yêu cầu, không tự đổi oracle hoặc mở rộng phạm vi.</t>
        </is>
      </c>
      <c r="E274" s="19" t="inlineStr"/>
      <c r="F274" s="19" t="inlineStr">
        <is>
          <t>Chưa thực hiện</t>
        </is>
      </c>
      <c r="G274" s="19" t="inlineStr"/>
    </row>
    <row r="275" ht="214" customHeight="1">
      <c r="A275" s="18" t="inlineStr">
        <is>
          <t>TC-RS-BR-037 / disable-unit</t>
        </is>
      </c>
      <c r="B275" s="18" t="inlineStr">
        <is>
          <t>Thời điểm xét và vòng đời kết quả — Vòng đời kết quả
Xóa hoặc thôi dùng điểm đơn vị thì ngừng kết quả đỏ cũ của ô đó</t>
        </is>
      </c>
      <c r="C275" s="18" t="inlineStr">
        <is>
          <t>Chuẩn bị: Đang chuẩn bị
Kỳ vọng: Đã xác nhận
Dữ liệu (trích): Nhánh disable-unit trong thủ tục và Expected của case; thực hiện…
Thao tác (trích): 1. Xác nhận U1 Đỏ ở ba đầu ra.…
Xem chi tiết</t>
        </is>
      </c>
      <c r="D275" s="18" t="inlineStr">
        <is>
          <t>1. Mỗi biến thể dùng fixture độc lập. Sau (a) hoặc (b), ô U1 của S06 trong fixture tương ứng không còn dấu đỏ ở ba đầu ra; bộ lọc đỏ không giữ S06 chỉ vì U1 cũ.
2. U2 giữ kết quả Không đỏ; không bị gộp hay xét lại sai.
Bảo toàn: Giữ điểm, cấu hình và đối tượng không đích theo expected; chỉ thay phần thủ tục yêu cầu, không tự đổi oracle hoặc mở rộng phạm vi.</t>
        </is>
      </c>
      <c r="E275" s="19" t="inlineStr"/>
      <c r="F275" s="19" t="inlineStr">
        <is>
          <t>Chưa thực hiện</t>
        </is>
      </c>
      <c r="G275" s="19" t="inlineStr"/>
    </row>
    <row r="276" ht="163" customHeight="1">
      <c r="A276" s="18" t="inlineStr">
        <is>
          <t>TC-RS-ERR-012 / Base</t>
        </is>
      </c>
      <c r="B276" s="18" t="inlineStr">
        <is>
          <t>Thời điểm xét và vòng đời kết quả — Vòng đời kết quả
Nhập CSV lựa chọn điểm tối đa của lớp</t>
        </is>
      </c>
      <c r="C276" s="18" t="inlineStr">
        <is>
          <t>Chuẩn bị: Đang chuẩn bị
Kỳ vọng: Chờ xác nhận
Dữ liệu (trích): Toàn bộ thủ tục theo đúng thứ tự; các đối chứng cùng fixture…
Thao tác (trích): 1. Nhập CSV lựa chọn điểm tối đa.…
Xem chi tiết</t>
        </is>
      </c>
      <c r="D276" s="18" t="inlineStr">
        <is>
          <t>TBD (chưa chốt): có cần xét lại ngay (`T=15` → Đỏ) hay giữ kết quả trước tới lần chạy lại. Ghi hành vi thực tế.
Bảo toàn: Giữ điểm, cấu hình và đối tượng không đích theo expected; chỉ thay phần thủ tục yêu cầu, không tự đổi oracle hoặc mở rộng phạm vi.</t>
        </is>
      </c>
      <c r="E276" s="19" t="inlineStr"/>
      <c r="F276" s="19" t="inlineStr">
        <is>
          <t>Chưa thực hiện</t>
        </is>
      </c>
      <c r="G276" s="19" t="inlineStr"/>
    </row>
    <row r="277" ht="163" customHeight="1">
      <c r="A277" s="18" t="inlineStr">
        <is>
          <t>TC-RS-ERR-015 / recreate35</t>
        </is>
      </c>
      <c r="B277" s="18" t="inlineStr">
        <is>
          <t>Thời điểm xét và vòng đời kết quả — Vòng đời kết quả
Bản ghi điểm bị xóa rồi tạo lại không kế thừa kết quả cũ</t>
        </is>
      </c>
      <c r="C277" s="18" t="inlineStr">
        <is>
          <t>Chuẩn bị: Đang chuẩn bị
Kỳ vọng: Đã xác nhận
Dữ liệu (trích): Bước 1–3 xóa rồi tạo lại 35
Thao tác (trích): 1. Bỏ sử dụng đơn vị U1 cho lớp (hoặc thay khung điểm theo thao tác hiện có) để ô bị xóa/ngừng hoạt động.…
Xem chi tiết</t>
        </is>
      </c>
      <c r="D277" s="18" t="inlineStr">
        <is>
          <t>Kỳ vọng: Đã xác nhận
Sau bước 1: không còn dấu đỏ của ô cũ. Sau bước 2: ô mới được xét theo 35 → Không đỏ; không mang kết quả Đỏ cũ.…
Xem chi tiết</t>
        </is>
      </c>
      <c r="E277" s="19" t="inlineStr"/>
      <c r="F277" s="19" t="inlineStr">
        <is>
          <t>Chưa thực hiện</t>
        </is>
      </c>
      <c r="G277" s="19" t="inlineStr"/>
    </row>
    <row r="278" ht="163" customHeight="1">
      <c r="A278" s="18" t="inlineStr">
        <is>
          <t>TC-RS-ERR-015 / same29</t>
        </is>
      </c>
      <c r="B278" s="18" t="inlineStr">
        <is>
          <t>Thời điểm xét và vòng đời kết quả — Vòng đời kết quả
Bản ghi điểm bị xóa rồi tạo lại không kế thừa kết quả cũ</t>
        </is>
      </c>
      <c r="C278" s="18" t="inlineStr">
        <is>
          <t>Chuẩn bị: Đang chuẩn bị
Kỳ vọng: Đã xác nhận
Dữ liệu (trích): Bước 4 xóa rồi khôi phục cùng 29
Thao tác (trích): 1. Bỏ sử dụng đơn vị U1 cho lớp (hoặc thay khung điểm theo thao tác hiện có) để ô bị xóa/ngừng hoạt động.…
Xem chi tiết</t>
        </is>
      </c>
      <c r="D278" s="18" t="inlineStr">
        <is>
          <t>Kỳ vọng: Đã xác nhận
Sau bước 1: không còn dấu đỏ của ô cũ. Sau bước 2: ô mới được xét theo 35 → Không đỏ; không mang kết quả Đỏ cũ.…
Xem chi tiết</t>
        </is>
      </c>
      <c r="E278" s="19" t="inlineStr"/>
      <c r="F278" s="19" t="inlineStr">
        <is>
          <t>Chưa thực hiện</t>
        </is>
      </c>
      <c r="G278" s="19" t="inlineStr"/>
    </row>
    <row r="279" ht="163" customHeight="1">
      <c r="A279" s="18" t="inlineStr">
        <is>
          <t>TC-RS-ERR-015 / old-batch</t>
        </is>
      </c>
      <c r="B279" s="18" t="inlineStr">
        <is>
          <t>Thời điểm xét và vòng đời kết quả — Vòng đời kết quả
Bản ghi điểm bị xóa rồi tạo lại không kế thừa kết quả cũ</t>
        </is>
      </c>
      <c r="C279" s="18" t="inlineStr">
        <is>
          <t>Chuẩn bị: Đang chuẩn bị
Kỳ vọng: Đã xác nhận
Dữ liệu (trích): Bước 5 batch cũ sau tạo lại
Thao tác (trích): 1. Bỏ sử dụng đơn vị U1 cho lớp (hoặc thay khung điểm theo thao tác hiện có) để ô bị xóa/ngừng hoạt động.…
Xem chi tiết</t>
        </is>
      </c>
      <c r="D279" s="18" t="inlineStr">
        <is>
          <t>Kỳ vọng: Đã xác nhận
Sau bước 1: không còn dấu đỏ của ô cũ. Sau bước 2: ô mới được xét theo 35 → Không đỏ; không mang kết quả Đỏ cũ.…
Xem chi tiết</t>
        </is>
      </c>
      <c r="E279" s="19" t="inlineStr"/>
      <c r="F279" s="19" t="inlineStr">
        <is>
          <t>Chưa thực hiện</t>
        </is>
      </c>
      <c r="G279" s="19" t="inlineStr"/>
    </row>
    <row r="280" ht="180" customHeight="1">
      <c r="A280" s="18" t="inlineStr">
        <is>
          <t>TC-RS-FUNC-022 / filter-color</t>
        </is>
      </c>
      <c r="B280" s="18" t="inlineStr">
        <is>
          <t>Trích xuất thành tích（成績抽出）
Trích xuất thành tích（成績抽出）: các tùy chọn đỏ được lưu và mở lại đúng
Xem chi tiết</t>
        </is>
      </c>
      <c r="C280" s="18" t="inlineStr">
        <is>
          <t>Chuẩn bị: Đang chuẩn bị
Kỳ vọng: Đã xác nhận
Dữ liệu (trích): Cấu hình lọc và màu
Thao tác (trích): 1. Mở thiết lập hiển thị của trích xuất, khung Thiết lập chi tiết thông tin lớp học（授業情報の詳細設定）, phần điều…
Xem chi tiết</t>
        </is>
      </c>
      <c r="D280" s="18" t="inlineStr">
        <is>
          <t>Kỳ vọng: Đã xác nhận
1. Có bốn tùy chọn độc lập: lọc học sinh có điểm đỏ, ký hiệu phía trước, ký hiệu phía sau, tô màu ô.…
Xem chi tiết</t>
        </is>
      </c>
      <c r="E280" s="19" t="inlineStr"/>
      <c r="F280" s="19" t="inlineStr">
        <is>
          <t>Chưa thực hiện</t>
        </is>
      </c>
      <c r="G280" s="19" t="inlineStr"/>
    </row>
    <row r="281" ht="180" customHeight="1">
      <c r="A281" s="18" t="inlineStr">
        <is>
          <t>TC-RS-FUNC-022 / prefix-suffix</t>
        </is>
      </c>
      <c r="B281" s="18" t="inlineStr">
        <is>
          <t>Trích xuất thành tích（成績抽出）
Trích xuất thành tích（成績抽出）: các tùy chọn đỏ được lưu và mở lại đúng
Xem chi tiết</t>
        </is>
      </c>
      <c r="C281" s="18" t="inlineStr">
        <is>
          <t>Chuẩn bị: Đang chuẩn bị
Kỳ vọng: Đã xác nhận
Dữ liệu (trích): Cấu hình ký hiệu trước/sau
Thao tác (trích): 1. Mở thiết lập hiển thị của trích xuất, khung Thiết lập chi tiết thông tin lớp học（授業情報の詳細設定）, phần điều…
Xem chi tiết</t>
        </is>
      </c>
      <c r="D281" s="18" t="inlineStr">
        <is>
          <t>Kỳ vọng: Đã xác nhận
1. Có bốn tùy chọn độc lập: lọc học sinh có điểm đỏ, ký hiệu phía trước, ký hiệu phía sau, tô màu ô.…
Xem chi tiết</t>
        </is>
      </c>
      <c r="E281" s="19" t="inlineStr"/>
      <c r="F281" s="19" t="inlineStr">
        <is>
          <t>Chưa thực hiện</t>
        </is>
      </c>
      <c r="G281" s="19" t="inlineStr"/>
    </row>
    <row r="282" ht="180" customHeight="1">
      <c r="A282" s="18" t="inlineStr">
        <is>
          <t>TC-RS-FUNC-022 / copy</t>
        </is>
      </c>
      <c r="B282" s="18" t="inlineStr">
        <is>
          <t>Trích xuất thành tích（成績抽出）
Trích xuất thành tích（成績抽出）: các tùy chọn đỏ được lưu và mở lại đúng
Xem chi tiết</t>
        </is>
      </c>
      <c r="C282" s="18" t="inlineStr">
        <is>
          <t>Chuẩn bị: Đang chuẩn bị
Kỳ vọng: Đã xác nhận
Dữ liệu (trích): Sao chép cấu hình theo phần đề xuất
Thao tác (trích): 1. Mở thiết lập hiển thị của trích xuất, khung Thiết lập chi tiết thông tin lớp học（授業情報の詳細設定）, phần điều…
Xem chi tiết</t>
        </is>
      </c>
      <c r="D282" s="18" t="inlineStr">
        <is>
          <t>Kỳ vọng: Đã xác nhận
1. Có bốn tùy chọn độc lập: lọc học sinh có điểm đỏ, ký hiệu phía trước, ký hiệu phía sau, tô màu ô.…
Xem chi tiết</t>
        </is>
      </c>
      <c r="E282" s="19" t="inlineStr"/>
      <c r="F282" s="19" t="inlineStr">
        <is>
          <t>Chưa thực hiện</t>
        </is>
      </c>
      <c r="G282" s="19" t="inlineStr"/>
    </row>
    <row r="283" ht="163" customHeight="1">
      <c r="A283" s="18" t="inlineStr">
        <is>
          <t>TC-RS-FUNC-023 / multi-red-scope</t>
        </is>
      </c>
      <c r="B283" s="18" t="inlineStr">
        <is>
          <t>Trích xuất thành tích（成績抽出）
Trích xuất: lọc giữ học sinh có ít nhất một ô đỏ trong phạm vi đang xét
Xem chi tiết</t>
        </is>
      </c>
      <c r="C283" s="18" t="inlineStr">
        <is>
          <t>Chuẩn bị: Đang chuẩn bị
Kỳ vọng: Đã xác nhận
Dữ liệu (trích): Bước 1, S10 có hai ô đỏ trong phạm vi
Thao tác (trích): 1. Chạy trích xuất với cấu hình trích xuất: lọc, ký hiệu “*” phía trước, tô màu, phạm vi gồm Toán và Ngữ văn.…
Xem chi tiết</t>
        </is>
      </c>
      <c r="D283" s="18" t="inlineStr">
        <is>
          <t>Kỳ vọng: Đã xác nhận
1. Bước 1: S10 có trong danh sách, S03 không.…
Xem chi tiết</t>
        </is>
      </c>
      <c r="E283" s="19" t="inlineStr"/>
      <c r="F283" s="19" t="inlineStr">
        <is>
          <t>Chưa thực hiện</t>
        </is>
      </c>
      <c r="G283" s="19" t="inlineStr"/>
    </row>
    <row r="284" ht="163" customHeight="1">
      <c r="A284" s="18" t="inlineStr">
        <is>
          <t>TC-RS-FUNC-023 / one-red-in-scope</t>
        </is>
      </c>
      <c r="B284" s="18" t="inlineStr">
        <is>
          <t>Trích xuất thành tích（成績抽出）
Trích xuất: lọc giữ học sinh có ít nhất một ô đỏ trong phạm vi đang xét
Xem chi tiết</t>
        </is>
      </c>
      <c r="C284" s="18" t="inlineStr">
        <is>
          <t>Chuẩn bị: Đang chuẩn bị
Kỳ vọng: Đã xác nhận
Dữ liệu (trích): Bước 2, S10 chỉ còn Ngữ văn trong phạm vi
Thao tác (trích): 1. Chạy trích xuất với cấu hình trích xuất: lọc, ký hiệu “*” phía trước, tô màu, phạm vi gồm Toán và Ngữ văn.…
Xem chi tiết</t>
        </is>
      </c>
      <c r="D284" s="18" t="inlineStr">
        <is>
          <t>Kỳ vọng: Đã xác nhận
1. Bước 1: S10 có trong danh sách, S03 không.…
Xem chi tiết</t>
        </is>
      </c>
      <c r="E284" s="19" t="inlineStr"/>
      <c r="F284" s="19" t="inlineStr">
        <is>
          <t>Chưa thực hiện</t>
        </is>
      </c>
      <c r="G284" s="19" t="inlineStr"/>
    </row>
    <row r="285" ht="163" customHeight="1">
      <c r="A285" s="18" t="inlineStr">
        <is>
          <t>TC-RS-FUNC-023 / no-red-in-scope</t>
        </is>
      </c>
      <c r="B285" s="18" t="inlineStr">
        <is>
          <t>Trích xuất thành tích（成績抽出）
Trích xuất: lọc giữ học sinh có ít nhất một ô đỏ trong phạm vi đang xét
Xem chi tiết</t>
        </is>
      </c>
      <c r="C285" s="18" t="inlineStr">
        <is>
          <t>Chuẩn bị: Đang chuẩn bị
Kỳ vọng: Đã xác nhận
Dữ liệu (trích): Đối chứng S03 của bước 1, không ô nào đỏ
Thao tác (trích): 1. Chạy trích xuất với cấu hình trích xuất: lọc, ký hiệu “*” phía trước, tô màu, phạm vi gồm Toán và Ngữ văn.…
Xem chi tiết</t>
        </is>
      </c>
      <c r="D285" s="18" t="inlineStr">
        <is>
          <t>Kỳ vọng: Đã xác nhận
1. Bước 1: S10 có trong danh sách, S03 không.…
Xem chi tiết</t>
        </is>
      </c>
      <c r="E285" s="19" t="inlineStr"/>
      <c r="F285" s="19" t="inlineStr">
        <is>
          <t>Chưa thực hiện</t>
        </is>
      </c>
      <c r="G285" s="19" t="inlineStr"/>
    </row>
    <row r="286" ht="163" customHeight="1">
      <c r="A286" s="18" t="inlineStr">
        <is>
          <t>TC-RS-FUNC-023 / filter-off</t>
        </is>
      </c>
      <c r="B286" s="18" t="inlineStr">
        <is>
          <t>Trích xuất thành tích（成績抽出）
Trích xuất: lọc giữ học sinh có ít nhất một ô đỏ trong phạm vi đang xét
Xem chi tiết</t>
        </is>
      </c>
      <c r="C286" s="18" t="inlineStr">
        <is>
          <t>Chuẩn bị: Đang chuẩn bị
Kỳ vọng: Đã xác nhận
Dữ liệu (trích): Bước 3, chỉ ký hiệu và tắt lọc
Thao tác (trích): 1. Chạy trích xuất với cấu hình trích xuất: lọc, ký hiệu “*” phía trước, tô màu, phạm vi gồm Toán và Ngữ văn.…
Xem chi tiết</t>
        </is>
      </c>
      <c r="D286" s="18" t="inlineStr">
        <is>
          <t>Kỳ vọng: Đã xác nhận
1. Bước 1: S10 có trong danh sách, S03 không.…
Xem chi tiết</t>
        </is>
      </c>
      <c r="E286" s="19" t="inlineStr"/>
      <c r="F286" s="19" t="inlineStr">
        <is>
          <t>Chưa thực hiện</t>
        </is>
      </c>
      <c r="G286" s="19" t="inlineStr"/>
    </row>
    <row r="287" ht="163" customHeight="1">
      <c r="A287" s="18" t="inlineStr">
        <is>
          <t>TC-RS-FUNC-023 / another-period-only</t>
        </is>
      </c>
      <c r="B287" s="18" t="inlineStr">
        <is>
          <t>Trích xuất thành tích（成績抽出）
Trích xuất: lọc giữ học sinh có ít nhất một ô đỏ trong phạm vi đang xét
Xem chi tiết</t>
        </is>
      </c>
      <c r="C287" s="18" t="inlineStr">
        <is>
          <t>Chuẩn bị: Đang chuẩn bị
Kỳ vọng: Đã xác nhận
Dữ liệu (trích): Bước 4, ô đỏ nằm ở thời điểm khác
Thao tác (trích): 1. Chạy trích xuất với cấu hình trích xuất: lọc, ký hiệu “*” phía trước, tô màu, phạm vi gồm Toán và Ngữ văn.…
Xem chi tiết</t>
        </is>
      </c>
      <c r="D287" s="18" t="inlineStr">
        <is>
          <t>Kỳ vọng: Đã xác nhận
1. Bước 1: S10 có trong danh sách, S03 không.…
Xem chi tiết</t>
        </is>
      </c>
      <c r="E287" s="19" t="inlineStr"/>
      <c r="F287" s="19" t="inlineStr">
        <is>
          <t>Chưa thực hiện</t>
        </is>
      </c>
      <c r="G287" s="19" t="inlineStr"/>
    </row>
    <row r="288" ht="163" customHeight="1">
      <c r="A288" s="18" t="inlineStr">
        <is>
          <t>TC-RS-FUNC-023 / other-unit-only</t>
        </is>
      </c>
      <c r="B288" s="18" t="inlineStr">
        <is>
          <t>Trích xuất thành tích（成績抽出）
Trích xuất: lọc giữ học sinh có ít nhất một ô đỏ trong phạm vi đang xét
Xem chi tiết</t>
        </is>
      </c>
      <c r="C288" s="18" t="inlineStr">
        <is>
          <t>Chuẩn bị: Đang chuẩn bị
Kỳ vọng: Đã xác nhận
Dữ liệu (trích): Bước 5, chỉ U2 Không đỏ
Thao tác (trích): 1. Chạy trích xuất với cấu hình trích xuất: lọc, ký hiệu “*” phía trước, tô màu, phạm vi gồm Toán và Ngữ văn.…
Xem chi tiết</t>
        </is>
      </c>
      <c r="D288" s="18" t="inlineStr">
        <is>
          <t>Kỳ vọng: Đã xác nhận
1. Bước 1: S10 có trong danh sách, S03 không.…
Xem chi tiết</t>
        </is>
      </c>
      <c r="E288" s="19" t="inlineStr"/>
      <c r="F288" s="19" t="inlineStr">
        <is>
          <t>Chưa thực hiện</t>
        </is>
      </c>
      <c r="G288" s="19" t="inlineStr"/>
    </row>
    <row r="289" ht="180" customHeight="1">
      <c r="A289" s="18" t="inlineStr">
        <is>
          <t>TC-RS-FUNC-023 / after-delete</t>
        </is>
      </c>
      <c r="B289" s="18" t="inlineStr">
        <is>
          <t>Trích xuất thành tích（成績抽出）
Trích xuất: lọc giữ học sinh có ít nhất một ô đỏ trong phạm vi đang xét
Xem chi tiết</t>
        </is>
      </c>
      <c r="C289" s="18" t="inlineStr">
        <is>
          <t>Chuẩn bị: Đang chuẩn bị
Kỳ vọng: Đã xác nhận
Dữ liệu (trích): Bước 6 sau baseline bước 1, xóa Toán nhưng giữ Ngữ văn
Thao tác (trích): 1. Chạy trích xuất với cấu hình trích xuất: lọc, ký hiệu “*” phía trước, tô màu, phạm vi gồm Toán và Ngữ văn.…
Xem chi tiết</t>
        </is>
      </c>
      <c r="D289" s="18" t="inlineStr">
        <is>
          <t>Kỳ vọng: Đã xác nhận
1. Bước 1: S10 có trong danh sách, S03 không.…
Xem chi tiết</t>
        </is>
      </c>
      <c r="E289" s="19" t="inlineStr"/>
      <c r="F289" s="19" t="inlineStr">
        <is>
          <t>Chưa thực hiện</t>
        </is>
      </c>
      <c r="G289" s="19" t="inlineStr"/>
    </row>
    <row r="290" ht="163" customHeight="1">
      <c r="A290" s="18" t="inlineStr">
        <is>
          <t>TC-RS-FUNC-024 / prefix-color</t>
        </is>
      </c>
      <c r="B290" s="18" t="inlineStr">
        <is>
          <t>Trích xuất thành tích（成績抽出）
Trích xuất: chỉ ô đỏ được thêm ký hiệu/tô màu
Xem chi tiết</t>
        </is>
      </c>
      <c r="C290" s="18" t="inlineStr">
        <is>
          <t>Chuẩn bị: Đang chuẩn bị
Kỳ vọng: Đã xác nhận
Dữ liệu (trích): Ký hiệu trước và màu
Thao tác (trích): 1. Chạy trích xuất cấu hình trích xuất: lọc, ký hiệu “*” phía trước, tô màu, xem dòng S10.…
Xem chi tiết</t>
        </is>
      </c>
      <c r="D290" s="18" t="inlineStr">
        <is>
          <t>Kỳ vọng: Đã xác nhận
1. cấu hình trích xuất: lọc, ký hiệu “*” phía trước, tô màu: ô Toán hiện `*24` với nền màu Đỏ（赤） của bảng màu; ô Ngữ văn `70` không ký hiệu, không màu; không tô cả dòng.…
Xem chi tiết</t>
        </is>
      </c>
      <c r="E290" s="19" t="inlineStr"/>
      <c r="F290" s="19" t="inlineStr">
        <is>
          <t>Chưa thực hiện</t>
        </is>
      </c>
      <c r="G290" s="19" t="inlineStr"/>
    </row>
    <row r="291" ht="163" customHeight="1">
      <c r="A291" s="18" t="inlineStr">
        <is>
          <t>TC-RS-FUNC-024 / prefix-suffix</t>
        </is>
      </c>
      <c r="B291" s="18" t="inlineStr">
        <is>
          <t>Trích xuất thành tích（成績抽出）
Trích xuất: chỉ ô đỏ được thêm ký hiệu/tô màu
Xem chi tiết</t>
        </is>
      </c>
      <c r="C291" s="18" t="inlineStr">
        <is>
          <t>Chuẩn bị: Đang chuẩn bị
Kỳ vọng: Đã xác nhận
Dữ liệu (trích): Ký hiệu trước và sau
Thao tác (trích): 1. Chạy trích xuất cấu hình trích xuất: lọc, ký hiệu “*” phía trước, tô màu, xem dòng S10.…
Xem chi tiết</t>
        </is>
      </c>
      <c r="D291" s="18" t="inlineStr">
        <is>
          <t>Kỳ vọng: Đã xác nhận
1. cấu hình trích xuất: lọc, ký hiệu “*” phía trước, tô màu: ô Toán hiện `*24` với nền màu Đỏ（赤） của bảng màu; ô Ngữ văn `70` không ký hiệu, không màu; không tô cả dòng.…
Xem chi tiết</t>
        </is>
      </c>
      <c r="E291" s="19" t="inlineStr"/>
      <c r="F291" s="19" t="inlineStr">
        <is>
          <t>Chưa thực hiện</t>
        </is>
      </c>
      <c r="G291" s="19" t="inlineStr"/>
    </row>
    <row r="292" ht="146" customHeight="1">
      <c r="A292" s="18" t="inlineStr">
        <is>
          <t>TC-RS-FUNC-025 / filter-on</t>
        </is>
      </c>
      <c r="B292" s="18" t="inlineStr">
        <is>
          <t>Trích xuất thành tích（成績抽出） — Trích xuất thành tích（成績抽出）
Trích xuất: file Excel khớp màn hình</t>
        </is>
      </c>
      <c r="C292" s="18" t="inlineStr">
        <is>
          <t>Chuẩn bị: Đang chuẩn bị
Kỳ vọng: Đã xác nhận
Dữ liệu (trích): Lượt ban đầu bật lọc
Thao tác (trích): 1. Chạy trích xuất, chụp màn kết quả.…
Xem chi tiết</t>
        </is>
      </c>
      <c r="D292" s="18" t="inlineStr">
        <is>
          <t>Kỳ vọng: Đã xác nhận
1–2. Danh sách học sinh trong Excel giống màn hình (lọc đỏ đang bật). Cùng ô: ký hiệu, màu nền, số liệu, ô trống trong Excel giống màn hình. Ô trống không hiện số 0. Tải Excel…
Xem chi tiết</t>
        </is>
      </c>
      <c r="E292" s="19" t="inlineStr"/>
      <c r="F292" s="19" t="inlineStr">
        <is>
          <t>Chưa thực hiện</t>
        </is>
      </c>
      <c r="G292" s="19" t="inlineStr"/>
    </row>
    <row r="293" ht="146" customHeight="1">
      <c r="A293" s="18" t="inlineStr">
        <is>
          <t>TC-RS-FUNC-025 / filter-off</t>
        </is>
      </c>
      <c r="B293" s="18" t="inlineStr">
        <is>
          <t>Trích xuất thành tích（成績抽出） — Trích xuất thành tích（成績抽出）
Trích xuất: file Excel khớp màn hình</t>
        </is>
      </c>
      <c r="C293" s="18" t="inlineStr">
        <is>
          <t>Chuẩn bị: Đang chuẩn bị
Kỳ vọng: Đã xác nhận
Dữ liệu (trích): Nhánh a tắt lọc
Thao tác (trích): 1. Chạy trích xuất, chụp màn kết quả.…
Xem chi tiết</t>
        </is>
      </c>
      <c r="D293" s="18" t="inlineStr">
        <is>
          <t>Kỳ vọng: Đã xác nhận
1–2. Danh sách học sinh trong Excel giống màn hình (lọc đỏ đang bật). Cùng ô: ký hiệu, màu nền, số liệu, ô trống trong Excel giống màn hình. Ô trống không hiện số 0. Tải Excel…
Xem chi tiết</t>
        </is>
      </c>
      <c r="E293" s="19" t="inlineStr"/>
      <c r="F293" s="19" t="inlineStr">
        <is>
          <t>Chưa thực hiện</t>
        </is>
      </c>
      <c r="G293" s="19" t="inlineStr"/>
    </row>
    <row r="294" ht="146" customHeight="1">
      <c r="A294" s="18" t="inlineStr">
        <is>
          <t>TC-RS-FUNC-025 / empty</t>
        </is>
      </c>
      <c r="B294" s="18" t="inlineStr">
        <is>
          <t>Trích xuất thành tích（成績抽出） — Trích xuất thành tích（成績抽出）
Trích xuất: file Excel khớp màn hình</t>
        </is>
      </c>
      <c r="C294" s="18" t="inlineStr">
        <is>
          <t>Chuẩn bị: Đang chuẩn bị
Kỳ vọng: Đã xác nhận
Dữ liệu (trích): Nhánh b không có ô đỏ
Thao tác (trích): 1. Chạy trích xuất, chụp màn kết quả.…
Xem chi tiết</t>
        </is>
      </c>
      <c r="D294" s="18" t="inlineStr">
        <is>
          <t>Kỳ vọng: Đã xác nhận
1–2. Danh sách học sinh trong Excel giống màn hình (lọc đỏ đang bật). Cùng ô: ký hiệu, màu nền, số liệu, ô trống trong Excel giống màn hình. Ô trống không hiện số 0. Tải Excel…
Xem chi tiết</t>
        </is>
      </c>
      <c r="E294" s="19" t="inlineStr"/>
      <c r="F294" s="19" t="inlineStr">
        <is>
          <t>Chưa thực hiện</t>
        </is>
      </c>
      <c r="G294" s="19" t="inlineStr"/>
    </row>
    <row r="295" ht="146" customHeight="1">
      <c r="A295" s="18" t="inlineStr">
        <is>
          <t>TC-RS-FUNC-025 / stale</t>
        </is>
      </c>
      <c r="B295" s="18" t="inlineStr">
        <is>
          <t>Trích xuất thành tích（成績抽出） — Trích xuất thành tích（成績抽出）
Trích xuất: file Excel khớp màn hình</t>
        </is>
      </c>
      <c r="C295" s="18" t="inlineStr">
        <is>
          <t>Chuẩn bị: Đang chuẩn bị
Kỳ vọng: Đã xác nhận
Dữ liệu (trích): Nhánh c kết quả không còn hiệu lực
Thao tác (trích): 1. Chạy trích xuất, chụp màn kết quả.…
Xem chi tiết</t>
        </is>
      </c>
      <c r="D295" s="18" t="inlineStr">
        <is>
          <t>Kỳ vọng: Đã xác nhận
1–2. Danh sách học sinh trong Excel giống màn hình (lọc đỏ đang bật). Cùng ô: ký hiệu, màu nền, số liệu, ô trống trong Excel giống màn hình. Ô trống không hiện số 0. Tải Excel…
Xem chi tiết</t>
        </is>
      </c>
      <c r="E295" s="19" t="inlineStr"/>
      <c r="F295" s="19" t="inlineStr">
        <is>
          <t>Chưa thực hiện</t>
        </is>
      </c>
      <c r="G295" s="19" t="inlineStr"/>
    </row>
    <row r="296" ht="146" customHeight="1">
      <c r="A296" s="18" t="inlineStr">
        <is>
          <t>TC-RS-FUNC-025 / hidden</t>
        </is>
      </c>
      <c r="B296" s="18" t="inlineStr">
        <is>
          <t>Trích xuất thành tích（成績抽出） — Trích xuất thành tích（成績抽出）
Trích xuất: file Excel khớp màn hình</t>
        </is>
      </c>
      <c r="C296" s="18" t="inlineStr">
        <is>
          <t>Chuẩn bị: Đang chuẩn bị
Kỳ vọng: Đã xác nhận
Dữ liệu (trích): Nhánh d điểm ẩn
Thao tác (trích): 1. Chạy trích xuất, chụp màn kết quả.…
Xem chi tiết</t>
        </is>
      </c>
      <c r="D296" s="18" t="inlineStr">
        <is>
          <t>Kỳ vọng: Đã xác nhận
1–2. Danh sách học sinh trong Excel giống màn hình (lọc đỏ đang bật). Cùng ô: ký hiệu, màu nền, số liệu, ô trống trong Excel giống màn hình. Ô trống không hiện số 0. Tải Excel…
Xem chi tiết</t>
        </is>
      </c>
      <c r="E296" s="19" t="inlineStr"/>
      <c r="F296" s="19" t="inlineStr">
        <is>
          <t>Chưa thực hiện</t>
        </is>
      </c>
      <c r="G296" s="19" t="inlineStr"/>
    </row>
    <row r="297" ht="129" customHeight="1">
      <c r="A297" s="18" t="inlineStr">
        <is>
          <t>TC-RS-VAL-017 / prefix</t>
        </is>
      </c>
      <c r="B297" s="18" t="inlineStr">
        <is>
          <t>Trích xuất thành tích（成績抽出）
Trích xuất: bật ký hiệu thì bắt buộc nhập ký hiệu
Xem chi tiết</t>
        </is>
      </c>
      <c r="C297" s="18" t="inlineStr">
        <is>
          <t>Chuẩn bị: Đang chuẩn bị
Kỳ vọng: Đã xác nhận
Dữ liệu (trích): Ký hiệu trước trống
Thao tác (trích): Chạy trích xuất với từng biến thể.
Xem chi tiết</t>
        </is>
      </c>
      <c r="D297" s="18" t="inlineStr">
        <is>
          <t>Có lỗi yêu cầu nhập ký hiệu; không chạy trích xuất.
Bảo toàn: Giữ điểm, cấu hình và đối tượng không đích theo expected; chỉ thay phần thủ tục yêu cầu, không tự đổi oracle hoặc mở rộng phạm vi.</t>
        </is>
      </c>
      <c r="E297" s="19" t="inlineStr"/>
      <c r="F297" s="19" t="inlineStr">
        <is>
          <t>Chưa thực hiện</t>
        </is>
      </c>
      <c r="G297" s="19" t="inlineStr"/>
    </row>
    <row r="298" ht="129" customHeight="1">
      <c r="A298" s="18" t="inlineStr">
        <is>
          <t>TC-RS-VAL-017 / suffix</t>
        </is>
      </c>
      <c r="B298" s="18" t="inlineStr">
        <is>
          <t>Trích xuất thành tích（成績抽出）
Trích xuất: bật ký hiệu thì bắt buộc nhập ký hiệu
Xem chi tiết</t>
        </is>
      </c>
      <c r="C298" s="18" t="inlineStr">
        <is>
          <t>Chuẩn bị: Đang chuẩn bị
Kỳ vọng: Đã xác nhận
Dữ liệu (trích): Ký hiệu sau trống
Thao tác (trích): Chạy trích xuất với từng biến thể.
Xem chi tiết</t>
        </is>
      </c>
      <c r="D298" s="18" t="inlineStr">
        <is>
          <t>Có lỗi yêu cầu nhập ký hiệu; không chạy trích xuất.
Bảo toàn: Giữ điểm, cấu hình và đối tượng không đích theo expected; chỉ thay phần thủ tục yêu cầu, không tự đổi oracle hoặc mở rộng phạm vi.</t>
        </is>
      </c>
      <c r="E298" s="19" t="inlineStr"/>
      <c r="F298" s="19" t="inlineStr">
        <is>
          <t>Chưa thực hiện</t>
        </is>
      </c>
      <c r="G298" s="19" t="inlineStr"/>
    </row>
    <row r="299" ht="197" customHeight="1">
      <c r="A299" s="18" t="inlineStr">
        <is>
          <t>TC-RS-UI-020 / Base</t>
        </is>
      </c>
      <c r="B299" s="18" t="inlineStr">
        <is>
          <t>Trích xuất thành tích（成績抽出） — Trích xuất thành tích（成績抽出）
Trích xuất: vị trí và nhãn tùy chọn đỏ</t>
        </is>
      </c>
      <c r="C299" s="18" t="inlineStr">
        <is>
          <t>Chuẩn bị: Đang chuẩn bị
Kỳ vọng: Đã xác nhận
Dữ liệu (trích): Toàn bộ thủ tục theo đúng thứ tự; các đối chứng cùng fixture…
Thao tác (trích): 1. Mở Trích xuất thành tích（成績抽出）→ Thiết lập mục hiển thị（表示項目設定）→ chi tiết mục Điểm đánh giá（評点） kỳ Cuối kỳ…
Xem chi tiết</t>
        </is>
      </c>
      <c r="D299" s="18" t="inlineStr">
        <is>
          <t>Kỳ vọng: Đã xác nhận
Theo specification v2 mục 9.1, có bốn tùy chọn độc lập: lọc học sinh có điểm đỏ, ký hiệu phía trước, ký hiệu phía sau và tô màu ô; màu chỉ chọn từ bảng màu hiện có. Vị trí và nhãn…
Xem chi tiết</t>
        </is>
      </c>
      <c r="E299" s="19" t="inlineStr"/>
      <c r="F299" s="19" t="inlineStr">
        <is>
          <t>Chưa thực hiện</t>
        </is>
      </c>
      <c r="G299" s="19" t="inlineStr"/>
    </row>
    <row r="300" ht="180" customHeight="1">
      <c r="A300" s="18" t="inlineStr">
        <is>
          <t>TC-RS-UI-021 / empty</t>
        </is>
      </c>
      <c r="B300" s="18" t="inlineStr">
        <is>
          <t>Trích xuất thành tích（成績抽出）
Trích xuất: kết quả 0 học sinh và hiển thị ô đỏ số thập phân
Xem chi tiết</t>
        </is>
      </c>
      <c r="C300" s="18" t="inlineStr">
        <is>
          <t>Chuẩn bị: Đang chuẩn bị
Kỳ vọng: Đề xuất
Dữ liệu (trích): Fixture a không ô đỏ
Thao tác (trích): Chạy trích xuất cho (a), (b).
Xem chi tiết</t>
        </is>
      </c>
      <c r="D300" s="18" t="inlineStr">
        <is>
          <t>(a) Không lỗi; hiện thông báo không có học sinh khớp.
(b) Ô hiện `*23.9` (giữ nguyên giá trị điểm).
Bảo toàn: Giữ điểm, cấu hình và đối tượng không đích theo expected; chỉ thay phần thủ tục yêu cầu, không tự đổi oracle hoặc mở rộng phạm vi.</t>
        </is>
      </c>
      <c r="E300" s="19" t="inlineStr"/>
      <c r="F300" s="19" t="inlineStr">
        <is>
          <t>Chưa thực hiện</t>
        </is>
      </c>
      <c r="G300" s="19" t="inlineStr"/>
    </row>
    <row r="301" ht="180" customHeight="1">
      <c r="A301" s="18" t="inlineStr">
        <is>
          <t>TC-RS-UI-021 / decimal</t>
        </is>
      </c>
      <c r="B301" s="18" t="inlineStr">
        <is>
          <t>Trích xuất thành tích（成績抽出）
Trích xuất: kết quả 0 học sinh và hiển thị ô đỏ số thập phân
Xem chi tiết</t>
        </is>
      </c>
      <c r="C301" s="18" t="inlineStr">
        <is>
          <t>Chuẩn bị: Đang chuẩn bị
Kỳ vọng: Đề xuất
Dữ liệu (trích): Fixture b điểm thập phân 23.9
Thao tác (trích): Chạy trích xuất cho (a), (b).
Xem chi tiết</t>
        </is>
      </c>
      <c r="D301" s="18" t="inlineStr">
        <is>
          <t>(a) Không lỗi; hiện thông báo không có học sinh khớp.
(b) Ô hiện `*23.9` (giữ nguyên giá trị điểm).
Bảo toàn: Giữ điểm, cấu hình và đối tượng không đích theo expected; chỉ thay phần thủ tục yêu cầu, không tự đổi oracle hoặc mở rộng phạm vi.</t>
        </is>
      </c>
      <c r="E301" s="19" t="inlineStr"/>
      <c r="F301" s="19" t="inlineStr">
        <is>
          <t>Chưa thực hiện</t>
        </is>
      </c>
      <c r="G301" s="19" t="inlineStr"/>
    </row>
    <row r="302" ht="180" customHeight="1">
      <c r="A302" s="18" t="inlineStr">
        <is>
          <t>TC-RS-ERR-013 / Base</t>
        </is>
      </c>
      <c r="B302" s="18" t="inlineStr">
        <is>
          <t>Trích xuất thành tích（成績抽出）
Trích xuất: ô vừa thỏa điều kiện màu khác vừa là ô đỏ
Xem chi tiết</t>
        </is>
      </c>
      <c r="C302" s="18" t="inlineStr">
        <is>
          <t>Chuẩn bị: Đang chuẩn bị
Kỳ vọng: Chờ xác nhận
Dữ liệu (trích): Toàn bộ thủ tục theo đúng thứ tự; các đối chứng cùng fixture…
Thao tác (trích): Chạy trích xuất, xuất Excel.
Xem chi tiết</t>
        </is>
      </c>
      <c r="D302" s="18" t="inlineStr">
        <is>
          <t>TBD (chưa chốt) cho màu cuối. CONFIRMED phần không tranh chấp: điều kiện Khoảng điểm vẫn giữ nghĩa cũ; màn hình và Excel cho cùng kết quả.
Bảo toàn: Giữ điểm, cấu hình và đối tượng không đích theo expected; chỉ thay phần thủ tục yêu cầu, không tự đổi oracle hoặc mở rộng phạm vi.</t>
        </is>
      </c>
      <c r="E302" s="19" t="inlineStr"/>
      <c r="F302" s="19" t="inlineStr">
        <is>
          <t>Chưa thực hiện</t>
        </is>
      </c>
      <c r="G302" s="19" t="inlineStr"/>
    </row>
    <row r="303" ht="129" customHeight="1">
      <c r="A303" s="18" t="inlineStr">
        <is>
          <t>TC-RS-REG-006 / color</t>
        </is>
      </c>
      <c r="B303" s="18" t="inlineStr">
        <is>
          <t>Trích xuất thành tích（成績抽出）
Trích xuất: mẫu hiện có không cấu hình đỏ cho kết quả như trước
Xem chi tiết</t>
        </is>
      </c>
      <c r="C303" s="18" t="inlineStr">
        <is>
          <t>Chuẩn bị: Đang chuẩn bị
Kỳ vọng: Đã xác nhận
Dữ liệu (trích): Mẫu tô màu
Thao tác (trích): 1. Chạy lại ba mẫu, xuất Excel, so với baseline.…
Xem chi tiết</t>
        </is>
      </c>
      <c r="D303" s="18" t="inlineStr">
        <is>
          <t>Kỳ vọng: Đã xác nhận
1. Danh sách học sinh, giá trị, ký hiệu, màu và định dạng Excel bằng baseline (mẫu chưa bật tùy chọn đỏ).…
Xem chi tiết</t>
        </is>
      </c>
      <c r="E303" s="19" t="inlineStr"/>
      <c r="F303" s="19" t="inlineStr">
        <is>
          <t>Chưa thực hiện</t>
        </is>
      </c>
      <c r="G303" s="19" t="inlineStr"/>
    </row>
    <row r="304" ht="129" customHeight="1">
      <c r="A304" s="18" t="inlineStr">
        <is>
          <t>TC-RS-REG-006 / filter</t>
        </is>
      </c>
      <c r="B304" s="18" t="inlineStr">
        <is>
          <t>Trích xuất thành tích（成績抽出）
Trích xuất: mẫu hiện có không cấu hình đỏ cho kết quả như trước
Xem chi tiết</t>
        </is>
      </c>
      <c r="C304" s="18" t="inlineStr">
        <is>
          <t>Chuẩn bị: Đang chuẩn bị
Kỳ vọng: Đã xác nhận
Dữ liệu (trích): Mẫu lọc
Thao tác (trích): 1. Chạy lại ba mẫu, xuất Excel, so với baseline.…
Xem chi tiết</t>
        </is>
      </c>
      <c r="D304" s="18" t="inlineStr">
        <is>
          <t>Kỳ vọng: Đã xác nhận
1. Danh sách học sinh, giá trị, ký hiệu, màu và định dạng Excel bằng baseline (mẫu chưa bật tùy chọn đỏ).…
Xem chi tiết</t>
        </is>
      </c>
      <c r="E304" s="19" t="inlineStr"/>
      <c r="F304" s="19" t="inlineStr">
        <is>
          <t>Chưa thực hiện</t>
        </is>
      </c>
      <c r="G304" s="19" t="inlineStr"/>
    </row>
    <row r="305" ht="129" customHeight="1">
      <c r="A305" s="18" t="inlineStr">
        <is>
          <t>TC-RS-REG-006 / symbol</t>
        </is>
      </c>
      <c r="B305" s="18" t="inlineStr">
        <is>
          <t>Trích xuất thành tích（成績抽出）
Trích xuất: mẫu hiện có không cấu hình đỏ cho kết quả như trước
Xem chi tiết</t>
        </is>
      </c>
      <c r="C305" s="18" t="inlineStr">
        <is>
          <t>Chuẩn bị: Đang chuẩn bị
Kỳ vọng: Đã xác nhận
Dữ liệu (trích): Mẫu ký hiệu
Thao tác (trích): 1. Chạy lại ba mẫu, xuất Excel, so với baseline.…
Xem chi tiết</t>
        </is>
      </c>
      <c r="D305" s="18" t="inlineStr">
        <is>
          <t>Kỳ vọng: Đã xác nhận
1. Danh sách học sinh, giá trị, ký hiệu, màu và định dạng Excel bằng baseline (mẫu chưa bật tùy chọn đỏ).…
Xem chi tiết</t>
        </is>
      </c>
      <c r="E305" s="19" t="inlineStr"/>
      <c r="F305" s="19" t="inlineStr">
        <is>
          <t>Chưa thực hiện</t>
        </is>
      </c>
      <c r="G305" s="19" t="inlineStr"/>
    </row>
    <row r="306" ht="146" customHeight="1">
      <c r="A306" s="18" t="inlineStr">
        <is>
          <t>TC-RS-REG-006 / defaults</t>
        </is>
      </c>
      <c r="B306" s="18" t="inlineStr">
        <is>
          <t>Trích xuất thành tích（成績抽出）
Trích xuất: mẫu hiện có không cấu hình đỏ cho kết quả như trước
Xem chi tiết</t>
        </is>
      </c>
      <c r="C306" s="18" t="inlineStr">
        <is>
          <t>Chuẩn bị: Đang chuẩn bị
Kỳ vọng: Đã xác nhận
Dữ liệu (trích): Bước 2 các cấu hình mới, phần đề xuất
Thao tác (trích): 1. Chạy lại ba mẫu, xuất Excel, so với baseline.…
Xem chi tiết</t>
        </is>
      </c>
      <c r="D306" s="18" t="inlineStr">
        <is>
          <t>Kỳ vọng: Đã xác nhận
1. Danh sách học sinh, giá trị, ký hiệu, màu và định dạng Excel bằng baseline (mẫu chưa bật tùy chọn đỏ).…
Xem chi tiết</t>
        </is>
      </c>
      <c r="E306" s="19" t="inlineStr"/>
      <c r="F306" s="19" t="inlineStr">
        <is>
          <t>Chưa thực hiện</t>
        </is>
      </c>
      <c r="G306" s="19" t="inlineStr"/>
    </row>
    <row r="307" ht="163" customHeight="1">
      <c r="A307" s="18" t="inlineStr">
        <is>
          <t>TC-RS-FUNC-026 / parentheses</t>
        </is>
      </c>
      <c r="B307" s="18" t="inlineStr">
        <is>
          <t>Công khai thành tích（成績公開）
Công khai thành tích（成績公開）: ba hiệu ứng đỏ hiển thị đúng ở màn học sinh
Xem chi tiết</t>
        </is>
      </c>
      <c r="C307" s="18" t="inlineStr">
        <is>
          <t>Chuẩn bị: Đang chuẩn bị
Kỳ vọng: Đã xác nhận
Dữ liệu (trích): Hiệu ứng ngoặc
Thao tác (trích): 1. Ở Thiết lập công khai thành tích（成績公開設定）, mục mục số nguyên (M=100), chọn hiệu ứng đỏ Ngoặc（括弧）, lưu. Đăng…
Xem chi tiết</t>
        </is>
      </c>
      <c r="D307" s="18" t="inlineStr">
        <is>
          <t>Kỳ vọng: Đã xác nhận
1–3. Lần lượt `(29)`, `*29`, `29*`. Không có nền màu riêng cho ô đỏ.…
Xem chi tiết</t>
        </is>
      </c>
      <c r="E307" s="19" t="inlineStr"/>
      <c r="F307" s="19" t="inlineStr">
        <is>
          <t>Chưa thực hiện</t>
        </is>
      </c>
      <c r="G307" s="19" t="inlineStr"/>
    </row>
    <row r="308" ht="180" customHeight="1">
      <c r="A308" s="18" t="inlineStr">
        <is>
          <t>TC-RS-FUNC-026 / prefix</t>
        </is>
      </c>
      <c r="B308" s="18" t="inlineStr">
        <is>
          <t>Công khai thành tích（成績公開）
Công khai thành tích（成績公開）: ba hiệu ứng đỏ hiển thị đúng ở màn học sinh
Xem chi tiết</t>
        </is>
      </c>
      <c r="C308" s="18" t="inlineStr">
        <is>
          <t>Chuẩn bị: Đang chuẩn bị
Kỳ vọng: Đã xác nhận
Dữ liệu (trích): Hiệu ứng phía trước
Thao tác (trích): 1. Ở Thiết lập công khai thành tích（成績公開設定）, mục mục số nguyên (M=100), chọn hiệu ứng đỏ Ngoặc（括弧）, lưu. Đăng…
Xem chi tiết</t>
        </is>
      </c>
      <c r="D308" s="18" t="inlineStr">
        <is>
          <t>Kỳ vọng: Đã xác nhận
1–3. Lần lượt `(29)`, `*29`, `29*`. Không có nền màu riêng cho ô đỏ.…
Xem chi tiết</t>
        </is>
      </c>
      <c r="E308" s="19" t="inlineStr"/>
      <c r="F308" s="19" t="inlineStr">
        <is>
          <t>Chưa thực hiện</t>
        </is>
      </c>
      <c r="G308" s="19" t="inlineStr"/>
    </row>
    <row r="309" ht="180" customHeight="1">
      <c r="A309" s="18" t="inlineStr">
        <is>
          <t>TC-RS-FUNC-026 / suffix-reopen</t>
        </is>
      </c>
      <c r="B309" s="18" t="inlineStr">
        <is>
          <t>Công khai thành tích（成績公開）
Công khai thành tích（成績公開）: ba hiệu ứng đỏ hiển thị đúng ở màn học sinh
Xem chi tiết</t>
        </is>
      </c>
      <c r="C309" s="18" t="inlineStr">
        <is>
          <t>Chuẩn bị: Đang chuẩn bị
Kỳ vọng: Đã xác nhận
Dữ liệu (trích): Hiệu ứng phía sau và mở lại
Thao tác (trích): 1. Ở Thiết lập công khai thành tích（成績公開設定）, mục mục số nguyên (M=100), chọn hiệu ứng đỏ Ngoặc（括弧）, lưu. Đăng…
Xem chi tiết</t>
        </is>
      </c>
      <c r="D309" s="18" t="inlineStr">
        <is>
          <t>Kỳ vọng: Đã xác nhận
1–3. Lần lượt `(29)`, `*29`, `29*`. Không có nền màu riêng cho ô đỏ.…
Xem chi tiết</t>
        </is>
      </c>
      <c r="E309" s="19" t="inlineStr"/>
      <c r="F309" s="19" t="inlineStr">
        <is>
          <t>Chưa thực hiện</t>
        </is>
      </c>
      <c r="G309" s="19" t="inlineStr"/>
    </row>
    <row r="310" ht="180" customHeight="1">
      <c r="A310" s="18" t="inlineStr">
        <is>
          <t>TC-RS-FUNC-026 / unit-prefix</t>
        </is>
      </c>
      <c r="B310" s="18" t="inlineStr">
        <is>
          <t>Công khai thành tích（成績公開）
Công khai thành tích（成績公開）: ba hiệu ứng đỏ hiển thị đúng ở màn học sinh
Xem chi tiết</t>
        </is>
      </c>
      <c r="C310" s="18" t="inlineStr">
        <is>
          <t>Chuẩn bị: Đang chuẩn bị
Kỳ vọng: Đã xác nhận
Dữ liệu (trích): Điểm đơn vị với hiệu ứng phía trước
Thao tác (trích): 1. Ở Thiết lập công khai thành tích（成績公開設定）, mục mục số nguyên (M=100), chọn hiệu ứng đỏ Ngoặc（括弧）, lưu. Đăng…
Xem chi tiết</t>
        </is>
      </c>
      <c r="D310" s="18" t="inlineStr">
        <is>
          <t>Kỳ vọng: Đã xác nhận
1–3. Lần lượt `(29)`, `*29`, `29*`. Không có nền màu riêng cho ô đỏ.…
Xem chi tiết</t>
        </is>
      </c>
      <c r="E310" s="19" t="inlineStr"/>
      <c r="F310" s="19" t="inlineStr">
        <is>
          <t>Chưa thực hiện</t>
        </is>
      </c>
      <c r="G310" s="19" t="inlineStr"/>
    </row>
    <row r="311" ht="180" customHeight="1">
      <c r="A311" s="18" t="inlineStr">
        <is>
          <t>TC-RS-FUNC-027 / a</t>
        </is>
      </c>
      <c r="B311" s="18" t="inlineStr">
        <is>
          <t>Công khai thành tích（成績公開）
Công khai: kết hợp hiệu ứng Điểm dự kiến（見込点） và điểm đỏ, khử trùng
Xem chi tiết</t>
        </is>
      </c>
      <c r="C311" s="18" t="inlineStr">
        <is>
          <t>Chuẩn bị: Đang chuẩn bị
Kỳ vọng: Đã xác nhận
Dữ liệu (trích): Thực hiện tổ hợp (a)
Thao tác (trích): Với mỗi dòng của bảng dưới, cấu hình hiệu ứng dự kiến và hiệu ứng đỏ, lưu, xem màn học sinh của S06.…
Xem chi tiết</t>
        </is>
      </c>
      <c r="D311" s="18" t="inlineStr">
        <is>
          <t>(a) `(*24)`; (b) `*24`, không phải `**24`; (c) `(24)`, không phải `((24))`; (d) `*24*`; (e) `(24)`; (f) vẫn ẩn, không hiện số, không để lại riêng dấu `*`.
Bảo toàn: Giữ điểm, cấu hình và đối tượng không đích theo expected; chỉ thay phần thủ tục yêu cầu, không tự đổi oracle hoặc mở rộng phạm vi.</t>
        </is>
      </c>
      <c r="E311" s="19" t="inlineStr"/>
      <c r="F311" s="19" t="inlineStr">
        <is>
          <t>Chưa thực hiện</t>
        </is>
      </c>
      <c r="G311" s="19" t="inlineStr"/>
    </row>
    <row r="312" ht="180" customHeight="1">
      <c r="A312" s="18" t="inlineStr">
        <is>
          <t>TC-RS-FUNC-027 / b</t>
        </is>
      </c>
      <c r="B312" s="18" t="inlineStr">
        <is>
          <t>Công khai thành tích（成績公開）
Công khai: kết hợp hiệu ứng Điểm dự kiến（見込点） và điểm đỏ, khử trùng
Xem chi tiết</t>
        </is>
      </c>
      <c r="C312" s="18" t="inlineStr">
        <is>
          <t>Chuẩn bị: Đang chuẩn bị
Kỳ vọng: Đã xác nhận
Dữ liệu (trích): Thực hiện tổ hợp (b)
Thao tác (trích): Với mỗi dòng của bảng dưới, cấu hình hiệu ứng dự kiến và hiệu ứng đỏ, lưu, xem màn học sinh của S06.…
Xem chi tiết</t>
        </is>
      </c>
      <c r="D312" s="18" t="inlineStr">
        <is>
          <t>(a) `(*24)`; (b) `*24`, không phải `**24`; (c) `(24)`, không phải `((24))`; (d) `*24*`; (e) `(24)`; (f) vẫn ẩn, không hiện số, không để lại riêng dấu `*`.
Bảo toàn: Giữ điểm, cấu hình và đối tượng không đích theo expected; chỉ thay phần thủ tục yêu cầu, không tự đổi oracle hoặc mở rộng phạm vi.</t>
        </is>
      </c>
      <c r="E312" s="19" t="inlineStr"/>
      <c r="F312" s="19" t="inlineStr">
        <is>
          <t>Chưa thực hiện</t>
        </is>
      </c>
      <c r="G312" s="19" t="inlineStr"/>
    </row>
    <row r="313" ht="180" customHeight="1">
      <c r="A313" s="18" t="inlineStr">
        <is>
          <t>TC-RS-FUNC-027 / c</t>
        </is>
      </c>
      <c r="B313" s="18" t="inlineStr">
        <is>
          <t>Công khai thành tích（成績公開）
Công khai: kết hợp hiệu ứng Điểm dự kiến（見込点） và điểm đỏ, khử trùng
Xem chi tiết</t>
        </is>
      </c>
      <c r="C313" s="18" t="inlineStr">
        <is>
          <t>Chuẩn bị: Đang chuẩn bị
Kỳ vọng: Đã xác nhận
Dữ liệu (trích): Thực hiện tổ hợp (c)
Thao tác (trích): Với mỗi dòng của bảng dưới, cấu hình hiệu ứng dự kiến và hiệu ứng đỏ, lưu, xem màn học sinh của S06.…
Xem chi tiết</t>
        </is>
      </c>
      <c r="D313" s="18" t="inlineStr">
        <is>
          <t>(a) `(*24)`; (b) `*24`, không phải `**24`; (c) `(24)`, không phải `((24))`; (d) `*24*`; (e) `(24)`; (f) vẫn ẩn, không hiện số, không để lại riêng dấu `*`.
Bảo toàn: Giữ điểm, cấu hình và đối tượng không đích theo expected; chỉ thay phần thủ tục yêu cầu, không tự đổi oracle hoặc mở rộng phạm vi.</t>
        </is>
      </c>
      <c r="E313" s="19" t="inlineStr"/>
      <c r="F313" s="19" t="inlineStr">
        <is>
          <t>Chưa thực hiện</t>
        </is>
      </c>
      <c r="G313" s="19" t="inlineStr"/>
    </row>
    <row r="314" ht="180" customHeight="1">
      <c r="A314" s="18" t="inlineStr">
        <is>
          <t>TC-RS-FUNC-027 / d</t>
        </is>
      </c>
      <c r="B314" s="18" t="inlineStr">
        <is>
          <t>Công khai thành tích（成績公開）
Công khai: kết hợp hiệu ứng Điểm dự kiến（見込点） và điểm đỏ, khử trùng
Xem chi tiết</t>
        </is>
      </c>
      <c r="C314" s="18" t="inlineStr">
        <is>
          <t>Chuẩn bị: Đang chuẩn bị
Kỳ vọng: Đã xác nhận
Dữ liệu (trích): Thực hiện tổ hợp (d)
Thao tác (trích): Với mỗi dòng của bảng dưới, cấu hình hiệu ứng dự kiến và hiệu ứng đỏ, lưu, xem màn học sinh của S06.…
Xem chi tiết</t>
        </is>
      </c>
      <c r="D314" s="18" t="inlineStr">
        <is>
          <t>(a) `(*24)`; (b) `*24`, không phải `**24`; (c) `(24)`, không phải `((24))`; (d) `*24*`; (e) `(24)`; (f) vẫn ẩn, không hiện số, không để lại riêng dấu `*`.
Bảo toàn: Giữ điểm, cấu hình và đối tượng không đích theo expected; chỉ thay phần thủ tục yêu cầu, không tự đổi oracle hoặc mở rộng phạm vi.</t>
        </is>
      </c>
      <c r="E314" s="19" t="inlineStr"/>
      <c r="F314" s="19" t="inlineStr">
        <is>
          <t>Chưa thực hiện</t>
        </is>
      </c>
      <c r="G314" s="19" t="inlineStr"/>
    </row>
    <row r="315" ht="180" customHeight="1">
      <c r="A315" s="18" t="inlineStr">
        <is>
          <t>TC-RS-FUNC-027 / e</t>
        </is>
      </c>
      <c r="B315" s="18" t="inlineStr">
        <is>
          <t>Công khai thành tích（成績公開）
Công khai: kết hợp hiệu ứng Điểm dự kiến（見込点） và điểm đỏ, khử trùng
Xem chi tiết</t>
        </is>
      </c>
      <c r="C315" s="18" t="inlineStr">
        <is>
          <t>Chuẩn bị: Đang chuẩn bị
Kỳ vọng: Đã xác nhận
Dữ liệu (trích): Thực hiện tổ hợp (e)
Thao tác (trích): Với mỗi dòng của bảng dưới, cấu hình hiệu ứng dự kiến và hiệu ứng đỏ, lưu, xem màn học sinh của S06.…
Xem chi tiết</t>
        </is>
      </c>
      <c r="D315" s="18" t="inlineStr">
        <is>
          <t>(a) `(*24)`; (b) `*24`, không phải `**24`; (c) `(24)`, không phải `((24))`; (d) `*24*`; (e) `(24)`; (f) vẫn ẩn, không hiện số, không để lại riêng dấu `*`.
Bảo toàn: Giữ điểm, cấu hình và đối tượng không đích theo expected; chỉ thay phần thủ tục yêu cầu, không tự đổi oracle hoặc mở rộng phạm vi.</t>
        </is>
      </c>
      <c r="E315" s="19" t="inlineStr"/>
      <c r="F315" s="19" t="inlineStr">
        <is>
          <t>Chưa thực hiện</t>
        </is>
      </c>
      <c r="G315" s="19" t="inlineStr"/>
    </row>
    <row r="316" ht="180" customHeight="1">
      <c r="A316" s="18" t="inlineStr">
        <is>
          <t>TC-RS-FUNC-027 / f</t>
        </is>
      </c>
      <c r="B316" s="18" t="inlineStr">
        <is>
          <t>Công khai thành tích（成績公開）
Công khai: kết hợp hiệu ứng Điểm dự kiến（見込点） và điểm đỏ, khử trùng
Xem chi tiết</t>
        </is>
      </c>
      <c r="C316" s="18" t="inlineStr">
        <is>
          <t>Chuẩn bị: Đang chuẩn bị
Kỳ vọng: Đã xác nhận
Dữ liệu (trích): Thực hiện tổ hợp (f)
Thao tác (trích): Với mỗi dòng của bảng dưới, cấu hình hiệu ứng dự kiến và hiệu ứng đỏ, lưu, xem màn học sinh của S06.…
Xem chi tiết</t>
        </is>
      </c>
      <c r="D316" s="18" t="inlineStr">
        <is>
          <t>(a) `(*24)`; (b) `*24`, không phải `**24`; (c) `(24)`, không phải `((24))`; (d) `*24*`; (e) `(24)`; (f) vẫn ẩn, không hiện số, không để lại riêng dấu `*`.
Bảo toàn: Giữ điểm, cấu hình và đối tượng không đích theo expected; chỉ thay phần thủ tục yêu cầu, không tự đổi oracle hoặc mở rộng phạm vi.</t>
        </is>
      </c>
      <c r="E316" s="19" t="inlineStr"/>
      <c r="F316" s="19" t="inlineStr">
        <is>
          <t>Chưa thực hiện</t>
        </is>
      </c>
      <c r="G316" s="19" t="inlineStr"/>
    </row>
    <row r="317" ht="129" customHeight="1">
      <c r="A317" s="18" t="inlineStr">
        <is>
          <t>TC-RS-FUNC-028 / web</t>
        </is>
      </c>
      <c r="B317" s="18" t="inlineStr">
        <is>
          <t>Công khai thành tích（成績公開）
Công khai: web, API và PDF học sinh dùng cùng kết quả và cùng hiệu ứng
Xem chi tiết</t>
        </is>
      </c>
      <c r="C317" s="18" t="inlineStr">
        <is>
          <t>Chuẩn bị: Đang chuẩn bị
Kỳ vọng: Đã xác nhận
Dữ liệu (trích): Màn web
Thao tác (trích): 1. Xem màn web Xác nhận thành tích（成績確認） của S01.…
Xem chi tiết</t>
        </is>
      </c>
      <c r="D317" s="18" t="inlineStr">
        <is>
          <t>Cả ba hiển thị `*29` cho cùng ô; không nền màu.
Bảo toàn: Giữ điểm, cấu hình và đối tượng không đích theo expected; chỉ thay phần thủ tục yêu cầu, không tự đổi oracle hoặc mở rộng phạm vi.</t>
        </is>
      </c>
      <c r="E317" s="19" t="inlineStr"/>
      <c r="F317" s="19" t="inlineStr">
        <is>
          <t>Chưa thực hiện</t>
        </is>
      </c>
      <c r="G317" s="19" t="inlineStr"/>
    </row>
    <row r="318" ht="129" customHeight="1">
      <c r="A318" s="18" t="inlineStr">
        <is>
          <t>TC-RS-FUNC-028 / api</t>
        </is>
      </c>
      <c r="B318" s="18" t="inlineStr">
        <is>
          <t>Công khai thành tích（成績公開）
Công khai: web, API và PDF học sinh dùng cùng kết quả và cùng hiệu ứng
Xem chi tiết</t>
        </is>
      </c>
      <c r="C318" s="18" t="inlineStr">
        <is>
          <t>Chuẩn bị: Đang chuẩn bị
Kỳ vọng: Đã xác nhận
Dữ liệu (trích): Response API
Thao tác (trích): 1. Xem màn web Xác nhận thành tích（成績確認） của S01.…
Xem chi tiết</t>
        </is>
      </c>
      <c r="D318" s="18" t="inlineStr">
        <is>
          <t>Cả ba hiển thị `*29` cho cùng ô; không nền màu.
Bảo toàn: Giữ điểm, cấu hình và đối tượng không đích theo expected; chỉ thay phần thủ tục yêu cầu, không tự đổi oracle hoặc mở rộng phạm vi.</t>
        </is>
      </c>
      <c r="E318" s="19" t="inlineStr"/>
      <c r="F318" s="19" t="inlineStr">
        <is>
          <t>Chưa thực hiện</t>
        </is>
      </c>
      <c r="G318" s="19" t="inlineStr"/>
    </row>
    <row r="319" ht="129" customHeight="1">
      <c r="A319" s="18" t="inlineStr">
        <is>
          <t>TC-RS-FUNC-028 / pdf</t>
        </is>
      </c>
      <c r="B319" s="18" t="inlineStr">
        <is>
          <t>Công khai thành tích（成績公開）
Công khai: web, API và PDF học sinh dùng cùng kết quả và cùng hiệu ứng
Xem chi tiết</t>
        </is>
      </c>
      <c r="C319" s="18" t="inlineStr">
        <is>
          <t>Chuẩn bị: Đang chuẩn bị
Kỳ vọng: Đã xác nhận
Dữ liệu (trích): File PDF
Thao tác (trích): 1. Xem màn web Xác nhận thành tích（成績確認） của S01.…
Xem chi tiết</t>
        </is>
      </c>
      <c r="D319" s="18" t="inlineStr">
        <is>
          <t>Cả ba hiển thị `*29` cho cùng ô; không nền màu.
Bảo toàn: Giữ điểm, cấu hình và đối tượng không đích theo expected; chỉ thay phần thủ tục yêu cầu, không tự đổi oracle hoặc mở rộng phạm vi.</t>
        </is>
      </c>
      <c r="E319" s="19" t="inlineStr"/>
      <c r="F319" s="19" t="inlineStr">
        <is>
          <t>Chưa thực hiện</t>
        </is>
      </c>
      <c r="G319" s="19" t="inlineStr"/>
    </row>
    <row r="320" ht="180" customHeight="1">
      <c r="A320" s="18" t="inlineStr">
        <is>
          <t>TC-RS-FUNC-037 / web</t>
        </is>
      </c>
      <c r="B320" s="18" t="inlineStr">
        <is>
          <t>Công khai thành tích（成績公開）
Công khai: cùng mục dùng hiệu ứng đỏ khác nhau ở hai cấu hình công khai
Xem chi tiết</t>
        </is>
      </c>
      <c r="C320" s="18" t="inlineStr">
        <is>
          <t>Chuẩn bị: Đang chuẩn bị
Kỳ vọng: Đã xác nhận
Dữ liệu (trích): Bước 1–3 xem X/Y trên web
Thao tác (trích): 1. Ở X chọn hiệu ứng đỏ Ngoặc（括弧） cho mục số nguyên (M=100), lưu; ở Y chọn `*` phía trước（前に「*」） cho cùng…
Xem chi tiết</t>
        </is>
      </c>
      <c r="D320" s="18" t="inlineStr">
        <is>
          <t>Kỳ vọng: Đã xác nhận
1–2. X giữ Ngoặc, Y giữ `*` phía trước; lưu cấu hình này không đổi cấu hình kia.…
Xem chi tiết</t>
        </is>
      </c>
      <c r="E320" s="19" t="inlineStr"/>
      <c r="F320" s="19" t="inlineStr">
        <is>
          <t>Chưa thực hiện</t>
        </is>
      </c>
      <c r="G320" s="19" t="inlineStr"/>
    </row>
    <row r="321" ht="180" customHeight="1">
      <c r="A321" s="18" t="inlineStr">
        <is>
          <t>TC-RS-FUNC-037 / api</t>
        </is>
      </c>
      <c r="B321" s="18" t="inlineStr">
        <is>
          <t>Công khai thành tích（成績公開）
Công khai: cùng mục dùng hiệu ứng đỏ khác nhau ở hai cấu hình công khai
Xem chi tiết</t>
        </is>
      </c>
      <c r="C321" s="18" t="inlineStr">
        <is>
          <t>Chuẩn bị: Đang chuẩn bị
Kỳ vọng: Đã xác nhận
Dữ liệu (trích): Bước 1–3 đọc API X/Y
Thao tác (trích): 1. Ở X chọn hiệu ứng đỏ Ngoặc（括弧） cho mục số nguyên (M=100), lưu; ở Y chọn `*` phía trước（前に「*」） cho cùng…
Xem chi tiết</t>
        </is>
      </c>
      <c r="D321" s="18" t="inlineStr">
        <is>
          <t>Kỳ vọng: Đã xác nhận
1–2. X giữ Ngoặc, Y giữ `*` phía trước; lưu cấu hình này không đổi cấu hình kia.…
Xem chi tiết</t>
        </is>
      </c>
      <c r="E321" s="19" t="inlineStr"/>
      <c r="F321" s="19" t="inlineStr">
        <is>
          <t>Chưa thực hiện</t>
        </is>
      </c>
      <c r="G321" s="19" t="inlineStr"/>
    </row>
    <row r="322" ht="180" customHeight="1">
      <c r="A322" s="18" t="inlineStr">
        <is>
          <t>TC-RS-FUNC-037 / pdf</t>
        </is>
      </c>
      <c r="B322" s="18" t="inlineStr">
        <is>
          <t>Công khai thành tích（成績公開）
Công khai: cùng mục dùng hiệu ứng đỏ khác nhau ở hai cấu hình công khai
Xem chi tiết</t>
        </is>
      </c>
      <c r="C322" s="18" t="inlineStr">
        <is>
          <t>Chuẩn bị: Đang chuẩn bị
Kỳ vọng: Đã xác nhận
Dữ liệu (trích): Bước 1–3 PDF X/Y
Thao tác (trích): 1. Ở X chọn hiệu ứng đỏ Ngoặc（括弧） cho mục số nguyên (M=100), lưu; ở Y chọn `*` phía trước（前に「*」） cho cùng…
Xem chi tiết</t>
        </is>
      </c>
      <c r="D322" s="18" t="inlineStr">
        <is>
          <t>Kỳ vọng: Đã xác nhận
1–2. X giữ Ngoặc, Y giữ `*` phía trước; lưu cấu hình này không đổi cấu hình kia.…
Xem chi tiết</t>
        </is>
      </c>
      <c r="E322" s="19" t="inlineStr"/>
      <c r="F322" s="19" t="inlineStr">
        <is>
          <t>Chưa thực hiện</t>
        </is>
      </c>
      <c r="G322" s="19" t="inlineStr"/>
    </row>
    <row r="323" ht="180" customHeight="1">
      <c r="A323" s="18" t="inlineStr">
        <is>
          <t>TC-RS-FUNC-037 / copy</t>
        </is>
      </c>
      <c r="B323" s="18" t="inlineStr">
        <is>
          <t>Công khai thành tích（成績公開）
Công khai: cùng mục dùng hiệu ứng đỏ khác nhau ở hai cấu hình công khai
Xem chi tiết</t>
        </is>
      </c>
      <c r="C323" s="18" t="inlineStr">
        <is>
          <t>Chuẩn bị: Đang chuẩn bị
Kỳ vọng: Đã xác nhận
Dữ liệu (trích): Bước 4 sau setup X
Thao tác (trích): 1. Ở X chọn hiệu ứng đỏ Ngoặc（括弧） cho mục số nguyên (M=100), lưu; ở Y chọn `*` phía trước（前に「*」） cho cùng…
Xem chi tiết</t>
        </is>
      </c>
      <c r="D323" s="18" t="inlineStr">
        <is>
          <t>Kỳ vọng: Đã xác nhận
1–2. X giữ Ngoặc, Y giữ `*` phía trước; lưu cấu hình này không đổi cấu hình kia.…
Xem chi tiết</t>
        </is>
      </c>
      <c r="E323" s="19" t="inlineStr"/>
      <c r="F323" s="19" t="inlineStr">
        <is>
          <t>Chưa thực hiện</t>
        </is>
      </c>
      <c r="G323" s="19" t="inlineStr"/>
    </row>
    <row r="324" ht="163" customHeight="1">
      <c r="A324" s="18" t="inlineStr">
        <is>
          <t>TC-RS-FUNC-037 / item-types</t>
        </is>
      </c>
      <c r="B324" s="18" t="inlineStr">
        <is>
          <t>Công khai thành tích（成績公開）
Công khai: cùng mục dùng hiệu ứng đỏ khác nhau ở hai cấu hình công khai
Xem chi tiết</t>
        </is>
      </c>
      <c r="C324" s="18" t="inlineStr">
        <is>
          <t>Chuẩn bị: Đang chuẩn bị
Kỳ vọng: Đã xác nhận
Dữ liệu (trích): Bước 5
Thao tác (trích): 1. Ở X chọn hiệu ứng đỏ Ngoặc（括弧） cho mục số nguyên (M=100), lưu; ở Y chọn `*` phía trước（前に「*」） cho cùng…
Xem chi tiết</t>
        </is>
      </c>
      <c r="D324" s="18" t="inlineStr">
        <is>
          <t>Kỳ vọng: Đã xác nhận
1–2. X giữ Ngoặc, Y giữ `*` phía trước; lưu cấu hình này không đổi cấu hình kia.…
Xem chi tiết</t>
        </is>
      </c>
      <c r="E324" s="19" t="inlineStr"/>
      <c r="F324" s="19" t="inlineStr">
        <is>
          <t>Chưa thực hiện</t>
        </is>
      </c>
      <c r="G324" s="19" t="inlineStr"/>
    </row>
    <row r="325" ht="180" customHeight="1">
      <c r="A325" s="18" t="inlineStr">
        <is>
          <t>TC-RS-FUNC-037 / save-failure</t>
        </is>
      </c>
      <c r="B325" s="18" t="inlineStr">
        <is>
          <t>Công khai thành tích（成績公開）
Công khai: cùng mục dùng hiệu ứng đỏ khác nhau ở hai cấu hình công khai
Xem chi tiết</t>
        </is>
      </c>
      <c r="C325" s="18" t="inlineStr">
        <is>
          <t>Chuẩn bị: Đang chuẩn bị
Kỳ vọng: Đã xác nhận
Dữ liệu (trích): Bước 6 sau setup Y
Thao tác (trích): 1. Ở X chọn hiệu ứng đỏ Ngoặc（括弧） cho mục số nguyên (M=100), lưu; ở Y chọn `*` phía trước（前に「*」） cho cùng…
Xem chi tiết</t>
        </is>
      </c>
      <c r="D325" s="18" t="inlineStr">
        <is>
          <t>Kỳ vọng: Đã xác nhận
1–2. X giữ Ngoặc, Y giữ `*` phía trước; lưu cấu hình này không đổi cấu hình kia.…
Xem chi tiết</t>
        </is>
      </c>
      <c r="E325" s="19" t="inlineStr"/>
      <c r="F325" s="19" t="inlineStr">
        <is>
          <t>Chưa thực hiện</t>
        </is>
      </c>
      <c r="G325" s="19" t="inlineStr"/>
    </row>
    <row r="326" ht="180" customHeight="1">
      <c r="A326" s="18" t="inlineStr">
        <is>
          <t>TC-RS-BR-025 / extract</t>
        </is>
      </c>
      <c r="B326" s="18" t="inlineStr">
        <is>
          <t>Công khai thành tích（成績公開）
Đầu ra không bị chặn vì chưa có hoặc chưa xét được kết quả đỏ
Xem chi tiết</t>
        </is>
      </c>
      <c r="C326" s="18" t="inlineStr">
        <is>
          <t>Chuẩn bị: Đang chuẩn bị
Kỳ vọng: Đã xác nhận
Dữ liệu (trích): Trích xuất
Thao tác (trích): 1. Chạy trích xuất và xuất Excel.…
Xem chi tiết</t>
        </is>
      </c>
      <c r="D326" s="18" t="inlineStr">
        <is>
          <t>Mọi thao tác hoàn tất bình thường; ô chưa có kết quả không có dấu đỏ và hiển thị theo thiết lập hiện hữu. Quyền, lịch công khai, điều kiện ẩn hiện có vẫn giữ.
Bảo toàn: Giữ điểm, cấu hình và đối tượng không đích theo expected; chỉ thay phần thủ tục yêu cầu, không tự đổi oracle hoặc mở rộng phạm vi.</t>
        </is>
      </c>
      <c r="E326" s="19" t="inlineStr"/>
      <c r="F326" s="19" t="inlineStr">
        <is>
          <t>Chưa thực hiện</t>
        </is>
      </c>
      <c r="G326" s="19" t="inlineStr"/>
    </row>
    <row r="327" ht="180" customHeight="1">
      <c r="A327" s="18" t="inlineStr">
        <is>
          <t>TC-RS-BR-025 / excel</t>
        </is>
      </c>
      <c r="B327" s="18" t="inlineStr">
        <is>
          <t>Công khai thành tích（成績公開）
Đầu ra không bị chặn vì chưa có hoặc chưa xét được kết quả đỏ
Xem chi tiết</t>
        </is>
      </c>
      <c r="C327" s="18" t="inlineStr">
        <is>
          <t>Chuẩn bị: Đang chuẩn bị
Kỳ vọng: Đã xác nhận
Dữ liệu (trích): Excel
Thao tác (trích): 1. Chạy trích xuất và xuất Excel.…
Xem chi tiết</t>
        </is>
      </c>
      <c r="D327" s="18" t="inlineStr">
        <is>
          <t>Mọi thao tác hoàn tất bình thường; ô chưa có kết quả không có dấu đỏ và hiển thị theo thiết lập hiện hữu. Quyền, lịch công khai, điều kiện ẩn hiện có vẫn giữ.
Bảo toàn: Giữ điểm, cấu hình và đối tượng không đích theo expected; chỉ thay phần thủ tục yêu cầu, không tự đổi oracle hoặc mở rộng phạm vi.</t>
        </is>
      </c>
      <c r="E327" s="19" t="inlineStr"/>
      <c r="F327" s="19" t="inlineStr">
        <is>
          <t>Chưa thực hiện</t>
        </is>
      </c>
      <c r="G327" s="19" t="inlineStr"/>
    </row>
    <row r="328" ht="180" customHeight="1">
      <c r="A328" s="18" t="inlineStr">
        <is>
          <t>TC-RS-BR-025 / publish</t>
        </is>
      </c>
      <c r="B328" s="18" t="inlineStr">
        <is>
          <t>Công khai thành tích（成績公開）
Đầu ra không bị chặn vì chưa có hoặc chưa xét được kết quả đỏ
Xem chi tiết</t>
        </is>
      </c>
      <c r="C328" s="18" t="inlineStr">
        <is>
          <t>Chuẩn bị: Đang chuẩn bị
Kỳ vọng: Đã xác nhận
Dữ liệu (trích): Công khai
Thao tác (trích): 1. Chạy trích xuất và xuất Excel.…
Xem chi tiết</t>
        </is>
      </c>
      <c r="D328" s="18" t="inlineStr">
        <is>
          <t>Mọi thao tác hoàn tất bình thường; ô chưa có kết quả không có dấu đỏ và hiển thị theo thiết lập hiện hữu. Quyền, lịch công khai, điều kiện ẩn hiện có vẫn giữ.
Bảo toàn: Giữ điểm, cấu hình và đối tượng không đích theo expected; chỉ thay phần thủ tục yêu cầu, không tự đổi oracle hoặc mở rộng phạm vi.</t>
        </is>
      </c>
      <c r="E328" s="19" t="inlineStr"/>
      <c r="F328" s="19" t="inlineStr">
        <is>
          <t>Chưa thực hiện</t>
        </is>
      </c>
      <c r="G328" s="19" t="inlineStr"/>
    </row>
    <row r="329" ht="180" customHeight="1">
      <c r="A329" s="18" t="inlineStr">
        <is>
          <t>TC-RS-BR-025 / report</t>
        </is>
      </c>
      <c r="B329" s="18" t="inlineStr">
        <is>
          <t>Công khai thành tích（成績公開）
Đầu ra không bị chặn vì chưa có hoặc chưa xét được kết quả đỏ
Xem chi tiết</t>
        </is>
      </c>
      <c r="C329" s="18" t="inlineStr">
        <is>
          <t>Chuẩn bị: Đang chuẩn bị
Kỳ vọng: Đã xác nhận
Dữ liệu (trích): Phiếu điểm
Thao tác (trích): 1. Chạy trích xuất và xuất Excel.…
Xem chi tiết</t>
        </is>
      </c>
      <c r="D329" s="18" t="inlineStr">
        <is>
          <t>Mọi thao tác hoàn tất bình thường; ô chưa có kết quả không có dấu đỏ và hiển thị theo thiết lập hiện hữu. Quyền, lịch công khai, điều kiện ẩn hiện có vẫn giữ.
Bảo toàn: Giữ điểm, cấu hình và đối tượng không đích theo expected; chỉ thay phần thủ tục yêu cầu, không tự đổi oracle hoặc mở rộng phạm vi.</t>
        </is>
      </c>
      <c r="E329" s="19" t="inlineStr"/>
      <c r="F329" s="19" t="inlineStr">
        <is>
          <t>Chưa thực hiện</t>
        </is>
      </c>
      <c r="G329" s="19" t="inlineStr"/>
    </row>
    <row r="330" ht="180" customHeight="1">
      <c r="A330" s="18" t="inlineStr">
        <is>
          <t>TC-RS-UI-022 / Base</t>
        </is>
      </c>
      <c r="B330" s="18" t="inlineStr">
        <is>
          <t>Công khai thành tích（成績公開）
Công khai: dòng cách hiển thị đỏ theo mục có thiết lập, kể cả khi 0 học sinh đỏ…
Xem chi tiết</t>
        </is>
      </c>
      <c r="C330" s="18" t="inlineStr">
        <is>
          <t>Chuẩn bị: Đang chuẩn bị
Kỳ vọng: Đã xác nhận
Dữ liệu (trích): Toàn bộ thủ tục theo đúng thứ tự; các đối chứng cùng fixture…
Thao tác (trích): 1. Mở Thiết lập công khai thành tích（成績公開設定）→ khung Thành tích（成績）.…
Xem chi tiết</t>
        </is>
      </c>
      <c r="D330" s="18" t="inlineStr">
        <is>
          <t>Kỳ vọng: Đã xác nhận
1. Mục Điểm đánh giá（評点） có dòng cách hiển thị đỏ dù 0 học sinh đỏ; mục Tri thức – kỹ năng（知識・技能） không có dòng.…
Xem chi tiết</t>
        </is>
      </c>
      <c r="E330" s="19" t="inlineStr"/>
      <c r="F330" s="19" t="inlineStr">
        <is>
          <t>Chưa thực hiện</t>
        </is>
      </c>
      <c r="G330" s="19" t="inlineStr"/>
    </row>
    <row r="331" ht="146" customHeight="1">
      <c r="A331" s="18" t="inlineStr">
        <is>
          <t>TC-RS-UI-023 / Base</t>
        </is>
      </c>
      <c r="B331" s="18" t="inlineStr">
        <is>
          <t>Công khai thành tích（成績公開） — Công khai thành tích（成績公開）
Công khai: danh sách tùy chọn hiển thị đỏ</t>
        </is>
      </c>
      <c r="C331" s="18" t="inlineStr">
        <is>
          <t>Chuẩn bị: Đang chuẩn bị
Kỳ vọng: Đã xác nhận
Dữ liệu (trích): Toàn bộ thủ tục theo đúng thứ tự; các đối chứng cùng fixture…
Thao tác (trích): Mở danh sách chọn của dòng đỏ.
Xem chi tiết</t>
        </is>
      </c>
      <c r="D331" s="18" t="inlineStr">
        <is>
          <t>Kỳ vọng: Đã xác nhận
Theo specification v2 mục 10.1 và Q&amp;A Q16, danh sách chỉ có Kèm ngoặc, `*` phía trước và `*` phía sau; không có ô chữ tự do và không có màu nền riêng. Không đưa tùy chọn Nguyên…
Xem chi tiết</t>
        </is>
      </c>
      <c r="E331" s="19" t="inlineStr"/>
      <c r="F331" s="19" t="inlineStr">
        <is>
          <t>Chưa thực hiện</t>
        </is>
      </c>
      <c r="G331" s="19" t="inlineStr"/>
    </row>
    <row r="332" ht="163" customHeight="1">
      <c r="A332" s="18" t="inlineStr">
        <is>
          <t>TC-RS-UI-026 / Base</t>
        </is>
      </c>
      <c r="B332" s="18" t="inlineStr">
        <is>
          <t>Công khai thành tích（成績公開）
Bộ chọn hiệu ứng đỏ của điểm thường và điểm đơn vị hiển thị độc lập
Xem chi tiết</t>
        </is>
      </c>
      <c r="C332" s="18" t="inlineStr">
        <is>
          <t>Chuẩn bị: Đang chuẩn bị
Kỳ vọng: Đã xác nhận
Dữ liệu (trích): Toàn bộ thủ tục theo đúng thứ tự; các đối chứng cùng fixture…
Thao tác (trích): 1. Mở màn hình cấu hình công khai và đến khu vực hiển thị điểm đỏ.…
Xem chi tiết</t>
        </is>
      </c>
      <c r="D332" s="18" t="inlineStr">
        <is>
          <t>Kỳ vọng: Đã xác nhận
1. Cả hai panel đều hiển thị bộ chọn tương ứng; panel điểm đơn vị không bị nền hoặc lớp khác che.…
Xem chi tiết</t>
        </is>
      </c>
      <c r="E332" s="19" t="inlineStr"/>
      <c r="F332" s="19" t="inlineStr">
        <is>
          <t>Chưa thực hiện</t>
        </is>
      </c>
      <c r="G332" s="19" t="inlineStr"/>
    </row>
    <row r="333" ht="214" customHeight="1">
      <c r="A333" s="18" t="inlineStr">
        <is>
          <t>TC-RS-REG-007 / Base</t>
        </is>
      </c>
      <c r="B333" s="18" t="inlineStr">
        <is>
          <t>Công khai thành tích（成績公開）
Công khai: hiệu ứng Điểm dự kiến（見込点） và thiết lập khác được giữ
Xem chi tiết</t>
        </is>
      </c>
      <c r="C333" s="18" t="inlineStr">
        <is>
          <t>Chuẩn bị: Đang chuẩn bị
Kỳ vọng: Đã xác nhận
Dữ liệu (trích): Toàn bộ thủ tục theo đúng thứ tự; các đối chứng cùng fixture…
Thao tác (trích): 1. Xem màn học sinh.…
Xem chi tiết</t>
        </is>
      </c>
      <c r="D333" s="18" t="inlineStr">
        <is>
          <t>1. Học sinh Không đỏ hiển thị như baseline (ngoặc dự kiến).
2. S06 bỏ `*` đỏ nhưng giữ ngoặc dự kiến: `(24)`.
3. Cấu hình hiển thị đã lưu không bị xóa. Nền và định dạng khác như baseline.
Bảo toàn: Giữ điểm, cấu hình và đối tượng không đích theo expected; chỉ thay phần thủ tục yêu cầu, không tự đổi oracle hoặc mở rộng phạm vi.</t>
        </is>
      </c>
      <c r="E333" s="19" t="inlineStr"/>
      <c r="F333" s="19" t="inlineStr">
        <is>
          <t>Chưa thực hiện</t>
        </is>
      </c>
      <c r="G333" s="19" t="inlineStr"/>
    </row>
    <row r="334" ht="146" customHeight="1">
      <c r="A334" s="18" t="inlineStr">
        <is>
          <t>TC-RS-REG-008 / web-open</t>
        </is>
      </c>
      <c r="B334" s="18" t="inlineStr">
        <is>
          <t>Công khai thành tích（成績公開）
Công khai: điểm ẩn, lịch và đối tượng công khai được giữ
Xem chi tiết</t>
        </is>
      </c>
      <c r="C334" s="18" t="inlineStr">
        <is>
          <t>Chuẩn bị: Sẵn sàng
Kỳ vọng: Đã xác nhận
Dữ liệu (trích): Màn web lịch mở
Thao tác (trích): 1. Xem màn học sinh, API, PDF của S06.…
Xem chi tiết</t>
        </is>
      </c>
      <c r="D334" s="18" t="inlineStr">
        <is>
          <t>1. Điểm vẫn ẩn; không có dấu đỏ riêng lẻ.
2. Không xem được như baseline.
Bảo toàn: Giữ điểm, cấu hình và đối tượng không đích theo expected; chỉ thay phần thủ tục yêu cầu, không tự đổi oracle hoặc mở rộng phạm vi.</t>
        </is>
      </c>
      <c r="E334" s="19" t="inlineStr"/>
      <c r="F334" s="19" t="inlineStr">
        <is>
          <t>Chưa thực hiện</t>
        </is>
      </c>
      <c r="G334" s="19" t="inlineStr"/>
    </row>
    <row r="335" ht="146" customHeight="1">
      <c r="A335" s="18" t="inlineStr">
        <is>
          <t>TC-RS-REG-008 / api-open</t>
        </is>
      </c>
      <c r="B335" s="18" t="inlineStr">
        <is>
          <t>Công khai thành tích（成績公開）
Công khai: điểm ẩn, lịch và đối tượng công khai được giữ
Xem chi tiết</t>
        </is>
      </c>
      <c r="C335" s="18" t="inlineStr">
        <is>
          <t>Chuẩn bị: Sẵn sàng
Kỳ vọng: Đã xác nhận
Dữ liệu (trích): API lịch mở
Thao tác (trích): 1. Xem màn học sinh, API, PDF của S06.…
Xem chi tiết</t>
        </is>
      </c>
      <c r="D335" s="18" t="inlineStr">
        <is>
          <t>1. Điểm vẫn ẩn; không có dấu đỏ riêng lẻ.
2. Không xem được như baseline.
Bảo toàn: Giữ điểm, cấu hình và đối tượng không đích theo expected; chỉ thay phần thủ tục yêu cầu, không tự đổi oracle hoặc mở rộng phạm vi.</t>
        </is>
      </c>
      <c r="E335" s="19" t="inlineStr"/>
      <c r="F335" s="19" t="inlineStr">
        <is>
          <t>Chưa thực hiện</t>
        </is>
      </c>
      <c r="G335" s="19" t="inlineStr"/>
    </row>
    <row r="336" ht="146" customHeight="1">
      <c r="A336" s="18" t="inlineStr">
        <is>
          <t>TC-RS-REG-008 / pdf-open</t>
        </is>
      </c>
      <c r="B336" s="18" t="inlineStr">
        <is>
          <t>Công khai thành tích（成績公開）
Công khai: điểm ẩn, lịch và đối tượng công khai được giữ
Xem chi tiết</t>
        </is>
      </c>
      <c r="C336" s="18" t="inlineStr">
        <is>
          <t>Chuẩn bị: Sẵn sàng
Kỳ vọng: Đã xác nhận
Dữ liệu (trích): PDF lịch mở
Thao tác (trích): 1. Xem màn học sinh, API, PDF của S06.…
Xem chi tiết</t>
        </is>
      </c>
      <c r="D336" s="18" t="inlineStr">
        <is>
          <t>1. Điểm vẫn ẩn; không có dấu đỏ riêng lẻ.
2. Không xem được như baseline.
Bảo toàn: Giữ điểm, cấu hình và đối tượng không đích theo expected; chỉ thay phần thủ tục yêu cầu, không tự đổi oracle hoặc mở rộng phạm vi.</t>
        </is>
      </c>
      <c r="E336" s="19" t="inlineStr"/>
      <c r="F336" s="19" t="inlineStr">
        <is>
          <t>Chưa thực hiện</t>
        </is>
      </c>
      <c r="G336" s="19" t="inlineStr"/>
    </row>
    <row r="337" ht="146" customHeight="1">
      <c r="A337" s="18" t="inlineStr">
        <is>
          <t>TC-RS-REG-008 / web-closed</t>
        </is>
      </c>
      <c r="B337" s="18" t="inlineStr">
        <is>
          <t>Công khai thành tích（成績公開）
Công khai: điểm ẩn, lịch và đối tượng công khai được giữ
Xem chi tiết</t>
        </is>
      </c>
      <c r="C337" s="18" t="inlineStr">
        <is>
          <t>Chuẩn bị: Sẵn sàng
Kỳ vọng: Đã xác nhận
Dữ liệu (trích): Màn web lịch đóng
Thao tác (trích): 1. Xem màn học sinh, API, PDF của S06.…
Xem chi tiết</t>
        </is>
      </c>
      <c r="D337" s="18" t="inlineStr">
        <is>
          <t>1. Điểm vẫn ẩn; không có dấu đỏ riêng lẻ.
2. Không xem được như baseline.
Bảo toàn: Giữ điểm, cấu hình và đối tượng không đích theo expected; chỉ thay phần thủ tục yêu cầu, không tự đổi oracle hoặc mở rộng phạm vi.</t>
        </is>
      </c>
      <c r="E337" s="19" t="inlineStr"/>
      <c r="F337" s="19" t="inlineStr">
        <is>
          <t>Chưa thực hiện</t>
        </is>
      </c>
      <c r="G337" s="19" t="inlineStr"/>
    </row>
    <row r="338" ht="146" customHeight="1">
      <c r="A338" s="18" t="inlineStr">
        <is>
          <t>TC-RS-REG-008 / api-closed</t>
        </is>
      </c>
      <c r="B338" s="18" t="inlineStr">
        <is>
          <t>Công khai thành tích（成績公開）
Công khai: điểm ẩn, lịch và đối tượng công khai được giữ
Xem chi tiết</t>
        </is>
      </c>
      <c r="C338" s="18" t="inlineStr">
        <is>
          <t>Chuẩn bị: Sẵn sàng
Kỳ vọng: Đã xác nhận
Dữ liệu (trích): API lịch đóng
Thao tác (trích): 1. Xem màn học sinh, API, PDF của S06.…
Xem chi tiết</t>
        </is>
      </c>
      <c r="D338" s="18" t="inlineStr">
        <is>
          <t>1. Điểm vẫn ẩn; không có dấu đỏ riêng lẻ.
2. Không xem được như baseline.
Bảo toàn: Giữ điểm, cấu hình và đối tượng không đích theo expected; chỉ thay phần thủ tục yêu cầu, không tự đổi oracle hoặc mở rộng phạm vi.</t>
        </is>
      </c>
      <c r="E338" s="19" t="inlineStr"/>
      <c r="F338" s="19" t="inlineStr">
        <is>
          <t>Chưa thực hiện</t>
        </is>
      </c>
      <c r="G338" s="19" t="inlineStr"/>
    </row>
    <row r="339" ht="146" customHeight="1">
      <c r="A339" s="18" t="inlineStr">
        <is>
          <t>TC-RS-REG-008 / pdf-closed</t>
        </is>
      </c>
      <c r="B339" s="18" t="inlineStr">
        <is>
          <t>Công khai thành tích（成績公開）
Công khai: điểm ẩn, lịch và đối tượng công khai được giữ
Xem chi tiết</t>
        </is>
      </c>
      <c r="C339" s="18" t="inlineStr">
        <is>
          <t>Chuẩn bị: Sẵn sàng
Kỳ vọng: Đã xác nhận
Dữ liệu (trích): PDF lịch đóng
Thao tác (trích): 1. Xem màn học sinh, API, PDF của S06.…
Xem chi tiết</t>
        </is>
      </c>
      <c r="D339" s="18" t="inlineStr">
        <is>
          <t>1. Điểm vẫn ẩn; không có dấu đỏ riêng lẻ.
2. Không xem được như baseline.
Bảo toàn: Giữ điểm, cấu hình và đối tượng không đích theo expected; chỉ thay phần thủ tục yêu cầu, không tự đổi oracle hoặc mở rộng phạm vi.</t>
        </is>
      </c>
      <c r="E339" s="19" t="inlineStr"/>
      <c r="F339" s="19" t="inlineStr">
        <is>
          <t>Chưa thực hiện</t>
        </is>
      </c>
      <c r="G339" s="19" t="inlineStr"/>
    </row>
    <row r="340" ht="163" customHeight="1">
      <c r="A340" s="18" t="inlineStr">
        <is>
          <t>TC-RS-FUNC-029 / unchanged</t>
        </is>
      </c>
      <c r="B340" s="18" t="inlineStr">
        <is>
          <t>Công cụ phiếu điểm（通知表ツール）
Công cụ phiếu điểm（通知表ツール）: bốn cách hiển thị đỏ trên PDF
Xem chi tiết</t>
        </is>
      </c>
      <c r="C340" s="18" t="inlineStr">
        <is>
          <t>Chuẩn bị: Đang chuẩn bị
Kỳ vọng: Đã xác nhận
Dữ liệu (trích): Nguyên trạng
Thao tác (trích): Với từng cách hiển thị: chọn ở dòng Thiết lập điểm đỏ（赤点設定）, đóng hộp, bấm Cập nhật（更新する）, xuất PDF phiếu của…
Xem chi tiết</t>
        </is>
      </c>
      <c r="D340" s="18" t="inlineStr">
        <is>
          <t>(a) `29`; (b) `(29)`; (c) `※29`; (d) `29※`. Không nền màu; ký tự không tràn ô, không mất ký tự, không đổi cấu trúc template.
Bảo toàn: Giữ điểm, cấu hình và đối tượng không đích theo expected; chỉ thay phần thủ tục yêu cầu, không tự đổi oracle hoặc mở rộng phạm vi.</t>
        </is>
      </c>
      <c r="E340" s="19" t="inlineStr"/>
      <c r="F340" s="19" t="inlineStr">
        <is>
          <t>Chưa thực hiện</t>
        </is>
      </c>
      <c r="G340" s="19" t="inlineStr"/>
    </row>
    <row r="341" ht="163" customHeight="1">
      <c r="A341" s="18" t="inlineStr">
        <is>
          <t>TC-RS-FUNC-029 / parentheses</t>
        </is>
      </c>
      <c r="B341" s="18" t="inlineStr">
        <is>
          <t>Công cụ phiếu điểm（通知表ツール）
Công cụ phiếu điểm（通知表ツール）: bốn cách hiển thị đỏ trên PDF
Xem chi tiết</t>
        </is>
      </c>
      <c r="C341" s="18" t="inlineStr">
        <is>
          <t>Chuẩn bị: Đang chuẩn bị
Kỳ vọng: Đã xác nhận
Dữ liệu (trích): Kèm ngoặc
Thao tác (trích): Với từng cách hiển thị: chọn ở dòng Thiết lập điểm đỏ（赤点設定）, đóng hộp, bấm Cập nhật（更新する）, xuất PDF phiếu của…
Xem chi tiết</t>
        </is>
      </c>
      <c r="D341" s="18" t="inlineStr">
        <is>
          <t>(a) `29`; (b) `(29)`; (c) `※29`; (d) `29※`. Không nền màu; ký tự không tràn ô, không mất ký tự, không đổi cấu trúc template.
Bảo toàn: Giữ điểm, cấu hình và đối tượng không đích theo expected; chỉ thay phần thủ tục yêu cầu, không tự đổi oracle hoặc mở rộng phạm vi.</t>
        </is>
      </c>
      <c r="E341" s="19" t="inlineStr"/>
      <c r="F341" s="19" t="inlineStr">
        <is>
          <t>Chưa thực hiện</t>
        </is>
      </c>
      <c r="G341" s="19" t="inlineStr"/>
    </row>
    <row r="342" ht="180" customHeight="1">
      <c r="A342" s="18" t="inlineStr">
        <is>
          <t>TC-RS-FUNC-029 / prefix</t>
        </is>
      </c>
      <c r="B342" s="18" t="inlineStr">
        <is>
          <t>Công cụ phiếu điểm（通知表ツール）
Công cụ phiếu điểm（通知表ツール）: bốn cách hiển thị đỏ trên PDF
Xem chi tiết</t>
        </is>
      </c>
      <c r="C342" s="18" t="inlineStr">
        <is>
          <t>Chuẩn bị: Đang chuẩn bị
Kỳ vọng: Đã xác nhận
Dữ liệu (trích): Ký tự phía trước
Thao tác (trích): Với từng cách hiển thị: chọn ở dòng Thiết lập điểm đỏ（赤点設定）, đóng hộp, bấm Cập nhật（更新する）, xuất PDF phiếu của…
Xem chi tiết</t>
        </is>
      </c>
      <c r="D342" s="18" t="inlineStr">
        <is>
          <t>(a) `29`; (b) `(29)`; (c) `※29`; (d) `29※`. Không nền màu; ký tự không tràn ô, không mất ký tự, không đổi cấu trúc template.
Bảo toàn: Giữ điểm, cấu hình và đối tượng không đích theo expected; chỉ thay phần thủ tục yêu cầu, không tự đổi oracle hoặc mở rộng phạm vi.</t>
        </is>
      </c>
      <c r="E342" s="19" t="inlineStr"/>
      <c r="F342" s="19" t="inlineStr">
        <is>
          <t>Chưa thực hiện</t>
        </is>
      </c>
      <c r="G342" s="19" t="inlineStr"/>
    </row>
    <row r="343" ht="163" customHeight="1">
      <c r="A343" s="18" t="inlineStr">
        <is>
          <t>TC-RS-FUNC-029 / suffix</t>
        </is>
      </c>
      <c r="B343" s="18" t="inlineStr">
        <is>
          <t>Công cụ phiếu điểm（通知表ツール）
Công cụ phiếu điểm（通知表ツール）: bốn cách hiển thị đỏ trên PDF
Xem chi tiết</t>
        </is>
      </c>
      <c r="C343" s="18" t="inlineStr">
        <is>
          <t>Chuẩn bị: Đang chuẩn bị
Kỳ vọng: Đã xác nhận
Dữ liệu (trích): Ký tự phía sau
Thao tác (trích): Với từng cách hiển thị: chọn ở dòng Thiết lập điểm đỏ（赤点設定）, đóng hộp, bấm Cập nhật（更新する）, xuất PDF phiếu của…
Xem chi tiết</t>
        </is>
      </c>
      <c r="D343" s="18" t="inlineStr">
        <is>
          <t>(a) `29`; (b) `(29)`; (c) `※29`; (d) `29※`. Không nền màu; ký tự không tràn ô, không mất ký tự, không đổi cấu trúc template.
Bảo toàn: Giữ điểm, cấu hình và đối tượng không đích theo expected; chỉ thay phần thủ tục yêu cầu, không tự đổi oracle hoặc mở rộng phạm vi.</t>
        </is>
      </c>
      <c r="E343" s="19" t="inlineStr"/>
      <c r="F343" s="19" t="inlineStr">
        <is>
          <t>Chưa thực hiện</t>
        </is>
      </c>
      <c r="G343" s="19" t="inlineStr"/>
    </row>
    <row r="344" ht="146" customHeight="1">
      <c r="A344" s="18" t="inlineStr">
        <is>
          <t>TC-RS-FUNC-030 / a</t>
        </is>
      </c>
      <c r="B344" s="18" t="inlineStr">
        <is>
          <t>Công cụ phiếu điểm（通知表ツール）
Phiếu điểm: thứ tự điều kiện và dừng ở điều kiện khớp đầu tiên
Xem chi tiết</t>
        </is>
      </c>
      <c r="C344" s="18" t="inlineStr">
        <is>
          <t>Chuẩn bị: Đang chuẩn bị
Kỳ vọng: Đã xác nhận
Dữ liệu (trích): Tổ hợp a
Thao tác (trích): Cấu hình hộp tùy chọn theo từng dòng, bấm Cập nhật（更新する）, xuất PDF.…
Xem chi tiết</t>
        </is>
      </c>
      <c r="D344" s="18" t="inlineStr">
        <is>
          <t>Kỳ vọng: Đã xác nhận
(a) `(24)`, không thêm `※`; (b) `24`, không chuyển xuống điều kiện đỏ; (c) giữ ẩn/gạch chéo, đỏ không làm hiện lại điểm; (d) `※29`; (e) không áp dấu đỏ của kết quả cũ; ô trống…
Xem chi tiết</t>
        </is>
      </c>
      <c r="E344" s="19" t="inlineStr"/>
      <c r="F344" s="19" t="inlineStr">
        <is>
          <t>Chưa thực hiện</t>
        </is>
      </c>
      <c r="G344" s="19" t="inlineStr"/>
    </row>
    <row r="345" ht="146" customHeight="1">
      <c r="A345" s="18" t="inlineStr">
        <is>
          <t>TC-RS-FUNC-030 / b</t>
        </is>
      </c>
      <c r="B345" s="18" t="inlineStr">
        <is>
          <t>Công cụ phiếu điểm（通知表ツール）
Phiếu điểm: thứ tự điều kiện và dừng ở điều kiện khớp đầu tiên
Xem chi tiết</t>
        </is>
      </c>
      <c r="C345" s="18" t="inlineStr">
        <is>
          <t>Chuẩn bị: Đang chuẩn bị
Kỳ vọng: Đã xác nhận
Dữ liệu (trích): Tổ hợp b
Thao tác (trích): Cấu hình hộp tùy chọn theo từng dòng, bấm Cập nhật（更新する）, xuất PDF.…
Xem chi tiết</t>
        </is>
      </c>
      <c r="D345" s="18" t="inlineStr">
        <is>
          <t>Kỳ vọng: Đã xác nhận
(a) `(24)`, không thêm `※`; (b) `24`, không chuyển xuống điều kiện đỏ; (c) giữ ẩn/gạch chéo, đỏ không làm hiện lại điểm; (d) `※29`; (e) không áp dấu đỏ của kết quả cũ; ô trống…
Xem chi tiết</t>
        </is>
      </c>
      <c r="E345" s="19" t="inlineStr"/>
      <c r="F345" s="19" t="inlineStr">
        <is>
          <t>Chưa thực hiện</t>
        </is>
      </c>
      <c r="G345" s="19" t="inlineStr"/>
    </row>
    <row r="346" ht="146" customHeight="1">
      <c r="A346" s="18" t="inlineStr">
        <is>
          <t>TC-RS-FUNC-030 / c-hidden</t>
        </is>
      </c>
      <c r="B346" s="18" t="inlineStr">
        <is>
          <t>Công cụ phiếu điểm（通知表ツール）
Phiếu điểm: thứ tự điều kiện và dừng ở điều kiện khớp đầu tiên
Xem chi tiết</t>
        </is>
      </c>
      <c r="C346" s="18" t="inlineStr">
        <is>
          <t>Chuẩn bị: Đang chuẩn bị
Kỳ vọng: Đã xác nhận
Dữ liệu (trích): Tổ hợp c với Ẩn
Thao tác (trích): Cấu hình hộp tùy chọn theo từng dòng, bấm Cập nhật（更新する）, xuất PDF.…
Xem chi tiết</t>
        </is>
      </c>
      <c r="D346" s="18" t="inlineStr">
        <is>
          <t>Kỳ vọng: Đã xác nhận
(a) `(24)`, không thêm `※`; (b) `24`, không chuyển xuống điều kiện đỏ; (c) giữ ẩn/gạch chéo, đỏ không làm hiện lại điểm; (d) `※29`; (e) không áp dấu đỏ của kết quả cũ; ô trống…
Xem chi tiết</t>
        </is>
      </c>
      <c r="E346" s="19" t="inlineStr"/>
      <c r="F346" s="19" t="inlineStr">
        <is>
          <t>Chưa thực hiện</t>
        </is>
      </c>
      <c r="G346" s="19" t="inlineStr"/>
    </row>
    <row r="347" ht="146" customHeight="1">
      <c r="A347" s="18" t="inlineStr">
        <is>
          <t>TC-RS-FUNC-030 / c-slash</t>
        </is>
      </c>
      <c r="B347" s="18" t="inlineStr">
        <is>
          <t>Công cụ phiếu điểm（通知表ツール）
Phiếu điểm: thứ tự điều kiện và dừng ở điều kiện khớp đầu tiên
Xem chi tiết</t>
        </is>
      </c>
      <c r="C347" s="18" t="inlineStr">
        <is>
          <t>Chuẩn bị: Đang chuẩn bị
Kỳ vọng: Đã xác nhận
Dữ liệu (trích): Tổ hợp c với Gạch chéo
Thao tác (trích): Cấu hình hộp tùy chọn theo từng dòng, bấm Cập nhật（更新する）, xuất PDF.…
Xem chi tiết</t>
        </is>
      </c>
      <c r="D347" s="18" t="inlineStr">
        <is>
          <t>Kỳ vọng: Đã xác nhận
(a) `(24)`, không thêm `※`; (b) `24`, không chuyển xuống điều kiện đỏ; (c) giữ ẩn/gạch chéo, đỏ không làm hiện lại điểm; (d) `※29`; (e) không áp dấu đỏ của kết quả cũ; ô trống…
Xem chi tiết</t>
        </is>
      </c>
      <c r="E347" s="19" t="inlineStr"/>
      <c r="F347" s="19" t="inlineStr">
        <is>
          <t>Chưa thực hiện</t>
        </is>
      </c>
      <c r="G347" s="19" t="inlineStr"/>
    </row>
    <row r="348" ht="146" customHeight="1">
      <c r="A348" s="18" t="inlineStr">
        <is>
          <t>TC-RS-FUNC-030 / d</t>
        </is>
      </c>
      <c r="B348" s="18" t="inlineStr">
        <is>
          <t>Công cụ phiếu điểm（通知表ツール）
Phiếu điểm: thứ tự điều kiện và dừng ở điều kiện khớp đầu tiên
Xem chi tiết</t>
        </is>
      </c>
      <c r="C348" s="18" t="inlineStr">
        <is>
          <t>Chuẩn bị: Đang chuẩn bị
Kỳ vọng: Đã xác nhận
Dữ liệu (trích): Tổ hợp d
Thao tác (trích): Cấu hình hộp tùy chọn theo từng dòng, bấm Cập nhật（更新する）, xuất PDF.…
Xem chi tiết</t>
        </is>
      </c>
      <c r="D348" s="18" t="inlineStr">
        <is>
          <t>Kỳ vọng: Đã xác nhận
(a) `(24)`, không thêm `※`; (b) `24`, không chuyển xuống điều kiện đỏ; (c) giữ ẩn/gạch chéo, đỏ không làm hiện lại điểm; (d) `※29`; (e) không áp dấu đỏ của kết quả cũ; ô trống…
Xem chi tiết</t>
        </is>
      </c>
      <c r="E348" s="19" t="inlineStr"/>
      <c r="F348" s="19" t="inlineStr">
        <is>
          <t>Chưa thực hiện</t>
        </is>
      </c>
      <c r="G348" s="19" t="inlineStr"/>
    </row>
    <row r="349" ht="146" customHeight="1">
      <c r="A349" s="18" t="inlineStr">
        <is>
          <t>TC-RS-FUNC-030 / e</t>
        </is>
      </c>
      <c r="B349" s="18" t="inlineStr">
        <is>
          <t>Công cụ phiếu điểm（通知表ツール）
Phiếu điểm: thứ tự điều kiện và dừng ở điều kiện khớp đầu tiên
Xem chi tiết</t>
        </is>
      </c>
      <c r="C349" s="18" t="inlineStr">
        <is>
          <t>Chuẩn bị: Đang chuẩn bị
Kỳ vọng: Đã xác nhận
Dữ liệu (trích): Tổ hợp e
Thao tác (trích): Cấu hình hộp tùy chọn theo từng dòng, bấm Cập nhật（更新する）, xuất PDF.…
Xem chi tiết</t>
        </is>
      </c>
      <c r="D349" s="18" t="inlineStr">
        <is>
          <t>Kỳ vọng: Đã xác nhận
(a) `(24)`, không thêm `※`; (b) `24`, không chuyển xuống điều kiện đỏ; (c) giữ ẩn/gạch chéo, đỏ không làm hiện lại điểm; (d) `※29`; (e) không áp dấu đỏ của kết quả cũ; ô trống…
Xem chi tiết</t>
        </is>
      </c>
      <c r="E349" s="19" t="inlineStr"/>
      <c r="F349" s="19" t="inlineStr">
        <is>
          <t>Chưa thực hiện</t>
        </is>
      </c>
      <c r="G349" s="19" t="inlineStr"/>
    </row>
    <row r="350" ht="146" customHeight="1">
      <c r="A350" s="18" t="inlineStr">
        <is>
          <t>TC-RS-FUNC-030 / f</t>
        </is>
      </c>
      <c r="B350" s="18" t="inlineStr">
        <is>
          <t>Công cụ phiếu điểm（通知表ツール）
Phiếu điểm: thứ tự điều kiện và dừng ở điều kiện khớp đầu tiên
Xem chi tiết</t>
        </is>
      </c>
      <c r="C350" s="18" t="inlineStr">
        <is>
          <t>Chuẩn bị: Đang chuẩn bị
Kỳ vọng: Đã xác nhận
Dữ liệu (trích): Tổ hợp f
Thao tác (trích): Cấu hình hộp tùy chọn theo từng dòng, bấm Cập nhật（更新する）, xuất PDF.…
Xem chi tiết</t>
        </is>
      </c>
      <c r="D350" s="18" t="inlineStr">
        <is>
          <t>Kỳ vọng: Đã xác nhận
(a) `(24)`, không thêm `※`; (b) `24`, không chuyển xuống điều kiện đỏ; (c) giữ ẩn/gạch chéo, đỏ không làm hiện lại điểm; (d) `※29`; (e) không áp dấu đỏ của kết quả cũ; ô trống…
Xem chi tiết</t>
        </is>
      </c>
      <c r="E350" s="19" t="inlineStr"/>
      <c r="F350" s="19" t="inlineStr">
        <is>
          <t>Chưa thực hiện</t>
        </is>
      </c>
      <c r="G350" s="19" t="inlineStr"/>
    </row>
    <row r="351" ht="146" customHeight="1">
      <c r="A351" s="18" t="inlineStr">
        <is>
          <t>TC-RS-FUNC-030 / g</t>
        </is>
      </c>
      <c r="B351" s="18" t="inlineStr">
        <is>
          <t>Công cụ phiếu điểm（通知表ツール）
Phiếu điểm: thứ tự điều kiện và dừng ở điều kiện khớp đầu tiên
Xem chi tiết</t>
        </is>
      </c>
      <c r="C351" s="18" t="inlineStr">
        <is>
          <t>Chuẩn bị: Đang chuẩn bị
Kỳ vọng: Đã xác nhận
Dữ liệu (trích): Tổ hợp g
Thao tác (trích): Cấu hình hộp tùy chọn theo từng dòng, bấm Cập nhật（更新する）, xuất PDF.…
Xem chi tiết</t>
        </is>
      </c>
      <c r="D351" s="18" t="inlineStr">
        <is>
          <t>Kỳ vọng: Đã xác nhận
(a) `(24)`, không thêm `※`; (b) `24`, không chuyển xuống điều kiện đỏ; (c) giữ ẩn/gạch chéo, đỏ không làm hiện lại điểm; (d) `※29`; (e) không áp dấu đỏ của kết quả cũ; ô trống…
Xem chi tiết</t>
        </is>
      </c>
      <c r="E351" s="19" t="inlineStr"/>
      <c r="F351" s="19" t="inlineStr">
        <is>
          <t>Chưa thực hiện</t>
        </is>
      </c>
      <c r="G351" s="19" t="inlineStr"/>
    </row>
    <row r="352" ht="180" customHeight="1">
      <c r="A352" s="18" t="inlineStr">
        <is>
          <t>TC-RS-FUNC-031 / unsaved</t>
        </is>
      </c>
      <c r="B352" s="18" t="inlineStr">
        <is>
          <t>Công cụ phiếu điểm（通知表ツール）
Phiếu điểm: lưu qua Cập nhật（更新する）, mở lại giữ lựa chọn; chỉ dùng điều kiện đỏ…
Xem chi tiết</t>
        </is>
      </c>
      <c r="C352" s="18" t="inlineStr">
        <is>
          <t>Chuẩn bị: Đang chuẩn bị
Kỳ vọng: Đã xác nhận
Dữ liệu (trích): Bước 1 không cập nhật
Thao tác (trích): 1. Mở hộp tùy chọn, chọn Thiết lập（設定する）, chỉ chọn dòng đỏ = `※` trước, các dòng khác Nguyên trạng. Đóng hộp,…
Xem chi tiết</t>
        </is>
      </c>
      <c r="D352" s="18" t="inlineStr">
        <is>
          <t>Kỳ vọng: Đã xác nhận
1. Không bấm Cập nhật: thay đổi không được lưu (hành vi hiện có).…
Xem chi tiết</t>
        </is>
      </c>
      <c r="E352" s="19" t="inlineStr"/>
      <c r="F352" s="19" t="inlineStr">
        <is>
          <t>Chưa thực hiện</t>
        </is>
      </c>
      <c r="G352" s="19" t="inlineStr"/>
    </row>
    <row r="353" ht="180" customHeight="1">
      <c r="A353" s="18" t="inlineStr">
        <is>
          <t>TC-RS-FUNC-031 / saved-pdf</t>
        </is>
      </c>
      <c r="B353" s="18" t="inlineStr">
        <is>
          <t>Công cụ phiếu điểm（通知表ツール）
Phiếu điểm: lưu qua Cập nhật（更新する）, mở lại giữ lựa chọn; chỉ dùng điều kiện đỏ…
Xem chi tiết</t>
        </is>
      </c>
      <c r="C353" s="18" t="inlineStr">
        <is>
          <t>Chuẩn bị: Đang chuẩn bị
Kỳ vọng: Đã xác nhận
Dữ liệu (trích): Bước 2–3 lưu, mở lại và PDF
Thao tác (trích): 1. Mở hộp tùy chọn, chọn Thiết lập（設定する）, chỉ chọn dòng đỏ = `※` trước, các dòng khác Nguyên trạng. Đóng hộp,…
Xem chi tiết</t>
        </is>
      </c>
      <c r="D353" s="18" t="inlineStr">
        <is>
          <t>Kỳ vọng: Đã xác nhận
1. Không bấm Cập nhật: thay đổi không được lưu (hành vi hiện có).…
Xem chi tiết</t>
        </is>
      </c>
      <c r="E353" s="19" t="inlineStr"/>
      <c r="F353" s="19" t="inlineStr">
        <is>
          <t>Chưa thực hiện</t>
        </is>
      </c>
      <c r="G353" s="19" t="inlineStr"/>
    </row>
    <row r="354" ht="146" customHeight="1">
      <c r="A354" s="18" t="inlineStr">
        <is>
          <t>TC-RS-VAL-018 / unchanged</t>
        </is>
      </c>
      <c r="B354" s="18" t="inlineStr">
        <is>
          <t>Công cụ phiếu điểm（通知表ツール）
Phiếu điểm: chỉ bắt buộc ký tự khi chọn phía trước/phía sau
Xem chi tiết</t>
        </is>
      </c>
      <c r="C354" s="18" t="inlineStr">
        <is>
          <t>Chuẩn bị: Đang chuẩn bị
Kỳ vọng: Đã xác nhận
Dữ liệu (trích): Nguyên trạng
Thao tác (trích): Chọn từng lựa chọn ở dòng Thiết lập điểm đỏ（赤点設定）, bấm Cập nhật（更新する）.
Xem chi tiết</t>
        </is>
      </c>
      <c r="D354" s="18" t="inlineStr">
        <is>
          <t>Nguyên trạng, Kèm ngoặc: không hiện ô ký tự, lưu được. Phía trước/sau để trống: không lưu được.
Bảo toàn: Giữ điểm, cấu hình và đối tượng không đích theo expected; chỉ thay phần thủ tục yêu cầu, không tự đổi oracle hoặc mở rộng phạm vi.</t>
        </is>
      </c>
      <c r="E354" s="19" t="inlineStr"/>
      <c r="F354" s="19" t="inlineStr">
        <is>
          <t>Chưa thực hiện</t>
        </is>
      </c>
      <c r="G354" s="19" t="inlineStr"/>
    </row>
    <row r="355" ht="146" customHeight="1">
      <c r="A355" s="18" t="inlineStr">
        <is>
          <t>TC-RS-VAL-018 / parentheses</t>
        </is>
      </c>
      <c r="B355" s="18" t="inlineStr">
        <is>
          <t>Công cụ phiếu điểm（通知表ツール）
Phiếu điểm: chỉ bắt buộc ký tự khi chọn phía trước/phía sau
Xem chi tiết</t>
        </is>
      </c>
      <c r="C355" s="18" t="inlineStr">
        <is>
          <t>Chuẩn bị: Đang chuẩn bị
Kỳ vọng: Đã xác nhận
Dữ liệu (trích): Kèm ngoặc
Thao tác (trích): Chọn từng lựa chọn ở dòng Thiết lập điểm đỏ（赤点設定）, bấm Cập nhật（更新する）.
Xem chi tiết</t>
        </is>
      </c>
      <c r="D355" s="18" t="inlineStr">
        <is>
          <t>Nguyên trạng, Kèm ngoặc: không hiện ô ký tự, lưu được. Phía trước/sau để trống: không lưu được.
Bảo toàn: Giữ điểm, cấu hình và đối tượng không đích theo expected; chỉ thay phần thủ tục yêu cầu, không tự đổi oracle hoặc mở rộng phạm vi.</t>
        </is>
      </c>
      <c r="E355" s="19" t="inlineStr"/>
      <c r="F355" s="19" t="inlineStr">
        <is>
          <t>Chưa thực hiện</t>
        </is>
      </c>
      <c r="G355" s="19" t="inlineStr"/>
    </row>
    <row r="356" ht="163" customHeight="1">
      <c r="A356" s="18" t="inlineStr">
        <is>
          <t>TC-RS-VAL-018 / prefix</t>
        </is>
      </c>
      <c r="B356" s="18" t="inlineStr">
        <is>
          <t>Công cụ phiếu điểm（通知表ツール）
Phiếu điểm: chỉ bắt buộc ký tự khi chọn phía trước/phía sau
Xem chi tiết</t>
        </is>
      </c>
      <c r="C356" s="18" t="inlineStr">
        <is>
          <t>Chuẩn bị: Đang chuẩn bị
Kỳ vọng: Đã xác nhận
Dữ liệu (trích): Ký tự trước trống
Thao tác (trích): Chọn từng lựa chọn ở dòng Thiết lập điểm đỏ（赤点設定）, bấm Cập nhật（更新する）.
Xem chi tiết</t>
        </is>
      </c>
      <c r="D356" s="18" t="inlineStr">
        <is>
          <t>Nguyên trạng, Kèm ngoặc: không hiện ô ký tự, lưu được. Phía trước/sau để trống: không lưu được.
Bảo toàn: Giữ điểm, cấu hình và đối tượng không đích theo expected; chỉ thay phần thủ tục yêu cầu, không tự đổi oracle hoặc mở rộng phạm vi.</t>
        </is>
      </c>
      <c r="E356" s="19" t="inlineStr"/>
      <c r="F356" s="19" t="inlineStr">
        <is>
          <t>Chưa thực hiện</t>
        </is>
      </c>
      <c r="G356" s="19" t="inlineStr"/>
    </row>
    <row r="357" ht="146" customHeight="1">
      <c r="A357" s="18" t="inlineStr">
        <is>
          <t>TC-RS-VAL-018 / suffix</t>
        </is>
      </c>
      <c r="B357" s="18" t="inlineStr">
        <is>
          <t>Công cụ phiếu điểm（通知表ツール）
Phiếu điểm: chỉ bắt buộc ký tự khi chọn phía trước/phía sau
Xem chi tiết</t>
        </is>
      </c>
      <c r="C357" s="18" t="inlineStr">
        <is>
          <t>Chuẩn bị: Đang chuẩn bị
Kỳ vọng: Đã xác nhận
Dữ liệu (trích): Ký tự sau trống
Thao tác (trích): Chọn từng lựa chọn ở dòng Thiết lập điểm đỏ（赤点設定）, bấm Cập nhật（更新する）.
Xem chi tiết</t>
        </is>
      </c>
      <c r="D357" s="18" t="inlineStr">
        <is>
          <t>Nguyên trạng, Kèm ngoặc: không hiện ô ký tự, lưu được. Phía trước/sau để trống: không lưu được.
Bảo toàn: Giữ điểm, cấu hình và đối tượng không đích theo expected; chỉ thay phần thủ tục yêu cầu, không tự đổi oracle hoặc mở rộng phạm vi.</t>
        </is>
      </c>
      <c r="E357" s="19" t="inlineStr"/>
      <c r="F357" s="19" t="inlineStr">
        <is>
          <t>Chưa thực hiện</t>
        </is>
      </c>
      <c r="G357" s="19" t="inlineStr"/>
    </row>
    <row r="358" ht="129" customHeight="1">
      <c r="A358" s="18" t="inlineStr">
        <is>
          <t>TC-RS-DATA-010 / template-a</t>
        </is>
      </c>
      <c r="B358" s="18" t="inlineStr">
        <is>
          <t>Công cụ phiếu điểm（通知表ツール）
Sao chép mẫu phiếu điểm giữ lựa chọn hiển thị đỏ
Xem chi tiết</t>
        </is>
      </c>
      <c r="C358" s="18" t="inlineStr">
        <is>
          <t>Chuẩn bị: Đang chuẩn bị
Kỳ vọng: Đã xác nhận
Dữ liệu (trích): Sao chép và xuất mẫu A
Thao tác (trích): 1. Sao chép mẫu A và mẫu B.…
Xem chi tiết</t>
        </is>
      </c>
      <c r="D358" s="18" t="inlineStr">
        <is>
          <t>Kỳ vọng: Đã xác nhận
1–2. Bản sao giữ lựa chọn Ký tự phía trước（前に任意の文字） `※`; mẫu chỉ dùng điều kiện đỏ vẫn còn hiệu lực.…
Xem chi tiết</t>
        </is>
      </c>
      <c r="E358" s="19" t="inlineStr"/>
      <c r="F358" s="19" t="inlineStr">
        <is>
          <t>Chưa thực hiện</t>
        </is>
      </c>
      <c r="G358" s="19" t="inlineStr"/>
    </row>
    <row r="359" ht="129" customHeight="1">
      <c r="A359" s="18" t="inlineStr">
        <is>
          <t>TC-RS-DATA-010 / template-b</t>
        </is>
      </c>
      <c r="B359" s="18" t="inlineStr">
        <is>
          <t>Công cụ phiếu điểm（通知表ツール）
Sao chép mẫu phiếu điểm giữ lựa chọn hiển thị đỏ
Xem chi tiết</t>
        </is>
      </c>
      <c r="C359" s="18" t="inlineStr">
        <is>
          <t>Chuẩn bị: Đang chuẩn bị
Kỳ vọng: Đã xác nhận
Dữ liệu (trích): Sao chép và xuất mẫu B
Thao tác (trích): 1. Sao chép mẫu A và mẫu B.…
Xem chi tiết</t>
        </is>
      </c>
      <c r="D359" s="18" t="inlineStr">
        <is>
          <t>Kỳ vọng: Đã xác nhận
1–2. Bản sao giữ lựa chọn Ký tự phía trước（前に任意の文字） `※`; mẫu chỉ dùng điều kiện đỏ vẫn còn hiệu lực.…
Xem chi tiết</t>
        </is>
      </c>
      <c r="E359" s="19" t="inlineStr"/>
      <c r="F359" s="19" t="inlineStr">
        <is>
          <t>Chưa thực hiện</t>
        </is>
      </c>
      <c r="G359" s="19" t="inlineStr"/>
    </row>
    <row r="360" ht="163" customHeight="1">
      <c r="A360" s="18" t="inlineStr">
        <is>
          <t>TC-RS-UI-024 / Base</t>
        </is>
      </c>
      <c r="B360" s="18" t="inlineStr">
        <is>
          <t>Công cụ phiếu điểm（通知表ツール）
Phiếu điểm: hộp Thiết lập hiển thị tùy chọn mục đăng ký điểm（成績登録項目オプション表示設定）
Xem chi tiết</t>
        </is>
      </c>
      <c r="C360" s="18" t="inlineStr">
        <is>
          <t>Chuẩn bị: Đang chuẩn bị
Kỳ vọng: Đã xác nhận
Dữ liệu (trích): Toàn bộ thủ tục theo đúng thứ tự; các đối chứng cùng fixture…
Thao tác (trích): 1. Mở hộp tùy chọn của ô, chọn Thiết lập（設定する）.…
Xem chi tiết</t>
        </is>
      </c>
      <c r="D360" s="18" t="inlineStr">
        <is>
          <t>Kỳ vọng: Đã xác nhận
CONFIRMED: dòng đỏ nằm sau các dòng checkbox và trước Trường hợp ô trống（空欄の場合）; lựa chọn của dòng đỏ là Nguyên trạng（そのまま表示）, Kèm ngoặc（カッコ付き）, Ký tự phía trước（前に任意の文字）, Ký tự…
Xem chi tiết</t>
        </is>
      </c>
      <c r="E360" s="19" t="inlineStr"/>
      <c r="F360" s="19" t="inlineStr">
        <is>
          <t>Chưa thực hiện</t>
        </is>
      </c>
      <c r="G360" s="19" t="inlineStr"/>
    </row>
    <row r="361" ht="129" customHeight="1">
      <c r="A361" s="18" t="inlineStr">
        <is>
          <t>TC-RS-REG-009 / subject-empty</t>
        </is>
      </c>
      <c r="B361" s="18" t="inlineStr">
        <is>
          <t>Công cụ phiếu điểm（通知表ツール）
Phiếu điểm: các điều kiện hiển thị hiện có giữ hành vi
Xem chi tiết</t>
        </is>
      </c>
      <c r="C361" s="18" t="inlineStr">
        <is>
          <t>Chuẩn bị: Đang chuẩn bị
Kỳ vọng: Đã xác nhận
Dữ liệu (trích): Bảng a môn cụ thể và ô trống
Thao tác (trích): Xuất PDF hai bảng, so với baseline.
Xem chi tiết</t>
        </is>
      </c>
      <c r="D361" s="18" t="inlineStr">
        <is>
          <t>PDF bằng baseline (cùng ký hiệu, ô ẩn, ô trống).
Bảo toàn: Giữ điểm, cấu hình và đối tượng không đích theo expected; chỉ thay phần thủ tục yêu cầu, không tự đổi oracle hoặc mở rộng phạm vi.</t>
        </is>
      </c>
      <c r="E361" s="19" t="inlineStr"/>
      <c r="F361" s="19" t="inlineStr">
        <is>
          <t>Chưa thực hiện</t>
        </is>
      </c>
      <c r="G361" s="19" t="inlineStr"/>
    </row>
    <row r="362" ht="129" customHeight="1">
      <c r="A362" s="18" t="inlineStr">
        <is>
          <t>TC-RS-REG-009 / notexam-hidden</t>
        </is>
      </c>
      <c r="B362" s="18" t="inlineStr">
        <is>
          <t>Công cụ phiếu điểm（通知表ツール）
Phiếu điểm: các điều kiện hiển thị hiện có giữ hành vi
Xem chi tiết</t>
        </is>
      </c>
      <c r="C362" s="18" t="inlineStr">
        <is>
          <t>Chuẩn bị: Đang chuẩn bị
Kỳ vọng: Đã xác nhận
Dữ liệu (trích): Bảng b chưa dự thi và ẩn
Thao tác (trích): Xuất PDF hai bảng, so với baseline.
Xem chi tiết</t>
        </is>
      </c>
      <c r="D362" s="18" t="inlineStr">
        <is>
          <t>PDF bằng baseline (cùng ký hiệu, ô ẩn, ô trống).
Bảo toàn: Giữ điểm, cấu hình và đối tượng không đích theo expected; chỉ thay phần thủ tục yêu cầu, không tự đổi oracle hoặc mở rộng phạm vi.</t>
        </is>
      </c>
      <c r="E362" s="19" t="inlineStr"/>
      <c r="F362" s="19" t="inlineStr">
        <is>
          <t>Chưa thực hiện</t>
        </is>
      </c>
      <c r="G362" s="19" t="inlineStr"/>
    </row>
    <row r="363" ht="146" customHeight="1">
      <c r="A363" s="18" t="inlineStr">
        <is>
          <t>TC-RS-REG-010 / Base</t>
        </is>
      </c>
      <c r="B363" s="18" t="inlineStr">
        <is>
          <t>Công cụ phiếu điểm（通知表ツール）
PDF phiếu: bố cục template không đổi khi có dấu đỏ
Xem chi tiết</t>
        </is>
      </c>
      <c r="C363" s="18" t="inlineStr">
        <is>
          <t>Chuẩn bị: Đang chuẩn bị
Kỳ vọng: Đã xác nhận
Dữ liệu (trích): Toàn bộ thủ tục theo đúng thứ tự; các đối chứng cùng fixture…
Thao tác (trích): Xuất PDF; so với baseline.
Xem chi tiết</t>
        </is>
      </c>
      <c r="D363" s="18" t="inlineStr">
        <is>
          <t>Dấu hiển thị đủ trong ô; không mất ký tự, không nền đỏ; các phần khác bằng baseline.
Bảo toàn: Giữ điểm, cấu hình và đối tượng không đích theo expected; chỉ thay phần thủ tục yêu cầu, không tự đổi oracle hoặc mở rộng phạm vi.</t>
        </is>
      </c>
      <c r="E363" s="19" t="inlineStr"/>
      <c r="F363" s="19" t="inlineStr">
        <is>
          <t>Chưa thực hiện</t>
        </is>
      </c>
      <c r="G363" s="19" t="inlineStr"/>
    </row>
    <row r="364" ht="163" customHeight="1">
      <c r="A364" s="18" t="inlineStr">
        <is>
          <t>TC-RS-FUNC-032 / extract-off</t>
        </is>
      </c>
      <c r="B364" s="18" t="inlineStr">
        <is>
          <t>Ba đầu ra dùng chung một kết quả — Kết quả dùng chung
Ba đầu ra dùng cùng kết quả cho cùng ô</t>
        </is>
      </c>
      <c r="C364" s="18" t="inlineStr">
        <is>
          <t>Chuẩn bị: Đang chuẩn bị
Kỳ vọng: Đã xác nhận
Dữ liệu (trích): Bước 1 và 5, không lọc
Thao tác (trích): 1. Chạy một lượt đối chứng không lọc để S01, S03 và S05 đều có mặt; lưu file Excel làm baseline.…
Xem chi tiết</t>
        </is>
      </c>
      <c r="D364" s="18" t="inlineStr">
        <is>
          <t>Kỳ vọng: Đã xác nhận
Cả ba đầu ra đều dùng cùng kết quả đã lưu: S01 có dấu đỏ theo cấu hình riêng của từng output; S03 không có dấu đỏ; S05 không bị coi là điểm 0 và không có dấu đỏ. Excel phải giữ…
Xem chi tiết</t>
        </is>
      </c>
      <c r="E364" s="19" t="inlineStr"/>
      <c r="F364" s="19" t="inlineStr">
        <is>
          <t>Chưa thực hiện</t>
        </is>
      </c>
      <c r="G364" s="19" t="inlineStr"/>
    </row>
    <row r="365" ht="163" customHeight="1">
      <c r="A365" s="18" t="inlineStr">
        <is>
          <t>TC-RS-FUNC-032 / extract-on</t>
        </is>
      </c>
      <c r="B365" s="18" t="inlineStr">
        <is>
          <t>Ba đầu ra dùng chung một kết quả — Kết quả dùng chung
Ba đầu ra dùng cùng kết quả cho cùng ô</t>
        </is>
      </c>
      <c r="C365" s="18" t="inlineStr">
        <is>
          <t>Chuẩn bị: Đang chuẩn bị
Kỳ vọng: Đã xác nhận
Dữ liệu (trích): Bước 2 và 5, bật lọc
Thao tác (trích): 1. Chạy một lượt đối chứng không lọc để S01, S03 và S05 đều có mặt; lưu file Excel làm baseline.…
Xem chi tiết</t>
        </is>
      </c>
      <c r="D365" s="18" t="inlineStr">
        <is>
          <t>Kỳ vọng: Đã xác nhận
Cả ba đầu ra đều dùng cùng kết quả đã lưu: S01 có dấu đỏ theo cấu hình riêng của từng output; S03 không có dấu đỏ; S05 không bị coi là điểm 0 và không có dấu đỏ. Excel phải giữ…
Xem chi tiết</t>
        </is>
      </c>
      <c r="E365" s="19" t="inlineStr"/>
      <c r="F365" s="19" t="inlineStr">
        <is>
          <t>Chưa thực hiện</t>
        </is>
      </c>
      <c r="G365" s="19" t="inlineStr"/>
    </row>
    <row r="366" ht="146" customHeight="1">
      <c r="A366" s="18" t="inlineStr">
        <is>
          <t>TC-RS-FUNC-032 / publish</t>
        </is>
      </c>
      <c r="B366" s="18" t="inlineStr">
        <is>
          <t>Ba đầu ra dùng chung một kết quả — Kết quả dùng chung
Ba đầu ra dùng cùng kết quả cho cùng ô</t>
        </is>
      </c>
      <c r="C366" s="18" t="inlineStr">
        <is>
          <t>Chuẩn bị: Đang chuẩn bị
Kỳ vọng: Đã xác nhận
Dữ liệu (trích): Bước 3 và 5
Thao tác (trích): 1. Chạy một lượt đối chứng không lọc để S01, S03 và S05 đều có mặt; lưu file Excel làm baseline.…
Xem chi tiết</t>
        </is>
      </c>
      <c r="D366" s="18" t="inlineStr">
        <is>
          <t>Kỳ vọng: Đã xác nhận
Cả ba đầu ra đều dùng cùng kết quả đã lưu: S01 có dấu đỏ theo cấu hình riêng của từng output; S03 không có dấu đỏ; S05 không bị coi là điểm 0 và không có dấu đỏ. Excel phải giữ…
Xem chi tiết</t>
        </is>
      </c>
      <c r="E366" s="19" t="inlineStr"/>
      <c r="F366" s="19" t="inlineStr">
        <is>
          <t>Chưa thực hiện</t>
        </is>
      </c>
      <c r="G366" s="19" t="inlineStr"/>
    </row>
    <row r="367" ht="146" customHeight="1">
      <c r="A367" s="18" t="inlineStr">
        <is>
          <t>TC-RS-FUNC-032 / report</t>
        </is>
      </c>
      <c r="B367" s="18" t="inlineStr">
        <is>
          <t>Ba đầu ra dùng chung một kết quả — Kết quả dùng chung
Ba đầu ra dùng cùng kết quả cho cùng ô</t>
        </is>
      </c>
      <c r="C367" s="18" t="inlineStr">
        <is>
          <t>Chuẩn bị: Đang chuẩn bị
Kỳ vọng: Đã xác nhận
Dữ liệu (trích): Bước 4 và 5
Thao tác (trích): 1. Chạy một lượt đối chứng không lọc để S01, S03 và S05 đều có mặt; lưu file Excel làm baseline.…
Xem chi tiết</t>
        </is>
      </c>
      <c r="D367" s="18" t="inlineStr">
        <is>
          <t>Kỳ vọng: Đã xác nhận
Cả ba đầu ra đều dùng cùng kết quả đã lưu: S01 có dấu đỏ theo cấu hình riêng của từng output; S03 không có dấu đỏ; S05 không bị coi là điểm 0 và không có dấu đỏ. Excel phải giữ…
Xem chi tiết</t>
        </is>
      </c>
      <c r="E367" s="19" t="inlineStr"/>
      <c r="F367" s="19" t="inlineStr">
        <is>
          <t>Chưa thực hiện</t>
        </is>
      </c>
      <c r="G367" s="19" t="inlineStr"/>
    </row>
    <row r="368" ht="163" customHeight="1">
      <c r="A368" s="18" t="inlineStr">
        <is>
          <t>TC-RS-ERR-014 / extract</t>
        </is>
      </c>
      <c r="B368" s="18" t="inlineStr">
        <is>
          <t>Ba đầu ra dùng chung một kết quả — Kết quả dùng chung
Mục bị ẩn theo thiết lập ẩn mục nhập</t>
        </is>
      </c>
      <c r="C368" s="18" t="inlineStr">
        <is>
          <t>Chuẩn bị: Đang chuẩn bị
Kỳ vọng: Chờ xác nhận
Dữ liệu (trích): Trích xuất
Thao tác (trích): Chạy xét; xem ba đầu ra cho S06.
Xem chi tiết</t>
        </is>
      </c>
      <c r="D368" s="18" t="inlineStr">
        <is>
          <t>Có xét hay không: TBD (chưa chốt). CONFIRMED phần không tranh chấp: không đầu ra nào làm hiện lại điểm đang bị ẩn.
Bảo toàn: Giữ điểm, cấu hình và đối tượng không đích theo expected; chỉ thay phần thủ tục yêu cầu, không tự đổi oracle hoặc mở rộng phạm vi.</t>
        </is>
      </c>
      <c r="E368" s="19" t="inlineStr"/>
      <c r="F368" s="19" t="inlineStr">
        <is>
          <t>Chưa thực hiện</t>
        </is>
      </c>
      <c r="G368" s="19" t="inlineStr"/>
    </row>
    <row r="369" ht="163" customHeight="1">
      <c r="A369" s="18" t="inlineStr">
        <is>
          <t>TC-RS-ERR-014 / publish</t>
        </is>
      </c>
      <c r="B369" s="18" t="inlineStr">
        <is>
          <t>Ba đầu ra dùng chung một kết quả — Kết quả dùng chung
Mục bị ẩn theo thiết lập ẩn mục nhập</t>
        </is>
      </c>
      <c r="C369" s="18" t="inlineStr">
        <is>
          <t>Chuẩn bị: Đang chuẩn bị
Kỳ vọng: Chờ xác nhận
Dữ liệu (trích): Công khai
Thao tác (trích): Chạy xét; xem ba đầu ra cho S06.
Xem chi tiết</t>
        </is>
      </c>
      <c r="D369" s="18" t="inlineStr">
        <is>
          <t>Có xét hay không: TBD (chưa chốt). CONFIRMED phần không tranh chấp: không đầu ra nào làm hiện lại điểm đang bị ẩn.
Bảo toàn: Giữ điểm, cấu hình và đối tượng không đích theo expected; chỉ thay phần thủ tục yêu cầu, không tự đổi oracle hoặc mở rộng phạm vi.</t>
        </is>
      </c>
      <c r="E369" s="19" t="inlineStr"/>
      <c r="F369" s="19" t="inlineStr">
        <is>
          <t>Chưa thực hiện</t>
        </is>
      </c>
      <c r="G369" s="19" t="inlineStr"/>
    </row>
    <row r="370" ht="163" customHeight="1">
      <c r="A370" s="18" t="inlineStr">
        <is>
          <t>TC-RS-ERR-014 / report</t>
        </is>
      </c>
      <c r="B370" s="18" t="inlineStr">
        <is>
          <t>Ba đầu ra dùng chung một kết quả — Kết quả dùng chung
Mục bị ẩn theo thiết lập ẩn mục nhập</t>
        </is>
      </c>
      <c r="C370" s="18" t="inlineStr">
        <is>
          <t>Chuẩn bị: Đang chuẩn bị
Kỳ vọng: Chờ xác nhận
Dữ liệu (trích): Phiếu điểm
Thao tác (trích): Chạy xét; xem ba đầu ra cho S06.
Xem chi tiết</t>
        </is>
      </c>
      <c r="D370" s="18" t="inlineStr">
        <is>
          <t>Có xét hay không: TBD (chưa chốt). CONFIRMED phần không tranh chấp: không đầu ra nào làm hiện lại điểm đang bị ẩn.
Bảo toàn: Giữ điểm, cấu hình và đối tượng không đích theo expected; chỉ thay phần thủ tục yêu cầu, không tự đổi oracle hoặc mở rộng phạm vi.</t>
        </is>
      </c>
      <c r="E370" s="19" t="inlineStr"/>
      <c r="F370" s="19" t="inlineStr">
        <is>
          <t>Chưa thực hiện</t>
        </is>
      </c>
      <c r="G370" s="19" t="inlineStr"/>
    </row>
    <row r="371" ht="163" customHeight="1">
      <c r="A371" s="18" t="inlineStr">
        <is>
          <t>TC-RS-BR-001 / priority20</t>
        </is>
      </c>
      <c r="B371" s="18" t="inlineStr">
        <is>
          <t>Xét theo ưu tiên
Chọn quy tắc khớp đầu tiên theo ưu tiên, không lấy ngưỡng nghiêm hơn
Xem chi tiết</t>
        </is>
      </c>
      <c r="C371" s="18" t="inlineStr">
        <is>
          <t>Chuẩn bị: Đang chuẩn bị
Kỳ vọng: Đã xác nhận
Dữ liệu (trích): Thứ tự ban đầu
Thao tác (trích): 1. Đăng ký S02=25.…
Xem chi tiết</t>
        </is>
      </c>
      <c r="D371" s="18" t="inlineStr">
        <is>
          <t>1. Lần 1: chọn quy tắc `&lt;20` → Không đỏ.
2. Lần 2 (sau chạy lại): chọn quy tắc `&lt;30` → Đỏ.
Bảo toàn: Giữ điểm, cấu hình và đối tượng không đích theo expected; chỉ thay phần thủ tục yêu cầu, không tự đổi oracle hoặc mở rộng phạm vi.</t>
        </is>
      </c>
      <c r="E371" s="19" t="inlineStr"/>
      <c r="F371" s="19" t="inlineStr">
        <is>
          <t>Chưa thực hiện</t>
        </is>
      </c>
      <c r="G371" s="19" t="inlineStr"/>
    </row>
    <row r="372" ht="163" customHeight="1">
      <c r="A372" s="18" t="inlineStr">
        <is>
          <t>TC-RS-BR-001 / priority30</t>
        </is>
      </c>
      <c r="B372" s="18" t="inlineStr">
        <is>
          <t>Xét theo ưu tiên
Chọn quy tắc khớp đầu tiên theo ưu tiên, không lấy ngưỡng nghiêm hơn
Xem chi tiết</t>
        </is>
      </c>
      <c r="C372" s="18" t="inlineStr">
        <is>
          <t>Chuẩn bị: Đang chuẩn bị
Kỳ vọng: Đã xác nhận
Dữ liệu (trích): Đổi thứ tự rồi xét lại
Thao tác (trích): 1. Đăng ký S02=25.…
Xem chi tiết</t>
        </is>
      </c>
      <c r="D372" s="18" t="inlineStr">
        <is>
          <t>1. Lần 1: chọn quy tắc `&lt;20` → Không đỏ.
2. Lần 2 (sau chạy lại): chọn quy tắc `&lt;30` → Đỏ.
Bảo toàn: Giữ điểm, cấu hình và đối tượng không đích theo expected; chỉ thay phần thủ tục yêu cầu, không tự đổi oracle hoặc mở rộng phạm vi.</t>
        </is>
      </c>
      <c r="E372" s="19" t="inlineStr"/>
      <c r="F372" s="19" t="inlineStr">
        <is>
          <t>Chưa thực hiện</t>
        </is>
      </c>
      <c r="G372" s="19" t="inlineStr"/>
    </row>
    <row r="373" ht="146" customHeight="1">
      <c r="A373" s="18" t="inlineStr">
        <is>
          <t>TC-RS-BR-002 / Base</t>
        </is>
      </c>
      <c r="B373" s="18" t="inlineStr">
        <is>
          <t>Chọn quy tắc và phân nhánh — Xét theo ưu tiên
Không quy tắc nào khớp khi đủ dữ liệu → Không áp dụng</t>
        </is>
      </c>
      <c r="C373" s="18" t="inlineStr">
        <is>
          <t>Chuẩn bị: Đang chuẩn bị
Kỳ vọng: Đã xác nhận
Dữ liệu (trích): Toàn bộ thủ tục theo đúng thứ tự; các đối chứng cùng fixture…
Thao tác (trích): 1. Đăng ký S07=20.…
Xem chi tiết</t>
        </is>
      </c>
      <c r="D373" s="18" t="inlineStr">
        <is>
          <t>S07 ở trạng thái Không áp dụng: không có dấu/lọc đỏ; không được coi là "đạt một ngưỡng".
Bảo toàn: Giữ điểm, cấu hình và đối tượng không đích theo expected; chỉ thay phần thủ tục yêu cầu, không tự đổi oracle hoặc mở rộng phạm vi.</t>
        </is>
      </c>
      <c r="E373" s="19" t="inlineStr"/>
      <c r="F373" s="19" t="inlineStr">
        <is>
          <t>Chưa thực hiện</t>
        </is>
      </c>
      <c r="G373" s="19" t="inlineStr"/>
    </row>
    <row r="374" ht="146" customHeight="1">
      <c r="A374" s="18" t="inlineStr">
        <is>
          <t>TC-RS-BR-003 / divide-zero</t>
        </is>
      </c>
      <c r="B374" s="18" t="inlineStr">
        <is>
          <t>Xét theo ưu tiên
Ưu tiên 1 khớp nhưng thiếu dữ liệu → Chưa xét được, không chuyển xuống ưu tiên 2
Xem chi tiết</t>
        </is>
      </c>
      <c r="C374" s="18" t="inlineStr">
        <is>
          <t>Chuẩn bị: Đang chuẩn bị
Kỳ vọng: Đã xác nhận
Dữ liệu (trích): Fixture A chia 0
Thao tác (trích): Với từng cấu hình (A), (B), (C): đăng ký S01=29, xem kết quả.
Xem chi tiết</t>
        </is>
      </c>
      <c r="D374" s="18" t="inlineStr">
        <is>
          <t>Kỳ vọng: Đã xác nhận
(A) Quy tắc 1 được chọn, chia 0 → Chưa xét được; không dùng ưu tiên 2.…
Xem chi tiết</t>
        </is>
      </c>
      <c r="E374" s="19" t="inlineStr"/>
      <c r="F374" s="19" t="inlineStr">
        <is>
          <t>Chưa thực hiện</t>
        </is>
      </c>
      <c r="G374" s="19" t="inlineStr"/>
    </row>
    <row r="375" ht="146" customHeight="1">
      <c r="A375" s="18" t="inlineStr">
        <is>
          <t>TC-RS-BR-003 / missing-average</t>
        </is>
      </c>
      <c r="B375" s="18" t="inlineStr">
        <is>
          <t>Xét theo ưu tiên
Ưu tiên 1 khớp nhưng thiếu dữ liệu → Chưa xét được, không chuyển xuống ưu tiên 2
Xem chi tiết</t>
        </is>
      </c>
      <c r="C375" s="18" t="inlineStr">
        <is>
          <t>Chuẩn bị: Đang chuẩn bị
Kỳ vọng: Đã xác nhận
Dữ liệu (trích): Fixture B thiếu trung bình
Thao tác (trích): Với từng cấu hình (A), (B), (C): đăng ký S01=29, xem kết quả.
Xem chi tiết</t>
        </is>
      </c>
      <c r="D375" s="18" t="inlineStr">
        <is>
          <t>Kỳ vọng: Đã xác nhận
(A) Quy tắc 1 được chọn, chia 0 → Chưa xét được; không dùng ưu tiên 2.…
Xem chi tiết</t>
        </is>
      </c>
      <c r="E375" s="19" t="inlineStr"/>
      <c r="F375" s="19" t="inlineStr">
        <is>
          <t>Chưa thực hiện</t>
        </is>
      </c>
      <c r="G375" s="19" t="inlineStr"/>
    </row>
    <row r="376" ht="146" customHeight="1">
      <c r="A376" s="18" t="inlineStr">
        <is>
          <t>TC-RS-BR-003 / filter-miss</t>
        </is>
      </c>
      <c r="B376" s="18" t="inlineStr">
        <is>
          <t>Xét theo ưu tiên
Ưu tiên 1 khớp nhưng thiếu dữ liệu → Chưa xét được, không chuyển xuống ưu tiên 2
Xem chi tiết</t>
        </is>
      </c>
      <c r="C376" s="18" t="inlineStr">
        <is>
          <t>Chuẩn bị: Đang chuẩn bị
Kỳ vọng: Đã xác nhận
Dữ liệu (trích): Fixture C không khớp lọc
Thao tác (trích): Với từng cấu hình (A), (B), (C): đăng ký S01=29, xem kết quả.
Xem chi tiết</t>
        </is>
      </c>
      <c r="D376" s="18" t="inlineStr">
        <is>
          <t>Kỳ vọng: Đã xác nhận
(A) Quy tắc 1 được chọn, chia 0 → Chưa xét được; không dùng ưu tiên 2.…
Xem chi tiết</t>
        </is>
      </c>
      <c r="E376" s="19" t="inlineStr"/>
      <c r="F376" s="19" t="inlineStr">
        <is>
          <t>Chưa thực hiện</t>
        </is>
      </c>
      <c r="G376" s="19" t="inlineStr"/>
    </row>
    <row r="377" ht="180" customHeight="1">
      <c r="A377" s="18" t="inlineStr">
        <is>
          <t>TC-RS-BR-036 / Base</t>
        </is>
      </c>
      <c r="B377" s="18" t="inlineStr">
        <is>
          <t>Xét theo ưu tiên
Cùng lượt đăng ký: ô thiếu nguồn chưa xét được, ô ngưỡng cố định vẫn được xét
Xem chi tiết</t>
        </is>
      </c>
      <c r="C377" s="18" t="inlineStr">
        <is>
          <t>Chuẩn bị: Đang chuẩn bị
Kỳ vọng: Đã xác nhận
Dữ liệu (trích): Toàn bộ thủ tục theo đúng thứ tự; các đối chứng cùng fixture…
Thao tác (trích): 1. Trong cùng một lượt đăng ký điểm của lớp G-A, lưu S01: mục số nguyên (M=100) = 29, mục số thập phân…
Xem chi tiết</t>
        </is>
      </c>
      <c r="D377" s="18" t="inlineStr">
        <is>
          <t>Kỳ vọng: Đã xác nhận
1. Lượt lưu không dừng hay báo lỗi chung vì ô mục số nguyên (M=100) thiếu nguồn.…
Xem chi tiết</t>
        </is>
      </c>
      <c r="E377" s="19" t="inlineStr"/>
      <c r="F377" s="19" t="inlineStr">
        <is>
          <t>Chưa thực hiện</t>
        </is>
      </c>
      <c r="G377" s="19" t="inlineStr"/>
    </row>
    <row r="378" ht="112" customHeight="1">
      <c r="A378" s="18" t="inlineStr">
        <is>
          <t>TC-RS-CALC-022 / a40</t>
        </is>
      </c>
      <c r="B378" s="18" t="inlineStr">
        <is>
          <t>Xét theo ưu tiên
Phân nhánh theo trung bình: A = 40 / 50 / 49.99 (dùng A trước làm tròn)
Xem chi tiết</t>
        </is>
      </c>
      <c r="C378" s="18" t="inlineStr">
        <is>
          <t>Chuẩn bị: Đang chuẩn bị
Kỳ vọng: Đã xác nhận
Dữ liệu (trích): A40
Thao tác (trích): 1. Với từng nguồn, chạy nút cam, xem kết quả.…
Xem chi tiết</t>
        </is>
      </c>
      <c r="D378" s="18" t="inlineStr">
        <is>
          <t>Kỳ vọng: Đã xác nhận
`A=40` → ưu tiên 2, `T=20`: 19 Đỏ; 20 Không đỏ.…
Xem chi tiết</t>
        </is>
      </c>
      <c r="E378" s="19" t="inlineStr"/>
      <c r="F378" s="19" t="inlineStr">
        <is>
          <t>Chưa thực hiện</t>
        </is>
      </c>
      <c r="G378" s="19" t="inlineStr"/>
    </row>
    <row r="379" ht="112" customHeight="1">
      <c r="A379" s="18" t="inlineStr">
        <is>
          <t>TC-RS-CALC-022 / a50</t>
        </is>
      </c>
      <c r="B379" s="18" t="inlineStr">
        <is>
          <t>Xét theo ưu tiên
Phân nhánh theo trung bình: A = 40 / 50 / 49.99 (dùng A trước làm tròn)
Xem chi tiết</t>
        </is>
      </c>
      <c r="C379" s="18" t="inlineStr">
        <is>
          <t>Chuẩn bị: Đang chuẩn bị
Kỳ vọng: Đã xác nhận
Dữ liệu (trích): A50
Thao tác (trích): 1. Với từng nguồn, chạy nút cam, xem kết quả.…
Xem chi tiết</t>
        </is>
      </c>
      <c r="D379" s="18" t="inlineStr">
        <is>
          <t>Kỳ vọng: Đã xác nhận
`A=40` → ưu tiên 2, `T=20`: 19 Đỏ; 20 Không đỏ.…
Xem chi tiết</t>
        </is>
      </c>
      <c r="E379" s="19" t="inlineStr"/>
      <c r="F379" s="19" t="inlineStr">
        <is>
          <t>Chưa thực hiện</t>
        </is>
      </c>
      <c r="G379" s="19" t="inlineStr"/>
    </row>
    <row r="380" ht="129" customHeight="1">
      <c r="A380" s="18" t="inlineStr">
        <is>
          <t>TC-RS-CALC-022 / a4999-none</t>
        </is>
      </c>
      <c r="B380" s="18" t="inlineStr">
        <is>
          <t>Xét theo ưu tiên
Phân nhánh theo trung bình: A = 40 / 50 / 49.99 (dùng A trước làm tròn)
Xem chi tiết</t>
        </is>
      </c>
      <c r="C380" s="18" t="inlineStr">
        <is>
          <t>Chuẩn bị: Đang chuẩn bị
Kỳ vọng: Đã xác nhận
Dữ liệu (trích): A49.99 không làm tròn
Thao tác (trích): 1. Với từng nguồn, chạy nút cam, xem kết quả.…
Xem chi tiết</t>
        </is>
      </c>
      <c r="D380" s="18" t="inlineStr">
        <is>
          <t>Kỳ vọng: Đã xác nhận
`A=40` → ưu tiên 2, `T=20`: 19 Đỏ; 20 Không đỏ.…
Xem chi tiết</t>
        </is>
      </c>
      <c r="E380" s="19" t="inlineStr"/>
      <c r="F380" s="19" t="inlineStr">
        <is>
          <t>Chưa thực hiện</t>
        </is>
      </c>
      <c r="G380" s="19" t="inlineStr"/>
    </row>
    <row r="381" ht="129" customHeight="1">
      <c r="A381" s="18" t="inlineStr">
        <is>
          <t>TC-RS-CALC-022 / a4999-round</t>
        </is>
      </c>
      <c r="B381" s="18" t="inlineStr">
        <is>
          <t>Xét theo ưu tiên
Phân nhánh theo trung bình: A = 40 / 50 / 49.99 (dùng A trước làm tròn)
Xem chi tiết</t>
        </is>
      </c>
      <c r="C381" s="18" t="inlineStr">
        <is>
          <t>Chuẩn bị: Đang chuẩn bị
Kỳ vọng: Đã xác nhận
Dữ liệu (trích): A49.99 có làm tròn
Thao tác (trích): 1. Với từng nguồn, chạy nút cam, xem kết quả.…
Xem chi tiết</t>
        </is>
      </c>
      <c r="D381" s="18" t="inlineStr">
        <is>
          <t>Kỳ vọng: Đã xác nhận
`A=40` → ưu tiên 2, `T=20`: 19 Đỏ; 20 Không đỏ.…
Xem chi tiết</t>
        </is>
      </c>
      <c r="E381" s="19" t="inlineStr"/>
      <c r="F381" s="19" t="inlineStr">
        <is>
          <t>Chưa thực hiện</t>
        </is>
      </c>
      <c r="G381" s="19" t="inlineStr"/>
    </row>
    <row r="382" ht="180" customHeight="1">
      <c r="A382" s="18" t="inlineStr">
        <is>
          <t>TC-RS-CALC-023 / a60</t>
        </is>
      </c>
      <c r="B382" s="18" t="inlineStr">
        <is>
          <t>Chọn quy tắc và phân nhánh — Xét theo ưu tiên
Biên nhánh A=60.00 và A=59.96</t>
        </is>
      </c>
      <c r="C382" s="18" t="inlineStr">
        <is>
          <t>Chuẩn bị: Đang chuẩn bị
Kỳ vọng: Đã xác nhận
Dữ liệu (trích): A60
Thao tác (trích): Chạy nút cam với từng nguồn.
Xem chi tiết</t>
        </is>
      </c>
      <c r="D382" s="18" t="inlineStr">
        <is>
          <t>`A=60.00` → ưu tiên 1, `T=25`: 27 Không đỏ.
`A=59.96` → ưu tiên 2, `T=29.98`: 27 Đỏ; 29.99 Không đỏ.
Bảo toàn: Giữ điểm, cấu hình và đối tượng không đích theo expected; chỉ thay phần thủ tục yêu cầu, không tự đổi oracle hoặc mở rộng phạm vi.</t>
        </is>
      </c>
      <c r="E382" s="19" t="inlineStr"/>
      <c r="F382" s="19" t="inlineStr">
        <is>
          <t>Chưa thực hiện</t>
        </is>
      </c>
      <c r="G382" s="19" t="inlineStr"/>
    </row>
    <row r="383" ht="180" customHeight="1">
      <c r="A383" s="18" t="inlineStr">
        <is>
          <t>TC-RS-CALC-023 / a5996</t>
        </is>
      </c>
      <c r="B383" s="18" t="inlineStr">
        <is>
          <t>Chọn quy tắc và phân nhánh — Xét theo ưu tiên
Biên nhánh A=60.00 và A=59.96</t>
        </is>
      </c>
      <c r="C383" s="18" t="inlineStr">
        <is>
          <t>Chuẩn bị: Đang chuẩn bị
Kỳ vọng: Đã xác nhận
Dữ liệu (trích): A59.96
Thao tác (trích): Chạy nút cam với từng nguồn.
Xem chi tiết</t>
        </is>
      </c>
      <c r="D383" s="18" t="inlineStr">
        <is>
          <t>`A=60.00` → ưu tiên 1, `T=25`: 27 Không đỏ.
`A=59.96` → ưu tiên 2, `T=29.98`: 27 Đỏ; 29.99 Không đỏ.
Bảo toàn: Giữ điểm, cấu hình và đối tượng không đích theo expected; chỉ thay phần thủ tục yêu cầu, không tự đổi oracle hoặc mở rộng phạm vi.</t>
        </is>
      </c>
      <c r="E383" s="19" t="inlineStr"/>
      <c r="F383" s="19" t="inlineStr">
        <is>
          <t>Chưa thực hiện</t>
        </is>
      </c>
      <c r="G383" s="19" t="inlineStr"/>
    </row>
    <row r="384" ht="197" customHeight="1">
      <c r="A384" s="18" t="inlineStr">
        <is>
          <t>TC-RS-CALC-024 / r70</t>
        </is>
      </c>
      <c r="B384" s="18" t="inlineStr">
        <is>
          <t>Chọn quy tắc và phân nhánh — Xét theo ưu tiên
Tỷ lệ nhóm R = 70% khớp điều kiện ≥ 65%</t>
        </is>
      </c>
      <c r="C384" s="18" t="inlineStr">
        <is>
          <t>Chuẩn bị: Đang chuẩn bị
Kỳ vọng: Đã xác nhận
Dữ liệu (trích): R70
Thao tác (trích): Chạy nút xanh rồi nút cam cho từng nguồn.
Xem chi tiết</t>
        </is>
      </c>
      <c r="D384" s="18" t="inlineStr">
        <is>
          <t>(a) `R=140/200×100=70%` → khớp; `T=70`: 60 Đỏ; 70 Không đỏ; 80 Không đỏ.
(b) `R=120/200×100=60%` → không khớp → cả ba Không áp dụng.
Bảo toàn: Giữ điểm, cấu hình và đối tượng không đích theo expected; chỉ thay phần thủ tục yêu cầu, không tự đổi oracle hoặc mở rộng phạm vi.</t>
        </is>
      </c>
      <c r="E384" s="19" t="inlineStr"/>
      <c r="F384" s="19" t="inlineStr">
        <is>
          <t>Chưa thực hiện</t>
        </is>
      </c>
      <c r="G384" s="19" t="inlineStr"/>
    </row>
    <row r="385" ht="197" customHeight="1">
      <c r="A385" s="18" t="inlineStr">
        <is>
          <t>TC-RS-CALC-024 / r60</t>
        </is>
      </c>
      <c r="B385" s="18" t="inlineStr">
        <is>
          <t>Chọn quy tắc và phân nhánh — Xét theo ưu tiên
Tỷ lệ nhóm R = 70% khớp điều kiện ≥ 65%</t>
        </is>
      </c>
      <c r="C385" s="18" t="inlineStr">
        <is>
          <t>Chuẩn bị: Đang chuẩn bị
Kỳ vọng: Đã xác nhận
Dữ liệu (trích): R60
Thao tác (trích): Chạy nút xanh rồi nút cam cho từng nguồn.
Xem chi tiết</t>
        </is>
      </c>
      <c r="D385" s="18" t="inlineStr">
        <is>
          <t>(a) `R=140/200×100=70%` → khớp; `T=70`: 60 Đỏ; 70 Không đỏ; 80 Không đỏ.
(b) `R=120/200×100=60%` → không khớp → cả ba Không áp dụng.
Bảo toàn: Giữ điểm, cấu hình và đối tượng không đích theo expected; chỉ thay phần thủ tục yêu cầu, không tự đổi oracle hoặc mở rộng phạm vi.</t>
        </is>
      </c>
      <c r="E385" s="19" t="inlineStr"/>
      <c r="F385" s="19" t="inlineStr">
        <is>
          <t>Chưa thực hiện</t>
        </is>
      </c>
      <c r="G385" s="19" t="inlineStr"/>
    </row>
    <row r="386" ht="146" customHeight="1">
      <c r="A386" s="18" t="inlineStr">
        <is>
          <t>TC-RS-CALC-025 / r6499</t>
        </is>
      </c>
      <c r="B386" s="18" t="inlineStr">
        <is>
          <t>Chọn quy tắc và phân nhánh — Xét theo ưu tiên
Tỷ lệ nhóm 64.99% (hiển thị 65.0) không khớp ≥ 65%</t>
        </is>
      </c>
      <c r="C386" s="18" t="inlineStr">
        <is>
          <t>Chuẩn bị: Bị chặn
Kỳ vọng: Đã xác nhận
Dữ liệu (trích): R64.99
Thao tác (trích): Chạy nút xanh rồi nút cam cho từng nguồn.
Xem chi tiết</t>
        </is>
      </c>
      <c r="D386" s="18" t="inlineStr">
        <is>
          <t>Kỳ vọng: Đã xác nhận
(a) `R` thô = `64.99%` không khớp `≥65%` → Không áp dụng. Nếu seam chỉ cung cấp `65.0%` đã làm tròn, case bị BLOCKED/NEEDS_EVIDENCE vì thiếu dữ liệu nguồn, không được đổi oracle…
Xem chi tiết</t>
        </is>
      </c>
      <c r="E386" s="19" t="inlineStr"/>
      <c r="F386" s="19" t="inlineStr">
        <is>
          <t>Chưa thực hiện</t>
        </is>
      </c>
      <c r="G386" s="19" t="inlineStr"/>
    </row>
    <row r="387" ht="146" customHeight="1">
      <c r="A387" s="18" t="inlineStr">
        <is>
          <t>TC-RS-CALC-025 / r65</t>
        </is>
      </c>
      <c r="B387" s="18" t="inlineStr">
        <is>
          <t>Chọn quy tắc và phân nhánh — Xét theo ưu tiên
Tỷ lệ nhóm 64.99% (hiển thị 65.0) không khớp ≥ 65%</t>
        </is>
      </c>
      <c r="C387" s="18" t="inlineStr">
        <is>
          <t>Chuẩn bị: Bị chặn
Kỳ vọng: Đã xác nhận
Dữ liệu (trích): R65
Thao tác (trích): Chạy nút xanh rồi nút cam cho từng nguồn.
Xem chi tiết</t>
        </is>
      </c>
      <c r="D387" s="18" t="inlineStr">
        <is>
          <t>Kỳ vọng: Đã xác nhận
(a) `R` thô = `64.99%` không khớp `≥65%` → Không áp dụng. Nếu seam chỉ cung cấp `65.0%` đã làm tròn, case bị BLOCKED/NEEDS_EVIDENCE vì thiếu dữ liệu nguồn, không được đổi oracle…
Xem chi tiết</t>
        </is>
      </c>
      <c r="E387" s="19" t="inlineStr"/>
      <c r="F387" s="19" t="inlineStr">
        <is>
          <t>Chưa thực hiện</t>
        </is>
      </c>
      <c r="G387" s="19" t="inlineStr"/>
    </row>
    <row r="388" ht="214" customHeight="1">
      <c r="A388" s="18" t="inlineStr">
        <is>
          <t>TC-RS-BR-012 / projected</t>
        </is>
      </c>
      <c r="B388" s="18" t="inlineStr">
        <is>
          <t>Đăng ký thành tích（成績登録）
Điểm được xét là điểm cuối đã lưu (dự kiến, sửa tay, sau giới hạn miền điểm)
Xem chi tiết</t>
        </is>
      </c>
      <c r="C388" s="18" t="inlineStr">
        <is>
          <t>Chuẩn bị: Đang chuẩn bị
Kỳ vọng: Đã xác nhận
Dữ liệu (trích): Điểm dự kiến 24
Thao tác (trích): (a) S06 = 24 là Điểm dự kiến（見込点）: đăng ký.…
Xem chi tiết</t>
        </is>
      </c>
      <c r="D388" s="18" t="inlineStr">
        <is>
          <t>(a) Đỏ.
(b) Sau lần lưu thứ hai: xét 35 → Không đỏ.
(c) Xét `S=100`: `&lt;100` Không đỏ; `≤100` Đỏ.
Bảo toàn: Giữ điểm, cấu hình và đối tượng không đích theo expected; chỉ thay phần thủ tục yêu cầu, không tự đổi oracle hoặc mở rộng phạm vi.</t>
        </is>
      </c>
      <c r="E388" s="19" t="inlineStr"/>
      <c r="F388" s="19" t="inlineStr">
        <is>
          <t>Chưa thực hiện</t>
        </is>
      </c>
      <c r="G388" s="19" t="inlineStr"/>
    </row>
    <row r="389" ht="214" customHeight="1">
      <c r="A389" s="18" t="inlineStr">
        <is>
          <t>TC-RS-BR-012 / manual</t>
        </is>
      </c>
      <c r="B389" s="18" t="inlineStr">
        <is>
          <t>Đăng ký thành tích（成績登録）
Điểm được xét là điểm cuối đã lưu (dự kiến, sửa tay, sau giới hạn miền điểm)
Xem chi tiết</t>
        </is>
      </c>
      <c r="C389" s="18" t="inlineStr">
        <is>
          <t>Chuẩn bị: Đang chuẩn bị
Kỳ vọng: Đã xác nhận
Dữ liệu (trích): Chuỗi sửa tay 28 thành 35
Thao tác (trích): (a) S06 = 24 là Điểm dự kiến（見込点）: đăng ký.…
Xem chi tiết</t>
        </is>
      </c>
      <c r="D389" s="18" t="inlineStr">
        <is>
          <t>(a) Đỏ.
(b) Sau lần lưu thứ hai: xét 35 → Không đỏ.
(c) Xét `S=100`: `&lt;100` Không đỏ; `≤100` Đỏ.
Bảo toàn: Giữ điểm, cấu hình và đối tượng không đích theo expected; chỉ thay phần thủ tục yêu cầu, không tự đổi oracle hoặc mở rộng phạm vi.</t>
        </is>
      </c>
      <c r="E389" s="19" t="inlineStr"/>
      <c r="F389" s="19" t="inlineStr">
        <is>
          <t>Chưa thực hiện</t>
        </is>
      </c>
      <c r="G389" s="19" t="inlineStr"/>
    </row>
    <row r="390" ht="214" customHeight="1">
      <c r="A390" s="18" t="inlineStr">
        <is>
          <t>TC-RS-BR-012 / clamp-lt</t>
        </is>
      </c>
      <c r="B390" s="18" t="inlineStr">
        <is>
          <t>Đăng ký thành tích（成績登録）
Điểm được xét là điểm cuối đã lưu (dự kiến, sửa tay, sau giới hạn miền điểm)
Xem chi tiết</t>
        </is>
      </c>
      <c r="C390" s="18" t="inlineStr">
        <is>
          <t>Chuẩn bị: Đang chuẩn bị
Kỳ vọng: Đã xác nhận
Dữ liệu (trích): Điểm sau chặn 100 với nhỏ hơn
Thao tác (trích): (a) S06 = 24 là Điểm dự kiến（見込点）: đăng ký.…
Xem chi tiết</t>
        </is>
      </c>
      <c r="D390" s="18" t="inlineStr">
        <is>
          <t>(a) Đỏ.
(b) Sau lần lưu thứ hai: xét 35 → Không đỏ.
(c) Xét `S=100`: `&lt;100` Không đỏ; `≤100` Đỏ.
Bảo toàn: Giữ điểm, cấu hình và đối tượng không đích theo expected; chỉ thay phần thủ tục yêu cầu, không tự đổi oracle hoặc mở rộng phạm vi.</t>
        </is>
      </c>
      <c r="E390" s="19" t="inlineStr"/>
      <c r="F390" s="19" t="inlineStr">
        <is>
          <t>Chưa thực hiện</t>
        </is>
      </c>
      <c r="G390" s="19" t="inlineStr"/>
    </row>
    <row r="391" ht="214" customHeight="1">
      <c r="A391" s="18" t="inlineStr">
        <is>
          <t>TC-RS-BR-012 / clamp-le</t>
        </is>
      </c>
      <c r="B391" s="18" t="inlineStr">
        <is>
          <t>Đăng ký thành tích（成績登録）
Điểm được xét là điểm cuối đã lưu (dự kiến, sửa tay, sau giới hạn miền điểm)
Xem chi tiết</t>
        </is>
      </c>
      <c r="C391" s="18" t="inlineStr">
        <is>
          <t>Chuẩn bị: Đang chuẩn bị
Kỳ vọng: Đã xác nhận
Dữ liệu (trích): Điểm sau chặn 100 với nhỏ hơn hoặc bằng
Thao tác (trích): (a) S06 = 24 là Điểm dự kiến（見込点）: đăng ký.…
Xem chi tiết</t>
        </is>
      </c>
      <c r="D391" s="18" t="inlineStr">
        <is>
          <t>(a) Đỏ.
(b) Sau lần lưu thứ hai: xét 35 → Không đỏ.
(c) Xét `S=100`: `&lt;100` Không đỏ; `≤100` Đỏ.
Bảo toàn: Giữ điểm, cấu hình và đối tượng không đích theo expected; chỉ thay phần thủ tục yêu cầu, không tự đổi oracle hoặc mở rộng phạm vi.</t>
        </is>
      </c>
      <c r="E391" s="19" t="inlineStr"/>
      <c r="F391" s="19" t="inlineStr">
        <is>
          <t>Chưa thực hiện</t>
        </is>
      </c>
      <c r="G391" s="19" t="inlineStr"/>
    </row>
    <row r="392" ht="180" customHeight="1">
      <c r="A392" s="18" t="inlineStr">
        <is>
          <t>TC-RS-BR-013 / notexam35</t>
        </is>
      </c>
      <c r="B392" s="18" t="inlineStr">
        <is>
          <t>Điểm được xét — Đăng ký thành tích（成績登録）
Cờ Chưa dự thi（未受験） không loại điểm số khỏi xét</t>
        </is>
      </c>
      <c r="C392" s="18" t="inlineStr">
        <is>
          <t>Chuẩn bị: Đang chuẩn bị
Kỳ vọng: Đã xác nhận
Dữ liệu (trích): Cờ chưa dự thi với điểm 35
Thao tác (trích): 1. Đăng ký S07=35 kèm cờ Chưa dự thi（未受験）.…
Xem chi tiết</t>
        </is>
      </c>
      <c r="D392" s="18" t="inlineStr">
        <is>
          <t>1. Được xét → Không đỏ.
2. Được xét → Đỏ.
3. S09 được xét → Đỏ (29.5 `&lt;30`); việc bị loại khỏi xếp hạng không loại ô khỏi xét đỏ.
Bảo toàn: Giữ điểm, cấu hình và đối tượng không đích theo expected; chỉ thay phần thủ tục yêu cầu, không tự đổi oracle hoặc mở rộng phạm vi.</t>
        </is>
      </c>
      <c r="E392" s="19" t="inlineStr"/>
      <c r="F392" s="19" t="inlineStr">
        <is>
          <t>Chưa thực hiện</t>
        </is>
      </c>
      <c r="G392" s="19" t="inlineStr"/>
    </row>
    <row r="393" ht="180" customHeight="1">
      <c r="A393" s="18" t="inlineStr">
        <is>
          <t>TC-RS-BR-013 / notexam25</t>
        </is>
      </c>
      <c r="B393" s="18" t="inlineStr">
        <is>
          <t>Điểm được xét — Đăng ký thành tích（成績登録）
Cờ Chưa dự thi（未受験） không loại điểm số khỏi xét</t>
        </is>
      </c>
      <c r="C393" s="18" t="inlineStr">
        <is>
          <t>Chuẩn bị: Đang chuẩn bị
Kỳ vọng: Đã xác nhận
Dữ liệu (trích): Cờ chưa dự thi với điểm 25
Thao tác (trích): 1. Đăng ký S07=35 kèm cờ Chưa dự thi（未受験）.…
Xem chi tiết</t>
        </is>
      </c>
      <c r="D393" s="18" t="inlineStr">
        <is>
          <t>1. Được xét → Không đỏ.
2. Được xét → Đỏ.
3. S09 được xét → Đỏ (29.5 `&lt;30`); việc bị loại khỏi xếp hạng không loại ô khỏi xét đỏ.
Bảo toàn: Giữ điểm, cấu hình và đối tượng không đích theo expected; chỉ thay phần thủ tục yêu cầu, không tự đổi oracle hoặc mở rộng phạm vi.</t>
        </is>
      </c>
      <c r="E393" s="19" t="inlineStr"/>
      <c r="F393" s="19" t="inlineStr">
        <is>
          <t>Chưa thực hiện</t>
        </is>
      </c>
      <c r="G393" s="19" t="inlineStr"/>
    </row>
    <row r="394" ht="180" customHeight="1">
      <c r="A394" s="18" t="inlineStr">
        <is>
          <t>TC-RS-BR-013 / ranking-excluded</t>
        </is>
      </c>
      <c r="B394" s="18" t="inlineStr">
        <is>
          <t>Điểm được xét — Đăng ký thành tích（成績登録）
Cờ Chưa dự thi（未受験） không loại điểm số khỏi xét</t>
        </is>
      </c>
      <c r="C394" s="18" t="inlineStr">
        <is>
          <t>Chuẩn bị: Đang chuẩn bị
Kỳ vọng: Đã xác nhận
Dữ liệu (trích): Loại khỏi xếp hạng với điểm 29.5
Thao tác (trích): 1. Đăng ký S07=35 kèm cờ Chưa dự thi（未受験）.…
Xem chi tiết</t>
        </is>
      </c>
      <c r="D394" s="18" t="inlineStr">
        <is>
          <t>1. Được xét → Không đỏ.
2. Được xét → Đỏ.
3. S09 được xét → Đỏ (29.5 `&lt;30`); việc bị loại khỏi xếp hạng không loại ô khỏi xét đỏ.
Bảo toàn: Giữ điểm, cấu hình và đối tượng không đích theo expected; chỉ thay phần thủ tục yêu cầu, không tự đổi oracle hoặc mở rộng phạm vi.</t>
        </is>
      </c>
      <c r="E394" s="19" t="inlineStr"/>
      <c r="F394" s="19" t="inlineStr">
        <is>
          <t>Chưa thực hiện</t>
        </is>
      </c>
      <c r="G394" s="19" t="inlineStr"/>
    </row>
    <row r="395" ht="180" customHeight="1">
      <c r="A395" s="18" t="inlineStr">
        <is>
          <t>TC-RS-BR-014 / fixed30-lt</t>
        </is>
      </c>
      <c r="B395" s="18" t="inlineStr">
        <is>
          <t>Điểm được xét — Đăng ký thành tích（成績登録）
Ô trống không bị coi là 0 (trạng thái Không có điểm)</t>
        </is>
      </c>
      <c r="C395" s="18" t="inlineStr">
        <is>
          <t>Chuẩn bị: Đang chuẩn bị
Kỳ vọng: Đã xác nhận
Dữ liệu (trích): Ngưỡng 30 nhỏ hơn, kiểm cả trống và 0
Thao tác (trích): 1. Với quy tắc “Cố định 30” (dưới 30): đăng ký S04=0, để S05 trống.…
Xem chi tiết</t>
        </is>
      </c>
      <c r="D395" s="18" t="inlineStr">
        <is>
          <t>1. S04 Đỏ (0 hợp lệ là số); S05 Không có điểm, không dấu đỏ.
2. S04 Đỏ (`0≤0`); S05 vẫn Không có điểm (không thành Đỏ như thể là 0).
Bảo toàn: Giữ điểm, cấu hình và đối tượng không đích theo expected; chỉ thay phần thủ tục yêu cầu, không tự đổi oracle hoặc mở rộng phạm vi.</t>
        </is>
      </c>
      <c r="E395" s="19" t="inlineStr"/>
      <c r="F395" s="19" t="inlineStr">
        <is>
          <t>Chưa thực hiện</t>
        </is>
      </c>
      <c r="G395" s="19" t="inlineStr"/>
    </row>
    <row r="396" ht="180" customHeight="1">
      <c r="A396" s="18" t="inlineStr">
        <is>
          <t>TC-RS-BR-014 / fixed0-le</t>
        </is>
      </c>
      <c r="B396" s="18" t="inlineStr">
        <is>
          <t>Điểm được xét — Đăng ký thành tích（成績登録）
Ô trống không bị coi là 0 (trạng thái Không có điểm)</t>
        </is>
      </c>
      <c r="C396" s="18" t="inlineStr">
        <is>
          <t>Chuẩn bị: Đang chuẩn bị
Kỳ vọng: Đã xác nhận
Dữ liệu (trích): Ngưỡng 0 nhỏ hơn hoặc bằng, kiểm cả trống và 0
Thao tác (trích): 1. Với quy tắc “Cố định 30” (dưới 30): đăng ký S04=0, để S05 trống.…
Xem chi tiết</t>
        </is>
      </c>
      <c r="D396" s="18" t="inlineStr">
        <is>
          <t>1. S04 Đỏ (0 hợp lệ là số); S05 Không có điểm, không dấu đỏ.
2. S04 Đỏ (`0≤0`); S05 vẫn Không có điểm (không thành Đỏ như thể là 0).
Bảo toàn: Giữ điểm, cấu hình và đối tượng không đích theo expected; chỉ thay phần thủ tục yêu cầu, không tự đổi oracle hoặc mở rộng phạm vi.</t>
        </is>
      </c>
      <c r="E396" s="19" t="inlineStr"/>
      <c r="F396" s="19" t="inlineStr">
        <is>
          <t>Chưa thực hiện</t>
        </is>
      </c>
      <c r="G396" s="19" t="inlineStr"/>
    </row>
    <row r="397" ht="146" customHeight="1">
      <c r="A397" s="18" t="inlineStr">
        <is>
          <t>TC-RS-BR-030 / Base</t>
        </is>
      </c>
      <c r="B397" s="18" t="inlineStr">
        <is>
          <t>Điểm được xét — Đăng ký thành tích（成績登録）
Ô điểm đơn vị được xét riêng theo từng đơn vị</t>
        </is>
      </c>
      <c r="C397" s="18" t="inlineStr">
        <is>
          <t>Chuẩn bị: Đang chuẩn bị
Kỳ vọng: Đã xác nhận
Dữ liệu (trích): Toàn bộ thủ tục theo đúng thứ tự; các đối chứng cùng fixture…
Thao tác (trích): 1. Đăng ký điểm U1, U2 của S06.…
Xem chi tiết</t>
        </is>
      </c>
      <c r="D397" s="18" t="inlineStr">
        <is>
          <t>U1 Đỏ, U2 Không đỏ; dấu chỉ ở ô U1. Hai đơn vị không bị gộp thành một ô.
Bảo toàn: Giữ điểm, cấu hình và đối tượng không đích theo expected; chỉ thay phần thủ tục yêu cầu, không tự đổi oracle hoặc mở rộng phạm vi.</t>
        </is>
      </c>
      <c r="E397" s="19" t="inlineStr"/>
      <c r="F397" s="19" t="inlineStr">
        <is>
          <t>Chưa thực hiện</t>
        </is>
      </c>
      <c r="G397" s="19" t="inlineStr"/>
    </row>
    <row r="398" ht="146" customHeight="1">
      <c r="A398" s="18" t="inlineStr">
        <is>
          <t>TC-RS-REG-003 / Base</t>
        </is>
      </c>
      <c r="B398" s="18" t="inlineStr">
        <is>
          <t>Đăng ký thành tích（成績登録）
Ô nhập tay được AutoRating bỏ qua vẫn giữ giá trị tay và vẫn được xét đỏ
Xem chi tiết</t>
        </is>
      </c>
      <c r="C398" s="18" t="inlineStr">
        <is>
          <t>Chuẩn bị: Đang chuẩn bị
Kỳ vọng: Đã xác nhận
Dữ liệu (trích): Toàn bộ thủ tục theo đúng thứ tự; các đối chứng cùng fixture…
Thao tác (trích): 1. Lưu S08=28 bằng nhập tay; chạy nút cam.…
Xem chi tiết</t>
        </is>
      </c>
      <c r="D398" s="18" t="inlineStr">
        <is>
          <t>Điểm S08 vẫn 28 (không bị AutoRating ghi đè); S08 Đỏ.
Bảo toàn: Giữ điểm, cấu hình và đối tượng không đích theo expected; chỉ thay phần thủ tục yêu cầu, không tự đổi oracle hoặc mở rộng phạm vi.</t>
        </is>
      </c>
      <c r="E398" s="19" t="inlineStr"/>
      <c r="F398" s="19" t="inlineStr">
        <is>
          <t>Chưa thực hiện</t>
        </is>
      </c>
      <c r="G398" s="19" t="inlineStr"/>
    </row>
    <row r="399" ht="146" customHeight="1">
      <c r="A399" s="18" t="inlineStr">
        <is>
          <t>TC-RS-BR-031 / add</t>
        </is>
      </c>
      <c r="B399" s="18" t="inlineStr">
        <is>
          <t>Quyền và kiểm tra phía server — Quyền thao tác
Giáo viên có quyền sửa mục cấu hình được quy tắc đỏ</t>
        </is>
      </c>
      <c r="C399" s="18" t="inlineStr">
        <is>
          <t>Chuẩn bị: Đang chuẩn bị
Kỳ vọng: Đã xác nhận
Dữ liệu (trích): Thử thêm
Thao tác (trích): Thêm, sửa điều kiện, sửa ngưỡng, đổi thứ tự, xóa một quy tắc của mục số nguyên (M=100).
Xem chi tiết</t>
        </is>
      </c>
      <c r="D399" s="18" t="inlineStr">
        <is>
          <t>Mọi thao tác thành công.
Bảo toàn: Giữ điểm, cấu hình và đối tượng không đích theo expected; chỉ thay phần thủ tục yêu cầu, không tự đổi oracle hoặc mở rộng phạm vi.</t>
        </is>
      </c>
      <c r="E399" s="19" t="inlineStr"/>
      <c r="F399" s="19" t="inlineStr">
        <is>
          <t>Chưa thực hiện</t>
        </is>
      </c>
      <c r="G399" s="19" t="inlineStr"/>
    </row>
    <row r="400" ht="163" customHeight="1">
      <c r="A400" s="18" t="inlineStr">
        <is>
          <t>TC-RS-BR-031 / condition</t>
        </is>
      </c>
      <c r="B400" s="18" t="inlineStr">
        <is>
          <t>Quyền và kiểm tra phía server — Quyền thao tác
Giáo viên có quyền sửa mục cấu hình được quy tắc đỏ</t>
        </is>
      </c>
      <c r="C400" s="18" t="inlineStr">
        <is>
          <t>Chuẩn bị: Đang chuẩn bị
Kỳ vọng: Đã xác nhận
Dữ liệu (trích): Thử sửa điều kiện
Thao tác (trích): Thêm, sửa điều kiện, sửa ngưỡng, đổi thứ tự, xóa một quy tắc của mục số nguyên (M=100).
Xem chi tiết</t>
        </is>
      </c>
      <c r="D400" s="18" t="inlineStr">
        <is>
          <t>Mọi thao tác thành công.
Bảo toàn: Giữ điểm, cấu hình và đối tượng không đích theo expected; chỉ thay phần thủ tục yêu cầu, không tự đổi oracle hoặc mở rộng phạm vi.</t>
        </is>
      </c>
      <c r="E400" s="19" t="inlineStr"/>
      <c r="F400" s="19" t="inlineStr">
        <is>
          <t>Chưa thực hiện</t>
        </is>
      </c>
      <c r="G400" s="19" t="inlineStr"/>
    </row>
    <row r="401" ht="146" customHeight="1">
      <c r="A401" s="18" t="inlineStr">
        <is>
          <t>TC-RS-BR-031 / threshold</t>
        </is>
      </c>
      <c r="B401" s="18" t="inlineStr">
        <is>
          <t>Quyền và kiểm tra phía server — Quyền thao tác
Giáo viên có quyền sửa mục cấu hình được quy tắc đỏ</t>
        </is>
      </c>
      <c r="C401" s="18" t="inlineStr">
        <is>
          <t>Chuẩn bị: Đang chuẩn bị
Kỳ vọng: Đã xác nhận
Dữ liệu (trích): Thử sửa ngưỡng
Thao tác (trích): Thêm, sửa điều kiện, sửa ngưỡng, đổi thứ tự, xóa một quy tắc của mục số nguyên (M=100).
Xem chi tiết</t>
        </is>
      </c>
      <c r="D401" s="18" t="inlineStr">
        <is>
          <t>Mọi thao tác thành công.
Bảo toàn: Giữ điểm, cấu hình và đối tượng không đích theo expected; chỉ thay phần thủ tục yêu cầu, không tự đổi oracle hoặc mở rộng phạm vi.</t>
        </is>
      </c>
      <c r="E401" s="19" t="inlineStr"/>
      <c r="F401" s="19" t="inlineStr">
        <is>
          <t>Chưa thực hiện</t>
        </is>
      </c>
      <c r="G401" s="19" t="inlineStr"/>
    </row>
    <row r="402" ht="146" customHeight="1">
      <c r="A402" s="18" t="inlineStr">
        <is>
          <t>TC-RS-BR-031 / reorder</t>
        </is>
      </c>
      <c r="B402" s="18" t="inlineStr">
        <is>
          <t>Quyền và kiểm tra phía server — Quyền thao tác
Giáo viên có quyền sửa mục cấu hình được quy tắc đỏ</t>
        </is>
      </c>
      <c r="C402" s="18" t="inlineStr">
        <is>
          <t>Chuẩn bị: Đang chuẩn bị
Kỳ vọng: Đã xác nhận
Dữ liệu (trích): Thử đổi thứ tự
Thao tác (trích): Thêm, sửa điều kiện, sửa ngưỡng, đổi thứ tự, xóa một quy tắc của mục số nguyên (M=100).
Xem chi tiết</t>
        </is>
      </c>
      <c r="D402" s="18" t="inlineStr">
        <is>
          <t>Mọi thao tác thành công.
Bảo toàn: Giữ điểm, cấu hình và đối tượng không đích theo expected; chỉ thay phần thủ tục yêu cầu, không tự đổi oracle hoặc mở rộng phạm vi.</t>
        </is>
      </c>
      <c r="E402" s="19" t="inlineStr"/>
      <c r="F402" s="19" t="inlineStr">
        <is>
          <t>Chưa thực hiện</t>
        </is>
      </c>
      <c r="G402" s="19" t="inlineStr"/>
    </row>
    <row r="403" ht="146" customHeight="1">
      <c r="A403" s="18" t="inlineStr">
        <is>
          <t>TC-RS-BR-031 / delete</t>
        </is>
      </c>
      <c r="B403" s="18" t="inlineStr">
        <is>
          <t>Quyền và kiểm tra phía server — Quyền thao tác
Giáo viên có quyền sửa mục cấu hình được quy tắc đỏ</t>
        </is>
      </c>
      <c r="C403" s="18" t="inlineStr">
        <is>
          <t>Chuẩn bị: Đang chuẩn bị
Kỳ vọng: Đã xác nhận
Dữ liệu (trích): Thử xóa
Thao tác (trích): Thêm, sửa điều kiện, sửa ngưỡng, đổi thứ tự, xóa một quy tắc của mục số nguyên (M=100).
Xem chi tiết</t>
        </is>
      </c>
      <c r="D403" s="18" t="inlineStr">
        <is>
          <t>Mọi thao tác thành công.
Bảo toàn: Giữ điểm, cấu hình và đối tượng không đích theo expected; chỉ thay phần thủ tục yêu cầu, không tự đổi oracle hoặc mở rộng phạm vi.</t>
        </is>
      </c>
      <c r="E403" s="19" t="inlineStr"/>
      <c r="F403" s="19" t="inlineStr">
        <is>
          <t>Chưa thực hiện</t>
        </is>
      </c>
      <c r="G403" s="19" t="inlineStr"/>
    </row>
    <row r="404" ht="163" customHeight="1">
      <c r="A404" s="18" t="inlineStr">
        <is>
          <t>TC-RS-BR-032 / Base</t>
        </is>
      </c>
      <c r="B404" s="18" t="inlineStr">
        <is>
          <t>Quyền thao tác
Vào được màn nhưng không có quyền sửa mục → không sửa được quy tắc của mục đó
Xem chi tiết</t>
        </is>
      </c>
      <c r="C404" s="18" t="inlineStr">
        <is>
          <t>Chuẩn bị: Đang chuẩn bị
Kỳ vọng: Đã xác nhận
Dữ liệu (trích): Toàn bộ thủ tục theo đúng thứ tự; các đối chứng cùng fixture…
Thao tác (trích): 1. Mở Thiết lập ô nhập（入力欄設定）.…
Xem chi tiết</t>
        </is>
      </c>
      <c r="D404" s="18" t="inlineStr">
        <is>
          <t>Không có thao tác sửa/thêm/xóa cho mục chỉ dành nội bộ trên màn, hoặc lưu bị từ chối. Quy tắc không đổi.
Bảo toàn: Giữ điểm, cấu hình và đối tượng không đích theo expected; chỉ thay phần thủ tục yêu cầu, không tự đổi oracle hoặc mở rộng phạm vi.</t>
        </is>
      </c>
      <c r="E404" s="19" t="inlineStr"/>
      <c r="F404" s="19" t="inlineStr">
        <is>
          <t>Chưa thực hiện</t>
        </is>
      </c>
      <c r="G404" s="19" t="inlineStr"/>
    </row>
    <row r="405" ht="146" customHeight="1">
      <c r="A405" s="18" t="inlineStr">
        <is>
          <t>TC-RS-BR-033 / Base</t>
        </is>
      </c>
      <c r="B405" s="18" t="inlineStr">
        <is>
          <t>Quyền và kiểm tra phía server — Quyền thao tác
Quyền sửa mục không tự cấp quyền chạy hàng loạt</t>
        </is>
      </c>
      <c r="C405" s="18" t="inlineStr">
        <is>
          <t>Chuẩn bị: Đang chuẩn bị
Kỳ vọng: Đã xác nhận
Dữ liệu (trích): Toàn bộ thủ tục theo đúng thứ tự; các đối chứng cùng fixture…
Thao tác (trích): 1. Sửa một quy tắc (thành công).…
Xem chi tiết</t>
        </is>
      </c>
      <c r="D405" s="18" t="inlineStr">
        <is>
          <t>Không chạy được hàng loạt (thao tác không có hoặc bị từ chối theo quyền hiện hành).
Bảo toàn: Giữ điểm, cấu hình và đối tượng không đích theo expected; chỉ thay phần thủ tục yêu cầu, không tự đổi oracle hoặc mở rộng phạm vi.</t>
        </is>
      </c>
      <c r="E405" s="19" t="inlineStr"/>
      <c r="F405" s="19" t="inlineStr">
        <is>
          <t>Chưa thực hiện</t>
        </is>
      </c>
      <c r="G405" s="19" t="inlineStr"/>
    </row>
    <row r="406" ht="146" customHeight="1">
      <c r="A406" s="18" t="inlineStr">
        <is>
          <t>TC-RS-ERR-006 / save</t>
        </is>
      </c>
      <c r="B406" s="18" t="inlineStr">
        <is>
          <t>Quyền và kiểm tra phía server — Quyền thao tác
Gửi request lưu quy tắc trực tiếp khi không có quyền sửa mục</t>
        </is>
      </c>
      <c r="C406" s="18" t="inlineStr">
        <is>
          <t>Chuẩn bị: Đang chuẩn bị
Kỳ vọng: Đã xác nhận
Dữ liệu (trích): Gửi lưu
Thao tác (trích): Dùng phiên tài khoản giáo viên không có quyền sửa mục gửi lại các request POST lưu, xóa, đổi thứ tự quy tắc…
Xem chi tiết</t>
        </is>
      </c>
      <c r="D406" s="18" t="inlineStr">
        <is>
          <t>Mọi request bị từ chối; cấu hình không đổi; không có lượt xét phát sinh.
Bảo toàn: Giữ điểm, cấu hình và đối tượng không đích theo expected; chỉ thay phần thủ tục yêu cầu, không tự đổi oracle hoặc mở rộng phạm vi.</t>
        </is>
      </c>
      <c r="E406" s="19" t="inlineStr"/>
      <c r="F406" s="19" t="inlineStr">
        <is>
          <t>Chưa thực hiện</t>
        </is>
      </c>
      <c r="G406" s="19" t="inlineStr"/>
    </row>
    <row r="407" ht="146" customHeight="1">
      <c r="A407" s="18" t="inlineStr">
        <is>
          <t>TC-RS-ERR-006 / delete</t>
        </is>
      </c>
      <c r="B407" s="18" t="inlineStr">
        <is>
          <t>Quyền và kiểm tra phía server — Quyền thao tác
Gửi request lưu quy tắc trực tiếp khi không có quyền sửa mục</t>
        </is>
      </c>
      <c r="C407" s="18" t="inlineStr">
        <is>
          <t>Chuẩn bị: Đang chuẩn bị
Kỳ vọng: Đã xác nhận
Dữ liệu (trích): Gửi xóa
Thao tác (trích): Dùng phiên tài khoản giáo viên không có quyền sửa mục gửi lại các request POST lưu, xóa, đổi thứ tự quy tắc…
Xem chi tiết</t>
        </is>
      </c>
      <c r="D407" s="18" t="inlineStr">
        <is>
          <t>Mọi request bị từ chối; cấu hình không đổi; không có lượt xét phát sinh.
Bảo toàn: Giữ điểm, cấu hình và đối tượng không đích theo expected; chỉ thay phần thủ tục yêu cầu, không tự đổi oracle hoặc mở rộng phạm vi.</t>
        </is>
      </c>
      <c r="E407" s="19" t="inlineStr"/>
      <c r="F407" s="19" t="inlineStr">
        <is>
          <t>Chưa thực hiện</t>
        </is>
      </c>
      <c r="G407" s="19" t="inlineStr"/>
    </row>
    <row r="408" ht="146" customHeight="1">
      <c r="A408" s="18" t="inlineStr">
        <is>
          <t>TC-RS-ERR-006 / reorder</t>
        </is>
      </c>
      <c r="B408" s="18" t="inlineStr">
        <is>
          <t>Quyền và kiểm tra phía server — Quyền thao tác
Gửi request lưu quy tắc trực tiếp khi không có quyền sửa mục</t>
        </is>
      </c>
      <c r="C408" s="18" t="inlineStr">
        <is>
          <t>Chuẩn bị: Đang chuẩn bị
Kỳ vọng: Đã xác nhận
Dữ liệu (trích): Gửi đổi thứ tự
Thao tác (trích): Dùng phiên tài khoản giáo viên không có quyền sửa mục gửi lại các request POST lưu, xóa, đổi thứ tự quy tắc…
Xem chi tiết</t>
        </is>
      </c>
      <c r="D408" s="18" t="inlineStr">
        <is>
          <t>Mọi request bị từ chối; cấu hình không đổi; không có lượt xét phát sinh.
Bảo toàn: Giữ điểm, cấu hình và đối tượng không đích theo expected; chỉ thay phần thủ tục yêu cầu, không tự đổi oracle hoặc mở rộng phạm vi.</t>
        </is>
      </c>
      <c r="E408" s="19" t="inlineStr"/>
      <c r="F408" s="19" t="inlineStr">
        <is>
          <t>Chưa thực hiện</t>
        </is>
      </c>
      <c r="G408" s="19" t="inlineStr"/>
    </row>
    <row r="409" ht="163" customHeight="1">
      <c r="A409" s="18" t="inlineStr">
        <is>
          <t>TC-RS-ERR-007 / read-school</t>
        </is>
      </c>
      <c r="B409" s="18" t="inlineStr">
        <is>
          <t>Quyền và kiểm tra phía server — Quyền thao tác
Giả mạo ID khác trường/năm hoặc nguồn không được phép</t>
        </is>
      </c>
      <c r="C409" s="18" t="inlineStr">
        <is>
          <t>Chuẩn bị: Đang chuẩn bị
Kỳ vọng: Đã xác nhận
Dữ liệu (trích): Đọc mục trường khác
Thao tác (trích): 1. tài khoản của trường B mở URL/gửi request xem, lưu, xóa quy tắc với ID mục/quy tắc của trường A.…
Xem chi tiết</t>
        </is>
      </c>
      <c r="D409" s="18" t="inlineStr">
        <is>
          <t>Kỳ vọng: Đã xác nhận
1. Bị từ chối, không đọc được dữ liệu trường A.…
Xem chi tiết</t>
        </is>
      </c>
      <c r="E409" s="19" t="inlineStr"/>
      <c r="F409" s="19" t="inlineStr">
        <is>
          <t>Chưa thực hiện</t>
        </is>
      </c>
      <c r="G409" s="19" t="inlineStr"/>
    </row>
    <row r="410" ht="163" customHeight="1">
      <c r="A410" s="18" t="inlineStr">
        <is>
          <t>TC-RS-ERR-007 / save-school</t>
        </is>
      </c>
      <c r="B410" s="18" t="inlineStr">
        <is>
          <t>Quyền và kiểm tra phía server — Quyền thao tác
Giả mạo ID khác trường/năm hoặc nguồn không được phép</t>
        </is>
      </c>
      <c r="C410" s="18" t="inlineStr">
        <is>
          <t>Chuẩn bị: Đang chuẩn bị
Kỳ vọng: Đã xác nhận
Dữ liệu (trích): Lưu mục trường khác
Thao tác (trích): 1. tài khoản của trường B mở URL/gửi request xem, lưu, xóa quy tắc với ID mục/quy tắc của trường A.…
Xem chi tiết</t>
        </is>
      </c>
      <c r="D410" s="18" t="inlineStr">
        <is>
          <t>Kỳ vọng: Đã xác nhận
1. Bị từ chối, không đọc được dữ liệu trường A.…
Xem chi tiết</t>
        </is>
      </c>
      <c r="E410" s="19" t="inlineStr"/>
      <c r="F410" s="19" t="inlineStr">
        <is>
          <t>Chưa thực hiện</t>
        </is>
      </c>
      <c r="G410" s="19" t="inlineStr"/>
    </row>
    <row r="411" ht="163" customHeight="1">
      <c r="A411" s="18" t="inlineStr">
        <is>
          <t>TC-RS-ERR-007 / delete-school</t>
        </is>
      </c>
      <c r="B411" s="18" t="inlineStr">
        <is>
          <t>Quyền và kiểm tra phía server — Quyền thao tác
Giả mạo ID khác trường/năm hoặc nguồn không được phép</t>
        </is>
      </c>
      <c r="C411" s="18" t="inlineStr">
        <is>
          <t>Chuẩn bị: Đang chuẩn bị
Kỳ vọng: Đã xác nhận
Dữ liệu (trích): Xóa mục trường khác
Thao tác (trích): 1. tài khoản của trường B mở URL/gửi request xem, lưu, xóa quy tắc với ID mục/quy tắc của trường A.…
Xem chi tiết</t>
        </is>
      </c>
      <c r="D411" s="18" t="inlineStr">
        <is>
          <t>Kỳ vọng: Đã xác nhận
1. Bị từ chối, không đọc được dữ liệu trường A.…
Xem chi tiết</t>
        </is>
      </c>
      <c r="E411" s="19" t="inlineStr"/>
      <c r="F411" s="19" t="inlineStr">
        <is>
          <t>Chưa thực hiện</t>
        </is>
      </c>
      <c r="G411" s="19" t="inlineStr"/>
    </row>
    <row r="412" ht="163" customHeight="1">
      <c r="A412" s="18" t="inlineStr">
        <is>
          <t>TC-RS-ERR-007 / source-school</t>
        </is>
      </c>
      <c r="B412" s="18" t="inlineStr">
        <is>
          <t>Quyền và kiểm tra phía server — Quyền thao tác
Giả mạo ID khác trường/năm hoặc nguồn không được phép</t>
        </is>
      </c>
      <c r="C412" s="18" t="inlineStr">
        <is>
          <t>Chuẩn bị: Đang chuẩn bị
Kỳ vọng: Đã xác nhận
Dữ liệu (trích): Nguồn trường khác
Thao tác (trích): 1. tài khoản của trường B mở URL/gửi request xem, lưu, xóa quy tắc với ID mục/quy tắc của trường A.…
Xem chi tiết</t>
        </is>
      </c>
      <c r="D412" s="18" t="inlineStr">
        <is>
          <t>Kỳ vọng: Đã xác nhận
1. Bị từ chối, không đọc được dữ liệu trường A.…
Xem chi tiết</t>
        </is>
      </c>
      <c r="E412" s="19" t="inlineStr"/>
      <c r="F412" s="19" t="inlineStr">
        <is>
          <t>Chưa thực hiện</t>
        </is>
      </c>
      <c r="G412" s="19" t="inlineStr"/>
    </row>
    <row r="413" ht="146" customHeight="1">
      <c r="A413" s="18" t="inlineStr">
        <is>
          <t>TC-RS-ERR-007 / source-year</t>
        </is>
      </c>
      <c r="B413" s="18" t="inlineStr">
        <is>
          <t>Quyền và kiểm tra phía server — Quyền thao tác
Giả mạo ID khác trường/năm hoặc nguồn không được phép</t>
        </is>
      </c>
      <c r="C413" s="18" t="inlineStr">
        <is>
          <t>Chuẩn bị: Đang chuẩn bị
Kỳ vọng: Đã xác nhận
Dữ liệu (trích): Nguồn năm khác
Thao tác (trích): 1. tài khoản của trường B mở URL/gửi request xem, lưu, xóa quy tắc với ID mục/quy tắc của trường A.…
Xem chi tiết</t>
        </is>
      </c>
      <c r="D413" s="18" t="inlineStr">
        <is>
          <t>Kỳ vọng: Đã xác nhận
1. Bị từ chối, không đọc được dữ liệu trường A.…
Xem chi tiết</t>
        </is>
      </c>
      <c r="E413" s="19" t="inlineStr"/>
      <c r="F413" s="19" t="inlineStr">
        <is>
          <t>Chưa thực hiện</t>
        </is>
      </c>
      <c r="G413" s="19" t="inlineStr"/>
    </row>
    <row r="414" ht="146" customHeight="1">
      <c r="A414" s="18" t="inlineStr">
        <is>
          <t>TC-RS-ERR-007 / class-school</t>
        </is>
      </c>
      <c r="B414" s="18" t="inlineStr">
        <is>
          <t>Quyền và kiểm tra phía server — Quyền thao tác
Giả mạo ID khác trường/năm hoặc nguồn không được phép</t>
        </is>
      </c>
      <c r="C414" s="18" t="inlineStr">
        <is>
          <t>Chuẩn bị: Đang chuẩn bị
Kỳ vọng: Đã xác nhận
Dữ liệu (trích): Lớp trường khác
Thao tác (trích): 1. tài khoản của trường B mở URL/gửi request xem, lưu, xóa quy tắc với ID mục/quy tắc của trường A.…
Xem chi tiết</t>
        </is>
      </c>
      <c r="D414" s="18" t="inlineStr">
        <is>
          <t>Kỳ vọng: Đã xác nhận
1. Bị từ chối, không đọc được dữ liệu trường A.…
Xem chi tiết</t>
        </is>
      </c>
      <c r="E414" s="19" t="inlineStr"/>
      <c r="F414" s="19" t="inlineStr">
        <is>
          <t>Chưa thực hiện</t>
        </is>
      </c>
      <c r="G414" s="19" t="inlineStr"/>
    </row>
    <row r="415" ht="146" customHeight="1">
      <c r="A415" s="18" t="inlineStr">
        <is>
          <t>TC-RS-ERR-007 / class-year</t>
        </is>
      </c>
      <c r="B415" s="18" t="inlineStr">
        <is>
          <t>Quyền và kiểm tra phía server — Quyền thao tác
Giả mạo ID khác trường/năm hoặc nguồn không được phép</t>
        </is>
      </c>
      <c r="C415" s="18" t="inlineStr">
        <is>
          <t>Chuẩn bị: Đang chuẩn bị
Kỳ vọng: Đã xác nhận
Dữ liệu (trích): Lớp năm khác
Thao tác (trích): 1. tài khoản của trường B mở URL/gửi request xem, lưu, xóa quy tắc với ID mục/quy tắc của trường A.…
Xem chi tiết</t>
        </is>
      </c>
      <c r="D415" s="18" t="inlineStr">
        <is>
          <t>Kỳ vọng: Đã xác nhận
1. Bị từ chối, không đọc được dữ liệu trường A.…
Xem chi tiết</t>
        </is>
      </c>
      <c r="E415" s="19" t="inlineStr"/>
      <c r="F415" s="19" t="inlineStr">
        <is>
          <t>Chưa thực hiện</t>
        </is>
      </c>
      <c r="G415" s="19" t="inlineStr"/>
    </row>
    <row r="416" ht="163" customHeight="1">
      <c r="A416" s="18" t="inlineStr">
        <is>
          <t>TC-RS-ERR-007 / group-school</t>
        </is>
      </c>
      <c r="B416" s="18" t="inlineStr">
        <is>
          <t>Quyền và kiểm tra phía server — Quyền thao tác
Giả mạo ID khác trường/năm hoặc nguồn không được phép</t>
        </is>
      </c>
      <c r="C416" s="18" t="inlineStr">
        <is>
          <t>Chuẩn bị: Đang chuẩn bị
Kỳ vọng: Đã xác nhận
Dữ liệu (trích): Nhóm trường khác
Thao tác (trích): 1. tài khoản của trường B mở URL/gửi request xem, lưu, xóa quy tắc với ID mục/quy tắc của trường A.…
Xem chi tiết</t>
        </is>
      </c>
      <c r="D416" s="18" t="inlineStr">
        <is>
          <t>Kỳ vọng: Đã xác nhận
1. Bị từ chối, không đọc được dữ liệu trường A.…
Xem chi tiết</t>
        </is>
      </c>
      <c r="E416" s="19" t="inlineStr"/>
      <c r="F416" s="19" t="inlineStr">
        <is>
          <t>Chưa thực hiện</t>
        </is>
      </c>
      <c r="G416" s="19" t="inlineStr"/>
    </row>
    <row r="417" ht="146" customHeight="1">
      <c r="A417" s="18" t="inlineStr">
        <is>
          <t>TC-RS-ERR-007 / group-year</t>
        </is>
      </c>
      <c r="B417" s="18" t="inlineStr">
        <is>
          <t>Quyền và kiểm tra phía server — Quyền thao tác
Giả mạo ID khác trường/năm hoặc nguồn không được phép</t>
        </is>
      </c>
      <c r="C417" s="18" t="inlineStr">
        <is>
          <t>Chuẩn bị: Đang chuẩn bị
Kỳ vọng: Đã xác nhận
Dữ liệu (trích): Nhóm năm khác
Thao tác (trích): 1. tài khoản của trường B mở URL/gửi request xem, lưu, xóa quy tắc với ID mục/quy tắc của trường A.…
Xem chi tiết</t>
        </is>
      </c>
      <c r="D417" s="18" t="inlineStr">
        <is>
          <t>Kỳ vọng: Đã xác nhận
1. Bị từ chối, không đọc được dữ liệu trường A.…
Xem chi tiết</t>
        </is>
      </c>
      <c r="E417" s="19" t="inlineStr"/>
      <c r="F417" s="19" t="inlineStr">
        <is>
          <t>Chưa thực hiện</t>
        </is>
      </c>
      <c r="G417" s="19" t="inlineStr"/>
    </row>
    <row r="418" ht="163" customHeight="1">
      <c r="A418" s="18" t="inlineStr">
        <is>
          <t>TC-RS-ERR-007 / unit-school</t>
        </is>
      </c>
      <c r="B418" s="18" t="inlineStr">
        <is>
          <t>Quyền và kiểm tra phía server — Quyền thao tác
Giả mạo ID khác trường/năm hoặc nguồn không được phép</t>
        </is>
      </c>
      <c r="C418" s="18" t="inlineStr">
        <is>
          <t>Chuẩn bị: Đang chuẩn bị
Kỳ vọng: Đã xác nhận
Dữ liệu (trích): Đơn vị trường khác
Thao tác (trích): 1. tài khoản của trường B mở URL/gửi request xem, lưu, xóa quy tắc với ID mục/quy tắc của trường A.…
Xem chi tiết</t>
        </is>
      </c>
      <c r="D418" s="18" t="inlineStr">
        <is>
          <t>Kỳ vọng: Đã xác nhận
1. Bị từ chối, không đọc được dữ liệu trường A.…
Xem chi tiết</t>
        </is>
      </c>
      <c r="E418" s="19" t="inlineStr"/>
      <c r="F418" s="19" t="inlineStr">
        <is>
          <t>Chưa thực hiện</t>
        </is>
      </c>
      <c r="G418" s="19" t="inlineStr"/>
    </row>
    <row r="419" ht="146" customHeight="1">
      <c r="A419" s="18" t="inlineStr">
        <is>
          <t>TC-RS-ERR-007 / unit-year</t>
        </is>
      </c>
      <c r="B419" s="18" t="inlineStr">
        <is>
          <t>Quyền và kiểm tra phía server — Quyền thao tác
Giả mạo ID khác trường/năm hoặc nguồn không được phép</t>
        </is>
      </c>
      <c r="C419" s="18" t="inlineStr">
        <is>
          <t>Chuẩn bị: Đang chuẩn bị
Kỳ vọng: Đã xác nhận
Dữ liệu (trích): Đơn vị năm khác
Thao tác (trích): 1. tài khoản của trường B mở URL/gửi request xem, lưu, xóa quy tắc với ID mục/quy tắc của trường A.…
Xem chi tiết</t>
        </is>
      </c>
      <c r="D419" s="18" t="inlineStr">
        <is>
          <t>Kỳ vọng: Đã xác nhận
1. Bị từ chối, không đọc được dữ liệu trường A.…
Xem chi tiết</t>
        </is>
      </c>
      <c r="E419" s="19" t="inlineStr"/>
      <c r="F419" s="19" t="inlineStr">
        <is>
          <t>Chưa thực hiện</t>
        </is>
      </c>
      <c r="G419" s="19" t="inlineStr"/>
    </row>
    <row r="420" ht="214" customHeight="1">
      <c r="A420" s="18" t="inlineStr">
        <is>
          <t>TC-RS-ERR-008 / Base</t>
        </is>
      </c>
      <c r="B420" s="18" t="inlineStr">
        <is>
          <t>Quyền thao tác
Gọi trực tiếp request chạy tính toán hàng loạt khi không có quyền chạy
Xem chi tiết</t>
        </is>
      </c>
      <c r="C420" s="18" t="inlineStr">
        <is>
          <t>Chuẩn bị: Đang chuẩn bị
Kỳ vọng: Đã xác nhận
Dữ liệu (trích): Toàn bộ thủ tục theo đúng thứ tự; các đối chứng cùng fixture…
Thao tác (trích): Dùng phiên tài khoản sửa được mục nhưng không có quyền chạy hàng loạt gửi request chạy tính toán hàng loạt…
Xem chi tiết</t>
        </is>
      </c>
      <c r="D420" s="18" t="inlineStr">
        <is>
          <t>Kỳ vọng theo đặc tả v2: bị từ chối, không xếp hàng/không xét. Nếu chưa xác định được route hoặc seam request ở build đang kiểm, ghi BLOCKED/NEEDS_EVIDENCE thay vì READY; không biến việc thiếu URL thành kết quả đạt.
Bảo toàn: Giữ điểm, cấu hình và đối tượng không đích theo expected; chỉ thay phần thủ tục yêu cầu, không tự đổi oracle hoặc mở rộng phạm vi.</t>
        </is>
      </c>
      <c r="E420" s="19" t="inlineStr"/>
      <c r="F420" s="19" t="inlineStr">
        <is>
          <t>Chưa thực hiện</t>
        </is>
      </c>
      <c r="G420" s="19" t="inlineStr"/>
    </row>
    <row r="421" ht="180" customHeight="1">
      <c r="A421" s="18" t="inlineStr">
        <is>
          <t>TC-RS-ERR-009 / above</t>
        </is>
      </c>
      <c r="B421" s="18" t="inlineStr">
        <is>
          <t>Quyền và kiểm tra phía server — Quyền thao tác
Server kiểm miền giá trị khi bỏ qua kiểm tra phía trình duyệt</t>
        </is>
      </c>
      <c r="C421" s="18" t="inlineStr">
        <is>
          <t>Chuẩn bị: Đang chuẩn bị
Kỳ vọng: Đã xác nhận
Dữ liệu (trích): N101
Thao tác (trích): Sửa request (bỏ kiểm tra JS) và gửi từng giá trị.
Xem chi tiết</t>
        </is>
      </c>
      <c r="D421"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1" s="19" t="inlineStr"/>
      <c r="F421" s="19" t="inlineStr">
        <is>
          <t>Chưa thực hiện</t>
        </is>
      </c>
      <c r="G421" s="19" t="inlineStr"/>
    </row>
    <row r="422" ht="180" customHeight="1">
      <c r="A422" s="18" t="inlineStr">
        <is>
          <t>TC-RS-ERR-009 / negative</t>
        </is>
      </c>
      <c r="B422" s="18" t="inlineStr">
        <is>
          <t>Quyền và kiểm tra phía server — Quyền thao tác
Server kiểm miền giá trị khi bỏ qua kiểm tra phía trình duyệt</t>
        </is>
      </c>
      <c r="C422" s="18" t="inlineStr">
        <is>
          <t>Chuẩn bị: Đang chuẩn bị
Kỳ vọng: Đã xác nhận
Dữ liệu (trích): N âm
Thao tác (trích): Sửa request (bỏ kiểm tra JS) và gửi từng giá trị.
Xem chi tiết</t>
        </is>
      </c>
      <c r="D422"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2" s="19" t="inlineStr"/>
      <c r="F422" s="19" t="inlineStr">
        <is>
          <t>Chưa thực hiện</t>
        </is>
      </c>
      <c r="G422" s="19" t="inlineStr"/>
    </row>
    <row r="423" ht="180" customHeight="1">
      <c r="A423" s="18" t="inlineStr">
        <is>
          <t>TC-RS-ERR-009 / ratio-above</t>
        </is>
      </c>
      <c r="B423" s="18" t="inlineStr">
        <is>
          <t>Quyền và kiểm tra phía server — Quyền thao tác
Server kiểm miền giá trị khi bỏ qua kiểm tra phía trình duyệt</t>
        </is>
      </c>
      <c r="C423" s="18" t="inlineStr">
        <is>
          <t>Chuẩn bị: Đang chuẩn bị
Kỳ vọng: Đã xác nhận
Dữ liệu (trích): Tỷ lệ 101
Thao tác (trích): Sửa request (bỏ kiểm tra JS) và gửi từng giá trị.
Xem chi tiết</t>
        </is>
      </c>
      <c r="D423"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3" s="19" t="inlineStr"/>
      <c r="F423" s="19" t="inlineStr">
        <is>
          <t>Chưa thực hiện</t>
        </is>
      </c>
      <c r="G423" s="19" t="inlineStr"/>
    </row>
    <row r="424" ht="180" customHeight="1">
      <c r="A424" s="18" t="inlineStr">
        <is>
          <t>TC-RS-ERR-009 / divide-zero</t>
        </is>
      </c>
      <c r="B424" s="18" t="inlineStr">
        <is>
          <t>Quyền và kiểm tra phía server — Quyền thao tác
Server kiểm miền giá trị khi bỏ qua kiểm tra phía trình duyệt</t>
        </is>
      </c>
      <c r="C424" s="18" t="inlineStr">
        <is>
          <t>Chuẩn bị: Đang chuẩn bị
Kỳ vọng: Đã xác nhận
Dữ liệu (trích): Chia 0
Thao tác (trích): Sửa request (bỏ kiểm tra JS) và gửi từng giá trị.
Xem chi tiết</t>
        </is>
      </c>
      <c r="D424"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4" s="19" t="inlineStr"/>
      <c r="F424" s="19" t="inlineStr">
        <is>
          <t>Chưa thực hiện</t>
        </is>
      </c>
      <c r="G424" s="19" t="inlineStr"/>
    </row>
    <row r="425" ht="180" customHeight="1">
      <c r="A425" s="18" t="inlineStr">
        <is>
          <t>TC-RS-ERR-009 / nan</t>
        </is>
      </c>
      <c r="B425" s="18" t="inlineStr">
        <is>
          <t>Quyền và kiểm tra phía server — Quyền thao tác
Server kiểm miền giá trị khi bỏ qua kiểm tra phía trình duyệt</t>
        </is>
      </c>
      <c r="C425" s="18" t="inlineStr">
        <is>
          <t>Chuẩn bị: Đang chuẩn bị
Kỳ vọng: Đã xác nhận
Dữ liệu (trích): NaN
Thao tác (trích): Sửa request (bỏ kiểm tra JS) và gửi từng giá trị.
Xem chi tiết</t>
        </is>
      </c>
      <c r="D425"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5" s="19" t="inlineStr"/>
      <c r="F425" s="19" t="inlineStr">
        <is>
          <t>Chưa thực hiện</t>
        </is>
      </c>
      <c r="G425" s="19" t="inlineStr"/>
    </row>
    <row r="426" ht="180" customHeight="1">
      <c r="A426" s="18" t="inlineStr">
        <is>
          <t>TC-RS-ERR-009 / infinity</t>
        </is>
      </c>
      <c r="B426" s="18" t="inlineStr">
        <is>
          <t>Quyền và kiểm tra phía server — Quyền thao tác
Server kiểm miền giá trị khi bỏ qua kiểm tra phía trình duyệt</t>
        </is>
      </c>
      <c r="C426" s="18" t="inlineStr">
        <is>
          <t>Chuẩn bị: Đang chuẩn bị
Kỳ vọng: Đã xác nhận
Dữ liệu (trích): Infinity
Thao tác (trích): Sửa request (bỏ kiểm tra JS) và gửi từng giá trị.
Xem chi tiết</t>
        </is>
      </c>
      <c r="D426"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6" s="19" t="inlineStr"/>
      <c r="F426" s="19" t="inlineStr">
        <is>
          <t>Chưa thực hiện</t>
        </is>
      </c>
      <c r="G426" s="19" t="inlineStr"/>
    </row>
    <row r="427" ht="180" customHeight="1">
      <c r="A427" s="18" t="inlineStr">
        <is>
          <t>TC-RS-ERR-009 / exponent</t>
        </is>
      </c>
      <c r="B427" s="18" t="inlineStr">
        <is>
          <t>Quyền và kiểm tra phía server — Quyền thao tác
Server kiểm miền giá trị khi bỏ qua kiểm tra phía trình duyệt</t>
        </is>
      </c>
      <c r="C427" s="18" t="inlineStr">
        <is>
          <t>Chuẩn bị: Đang chuẩn bị
Kỳ vọng: Đã xác nhận
Dữ liệu (trích): 1e400
Thao tác (trích): Sửa request (bỏ kiểm tra JS) và gửi từng giá trị.
Xem chi tiết</t>
        </is>
      </c>
      <c r="D427"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7" s="19" t="inlineStr"/>
      <c r="F427" s="19" t="inlineStr">
        <is>
          <t>Chưa thực hiện</t>
        </is>
      </c>
      <c r="G427" s="19" t="inlineStr"/>
    </row>
    <row r="428" ht="180" customHeight="1">
      <c r="A428" s="18" t="inlineStr">
        <is>
          <t>TC-RS-ERR-009 / empty</t>
        </is>
      </c>
      <c r="B428" s="18" t="inlineStr">
        <is>
          <t>Quyền và kiểm tra phía server — Quyền thao tác
Server kiểm miền giá trị khi bỏ qua kiểm tra phía trình duyệt</t>
        </is>
      </c>
      <c r="C428" s="18" t="inlineStr">
        <is>
          <t>Chuẩn bị: Đang chuẩn bị
Kỳ vọng: Đã xác nhận
Dữ liệu (trích): N trống
Thao tác (trích): Sửa request (bỏ kiểm tra JS) và gửi từng giá trị.
Xem chi tiết</t>
        </is>
      </c>
      <c r="D428"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8" s="19" t="inlineStr"/>
      <c r="F428" s="19" t="inlineStr">
        <is>
          <t>Chưa thực hiện</t>
        </is>
      </c>
      <c r="G428" s="19" t="inlineStr"/>
    </row>
    <row r="429" ht="180" customHeight="1">
      <c r="A429" s="18" t="inlineStr">
        <is>
          <t>TC-RS-ERR-009 / power</t>
        </is>
      </c>
      <c r="B429" s="18" t="inlineStr">
        <is>
          <t>Quyền và kiểm tra phía server — Quyền thao tác
Server kiểm miền giá trị khi bỏ qua kiểm tra phía trình duyệt</t>
        </is>
      </c>
      <c r="C429" s="18" t="inlineStr">
        <is>
          <t>Chuẩn bị: Đang chuẩn bị
Kỳ vọng: Đã xác nhận
Dữ liệu (trích): Phép toán mũ
Thao tác (trích): Sửa request (bỏ kiểm tra JS) và gửi từng giá trị.
Xem chi tiết</t>
        </is>
      </c>
      <c r="D429"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29" s="19" t="inlineStr"/>
      <c r="F429" s="19" t="inlineStr">
        <is>
          <t>Chưa thực hiện</t>
        </is>
      </c>
      <c r="G429" s="19" t="inlineStr"/>
    </row>
    <row r="430" ht="180" customHeight="1">
      <c r="A430" s="18" t="inlineStr">
        <is>
          <t>TC-RS-ERR-009 / max</t>
        </is>
      </c>
      <c r="B430" s="18" t="inlineStr">
        <is>
          <t>Quyền và kiểm tra phía server — Quyền thao tác
Server kiểm miền giá trị khi bỏ qua kiểm tra phía trình duyệt</t>
        </is>
      </c>
      <c r="C430" s="18" t="inlineStr">
        <is>
          <t>Chuẩn bị: Đang chuẩn bị
Kỳ vọng: Đã xác nhận
Dữ liệu (trích): Hàm max
Thao tác (trích): Sửa request (bỏ kiểm tra JS) và gửi từng giá trị.
Xem chi tiết</t>
        </is>
      </c>
      <c r="D430"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30" s="19" t="inlineStr"/>
      <c r="F430" s="19" t="inlineStr">
        <is>
          <t>Chưa thực hiện</t>
        </is>
      </c>
      <c r="G430" s="19" t="inlineStr"/>
    </row>
    <row r="431" ht="180" customHeight="1">
      <c r="A431" s="18" t="inlineStr">
        <is>
          <t>TC-RS-ERR-009 / expression</t>
        </is>
      </c>
      <c r="B431" s="18" t="inlineStr">
        <is>
          <t>Quyền và kiểm tra phía server — Quyền thao tác
Server kiểm miền giá trị khi bỏ qua kiểm tra phía trình duyệt</t>
        </is>
      </c>
      <c r="C431" s="18" t="inlineStr">
        <is>
          <t>Chuẩn bị: Đang chuẩn bị
Kỳ vọng: Đã xác nhận
Dữ liệu (trích): Biểu thức tự do
Thao tác (trích): Sửa request (bỏ kiểm tra JS) và gửi từng giá trị.
Xem chi tiết</t>
        </is>
      </c>
      <c r="D431"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31" s="19" t="inlineStr"/>
      <c r="F431" s="19" t="inlineStr">
        <is>
          <t>Chưa thực hiện</t>
        </is>
      </c>
      <c r="G431" s="19" t="inlineStr"/>
    </row>
    <row r="432" ht="180" customHeight="1">
      <c r="A432" s="18" t="inlineStr">
        <is>
          <t>TC-RS-ERR-009 / null</t>
        </is>
      </c>
      <c r="B432" s="18" t="inlineStr">
        <is>
          <t>Quyền và kiểm tra phía server — Quyền thao tác
Server kiểm miền giá trị khi bỏ qua kiểm tra phía trình duyệt</t>
        </is>
      </c>
      <c r="C432" s="18" t="inlineStr">
        <is>
          <t>Chuẩn bị: Đang chuẩn bị
Kỳ vọng: Đã xác nhận
Dữ liệu (trích): JSON null
Thao tác (trích): Sửa request (bỏ kiểm tra JS) và gửi từng giá trị.
Xem chi tiết</t>
        </is>
      </c>
      <c r="D432"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32" s="19" t="inlineStr"/>
      <c r="F432" s="19" t="inlineStr">
        <is>
          <t>Chưa thực hiện</t>
        </is>
      </c>
      <c r="G432" s="19" t="inlineStr"/>
    </row>
    <row r="433" ht="180" customHeight="1">
      <c r="A433" s="18" t="inlineStr">
        <is>
          <t>TC-RS-ERR-009 / empty-string</t>
        </is>
      </c>
      <c r="B433" s="18" t="inlineStr">
        <is>
          <t>Quyền và kiểm tra phía server — Quyền thao tác
Server kiểm miền giá trị khi bỏ qua kiểm tra phía trình duyệt</t>
        </is>
      </c>
      <c r="C433" s="18" t="inlineStr">
        <is>
          <t>Chuẩn bị: Đang chuẩn bị
Kỳ vọng: Đã xác nhận
Dữ liệu (trích): Chuỗi rỗng
Thao tác (trích): Sửa request (bỏ kiểm tra JS) và gửi từng giá trị.
Xem chi tiết</t>
        </is>
      </c>
      <c r="D433"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33" s="19" t="inlineStr"/>
      <c r="F433" s="19" t="inlineStr">
        <is>
          <t>Chưa thực hiện</t>
        </is>
      </c>
      <c r="G433" s="19" t="inlineStr"/>
    </row>
    <row r="434" ht="180" customHeight="1">
      <c r="A434" s="18" t="inlineStr">
        <is>
          <t>TC-RS-ERR-009 / object</t>
        </is>
      </c>
      <c r="B434" s="18" t="inlineStr">
        <is>
          <t>Quyền và kiểm tra phía server — Quyền thao tác
Server kiểm miền giá trị khi bỏ qua kiểm tra phía trình duyệt</t>
        </is>
      </c>
      <c r="C434" s="18" t="inlineStr">
        <is>
          <t>Chuẩn bị: Đang chuẩn bị
Kỳ vọng: Đã xác nhận
Dữ liệu (trích): Object rỗng
Thao tác (trích): Sửa request (bỏ kiểm tra JS) và gửi từng giá trị.
Xem chi tiết</t>
        </is>
      </c>
      <c r="D434"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34" s="19" t="inlineStr"/>
      <c r="F434" s="19" t="inlineStr">
        <is>
          <t>Chưa thực hiện</t>
        </is>
      </c>
      <c r="G434" s="19" t="inlineStr"/>
    </row>
    <row r="435" ht="180" customHeight="1">
      <c r="A435" s="18" t="inlineStr">
        <is>
          <t>TC-RS-ERR-009 / unknown-key</t>
        </is>
      </c>
      <c r="B435" s="18" t="inlineStr">
        <is>
          <t>Quyền và kiểm tra phía server — Quyền thao tác
Server kiểm miền giá trị khi bỏ qua kiểm tra phía trình duyệt</t>
        </is>
      </c>
      <c r="C435" s="18" t="inlineStr">
        <is>
          <t>Chuẩn bị: Đang chuẩn bị
Kỳ vọng: Đã xác nhận
Dữ liệu (trích): Khóa không biết
Thao tác (trích): Sửa request (bỏ kiểm tra JS) và gửi từng giá trị.
Xem chi tiết</t>
        </is>
      </c>
      <c r="D435"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35" s="19" t="inlineStr"/>
      <c r="F435" s="19" t="inlineStr">
        <is>
          <t>Chưa thực hiện</t>
        </is>
      </c>
      <c r="G435" s="19" t="inlineStr"/>
    </row>
    <row r="436" ht="180" customHeight="1">
      <c r="A436" s="18" t="inlineStr">
        <is>
          <t>TC-RS-ERR-009 / arrays</t>
        </is>
      </c>
      <c r="B436" s="18" t="inlineStr">
        <is>
          <t>Quyền và kiểm tra phía server — Quyền thao tác
Server kiểm miền giá trị khi bỏ qua kiểm tra phía trình duyệt</t>
        </is>
      </c>
      <c r="C436" s="18" t="inlineStr">
        <is>
          <t>Chuẩn bị: Đang chuẩn bị
Kỳ vọng: Đã xác nhận
Dữ liệu (trích): Mảng rỗng
Thao tác (trích): Sửa request (bỏ kiểm tra JS) và gửi từng giá trị.
Xem chi tiết</t>
        </is>
      </c>
      <c r="D436" s="18" t="inlineStr">
        <is>
          <t>Mọi giá trị trên bị server từ chối; cấu hình đã lưu không đổi. Công thức chỉ nhận các dòng với phép toán và toán hạng được hỗ trợ; không lưu biểu thức tự do.
Bảo toàn: Giữ điểm, cấu hình và đối tượng không đích theo expected; chỉ thay phần thủ tục yêu cầu, không tự đổi oracle hoặc mở rộng phạm vi.</t>
        </is>
      </c>
      <c r="E436" s="19" t="inlineStr"/>
      <c r="F436" s="19" t="inlineStr">
        <is>
          <t>Chưa thực hiện</t>
        </is>
      </c>
      <c r="G436" s="19" t="inlineStr"/>
    </row>
    <row r="437" ht="180" customHeight="1">
      <c r="A437" s="18" t="inlineStr">
        <is>
          <t>TC-RS-ERR-010 / forged-red-flag</t>
        </is>
      </c>
      <c r="B437" s="18" t="inlineStr">
        <is>
          <t>Quyền và kiểm tra phía server — Quyền thao tác
Server không tin cờ đỏ hoặc ngưỡng do trình duyệt gửi lên</t>
        </is>
      </c>
      <c r="C437" s="18" t="inlineStr">
        <is>
          <t>Chuẩn bị: Bị chặn
Kỳ vọng: Đã xác nhận
Dữ liệu (trích): Bước 2a chỉ sửa cờ đỏ của S03
Thao tác (trích): 1. Đăng nhập tài khoản phụ trách đầu ra; chụp request/response hợp lệ và file Trích xuất thành tích（成績抽出）…
Xem chi tiết</t>
        </is>
      </c>
      <c r="D437" s="18" t="inlineStr">
        <is>
          <t>Kỳ vọng: Đã xác nhận
Ở các biến thể không lọc, server từ chối payload giả hoặc Excel vẫn cho S03=31, Không đỏ, không có `*`/màu đỏ; điểm 10, ngưỡng 50 và cờ giả không đổi kết luận server. Ở request…
Xem chi tiết</t>
        </is>
      </c>
      <c r="E437" s="19" t="inlineStr"/>
      <c r="F437" s="19" t="inlineStr">
        <is>
          <t>Chưa thực hiện</t>
        </is>
      </c>
      <c r="G437" s="19" t="inlineStr"/>
    </row>
    <row r="438" ht="180" customHeight="1">
      <c r="A438" s="18" t="inlineStr">
        <is>
          <t>TC-RS-ERR-010 / forged-prefix</t>
        </is>
      </c>
      <c r="B438" s="18" t="inlineStr">
        <is>
          <t>Quyền và kiểm tra phía server — Quyền thao tác
Server không tin cờ đỏ hoặc ngưỡng do trình duyệt gửi lên</t>
        </is>
      </c>
      <c r="C438" s="18" t="inlineStr">
        <is>
          <t>Chuẩn bị: Bị chặn
Kỳ vọng: Đã xác nhận
Dữ liệu (trích): Bước 2a chỉ sửa dấu trước thành * cho S03
Thao tác (trích): 1. Đăng nhập tài khoản phụ trách đầu ra; chụp request/response hợp lệ và file Trích xuất thành tích（成績抽出）…
Xem chi tiết</t>
        </is>
      </c>
      <c r="D438" s="18" t="inlineStr">
        <is>
          <t>Kỳ vọng: Đã xác nhận
Ở các biến thể không lọc, server từ chối payload giả hoặc Excel vẫn cho S03=31, Không đỏ, không có `*`/màu đỏ; điểm 10, ngưỡng 50 và cờ giả không đổi kết luận server. Ở request…
Xem chi tiết</t>
        </is>
      </c>
      <c r="E438" s="19" t="inlineStr"/>
      <c r="F438" s="19" t="inlineStr">
        <is>
          <t>Chưa thực hiện</t>
        </is>
      </c>
      <c r="G438" s="19" t="inlineStr"/>
    </row>
    <row r="439" ht="180" customHeight="1">
      <c r="A439" s="18" t="inlineStr">
        <is>
          <t>TC-RS-ERR-010 / forged-color</t>
        </is>
      </c>
      <c r="B439" s="18" t="inlineStr">
        <is>
          <t>Quyền và kiểm tra phía server — Quyền thao tác
Server không tin cờ đỏ hoặc ngưỡng do trình duyệt gửi lên</t>
        </is>
      </c>
      <c r="C439" s="18" t="inlineStr">
        <is>
          <t>Chuẩn bị: Bị chặn
Kỳ vọng: Đã xác nhận
Dữ liệu (trích): Bước 2a chỉ sửa màu đỏ cho S03
Thao tác (trích): 1. Đăng nhập tài khoản phụ trách đầu ra; chụp request/response hợp lệ và file Trích xuất thành tích（成績抽出）…
Xem chi tiết</t>
        </is>
      </c>
      <c r="D439" s="18" t="inlineStr">
        <is>
          <t>Kỳ vọng: Đã xác nhận
Ở các biến thể không lọc, server từ chối payload giả hoặc Excel vẫn cho S03=31, Không đỏ, không có `*`/màu đỏ; điểm 10, ngưỡng 50 và cờ giả không đổi kết luận server. Ở request…
Xem chi tiết</t>
        </is>
      </c>
      <c r="E439" s="19" t="inlineStr"/>
      <c r="F439" s="19" t="inlineStr">
        <is>
          <t>Chưa thực hiện</t>
        </is>
      </c>
      <c r="G439" s="19" t="inlineStr"/>
    </row>
    <row r="440" ht="180" customHeight="1">
      <c r="A440" s="18" t="inlineStr">
        <is>
          <t>TC-RS-ERR-010 / forged-score</t>
        </is>
      </c>
      <c r="B440" s="18" t="inlineStr">
        <is>
          <t>Quyền và kiểm tra phía server — Quyền thao tác
Server không tin cờ đỏ hoặc ngưỡng do trình duyệt gửi lên</t>
        </is>
      </c>
      <c r="C440" s="18" t="inlineStr">
        <is>
          <t>Chuẩn bị: Bị chặn
Kỳ vọng: Đã xác nhận
Dữ liệu (trích): Bước 2b chỉ sửa điểm thành 10
Thao tác (trích): 1. Đăng nhập tài khoản phụ trách đầu ra; chụp request/response hợp lệ và file Trích xuất thành tích（成績抽出）…
Xem chi tiết</t>
        </is>
      </c>
      <c r="D440" s="18" t="inlineStr">
        <is>
          <t>Kỳ vọng: Đã xác nhận
Ở các biến thể không lọc, server từ chối payload giả hoặc Excel vẫn cho S03=31, Không đỏ, không có `*`/màu đỏ; điểm 10, ngưỡng 50 và cờ giả không đổi kết luận server. Ở request…
Xem chi tiết</t>
        </is>
      </c>
      <c r="E440" s="19" t="inlineStr"/>
      <c r="F440" s="19" t="inlineStr">
        <is>
          <t>Chưa thực hiện</t>
        </is>
      </c>
      <c r="G440" s="19" t="inlineStr"/>
    </row>
    <row r="441" ht="180" customHeight="1">
      <c r="A441" s="18" t="inlineStr">
        <is>
          <t>TC-RS-ERR-010 / forged-threshold</t>
        </is>
      </c>
      <c r="B441" s="18" t="inlineStr">
        <is>
          <t>Quyền và kiểm tra phía server — Quyền thao tác
Server không tin cờ đỏ hoặc ngưỡng do trình duyệt gửi lên</t>
        </is>
      </c>
      <c r="C441" s="18" t="inlineStr">
        <is>
          <t>Chuẩn bị: Bị chặn
Kỳ vọng: Đã xác nhận
Dữ liệu (trích): Bước 2c chỉ sửa ngưỡng thành 50
Thao tác (trích): 1. Đăng nhập tài khoản phụ trách đầu ra; chụp request/response hợp lệ và file Trích xuất thành tích（成績抽出）…
Xem chi tiết</t>
        </is>
      </c>
      <c r="D441" s="18" t="inlineStr">
        <is>
          <t>Kỳ vọng: Đã xác nhận
Ở các biến thể không lọc, server từ chối payload giả hoặc Excel vẫn cho S03=31, Không đỏ, không có `*`/màu đỏ; điểm 10, ngưỡng 50 và cờ giả không đổi kết luận server. Ở request…
Xem chi tiết</t>
        </is>
      </c>
      <c r="E441" s="19" t="inlineStr"/>
      <c r="F441" s="19" t="inlineStr">
        <is>
          <t>Chưa thực hiện</t>
        </is>
      </c>
      <c r="G441" s="19" t="inlineStr"/>
    </row>
    <row r="442" ht="180" customHeight="1">
      <c r="A442" s="18" t="inlineStr">
        <is>
          <t>TC-RS-ERR-010 / out-of-scope-student</t>
        </is>
      </c>
      <c r="B442" s="18" t="inlineStr">
        <is>
          <t>Quyền và kiểm tra phía server — Quyền thao tác
Server không tin cờ đỏ hoặc ngưỡng do trình duyệt gửi lên</t>
        </is>
      </c>
      <c r="C442" s="18" t="inlineStr">
        <is>
          <t>Chuẩn bị: Bị chặn
Kỳ vọng: Đã xác nhận
Dữ liệu (trích): Bước 3 chèn S03 vào lượt có lọc
Thao tác (trích): 1. Đăng nhập tài khoản phụ trách đầu ra; chụp request/response hợp lệ và file Trích xuất thành tích（成績抽出）…
Xem chi tiết</t>
        </is>
      </c>
      <c r="D442" s="18" t="inlineStr">
        <is>
          <t>Kỳ vọng: Đã xác nhận
Ở các biến thể không lọc, server từ chối payload giả hoặc Excel vẫn cho S03=31, Không đỏ, không có `*`/màu đỏ; điểm 10, ngưỡng 50 và cờ giả không đổi kết luận server. Ở request…
Xem chi tiết</t>
        </is>
      </c>
      <c r="E442" s="19" t="inlineStr"/>
      <c r="F442" s="19" t="inlineStr">
        <is>
          <t>Chưa thực hiện</t>
        </is>
      </c>
      <c r="G442" s="19" t="inlineStr"/>
    </row>
    <row r="443" ht="197" customHeight="1">
      <c r="A443" s="18" t="inlineStr">
        <is>
          <t>TC-RS-ERR-010 / out-of-scope-school</t>
        </is>
      </c>
      <c r="B443" s="18" t="inlineStr">
        <is>
          <t>Quyền và kiểm tra phía server — Quyền thao tác
Server không tin cờ đỏ hoặc ngưỡng do trình duyệt gửi lên</t>
        </is>
      </c>
      <c r="C443" s="18" t="inlineStr">
        <is>
          <t>Chuẩn bị: Bị chặn
Kỳ vọng: Đã xác nhận
Dữ liệu (trích): Bước 3 identity trường B ngoài quyền, giữ năm hợp lệ
Thao tác (trích): 1. Đăng nhập tài khoản phụ trách đầu ra; chụp request/response hợp lệ và file Trích xuất thành tích（成績抽出）…
Xem chi tiết</t>
        </is>
      </c>
      <c r="D443" s="18" t="inlineStr">
        <is>
          <t>Kỳ vọng: Đã xác nhận
Ở các biến thể không lọc, server từ chối payload giả hoặc Excel vẫn cho S03=31, Không đỏ, không có `*`/màu đỏ; điểm 10, ngưỡng 50 và cờ giả không đổi kết luận server. Ở request…
Xem chi tiết</t>
        </is>
      </c>
      <c r="E443" s="19" t="inlineStr"/>
      <c r="F443" s="19" t="inlineStr">
        <is>
          <t>Chưa thực hiện</t>
        </is>
      </c>
      <c r="G443" s="19" t="inlineStr"/>
    </row>
    <row r="444" ht="180" customHeight="1">
      <c r="A444" s="18" t="inlineStr">
        <is>
          <t>TC-RS-ERR-010 / out-of-scope-year</t>
        </is>
      </c>
      <c r="B444" s="18" t="inlineStr">
        <is>
          <t>Quyền và kiểm tra phía server — Quyền thao tác
Server không tin cờ đỏ hoặc ngưỡng do trình duyệt gửi lên</t>
        </is>
      </c>
      <c r="C444" s="18" t="inlineStr">
        <is>
          <t>Chuẩn bị: Bị chặn
Kỳ vọng: Đã xác nhận
Dữ liệu (trích): Bước 3 identity năm ngoài quyền, giữ trường A
Thao tác (trích): 1. Đăng nhập tài khoản phụ trách đầu ra; chụp request/response hợp lệ và file Trích xuất thành tích（成績抽出）…
Xem chi tiết</t>
        </is>
      </c>
      <c r="D444" s="18" t="inlineStr">
        <is>
          <t>Kỳ vọng: Đã xác nhận
Ở các biến thể không lọc, server từ chối payload giả hoặc Excel vẫn cho S03=31, Không đỏ, không có `*`/màu đỏ; điểm 10, ngưỡng 50 và cờ giả không đổi kết luận server. Ở request…
Xem chi tiết</t>
        </is>
      </c>
      <c r="E444" s="19" t="inlineStr"/>
      <c r="F444" s="19" t="inlineStr">
        <is>
          <t>Chưa thực hiện</t>
        </is>
      </c>
      <c r="G444" s="19" t="inlineStr"/>
    </row>
    <row r="445" ht="180" customHeight="1">
      <c r="A445" s="18" t="inlineStr">
        <is>
          <t>TC-RS-ERR-017 / rule-name</t>
        </is>
      </c>
      <c r="B445" s="18" t="inlineStr">
        <is>
          <t>Quyền và kiểm tra phía server — Quyền thao tác
Tên quy tắc và ký hiệu hiển thị như chữ, không bị thực thi</t>
        </is>
      </c>
      <c r="C445" s="18" t="inlineStr">
        <is>
          <t>Chuẩn bị: Đang chuẩn bị
Kỳ vọng: Đã xác nhận
Dữ liệu (trích): Bước 1 các nơi hiển thị tên
Thao tác (trích): 1. Lưu quy tắc với tên trên; xem danh sách, form sửa, hộp xác nhận xóa, thông báo sau chạy.…
Xem chi tiết</t>
        </is>
      </c>
      <c r="D445" s="18" t="inlineStr">
        <is>
          <t>Chuỗi hiển thị đúng như đã nhập dưới dạng chữ; không có hộp alert, không đổi định dạng HTML. Trích xuất và Excel: ô S01 là `&lt;29`; PDF phiếu: `&amp;29`.
Bảo toàn: Giữ điểm, cấu hình và đối tượng không đích theo expected; chỉ thay phần thủ tục yêu cầu, không tự đổi oracle hoặc mở rộng phạm vi.</t>
        </is>
      </c>
      <c r="E445" s="19" t="inlineStr"/>
      <c r="F445" s="19" t="inlineStr">
        <is>
          <t>Chưa thực hiện</t>
        </is>
      </c>
      <c r="G445" s="19" t="inlineStr"/>
    </row>
    <row r="446" ht="180" customHeight="1">
      <c r="A446" s="18" t="inlineStr">
        <is>
          <t>TC-RS-ERR-017 / extract</t>
        </is>
      </c>
      <c r="B446" s="18" t="inlineStr">
        <is>
          <t>Quyền và kiểm tra phía server — Quyền thao tác
Tên quy tắc và ký hiệu hiển thị như chữ, không bị thực thi</t>
        </is>
      </c>
      <c r="C446" s="18" t="inlineStr">
        <is>
          <t>Chuẩn bị: Đang chuẩn bị
Kỳ vọng: Đã xác nhận
Dữ liệu (trích): Bước 2 màn trích xuất và Excel
Thao tác (trích): 1. Lưu quy tắc với tên trên; xem danh sách, form sửa, hộp xác nhận xóa, thông báo sau chạy.…
Xem chi tiết</t>
        </is>
      </c>
      <c r="D446" s="18" t="inlineStr">
        <is>
          <t>Chuỗi hiển thị đúng như đã nhập dưới dạng chữ; không có hộp alert, không đổi định dạng HTML. Trích xuất và Excel: ô S01 là `&lt;29`; PDF phiếu: `&amp;29`.
Bảo toàn: Giữ điểm, cấu hình và đối tượng không đích theo expected; chỉ thay phần thủ tục yêu cầu, không tự đổi oracle hoặc mở rộng phạm vi.</t>
        </is>
      </c>
      <c r="E446" s="19" t="inlineStr"/>
      <c r="F446" s="19" t="inlineStr">
        <is>
          <t>Chưa thực hiện</t>
        </is>
      </c>
      <c r="G446" s="19" t="inlineStr"/>
    </row>
    <row r="447" ht="180" customHeight="1">
      <c r="A447" s="18" t="inlineStr">
        <is>
          <t>TC-RS-ERR-017 / report</t>
        </is>
      </c>
      <c r="B447" s="18" t="inlineStr">
        <is>
          <t>Quyền và kiểm tra phía server — Quyền thao tác
Tên quy tắc và ký hiệu hiển thị như chữ, không bị thực thi</t>
        </is>
      </c>
      <c r="C447" s="18" t="inlineStr">
        <is>
          <t>Chuẩn bị: Đang chuẩn bị
Kỳ vọng: Đã xác nhận
Dữ liệu (trích): Bước 2 PDF phiếu
Thao tác (trích): 1. Lưu quy tắc với tên trên; xem danh sách, form sửa, hộp xác nhận xóa, thông báo sau chạy.…
Xem chi tiết</t>
        </is>
      </c>
      <c r="D447" s="18" t="inlineStr">
        <is>
          <t>Chuỗi hiển thị đúng như đã nhập dưới dạng chữ; không có hộp alert, không đổi định dạng HTML. Trích xuất và Excel: ô S01 là `&lt;29`; PDF phiếu: `&amp;29`.
Bảo toàn: Giữ điểm, cấu hình và đối tượng không đích theo expected; chỉ thay phần thủ tục yêu cầu, không tự đổi oracle hoặc mở rộng phạm vi.</t>
        </is>
      </c>
      <c r="E447" s="19" t="inlineStr"/>
      <c r="F447" s="19" t="inlineStr">
        <is>
          <t>Chưa thực hiện</t>
        </is>
      </c>
      <c r="G447" s="19" t="inlineStr"/>
    </row>
    <row r="448" ht="197" customHeight="1">
      <c r="A448" s="18" t="inlineStr">
        <is>
          <t>TC-RS-REG-015 / student</t>
        </is>
      </c>
      <c r="B448" s="18" t="inlineStr">
        <is>
          <t>Quyền và kiểm tra phía server — Quyền thao tác
Quyền học sinh/phụ huynh giữ nguyên</t>
        </is>
      </c>
      <c r="C448" s="18" t="inlineStr">
        <is>
          <t>Chuẩn bị: Đang chuẩn bị
Kỳ vọng: Đã xác nhận
Dữ liệu (trích): Bước 1–3 tài khoản học sinh
Thao tác (trích): 1. Đăng nhập S01, xem màn.…
Xem chi tiết</t>
        </is>
      </c>
      <c r="D448" s="18" t="inlineStr">
        <is>
          <t>1. Chỉ thấy dữ liệu S01.
2. Bị từ chối.
3. Bị từ chối.
4. Chỉ thấy dữ liệu S01; dấu đỏ và điểm ẩn giống màn học sinh.
5. Bị từ chối.
Bảo toàn: Giữ điểm, cấu hình và đối tượng không đích theo expected; chỉ thay phần thủ tục yêu cầu, không tự đổi oracle hoặc mở rộng phạm vi.</t>
        </is>
      </c>
      <c r="E448" s="19" t="inlineStr"/>
      <c r="F448" s="19" t="inlineStr">
        <is>
          <t>Chưa thực hiện</t>
        </is>
      </c>
      <c r="G448" s="19" t="inlineStr"/>
    </row>
    <row r="449" ht="197" customHeight="1">
      <c r="A449" s="18" t="inlineStr">
        <is>
          <t>TC-RS-REG-015 / parent</t>
        </is>
      </c>
      <c r="B449" s="18" t="inlineStr">
        <is>
          <t>Quyền và kiểm tra phía server — Quyền thao tác
Quyền học sinh/phụ huynh giữ nguyên</t>
        </is>
      </c>
      <c r="C449" s="18" t="inlineStr">
        <is>
          <t>Chuẩn bị: Đang chuẩn bị
Kỳ vọng: Đã xác nhận
Dữ liệu (trích): Bước 4–5 tài khoản phụ huynh
Thao tác (trích): 1. Đăng nhập S01, xem màn.…
Xem chi tiết</t>
        </is>
      </c>
      <c r="D449" s="18" t="inlineStr">
        <is>
          <t>1. Chỉ thấy dữ liệu S01.
2. Bị từ chối.
3. Bị từ chối.
4. Chỉ thấy dữ liệu S01; dấu đỏ và điểm ẩn giống màn học sinh.
5. Bị từ chối.
Bảo toàn: Giữ điểm, cấu hình và đối tượng không đích theo expected; chỉ thay phần thủ tục yêu cầu, không tự đổi oracle hoặc mở rộng phạm vi.</t>
        </is>
      </c>
      <c r="E449" s="19" t="inlineStr"/>
      <c r="F449" s="19" t="inlineStr">
        <is>
          <t>Chưa thực hiện</t>
        </is>
      </c>
      <c r="G449" s="19" t="inlineStr"/>
    </row>
    <row r="450" ht="180" customHeight="1">
      <c r="A450" s="18" t="inlineStr">
        <is>
          <t>TC-RS-VAL-006 / negative</t>
        </is>
      </c>
      <c r="B450" s="18" t="inlineStr">
        <is>
          <t>Ngưỡng tỷ lệ điểm tối đa — Thiết lập ngưỡng（基準設定）
Tỷ lệ N: biên −1 / 0 / 100 / 101</t>
        </is>
      </c>
      <c r="C450" s="18" t="inlineStr">
        <is>
          <t>Chuẩn bị: Đang chuẩn bị
Kỳ vọng: Đã xác nhận
Dữ liệu (trích): -1
Thao tác (trích): Nhập từng giá trị, Lưu.
Xem chi tiết</t>
        </is>
      </c>
      <c r="D450" s="18" t="inlineStr">
        <is>
          <t>−1 và 101: không lưu được. 0 và 100: lưu được. 30.5 lưu được, 30.5555 bị từ chối (PROPOSED, thiết kế DB v2 mục 4.2 “Xử lý phần lẻ và miền lưu trữ”).
Bảo toàn: Giữ điểm, cấu hình và đối tượng không đích theo expected; chỉ thay phần thủ tục yêu cầu, không tự đổi oracle hoặc mở rộng phạm vi.</t>
        </is>
      </c>
      <c r="E450" s="19" t="inlineStr"/>
      <c r="F450" s="19" t="inlineStr">
        <is>
          <t>Chưa thực hiện</t>
        </is>
      </c>
      <c r="G450" s="19" t="inlineStr"/>
    </row>
    <row r="451" ht="180" customHeight="1">
      <c r="A451" s="18" t="inlineStr">
        <is>
          <t>TC-RS-VAL-006 / zero</t>
        </is>
      </c>
      <c r="B451" s="18" t="inlineStr">
        <is>
          <t>Ngưỡng tỷ lệ điểm tối đa — Thiết lập ngưỡng（基準設定）
Tỷ lệ N: biên −1 / 0 / 100 / 101</t>
        </is>
      </c>
      <c r="C451" s="18" t="inlineStr">
        <is>
          <t>Chuẩn bị: Đang chuẩn bị
Kỳ vọng: Đã xác nhận
Dữ liệu (trích): 0
Thao tác (trích): Nhập từng giá trị, Lưu.
Xem chi tiết</t>
        </is>
      </c>
      <c r="D451" s="18" t="inlineStr">
        <is>
          <t>−1 và 101: không lưu được. 0 và 100: lưu được. 30.5 lưu được, 30.5555 bị từ chối (PROPOSED, thiết kế DB v2 mục 4.2 “Xử lý phần lẻ và miền lưu trữ”).
Bảo toàn: Giữ điểm, cấu hình và đối tượng không đích theo expected; chỉ thay phần thủ tục yêu cầu, không tự đổi oracle hoặc mở rộng phạm vi.</t>
        </is>
      </c>
      <c r="E451" s="19" t="inlineStr"/>
      <c r="F451" s="19" t="inlineStr">
        <is>
          <t>Chưa thực hiện</t>
        </is>
      </c>
      <c r="G451" s="19" t="inlineStr"/>
    </row>
    <row r="452" ht="180" customHeight="1">
      <c r="A452" s="18" t="inlineStr">
        <is>
          <t>TC-RS-VAL-006 / hundred</t>
        </is>
      </c>
      <c r="B452" s="18" t="inlineStr">
        <is>
          <t>Ngưỡng tỷ lệ điểm tối đa — Thiết lập ngưỡng（基準設定）
Tỷ lệ N: biên −1 / 0 / 100 / 101</t>
        </is>
      </c>
      <c r="C452" s="18" t="inlineStr">
        <is>
          <t>Chuẩn bị: Đang chuẩn bị
Kỳ vọng: Đã xác nhận
Dữ liệu (trích): 100
Thao tác (trích): Nhập từng giá trị, Lưu.
Xem chi tiết</t>
        </is>
      </c>
      <c r="D452" s="18" t="inlineStr">
        <is>
          <t>−1 và 101: không lưu được. 0 và 100: lưu được. 30.5 lưu được, 30.5555 bị từ chối (PROPOSED, thiết kế DB v2 mục 4.2 “Xử lý phần lẻ và miền lưu trữ”).
Bảo toàn: Giữ điểm, cấu hình và đối tượng không đích theo expected; chỉ thay phần thủ tục yêu cầu, không tự đổi oracle hoặc mở rộng phạm vi.</t>
        </is>
      </c>
      <c r="E452" s="19" t="inlineStr"/>
      <c r="F452" s="19" t="inlineStr">
        <is>
          <t>Chưa thực hiện</t>
        </is>
      </c>
      <c r="G452" s="19" t="inlineStr"/>
    </row>
    <row r="453" ht="180" customHeight="1">
      <c r="A453" s="18" t="inlineStr">
        <is>
          <t>TC-RS-VAL-006 / above</t>
        </is>
      </c>
      <c r="B453" s="18" t="inlineStr">
        <is>
          <t>Ngưỡng tỷ lệ điểm tối đa — Thiết lập ngưỡng（基準設定）
Tỷ lệ N: biên −1 / 0 / 100 / 101</t>
        </is>
      </c>
      <c r="C453" s="18" t="inlineStr">
        <is>
          <t>Chuẩn bị: Đang chuẩn bị
Kỳ vọng: Đã xác nhận
Dữ liệu (trích): 101
Thao tác (trích): Nhập từng giá trị, Lưu.
Xem chi tiết</t>
        </is>
      </c>
      <c r="D453" s="18" t="inlineStr">
        <is>
          <t>−1 và 101: không lưu được. 0 và 100: lưu được. 30.5 lưu được, 30.5555 bị từ chối (PROPOSED, thiết kế DB v2 mục 4.2 “Xử lý phần lẻ và miền lưu trữ”).
Bảo toàn: Giữ điểm, cấu hình và đối tượng không đích theo expected; chỉ thay phần thủ tục yêu cầu, không tự đổi oracle hoặc mở rộng phạm vi.</t>
        </is>
      </c>
      <c r="E453" s="19" t="inlineStr"/>
      <c r="F453" s="19" t="inlineStr">
        <is>
          <t>Chưa thực hiện</t>
        </is>
      </c>
      <c r="G453" s="19" t="inlineStr"/>
    </row>
    <row r="454" ht="180" customHeight="1">
      <c r="A454" s="18" t="inlineStr">
        <is>
          <t>TC-RS-VAL-006 / decimal</t>
        </is>
      </c>
      <c r="B454" s="18" t="inlineStr">
        <is>
          <t>Ngưỡng tỷ lệ điểm tối đa — Thiết lập ngưỡng（基準設定）
Tỷ lệ N: biên −1 / 0 / 100 / 101</t>
        </is>
      </c>
      <c r="C454" s="18" t="inlineStr">
        <is>
          <t>Chuẩn bị: Đang chuẩn bị
Kỳ vọng: Đã xác nhận
Dữ liệu (trích): 30.5
Thao tác (trích): Nhập từng giá trị, Lưu.
Xem chi tiết</t>
        </is>
      </c>
      <c r="D454" s="18" t="inlineStr">
        <is>
          <t>−1 và 101: không lưu được. 0 và 100: lưu được. 30.5 lưu được, 30.5555 bị từ chối (PROPOSED, thiết kế DB v2 mục 4.2 “Xử lý phần lẻ và miền lưu trữ”).
Bảo toàn: Giữ điểm, cấu hình và đối tượng không đích theo expected; chỉ thay phần thủ tục yêu cầu, không tự đổi oracle hoặc mở rộng phạm vi.</t>
        </is>
      </c>
      <c r="E454" s="19" t="inlineStr"/>
      <c r="F454" s="19" t="inlineStr">
        <is>
          <t>Chưa thực hiện</t>
        </is>
      </c>
      <c r="G454" s="19" t="inlineStr"/>
    </row>
    <row r="455" ht="180" customHeight="1">
      <c r="A455" s="18" t="inlineStr">
        <is>
          <t>TC-RS-VAL-006 / long-decimal</t>
        </is>
      </c>
      <c r="B455" s="18" t="inlineStr">
        <is>
          <t>Ngưỡng tỷ lệ điểm tối đa — Thiết lập ngưỡng（基準設定）
Tỷ lệ N: biên −1 / 0 / 100 / 101</t>
        </is>
      </c>
      <c r="C455" s="18" t="inlineStr">
        <is>
          <t>Chuẩn bị: Đang chuẩn bị
Kỳ vọng: Đã xác nhận
Dữ liệu (trích): 30.5555
Thao tác (trích): Nhập từng giá trị, Lưu.
Xem chi tiết</t>
        </is>
      </c>
      <c r="D455" s="18" t="inlineStr">
        <is>
          <t>−1 và 101: không lưu được. 0 và 100: lưu được. 30.5 lưu được, 30.5555 bị từ chối (PROPOSED, thiết kế DB v2 mục 4.2 “Xử lý phần lẻ và miền lưu trữ”).
Bảo toàn: Giữ điểm, cấu hình và đối tượng không đích theo expected; chỉ thay phần thủ tục yêu cầu, không tự đổi oracle hoặc mở rộng phạm vi.</t>
        </is>
      </c>
      <c r="E455" s="19" t="inlineStr"/>
      <c r="F455" s="19" t="inlineStr">
        <is>
          <t>Chưa thực hiện</t>
        </is>
      </c>
      <c r="G455" s="19" t="inlineStr"/>
    </row>
    <row r="456" ht="163" customHeight="1">
      <c r="A456" s="18" t="inlineStr">
        <is>
          <t>TC-RS-VAL-007 / default</t>
        </is>
      </c>
      <c r="B456" s="18" t="inlineStr">
        <is>
          <t>Thiết lập ngưỡng（基準設定）
Xử lý phần lẻ: bắt buộc chọn cách làm tròn; p = 0 / 1 / 9 / 10; lần đầu p=1
Xem chi tiết</t>
        </is>
      </c>
      <c r="C456" s="18" t="inlineStr">
        <is>
          <t>Chuẩn bị: Đang chuẩn bị
Kỳ vọng: Đề xuất
Dữ liệu (trích): Giá trị mặc định p=1
Thao tác (trích): 1. Bật Xử lý phần lẻ（端数処理）: quan sát giá trị p mặc định.…
Xem chi tiết</t>
        </is>
      </c>
      <c r="D456" s="18" t="inlineStr">
        <is>
          <t>1. p hiển thị 1.
2. Không lưu được.
3. p=1 và 9 lưu được; p=0 và 10 không lưu được.
Bảo toàn: Giữ điểm, cấu hình và đối tượng không đích theo expected; chỉ thay phần thủ tục yêu cầu, không tự đổi oracle hoặc mở rộng phạm vi.</t>
        </is>
      </c>
      <c r="E456" s="19" t="inlineStr"/>
      <c r="F456" s="19" t="inlineStr">
        <is>
          <t>Chưa thực hiện</t>
        </is>
      </c>
      <c r="G456" s="19" t="inlineStr"/>
    </row>
    <row r="457" ht="163" customHeight="1">
      <c r="A457" s="18" t="inlineStr">
        <is>
          <t>TC-RS-VAL-007 / missing-method</t>
        </is>
      </c>
      <c r="B457" s="18" t="inlineStr">
        <is>
          <t>Thiết lập ngưỡng（基準設定）
Xử lý phần lẻ: bắt buộc chọn cách làm tròn; p = 0 / 1 / 9 / 10; lần đầu p=1
Xem chi tiết</t>
        </is>
      </c>
      <c r="C457" s="18" t="inlineStr">
        <is>
          <t>Chuẩn bị: Đang chuẩn bị
Kỳ vọng: Đề xuất
Dữ liệu (trích): Thiếu phương thức
Thao tác (trích): 1. Bật Xử lý phần lẻ（端数処理）: quan sát giá trị p mặc định.…
Xem chi tiết</t>
        </is>
      </c>
      <c r="D457" s="18" t="inlineStr">
        <is>
          <t>1. p hiển thị 1.
2. Không lưu được.
3. p=1 và 9 lưu được; p=0 và 10 không lưu được.
Bảo toàn: Giữ điểm, cấu hình và đối tượng không đích theo expected; chỉ thay phần thủ tục yêu cầu, không tự đổi oracle hoặc mở rộng phạm vi.</t>
        </is>
      </c>
      <c r="E457" s="19" t="inlineStr"/>
      <c r="F457" s="19" t="inlineStr">
        <is>
          <t>Chưa thực hiện</t>
        </is>
      </c>
      <c r="G457" s="19" t="inlineStr"/>
    </row>
    <row r="458" ht="163" customHeight="1">
      <c r="A458" s="18" t="inlineStr">
        <is>
          <t>TC-RS-VAL-007 / p0</t>
        </is>
      </c>
      <c r="B458" s="18" t="inlineStr">
        <is>
          <t>Thiết lập ngưỡng（基準設定）
Xử lý phần lẻ: bắt buộc chọn cách làm tròn; p = 0 / 1 / 9 / 10; lần đầu p=1
Xem chi tiết</t>
        </is>
      </c>
      <c r="C458" s="18" t="inlineStr">
        <is>
          <t>Chuẩn bị: Đang chuẩn bị
Kỳ vọng: Đề xuất
Dữ liệu (trích): p=0
Thao tác (trích): 1. Bật Xử lý phần lẻ（端数処理）: quan sát giá trị p mặc định.…
Xem chi tiết</t>
        </is>
      </c>
      <c r="D458" s="18" t="inlineStr">
        <is>
          <t>1. p hiển thị 1.
2. Không lưu được.
3. p=1 và 9 lưu được; p=0 và 10 không lưu được.
Bảo toàn: Giữ điểm, cấu hình và đối tượng không đích theo expected; chỉ thay phần thủ tục yêu cầu, không tự đổi oracle hoặc mở rộng phạm vi.</t>
        </is>
      </c>
      <c r="E458" s="19" t="inlineStr"/>
      <c r="F458" s="19" t="inlineStr">
        <is>
          <t>Chưa thực hiện</t>
        </is>
      </c>
      <c r="G458" s="19" t="inlineStr"/>
    </row>
    <row r="459" ht="163" customHeight="1">
      <c r="A459" s="18" t="inlineStr">
        <is>
          <t>TC-RS-VAL-007 / p1</t>
        </is>
      </c>
      <c r="B459" s="18" t="inlineStr">
        <is>
          <t>Thiết lập ngưỡng（基準設定）
Xử lý phần lẻ: bắt buộc chọn cách làm tròn; p = 0 / 1 / 9 / 10; lần đầu p=1
Xem chi tiết</t>
        </is>
      </c>
      <c r="C459" s="18" t="inlineStr">
        <is>
          <t>Chuẩn bị: Đang chuẩn bị
Kỳ vọng: Đề xuất
Dữ liệu (trích): p=1
Thao tác (trích): 1. Bật Xử lý phần lẻ（端数処理）: quan sát giá trị p mặc định.…
Xem chi tiết</t>
        </is>
      </c>
      <c r="D459" s="18" t="inlineStr">
        <is>
          <t>1. p hiển thị 1.
2. Không lưu được.
3. p=1 và 9 lưu được; p=0 và 10 không lưu được.
Bảo toàn: Giữ điểm, cấu hình và đối tượng không đích theo expected; chỉ thay phần thủ tục yêu cầu, không tự đổi oracle hoặc mở rộng phạm vi.</t>
        </is>
      </c>
      <c r="E459" s="19" t="inlineStr"/>
      <c r="F459" s="19" t="inlineStr">
        <is>
          <t>Chưa thực hiện</t>
        </is>
      </c>
      <c r="G459" s="19" t="inlineStr"/>
    </row>
    <row r="460" ht="163" customHeight="1">
      <c r="A460" s="18" t="inlineStr">
        <is>
          <t>TC-RS-VAL-007 / p9</t>
        </is>
      </c>
      <c r="B460" s="18" t="inlineStr">
        <is>
          <t>Thiết lập ngưỡng（基準設定）
Xử lý phần lẻ: bắt buộc chọn cách làm tròn; p = 0 / 1 / 9 / 10; lần đầu p=1
Xem chi tiết</t>
        </is>
      </c>
      <c r="C460" s="18" t="inlineStr">
        <is>
          <t>Chuẩn bị: Đang chuẩn bị
Kỳ vọng: Đề xuất
Dữ liệu (trích): p=9
Thao tác (trích): 1. Bật Xử lý phần lẻ（端数処理）: quan sát giá trị p mặc định.…
Xem chi tiết</t>
        </is>
      </c>
      <c r="D460" s="18" t="inlineStr">
        <is>
          <t>1. p hiển thị 1.
2. Không lưu được.
3. p=1 và 9 lưu được; p=0 và 10 không lưu được.
Bảo toàn: Giữ điểm, cấu hình và đối tượng không đích theo expected; chỉ thay phần thủ tục yêu cầu, không tự đổi oracle hoặc mở rộng phạm vi.</t>
        </is>
      </c>
      <c r="E460" s="19" t="inlineStr"/>
      <c r="F460" s="19" t="inlineStr">
        <is>
          <t>Chưa thực hiện</t>
        </is>
      </c>
      <c r="G460" s="19" t="inlineStr"/>
    </row>
    <row r="461" ht="163" customHeight="1">
      <c r="A461" s="18" t="inlineStr">
        <is>
          <t>TC-RS-VAL-007 / p10</t>
        </is>
      </c>
      <c r="B461" s="18" t="inlineStr">
        <is>
          <t>Thiết lập ngưỡng（基準設定）
Xử lý phần lẻ: bắt buộc chọn cách làm tròn; p = 0 / 1 / 9 / 10; lần đầu p=1
Xem chi tiết</t>
        </is>
      </c>
      <c r="C461" s="18" t="inlineStr">
        <is>
          <t>Chuẩn bị: Đang chuẩn bị
Kỳ vọng: Đề xuất
Dữ liệu (trích): p=10
Thao tác (trích): 1. Bật Xử lý phần lẻ（端数処理）: quan sát giá trị p mặc định.…
Xem chi tiết</t>
        </is>
      </c>
      <c r="D461" s="18" t="inlineStr">
        <is>
          <t>1. p hiển thị 1.
2. Không lưu được.
3. p=1 và 9 lưu được; p=0 và 10 không lưu được.
Bảo toàn: Giữ điểm, cấu hình và đối tượng không đích theo expected; chỉ thay phần thủ tục yêu cầu, không tự đổi oracle hoặc mở rộng phạm vi.</t>
        </is>
      </c>
      <c r="E461" s="19" t="inlineStr"/>
      <c r="F461" s="19" t="inlineStr">
        <is>
          <t>Chưa thực hiện</t>
        </is>
      </c>
      <c r="G461" s="19" t="inlineStr"/>
    </row>
    <row r="462" ht="197" customHeight="1">
      <c r="A462" s="18" t="inlineStr">
        <is>
          <t>TC-RS-CALC-005 / lt</t>
        </is>
      </c>
      <c r="B462" s="18" t="inlineStr">
        <is>
          <t>Ngưỡng tỷ lệ điểm tối đa — Thiết lập ngưỡng（基準設定）
Tỷ lệ 30% với M=100</t>
        </is>
      </c>
      <c r="C462" s="18" t="inlineStr">
        <is>
          <t>Chuẩn bị: Đang chuẩn bị
Kỳ vọng: Đã xác nhận
Dữ liệu (trích): Dấu nhỏ hơn
Thao tác (trích): Đăng ký 29, 30, 31; xét với `&lt;` rồi `≤`.
Xem chi tiết</t>
        </is>
      </c>
      <c r="D462" s="18" t="inlineStr">
        <is>
          <t>`T=100×30/100=30`.
`&lt;`: 29 Đỏ; 30 Không đỏ; 31 Không đỏ.
`≤`: 29 Đỏ; 30 Đỏ; 31 Không đỏ.
Bảo toàn: Giữ điểm, cấu hình và đối tượng không đích theo expected; chỉ thay phần thủ tục yêu cầu, không tự đổi oracle hoặc mở rộng phạm vi.</t>
        </is>
      </c>
      <c r="E462" s="19" t="inlineStr"/>
      <c r="F462" s="19" t="inlineStr">
        <is>
          <t>Chưa thực hiện</t>
        </is>
      </c>
      <c r="G462" s="19" t="inlineStr"/>
    </row>
    <row r="463" ht="197" customHeight="1">
      <c r="A463" s="18" t="inlineStr">
        <is>
          <t>TC-RS-CALC-005 / le</t>
        </is>
      </c>
      <c r="B463" s="18" t="inlineStr">
        <is>
          <t>Ngưỡng tỷ lệ điểm tối đa — Thiết lập ngưỡng（基準設定）
Tỷ lệ 30% với M=100</t>
        </is>
      </c>
      <c r="C463" s="18" t="inlineStr">
        <is>
          <t>Chuẩn bị: Đang chuẩn bị
Kỳ vọng: Đã xác nhận
Dữ liệu (trích): Dấu nhỏ hơn hoặc bằng
Thao tác (trích): Đăng ký 29, 30, 31; xét với `&lt;` rồi `≤`.
Xem chi tiết</t>
        </is>
      </c>
      <c r="D463" s="18" t="inlineStr">
        <is>
          <t>`T=100×30/100=30`.
`&lt;`: 29 Đỏ; 30 Không đỏ; 31 Không đỏ.
`≤`: 29 Đỏ; 30 Đỏ; 31 Không đỏ.
Bảo toàn: Giữ điểm, cấu hình và đối tượng không đích theo expected; chỉ thay phần thủ tục yêu cầu, không tự đổi oracle hoặc mở rộng phạm vi.</t>
        </is>
      </c>
      <c r="E463" s="19" t="inlineStr"/>
      <c r="F463" s="19" t="inlineStr">
        <is>
          <t>Chưa thực hiện</t>
        </is>
      </c>
      <c r="G463" s="19" t="inlineStr"/>
    </row>
    <row r="464" ht="214" customHeight="1">
      <c r="A464" s="18" t="inlineStr">
        <is>
          <t>TC-RS-CALC-006 / lt</t>
        </is>
      </c>
      <c r="B464" s="18" t="inlineStr">
        <is>
          <t>Ngưỡng tỷ lệ điểm tối đa — Thiết lập ngưỡng（基準設定）
Tỷ lệ cho ngưỡng lẻ: M=45, N=30 → T=13.5</t>
        </is>
      </c>
      <c r="C464" s="18" t="inlineStr">
        <is>
          <t>Chuẩn bị: Đang chuẩn bị
Kỳ vọng: Đã xác nhận
Dữ liệu (trích): Dấu nhỏ hơn
Thao tác (trích): Đăng ký ba điểm; xét với `&lt;` rồi `≤`.
Xem chi tiết</t>
        </is>
      </c>
      <c r="D464" s="18" t="inlineStr">
        <is>
          <t>`T=45×30/100=13.5`.
`&lt;`: 13 Đỏ; 13.5 Không đỏ; 14 Không đỏ.
`≤`: 13 Đỏ; 13.5 Đỏ; 14 Không đỏ.
Bảo toàn: Giữ điểm, cấu hình và đối tượng không đích theo expected; chỉ thay phần thủ tục yêu cầu, không tự đổi oracle hoặc mở rộng phạm vi.</t>
        </is>
      </c>
      <c r="E464" s="19" t="inlineStr"/>
      <c r="F464" s="19" t="inlineStr">
        <is>
          <t>Chưa thực hiện</t>
        </is>
      </c>
      <c r="G464" s="19" t="inlineStr"/>
    </row>
    <row r="465" ht="214" customHeight="1">
      <c r="A465" s="18" t="inlineStr">
        <is>
          <t>TC-RS-CALC-006 / le</t>
        </is>
      </c>
      <c r="B465" s="18" t="inlineStr">
        <is>
          <t>Ngưỡng tỷ lệ điểm tối đa — Thiết lập ngưỡng（基準設定）
Tỷ lệ cho ngưỡng lẻ: M=45, N=30 → T=13.5</t>
        </is>
      </c>
      <c r="C465" s="18" t="inlineStr">
        <is>
          <t>Chuẩn bị: Đang chuẩn bị
Kỳ vọng: Đã xác nhận
Dữ liệu (trích): Dấu nhỏ hơn hoặc bằng
Thao tác (trích): Đăng ký ba điểm; xét với `&lt;` rồi `≤`.
Xem chi tiết</t>
        </is>
      </c>
      <c r="D465" s="18" t="inlineStr">
        <is>
          <t>`T=45×30/100=13.5`.
`&lt;`: 13 Đỏ; 13.5 Không đỏ; 14 Không đỏ.
`≤`: 13 Đỏ; 13.5 Đỏ; 14 Không đỏ.
Bảo toàn: Giữ điểm, cấu hình và đối tượng không đích theo expected; chỉ thay phần thủ tục yêu cầu, không tự đổi oracle hoặc mở rộng phạm vi.</t>
        </is>
      </c>
      <c r="E465" s="19" t="inlineStr"/>
      <c r="F465" s="19" t="inlineStr">
        <is>
          <t>Chưa thực hiện</t>
        </is>
      </c>
      <c r="G465" s="19" t="inlineStr"/>
    </row>
    <row r="466" ht="146" customHeight="1">
      <c r="A466" s="18" t="inlineStr">
        <is>
          <t>TC-RS-CALC-007 / m45-none</t>
        </is>
      </c>
      <c r="B466" s="18" t="inlineStr">
        <is>
          <t>Ngưỡng tỷ lệ điểm tối đa — Thiết lập ngưỡng（基準設定）
Tỷ lệ có xử lý phần lẻ: xuống / gần nhất / lên tại p1</t>
        </is>
      </c>
      <c r="C466" s="18" t="inlineStr">
        <is>
          <t>Chuẩn bị: Đang chuẩn bị
Kỳ vọng: Đã xác nhận
Dữ liệu (trích): M45 không làm tròn
Thao tác (trích): Với (a) và (b): xét với Không xử lý（しない）, xuống p1, gần nhất p1, lên p1.
Xem chi tiết</t>
        </is>
      </c>
      <c r="D466" s="18" t="inlineStr">
        <is>
          <t>Kỳ vọng: Đã xác nhận
(a) Không xử lý `T=13.5` → Đỏ; xuống `T=13` → Không đỏ; gần nhất `T=14` → Đỏ; lên `T=14` → Đỏ.…
Xem chi tiết</t>
        </is>
      </c>
      <c r="E466" s="19" t="inlineStr"/>
      <c r="F466" s="19" t="inlineStr">
        <is>
          <t>Chưa thực hiện</t>
        </is>
      </c>
      <c r="G466" s="19" t="inlineStr"/>
    </row>
    <row r="467" ht="129" customHeight="1">
      <c r="A467" s="18" t="inlineStr">
        <is>
          <t>TC-RS-CALC-007 / m45-down</t>
        </is>
      </c>
      <c r="B467" s="18" t="inlineStr">
        <is>
          <t>Ngưỡng tỷ lệ điểm tối đa — Thiết lập ngưỡng（基準設定）
Tỷ lệ có xử lý phần lẻ: xuống / gần nhất / lên tại p1</t>
        </is>
      </c>
      <c r="C467" s="18" t="inlineStr">
        <is>
          <t>Chuẩn bị: Đang chuẩn bị
Kỳ vọng: Đã xác nhận
Dữ liệu (trích): M45 cắt xuống
Thao tác (trích): Với (a) và (b): xét với Không xử lý（しない）, xuống p1, gần nhất p1, lên p1.
Xem chi tiết</t>
        </is>
      </c>
      <c r="D467" s="18" t="inlineStr">
        <is>
          <t>Kỳ vọng: Đã xác nhận
(a) Không xử lý `T=13.5` → Đỏ; xuống `T=13` → Không đỏ; gần nhất `T=14` → Đỏ; lên `T=14` → Đỏ.…
Xem chi tiết</t>
        </is>
      </c>
      <c r="E467" s="19" t="inlineStr"/>
      <c r="F467" s="19" t="inlineStr">
        <is>
          <t>Chưa thực hiện</t>
        </is>
      </c>
      <c r="G467" s="19" t="inlineStr"/>
    </row>
    <row r="468" ht="146" customHeight="1">
      <c r="A468" s="18" t="inlineStr">
        <is>
          <t>TC-RS-CALC-007 / m45-nearest</t>
        </is>
      </c>
      <c r="B468" s="18" t="inlineStr">
        <is>
          <t>Ngưỡng tỷ lệ điểm tối đa — Thiết lập ngưỡng（基準設定）
Tỷ lệ có xử lý phần lẻ: xuống / gần nhất / lên tại p1</t>
        </is>
      </c>
      <c r="C468" s="18" t="inlineStr">
        <is>
          <t>Chuẩn bị: Đang chuẩn bị
Kỳ vọng: Đã xác nhận
Dữ liệu (trích): M45 làm tròn gần nhất
Thao tác (trích): Với (a) và (b): xét với Không xử lý（しない）, xuống p1, gần nhất p1, lên p1.
Xem chi tiết</t>
        </is>
      </c>
      <c r="D468" s="18" t="inlineStr">
        <is>
          <t>Kỳ vọng: Đã xác nhận
(a) Không xử lý `T=13.5` → Đỏ; xuống `T=13` → Không đỏ; gần nhất `T=14` → Đỏ; lên `T=14` → Đỏ.…
Xem chi tiết</t>
        </is>
      </c>
      <c r="E468" s="19" t="inlineStr"/>
      <c r="F468" s="19" t="inlineStr">
        <is>
          <t>Chưa thực hiện</t>
        </is>
      </c>
      <c r="G468" s="19" t="inlineStr"/>
    </row>
    <row r="469" ht="146" customHeight="1">
      <c r="A469" s="18" t="inlineStr">
        <is>
          <t>TC-RS-CALC-007 / m45-up</t>
        </is>
      </c>
      <c r="B469" s="18" t="inlineStr">
        <is>
          <t>Ngưỡng tỷ lệ điểm tối đa — Thiết lập ngưỡng（基準設定）
Tỷ lệ có xử lý phần lẻ: xuống / gần nhất / lên tại p1</t>
        </is>
      </c>
      <c r="C469" s="18" t="inlineStr">
        <is>
          <t>Chuẩn bị: Đang chuẩn bị
Kỳ vọng: Đã xác nhận
Dữ liệu (trích): M45 làm tròn lên
Thao tác (trích): Với (a) và (b): xét với Không xử lý（しない）, xuống p1, gần nhất p1, lên p1.
Xem chi tiết</t>
        </is>
      </c>
      <c r="D469" s="18" t="inlineStr">
        <is>
          <t>Kỳ vọng: Đã xác nhận
(a) Không xử lý `T=13.5` → Đỏ; xuống `T=13` → Không đỏ; gần nhất `T=14` → Đỏ; lên `T=14` → Đỏ.…
Xem chi tiết</t>
        </is>
      </c>
      <c r="E469" s="19" t="inlineStr"/>
      <c r="F469" s="19" t="inlineStr">
        <is>
          <t>Chưa thực hiện</t>
        </is>
      </c>
      <c r="G469" s="19" t="inlineStr"/>
    </row>
    <row r="470" ht="146" customHeight="1">
      <c r="A470" s="18" t="inlineStr">
        <is>
          <t>TC-RS-CALC-007 / m47-none</t>
        </is>
      </c>
      <c r="B470" s="18" t="inlineStr">
        <is>
          <t>Ngưỡng tỷ lệ điểm tối đa — Thiết lập ngưỡng（基準設定）
Tỷ lệ có xử lý phần lẻ: xuống / gần nhất / lên tại p1</t>
        </is>
      </c>
      <c r="C470" s="18" t="inlineStr">
        <is>
          <t>Chuẩn bị: Đang chuẩn bị
Kỳ vọng: Đã xác nhận
Dữ liệu (trích): M47 không làm tròn
Thao tác (trích): Với (a) và (b): xét với Không xử lý（しない）, xuống p1, gần nhất p1, lên p1.
Xem chi tiết</t>
        </is>
      </c>
      <c r="D470" s="18" t="inlineStr">
        <is>
          <t>Kỳ vọng: Đã xác nhận
(a) Không xử lý `T=13.5` → Đỏ; xuống `T=13` → Không đỏ; gần nhất `T=14` → Đỏ; lên `T=14` → Đỏ.…
Xem chi tiết</t>
        </is>
      </c>
      <c r="E470" s="19" t="inlineStr"/>
      <c r="F470" s="19" t="inlineStr">
        <is>
          <t>Chưa thực hiện</t>
        </is>
      </c>
      <c r="G470" s="19" t="inlineStr"/>
    </row>
    <row r="471" ht="129" customHeight="1">
      <c r="A471" s="18" t="inlineStr">
        <is>
          <t>TC-RS-CALC-007 / m47-down</t>
        </is>
      </c>
      <c r="B471" s="18" t="inlineStr">
        <is>
          <t>Ngưỡng tỷ lệ điểm tối đa — Thiết lập ngưỡng（基準設定）
Tỷ lệ có xử lý phần lẻ: xuống / gần nhất / lên tại p1</t>
        </is>
      </c>
      <c r="C471" s="18" t="inlineStr">
        <is>
          <t>Chuẩn bị: Đang chuẩn bị
Kỳ vọng: Đã xác nhận
Dữ liệu (trích): M47 cắt xuống
Thao tác (trích): Với (a) và (b): xét với Không xử lý（しない）, xuống p1, gần nhất p1, lên p1.
Xem chi tiết</t>
        </is>
      </c>
      <c r="D471" s="18" t="inlineStr">
        <is>
          <t>Kỳ vọng: Đã xác nhận
(a) Không xử lý `T=13.5` → Đỏ; xuống `T=13` → Không đỏ; gần nhất `T=14` → Đỏ; lên `T=14` → Đỏ.…
Xem chi tiết</t>
        </is>
      </c>
      <c r="E471" s="19" t="inlineStr"/>
      <c r="F471" s="19" t="inlineStr">
        <is>
          <t>Chưa thực hiện</t>
        </is>
      </c>
      <c r="G471" s="19" t="inlineStr"/>
    </row>
    <row r="472" ht="146" customHeight="1">
      <c r="A472" s="18" t="inlineStr">
        <is>
          <t>TC-RS-CALC-007 / m47-nearest</t>
        </is>
      </c>
      <c r="B472" s="18" t="inlineStr">
        <is>
          <t>Ngưỡng tỷ lệ điểm tối đa — Thiết lập ngưỡng（基準設定）
Tỷ lệ có xử lý phần lẻ: xuống / gần nhất / lên tại p1</t>
        </is>
      </c>
      <c r="C472" s="18" t="inlineStr">
        <is>
          <t>Chuẩn bị: Đang chuẩn bị
Kỳ vọng: Đã xác nhận
Dữ liệu (trích): M47 làm tròn gần nhất
Thao tác (trích): Với (a) và (b): xét với Không xử lý（しない）, xuống p1, gần nhất p1, lên p1.
Xem chi tiết</t>
        </is>
      </c>
      <c r="D472" s="18" t="inlineStr">
        <is>
          <t>Kỳ vọng: Đã xác nhận
(a) Không xử lý `T=13.5` → Đỏ; xuống `T=13` → Không đỏ; gần nhất `T=14` → Đỏ; lên `T=14` → Đỏ.…
Xem chi tiết</t>
        </is>
      </c>
      <c r="E472" s="19" t="inlineStr"/>
      <c r="F472" s="19" t="inlineStr">
        <is>
          <t>Chưa thực hiện</t>
        </is>
      </c>
      <c r="G472" s="19" t="inlineStr"/>
    </row>
    <row r="473" ht="146" customHeight="1">
      <c r="A473" s="18" t="inlineStr">
        <is>
          <t>TC-RS-CALC-007 / m47-up</t>
        </is>
      </c>
      <c r="B473" s="18" t="inlineStr">
        <is>
          <t>Ngưỡng tỷ lệ điểm tối đa — Thiết lập ngưỡng（基準設定）
Tỷ lệ có xử lý phần lẻ: xuống / gần nhất / lên tại p1</t>
        </is>
      </c>
      <c r="C473" s="18" t="inlineStr">
        <is>
          <t>Chuẩn bị: Đang chuẩn bị
Kỳ vọng: Đã xác nhận
Dữ liệu (trích): M47 làm tròn lên
Thao tác (trích): Với (a) và (b): xét với Không xử lý（しない）, xuống p1, gần nhất p1, lên p1.
Xem chi tiết</t>
        </is>
      </c>
      <c r="D473" s="18" t="inlineStr">
        <is>
          <t>Kỳ vọng: Đã xác nhận
(a) Không xử lý `T=13.5` → Đỏ; xuống `T=13` → Không đỏ; gần nhất `T=14` → Đỏ; lên `T=14` → Đỏ.…
Xem chi tiết</t>
        </is>
      </c>
      <c r="E473" s="19" t="inlineStr"/>
      <c r="F473" s="19" t="inlineStr">
        <is>
          <t>Chưa thực hiện</t>
        </is>
      </c>
      <c r="G473" s="19" t="inlineStr"/>
    </row>
    <row r="474" ht="146" customHeight="1">
      <c r="A474" s="18" t="inlineStr">
        <is>
          <t>TC-RS-CALC-008 / none</t>
        </is>
      </c>
      <c r="B474" s="18" t="inlineStr">
        <is>
          <t>Ngưỡng tỷ lệ điểm tối đa — Thiết lập ngưỡng（基準設定）
Ví dụ đặc tả v2: M=75, N=30, S=22.2</t>
        </is>
      </c>
      <c r="C474" s="18" t="inlineStr">
        <is>
          <t>Chuẩn bị: Đang chuẩn bị
Kỳ vọng: Đã xác nhận
Dữ liệu (trích): Không xử lý phần lẻ
Thao tác (trích): Xét với Không xử lý, rồi xuống p1.
Xem chi tiết</t>
        </is>
      </c>
      <c r="D474" s="18" t="inlineStr">
        <is>
          <t>Không xử lý: `T=22.5` → Đỏ.
Xuống p1: `T=22` → Không đỏ.
Bảo toàn: Giữ điểm, cấu hình và đối tượng không đích theo expected; chỉ thay phần thủ tục yêu cầu, không tự đổi oracle hoặc mở rộng phạm vi.</t>
        </is>
      </c>
      <c r="E474" s="19" t="inlineStr"/>
      <c r="F474" s="19" t="inlineStr">
        <is>
          <t>Chưa thực hiện</t>
        </is>
      </c>
      <c r="G474" s="19" t="inlineStr"/>
    </row>
    <row r="475" ht="146" customHeight="1">
      <c r="A475" s="18" t="inlineStr">
        <is>
          <t>TC-RS-CALC-008 / down</t>
        </is>
      </c>
      <c r="B475" s="18" t="inlineStr">
        <is>
          <t>Ngưỡng tỷ lệ điểm tối đa — Thiết lập ngưỡng（基準設定）
Ví dụ đặc tả v2: M=75, N=30, S=22.2</t>
        </is>
      </c>
      <c r="C475" s="18" t="inlineStr">
        <is>
          <t>Chuẩn bị: Đang chuẩn bị
Kỳ vọng: Đã xác nhận
Dữ liệu (trích): Cắt xuống
Thao tác (trích): Xét với Không xử lý, rồi xuống p1.
Xem chi tiết</t>
        </is>
      </c>
      <c r="D475" s="18" t="inlineStr">
        <is>
          <t>Không xử lý: `T=22.5` → Đỏ.
Xuống p1: `T=22` → Không đỏ.
Bảo toàn: Giữ điểm, cấu hình và đối tượng không đích theo expected; chỉ thay phần thủ tục yêu cầu, không tự đổi oracle hoặc mở rộng phạm vi.</t>
        </is>
      </c>
      <c r="E475" s="19" t="inlineStr"/>
      <c r="F475" s="19" t="inlineStr">
        <is>
          <t>Chưa thực hiện</t>
        </is>
      </c>
      <c r="G475" s="19" t="inlineStr"/>
    </row>
    <row r="476" ht="180" customHeight="1">
      <c r="A476" s="18" t="inlineStr">
        <is>
          <t>TC-RS-CALC-009 / zero-lt</t>
        </is>
      </c>
      <c r="B476" s="18" t="inlineStr">
        <is>
          <t>Ngưỡng tỷ lệ điểm tối đa — Thiết lập ngưỡng（基準設定）
Tỷ lệ biên N=0 và N=100</t>
        </is>
      </c>
      <c r="C476" s="18" t="inlineStr">
        <is>
          <t>Chuẩn bị: Đang chuẩn bị
Kỳ vọng: Đã xác nhận
Dữ liệu (trích): N0 nhỏ hơn
Thao tác (trích): Xét từng cấu hình với `&lt;` và `≤`.
Xem chi tiết</t>
        </is>
      </c>
      <c r="D476" s="18" t="inlineStr">
        <is>
          <t>N=0 (`T=0`): S=0 `&lt;` Không đỏ; `≤` Đỏ.
N=100 (`T=100`): S=99 `&lt;` Đỏ; S=100 `&lt;` Không đỏ; S=100 `≤` Đỏ.
Bảo toàn: Giữ điểm, cấu hình và đối tượng không đích theo expected; chỉ thay phần thủ tục yêu cầu, không tự đổi oracle hoặc mở rộng phạm vi.</t>
        </is>
      </c>
      <c r="E476" s="19" t="inlineStr"/>
      <c r="F476" s="19" t="inlineStr">
        <is>
          <t>Chưa thực hiện</t>
        </is>
      </c>
      <c r="G476" s="19" t="inlineStr"/>
    </row>
    <row r="477" ht="180" customHeight="1">
      <c r="A477" s="18" t="inlineStr">
        <is>
          <t>TC-RS-CALC-009 / zero-le</t>
        </is>
      </c>
      <c r="B477" s="18" t="inlineStr">
        <is>
          <t>Ngưỡng tỷ lệ điểm tối đa — Thiết lập ngưỡng（基準設定）
Tỷ lệ biên N=0 và N=100</t>
        </is>
      </c>
      <c r="C477" s="18" t="inlineStr">
        <is>
          <t>Chuẩn bị: Đang chuẩn bị
Kỳ vọng: Đã xác nhận
Dữ liệu (trích): N0 nhỏ hơn hoặc bằng
Thao tác (trích): Xét từng cấu hình với `&lt;` và `≤`.
Xem chi tiết</t>
        </is>
      </c>
      <c r="D477" s="18" t="inlineStr">
        <is>
          <t>N=0 (`T=0`): S=0 `&lt;` Không đỏ; `≤` Đỏ.
N=100 (`T=100`): S=99 `&lt;` Đỏ; S=100 `&lt;` Không đỏ; S=100 `≤` Đỏ.
Bảo toàn: Giữ điểm, cấu hình và đối tượng không đích theo expected; chỉ thay phần thủ tục yêu cầu, không tự đổi oracle hoặc mở rộng phạm vi.</t>
        </is>
      </c>
      <c r="E477" s="19" t="inlineStr"/>
      <c r="F477" s="19" t="inlineStr">
        <is>
          <t>Chưa thực hiện</t>
        </is>
      </c>
      <c r="G477" s="19" t="inlineStr"/>
    </row>
    <row r="478" ht="180" customHeight="1">
      <c r="A478" s="18" t="inlineStr">
        <is>
          <t>TC-RS-CALC-009 / hundred-lt</t>
        </is>
      </c>
      <c r="B478" s="18" t="inlineStr">
        <is>
          <t>Ngưỡng tỷ lệ điểm tối đa — Thiết lập ngưỡng（基準設定）
Tỷ lệ biên N=0 và N=100</t>
        </is>
      </c>
      <c r="C478" s="18" t="inlineStr">
        <is>
          <t>Chuẩn bị: Đang chuẩn bị
Kỳ vọng: Đã xác nhận
Dữ liệu (trích): N100 nhỏ hơn
Thao tác (trích): Xét từng cấu hình với `&lt;` và `≤`.
Xem chi tiết</t>
        </is>
      </c>
      <c r="D478" s="18" t="inlineStr">
        <is>
          <t>N=0 (`T=0`): S=0 `&lt;` Không đỏ; `≤` Đỏ.
N=100 (`T=100`): S=99 `&lt;` Đỏ; S=100 `&lt;` Không đỏ; S=100 `≤` Đỏ.
Bảo toàn: Giữ điểm, cấu hình và đối tượng không đích theo expected; chỉ thay phần thủ tục yêu cầu, không tự đổi oracle hoặc mở rộng phạm vi.</t>
        </is>
      </c>
      <c r="E478" s="19" t="inlineStr"/>
      <c r="F478" s="19" t="inlineStr">
        <is>
          <t>Chưa thực hiện</t>
        </is>
      </c>
      <c r="G478" s="19" t="inlineStr"/>
    </row>
    <row r="479" ht="180" customHeight="1">
      <c r="A479" s="18" t="inlineStr">
        <is>
          <t>TC-RS-CALC-009 / hundred-le</t>
        </is>
      </c>
      <c r="B479" s="18" t="inlineStr">
        <is>
          <t>Ngưỡng tỷ lệ điểm tối đa — Thiết lập ngưỡng（基準設定）
Tỷ lệ biên N=0 và N=100</t>
        </is>
      </c>
      <c r="C479" s="18" t="inlineStr">
        <is>
          <t>Chuẩn bị: Đang chuẩn bị
Kỳ vọng: Đã xác nhận
Dữ liệu (trích): N100 nhỏ hơn hoặc bằng
Thao tác (trích): Xét từng cấu hình với `&lt;` và `≤`.
Xem chi tiết</t>
        </is>
      </c>
      <c r="D479" s="18" t="inlineStr">
        <is>
          <t>N=0 (`T=0`): S=0 `&lt;` Không đỏ; `≤` Đỏ.
N=100 (`T=100`): S=99 `&lt;` Đỏ; S=100 `&lt;` Không đỏ; S=100 `≤` Đỏ.
Bảo toàn: Giữ điểm, cấu hình và đối tượng không đích theo expected; chỉ thay phần thủ tục yêu cầu, không tự đổi oracle hoặc mở rộng phạm vi.</t>
        </is>
      </c>
      <c r="E479" s="19" t="inlineStr"/>
      <c r="F479" s="19" t="inlineStr">
        <is>
          <t>Chưa thực hiện</t>
        </is>
      </c>
      <c r="G479" s="19" t="inlineStr"/>
    </row>
    <row r="480" ht="163" customHeight="1">
      <c r="A480" s="18" t="inlineStr">
        <is>
          <t>TC-RS-CALC-010 / ratio-zero</t>
        </is>
      </c>
      <c r="B480" s="18" t="inlineStr">
        <is>
          <t>Thiết lập ngưỡng（基準設定）
Tỷ lệ với M = 0, M &lt; 0 hoặc không xác định → Chưa xét được; cố định vẫn xét
Xem chi tiết</t>
        </is>
      </c>
      <c r="C480" s="18" t="inlineStr">
        <is>
          <t>Chuẩn bị: Đang chuẩn bị
Kỳ vọng: Đã xác nhận
Dữ liệu (trích): Tỷ lệ M0
Thao tác (trích): 1. Chỉ có quy tắc tỷ lệ 30% (30%): chạy lại với M=0, M=−10, M không xác định.…
Xem chi tiết</t>
        </is>
      </c>
      <c r="D480" s="18" t="inlineStr">
        <is>
          <t>1. Cả ba: Chưa xét được; ngừng kết quả cũ; không dùng M=100.
2. `T=30`, `0&lt;30` → Đỏ (không bỏ xét cố định vì M không dương).
Bảo toàn: Giữ điểm, cấu hình và đối tượng không đích theo expected; chỉ thay phần thủ tục yêu cầu, không tự đổi oracle hoặc mở rộng phạm vi.</t>
        </is>
      </c>
      <c r="E480" s="19" t="inlineStr"/>
      <c r="F480" s="19" t="inlineStr">
        <is>
          <t>Chưa thực hiện</t>
        </is>
      </c>
      <c r="G480" s="19" t="inlineStr"/>
    </row>
    <row r="481" ht="163" customHeight="1">
      <c r="A481" s="18" t="inlineStr">
        <is>
          <t>TC-RS-CALC-010 / ratio-negative</t>
        </is>
      </c>
      <c r="B481" s="18" t="inlineStr">
        <is>
          <t>Thiết lập ngưỡng（基準設定）
Tỷ lệ với M = 0, M &lt; 0 hoặc không xác định → Chưa xét được; cố định vẫn xét
Xem chi tiết</t>
        </is>
      </c>
      <c r="C481" s="18" t="inlineStr">
        <is>
          <t>Chuẩn bị: Đang chuẩn bị
Kỳ vọng: Đã xác nhận
Dữ liệu (trích): Tỷ lệ M âm
Thao tác (trích): 1. Chỉ có quy tắc tỷ lệ 30% (30%): chạy lại với M=0, M=−10, M không xác định.…
Xem chi tiết</t>
        </is>
      </c>
      <c r="D481" s="18" t="inlineStr">
        <is>
          <t>1. Cả ba: Chưa xét được; ngừng kết quả cũ; không dùng M=100.
2. `T=30`, `0&lt;30` → Đỏ (không bỏ xét cố định vì M không dương).
Bảo toàn: Giữ điểm, cấu hình và đối tượng không đích theo expected; chỉ thay phần thủ tục yêu cầu, không tự đổi oracle hoặc mở rộng phạm vi.</t>
        </is>
      </c>
      <c r="E481" s="19" t="inlineStr"/>
      <c r="F481" s="19" t="inlineStr">
        <is>
          <t>Chưa thực hiện</t>
        </is>
      </c>
      <c r="G481" s="19" t="inlineStr"/>
    </row>
    <row r="482" ht="163" customHeight="1">
      <c r="A482" s="18" t="inlineStr">
        <is>
          <t>TC-RS-CALC-010 / ratio-missing</t>
        </is>
      </c>
      <c r="B482" s="18" t="inlineStr">
        <is>
          <t>Thiết lập ngưỡng（基準設定）
Tỷ lệ với M = 0, M &lt; 0 hoặc không xác định → Chưa xét được; cố định vẫn xét
Xem chi tiết</t>
        </is>
      </c>
      <c r="C482" s="18" t="inlineStr">
        <is>
          <t>Chuẩn bị: Đang chuẩn bị
Kỳ vọng: Đã xác nhận
Dữ liệu (trích): Tỷ lệ M không xác định
Thao tác (trích): 1. Chỉ có quy tắc tỷ lệ 30% (30%): chạy lại với M=0, M=−10, M không xác định.…
Xem chi tiết</t>
        </is>
      </c>
      <c r="D482" s="18" t="inlineStr">
        <is>
          <t>1. Cả ba: Chưa xét được; ngừng kết quả cũ; không dùng M=100.
2. `T=30`, `0&lt;30` → Đỏ (không bỏ xét cố định vì M không dương).
Bảo toàn: Giữ điểm, cấu hình và đối tượng không đích theo expected; chỉ thay phần thủ tục yêu cầu, không tự đổi oracle hoặc mở rộng phạm vi.</t>
        </is>
      </c>
      <c r="E482" s="19" t="inlineStr"/>
      <c r="F482" s="19" t="inlineStr">
        <is>
          <t>Chưa thực hiện</t>
        </is>
      </c>
      <c r="G482" s="19" t="inlineStr"/>
    </row>
    <row r="483" ht="163" customHeight="1">
      <c r="A483" s="18" t="inlineStr">
        <is>
          <t>TC-RS-CALC-010 / fixed-zero</t>
        </is>
      </c>
      <c r="B483" s="18" t="inlineStr">
        <is>
          <t>Thiết lập ngưỡng（基準設定）
Tỷ lệ với M = 0, M &lt; 0 hoặc không xác định → Chưa xét được; cố định vẫn xét
Xem chi tiết</t>
        </is>
      </c>
      <c r="C483" s="18" t="inlineStr">
        <is>
          <t>Chuẩn bị: Đang chuẩn bị
Kỳ vọng: Đã xác nhận
Dữ liệu (trích): Cố định với M0
Thao tác (trích): 1. Chỉ có quy tắc tỷ lệ 30% (30%): chạy lại với M=0, M=−10, M không xác định.…
Xem chi tiết</t>
        </is>
      </c>
      <c r="D483" s="18" t="inlineStr">
        <is>
          <t>1. Cả ba: Chưa xét được; ngừng kết quả cũ; không dùng M=100.
2. `T=30`, `0&lt;30` → Đỏ (không bỏ xét cố định vì M không dương).
Bảo toàn: Giữ điểm, cấu hình và đối tượng không đích theo expected; chỉ thay phần thủ tục yêu cầu, không tự đổi oracle hoặc mở rộng phạm vi.</t>
        </is>
      </c>
      <c r="E483" s="19" t="inlineStr"/>
      <c r="F483" s="19" t="inlineStr">
        <is>
          <t>Chưa thực hiện</t>
        </is>
      </c>
      <c r="G483" s="19" t="inlineStr"/>
    </row>
    <row r="484" ht="129" customHeight="1">
      <c r="A484" s="18" t="inlineStr">
        <is>
          <t>TC-RS-CALC-011 / resolution</t>
        </is>
      </c>
      <c r="B484" s="18" t="inlineStr">
        <is>
          <t>Ngưỡng tỷ lệ điểm tối đa — Thiết lập ngưỡng（基準設定）
Phân giải M: mặc định → đơn vị → lựa chọn lớp</t>
        </is>
      </c>
      <c r="C484" s="18" t="inlineStr">
        <is>
          <t>Chuẩn bị: Đang chuẩn bị
Kỳ vọng: Đã xác nhận
Dữ liệu (trích): Lượt đầu theo các M hợp lệ
Thao tác (trích): 1. Đăng ký các điểm, xem kết quả.…
Xem chi tiết</t>
        </is>
      </c>
      <c r="D484" s="18" t="inlineStr">
        <is>
          <t>Kỳ vọng: Đã xác nhận
1. S01 U1: `M=50`, `T=15` → Đỏ. S06 U1: `M=40`, `T=12` → Không đỏ. S06 U2: `M=100`, `T=30` → Đỏ.…
Xem chi tiết</t>
        </is>
      </c>
      <c r="E484" s="19" t="inlineStr"/>
      <c r="F484" s="19" t="inlineStr">
        <is>
          <t>Chưa thực hiện</t>
        </is>
      </c>
      <c r="G484" s="19" t="inlineStr"/>
    </row>
    <row r="485" ht="129" customHeight="1">
      <c r="A485" s="18" t="inlineStr">
        <is>
          <t>TC-RS-CALC-011 / unassigned</t>
        </is>
      </c>
      <c r="B485" s="18" t="inlineStr">
        <is>
          <t>Ngưỡng tỷ lệ điểm tối đa — Thiết lập ngưỡng（基準設定）
Phân giải M: mặc định → đơn vị → lựa chọn lớp</t>
        </is>
      </c>
      <c r="C485" s="18" t="inlineStr">
        <is>
          <t>Chuẩn bị: Đang chuẩn bị
Kỳ vọng: Đã xác nhận
Dữ liệu (trích): Không chọn định nghĩa
Thao tác (trích): 1. Đăng ký các điểm, xem kết quả.…
Xem chi tiết</t>
        </is>
      </c>
      <c r="D485" s="18" t="inlineStr">
        <is>
          <t>Kỳ vọng: Đã xác nhận
1. S01 U1: `M=50`, `T=15` → Đỏ. S06 U1: `M=40`, `T=12` → Không đỏ. S06 U2: `M=100`, `T=30` → Đỏ.…
Xem chi tiết</t>
        </is>
      </c>
      <c r="E485" s="19" t="inlineStr"/>
      <c r="F485" s="19" t="inlineStr">
        <is>
          <t>Chưa thực hiện</t>
        </is>
      </c>
      <c r="G485" s="19" t="inlineStr"/>
    </row>
    <row r="486" ht="146" customHeight="1">
      <c r="A486" s="18" t="inlineStr">
        <is>
          <t>TC-RS-CALC-011 / actual80</t>
        </is>
      </c>
      <c r="B486" s="18" t="inlineStr">
        <is>
          <t>Ngưỡng tỷ lệ điểm tối đa — Thiết lập ngưỡng（基準設定）
Phân giải M: mặc định → đơn vị → lựa chọn lớp</t>
        </is>
      </c>
      <c r="C486" s="18" t="inlineStr">
        <is>
          <t>Chuẩn bị: Đang chuẩn bị
Kỳ vọng: Đã xác nhận
Dữ liệu (trích): Bước 3, điểm học sinh cao nhất thực tế là 80 nhưng M vẫn 100;…
Thao tác (trích): 1. Đăng ký các điểm, xem kết quả.…
Xem chi tiết</t>
        </is>
      </c>
      <c r="D486" s="18" t="inlineStr">
        <is>
          <t>Kỳ vọng: Đã xác nhận
1. S01 U1: `M=50`, `T=15` → Đỏ. S06 U1: `M=40`, `T=12` → Không đỏ. S06 U2: `M=100`, `T=30` → Đỏ.…
Xem chi tiết</t>
        </is>
      </c>
      <c r="E486" s="19" t="inlineStr"/>
      <c r="F486" s="19" t="inlineStr">
        <is>
          <t>Chưa thực hiện</t>
        </is>
      </c>
      <c r="G486" s="19" t="inlineStr"/>
    </row>
    <row r="487" ht="146" customHeight="1">
      <c r="A487" s="18" t="inlineStr">
        <is>
          <t>TC-RS-CALC-012 / Base</t>
        </is>
      </c>
      <c r="B487" s="18" t="inlineStr">
        <is>
          <t>Ngưỡng tỷ lệ điểm tối đa — Thiết lập ngưỡng（基準設定）
Tỷ lệ dùng M hiện hành, không dùng M của bản tổng hợp đã chốt</t>
        </is>
      </c>
      <c r="C487" s="18" t="inlineStr">
        <is>
          <t>Chuẩn bị: Đang chuẩn bị
Kỳ vọng: Đã xác nhận
Dữ liệu (trích): Toàn bộ thủ tục theo đúng thứ tự; các đối chứng cùng fixture…
Thao tác (trích): Đăng ký S=20, xem kết quả.
Xem chi tiết</t>
        </is>
      </c>
      <c r="D487" s="18" t="inlineStr">
        <is>
          <t>`T=50×30/100=15` → `20&lt;15` sai → Không đỏ. (Nếu dùng M=100 của bản chốt: `T=30` → Đỏ — sai.)
Bảo toàn: Giữ điểm, cấu hình và đối tượng không đích theo expected; chỉ thay phần thủ tục yêu cầu, không tự đổi oracle hoặc mở rộng phạm vi.</t>
        </is>
      </c>
      <c r="E487" s="19" t="inlineStr"/>
      <c r="F487" s="19" t="inlineStr">
        <is>
          <t>Chưa thực hiện</t>
        </is>
      </c>
      <c r="G487" s="19" t="inlineStr"/>
    </row>
    <row r="488" ht="146" customHeight="1">
      <c r="A488" s="18" t="inlineStr">
        <is>
          <t>TC-RS-UI-014 / Base</t>
        </is>
      </c>
      <c r="B488" s="18" t="inlineStr">
        <is>
          <t>Ngưỡng tỷ lệ điểm tối đa — Thiết lập ngưỡng（基準設定）
Màn Tỷ lệ điểm tối đa（得点率）: mô tả M và xử lý phần lẻ</t>
        </is>
      </c>
      <c r="C488" s="18" t="inlineStr">
        <is>
          <t>Chuẩn bị: Đang chuẩn bị
Kỳ vọng: Đề xuất
Dữ liệu (trích): Toàn bộ thủ tục theo đúng thứ tự; các đối chứng cùng fixture…
Thao tác (trích): 1. Xem màn.…
Xem chi tiết</t>
        </is>
      </c>
      <c r="D488" s="18" t="inlineStr">
        <is>
          <t>Kỳ vọng: Đề xuất
Không có khối nguồn trung bình (đặc tả v2 mục 5.6 “Khi nào không cần nguồn?”); Xử lý phần lẻ có Không（しない）/Có（する）, mặc định Không; khi Có thì hiện ô vị trí chữ số và phương thức.…
Xem chi tiết</t>
        </is>
      </c>
      <c r="E488" s="19" t="inlineStr"/>
      <c r="F488" s="19" t="inlineStr">
        <is>
          <t>Chưa thực hiện</t>
        </is>
      </c>
      <c r="G488" s="19" t="inlineStr"/>
    </row>
    <row r="489" ht="180" customHeight="1">
      <c r="A489" s="18" t="inlineStr">
        <is>
          <t>TC-RS-DATA-002 / Base</t>
        </is>
      </c>
      <c r="B489" s="18" t="inlineStr">
        <is>
          <t>Dữ liệu và dữ liệu đỏ cũ — Bảo toàn dữ liệu và cấu hình
Kết quả lưu theo định danh ô; mỗi ô chỉ một kết quả hiện hành</t>
        </is>
      </c>
      <c r="C489" s="18" t="inlineStr">
        <is>
          <t>Chuẩn bị: Đang chuẩn bị
Kỳ vọng: Đã xác nhận
Dữ liệu (trích): Toàn bộ thủ tục theo đúng thứ tự; các đối chứng cùng fixture…
Thao tác (trích): 1. SELECT `red_score_results` theo `school_id`, `year`, `evaluate_frame_item_id`, `group_id`, `student_id`,…
Xem chi tiết</t>
        </is>
      </c>
      <c r="D489" s="18" t="inlineStr">
        <is>
          <t>Kỳ vọng: Đã xác nhận
1–3. Mỗi ô (trường, năm, mục trên khung đánh giá — gồm kỳ/thời điểm, lớp, học sinh, đơn vị) có đúng một dòng hiện hành; U1/U2 của S06 là hai dòng; ô điểm thường có `tangen_id=0`.…
Xem chi tiết</t>
        </is>
      </c>
      <c r="E489" s="19" t="inlineStr"/>
      <c r="F489" s="19" t="inlineStr">
        <is>
          <t>Chưa thực hiện</t>
        </is>
      </c>
      <c r="G489" s="19" t="inlineStr"/>
    </row>
    <row r="490" ht="180" customHeight="1">
      <c r="A490" s="18" t="inlineStr">
        <is>
          <t>TC-RS-DATA-003 / Base</t>
        </is>
      </c>
      <c r="B490" s="18" t="inlineStr">
        <is>
          <t>Dữ liệu và dữ liệu đỏ cũ — Bảo toàn dữ liệu và cấu hình
Sáu trạng thái phân biệt được khi lưu</t>
        </is>
      </c>
      <c r="C490" s="18" t="inlineStr">
        <is>
          <t>Chuẩn bị: Đang chuẩn bị
Kỳ vọng: Đã xác nhận
Dữ liệu (trích): Toàn bộ thủ tục theo đúng thứ tự; các đối chứng cùng fixture…
Thao tác (trích): 1. SELECT `judgment_status`, `is_red`, `red_score_setting_id`, `reason_code` của các ô.…
Xem chi tiết</t>
        </is>
      </c>
      <c r="D490" s="18" t="inlineStr">
        <is>
          <t>Kỳ vọng: Đã xác nhận
1. Sáu trạng thái phân biệt được, không gộp Chưa xét được với Không áp dụng hay Không đỏ. Việc dùng cột, mã số, `reason_code` hoặc `red_score_setting_id` cụ thể là phần thiết kế…
Xem chi tiết</t>
        </is>
      </c>
      <c r="E490" s="19" t="inlineStr"/>
      <c r="F490" s="19" t="inlineStr">
        <is>
          <t>Chưa thực hiện</t>
        </is>
      </c>
      <c r="G490" s="19" t="inlineStr"/>
    </row>
    <row r="491" ht="146" customHeight="1">
      <c r="A491" s="18" t="inlineStr">
        <is>
          <t>TC-RS-DATA-005 / Base</t>
        </is>
      </c>
      <c r="B491" s="18" t="inlineStr">
        <is>
          <t>Dữ liệu và dữ liệu đỏ cũ — Bảo toàn dữ liệu và cấu hình
Xét điểm đỏ không ghi đè điểm học sinh</t>
        </is>
      </c>
      <c r="C491" s="18" t="inlineStr">
        <is>
          <t>Chuẩn bị: Đang chuẩn bị
Kỳ vọng: Đã xác nhận
Dữ liệu (trích): Toàn bộ thủ tục theo đúng thứ tự; các đối chứng cùng fixture…
Thao tác (trích): 1. SELECT điểm trước.…
Xem chi tiết</t>
        </is>
      </c>
      <c r="D491" s="18" t="inlineStr">
        <is>
          <t>Mọi điểm giữ nguyên (kể cả S09=29.5).
Bảo toàn: Giữ điểm, cấu hình và đối tượng không đích theo expected; chỉ thay phần thủ tục yêu cầu, không tự đổi oracle hoặc mở rộng phạm vi.</t>
        </is>
      </c>
      <c r="E491" s="19" t="inlineStr"/>
      <c r="F491" s="19" t="inlineStr">
        <is>
          <t>Chưa thực hiện</t>
        </is>
      </c>
      <c r="G491" s="19" t="inlineStr"/>
    </row>
    <row r="492" ht="146" customHeight="1">
      <c r="A492" s="18" t="inlineStr">
        <is>
          <t>TC-RS-DATA-007 / extract</t>
        </is>
      </c>
      <c r="B492" s="18" t="inlineStr">
        <is>
          <t>Bảo toàn dữ liệu và cấu hình
Cấu hình trình bày ở từng đầu ra lưu riêng, không làm đổi quy tắc/kết quả
Xem chi tiết</t>
        </is>
      </c>
      <c r="C492" s="18" t="inlineStr">
        <is>
          <t>Chuẩn bị: Đang chuẩn bị
Kỳ vọng: Đã xác nhận
Dữ liệu (trích): Cấu hình trích xuất
Thao tác (trích): 1. Đổi từng cấu hình đầu ra, lưu.…
Xem chi tiết</t>
        </is>
      </c>
      <c r="D492" s="18" t="inlineStr">
        <is>
          <t>Quy tắc và kết quả không đổi; cấu hình mỗi đầu ra độc lập (đổi công khai không đổi trích xuất).
Bảo toàn: Giữ điểm, cấu hình và đối tượng không đích theo expected; chỉ thay phần thủ tục yêu cầu, không tự đổi oracle hoặc mở rộng phạm vi.</t>
        </is>
      </c>
      <c r="E492" s="19" t="inlineStr"/>
      <c r="F492" s="19" t="inlineStr">
        <is>
          <t>Chưa thực hiện</t>
        </is>
      </c>
      <c r="G492" s="19" t="inlineStr"/>
    </row>
    <row r="493" ht="146" customHeight="1">
      <c r="A493" s="18" t="inlineStr">
        <is>
          <t>TC-RS-DATA-007 / publish</t>
        </is>
      </c>
      <c r="B493" s="18" t="inlineStr">
        <is>
          <t>Bảo toàn dữ liệu và cấu hình
Cấu hình trình bày ở từng đầu ra lưu riêng, không làm đổi quy tắc/kết quả
Xem chi tiết</t>
        </is>
      </c>
      <c r="C493" s="18" t="inlineStr">
        <is>
          <t>Chuẩn bị: Đang chuẩn bị
Kỳ vọng: Đã xác nhận
Dữ liệu (trích): Cấu hình công khai
Thao tác (trích): 1. Đổi từng cấu hình đầu ra, lưu.…
Xem chi tiết</t>
        </is>
      </c>
      <c r="D493" s="18" t="inlineStr">
        <is>
          <t>Quy tắc và kết quả không đổi; cấu hình mỗi đầu ra độc lập (đổi công khai không đổi trích xuất).
Bảo toàn: Giữ điểm, cấu hình và đối tượng không đích theo expected; chỉ thay phần thủ tục yêu cầu, không tự đổi oracle hoặc mở rộng phạm vi.</t>
        </is>
      </c>
      <c r="E493" s="19" t="inlineStr"/>
      <c r="F493" s="19" t="inlineStr">
        <is>
          <t>Chưa thực hiện</t>
        </is>
      </c>
      <c r="G493" s="19" t="inlineStr"/>
    </row>
    <row r="494" ht="146" customHeight="1">
      <c r="A494" s="18" t="inlineStr">
        <is>
          <t>TC-RS-DATA-007 / report</t>
        </is>
      </c>
      <c r="B494" s="18" t="inlineStr">
        <is>
          <t>Bảo toàn dữ liệu và cấu hình
Cấu hình trình bày ở từng đầu ra lưu riêng, không làm đổi quy tắc/kết quả
Xem chi tiết</t>
        </is>
      </c>
      <c r="C494" s="18" t="inlineStr">
        <is>
          <t>Chuẩn bị: Đang chuẩn bị
Kỳ vọng: Đã xác nhận
Dữ liệu (trích): Cấu hình phiếu điểm
Thao tác (trích): 1. Đổi từng cấu hình đầu ra, lưu.…
Xem chi tiết</t>
        </is>
      </c>
      <c r="D494" s="18" t="inlineStr">
        <is>
          <t>Quy tắc và kết quả không đổi; cấu hình mỗi đầu ra độc lập (đổi công khai không đổi trích xuất).
Bảo toàn: Giữ điểm, cấu hình và đối tượng không đích theo expected; chỉ thay phần thủ tục yêu cầu, không tự đổi oracle hoặc mở rộng phạm vi.</t>
        </is>
      </c>
      <c r="E494" s="19" t="inlineStr"/>
      <c r="F494" s="19" t="inlineStr">
        <is>
          <t>Chưa thực hiện</t>
        </is>
      </c>
      <c r="G494" s="19" t="inlineStr"/>
    </row>
    <row r="495" ht="180" customHeight="1">
      <c r="A495" s="18" t="inlineStr">
        <is>
          <t>TC-RS-DATA-008 / Base</t>
        </is>
      </c>
      <c r="B495" s="18" t="inlineStr">
        <is>
          <t>Dữ liệu và dữ liệu đỏ cũ — Bảo toàn dữ liệu và cấu hình
Lưu thông tin giải thích kết quả</t>
        </is>
      </c>
      <c r="C495" s="18" t="inlineStr">
        <is>
          <t>Chuẩn bị: Đang chuẩn bị
Kỳ vọng: Đề xuất
Dữ liệu (trích): Toàn bộ thủ tục theo đúng thứ tự; các đối chứng cùng fixture…
Thao tác (trích): 1. SELECT `red_score_setting_id`, `reason_code`, `judgment_context`, `judged_at` của ô Đỏ (S01), ô Chưa xét…
Xem chi tiết</t>
        </is>
      </c>
      <c r="D495" s="18" t="inlineStr">
        <is>
          <t>Kỳ vọng: Đề xuất
1. Ô Đỏ: có quy tắc được chọn; `judgment_context` có `score`="29", `threshold` dạng tử/mẫu (30/1), `compare_type`=1, `sources` rỗng với quy tắc cố định. Ô Chưa xét được: có…
Xem chi tiết</t>
        </is>
      </c>
      <c r="E495" s="19" t="inlineStr"/>
      <c r="F495" s="19" t="inlineStr">
        <is>
          <t>Chưa thực hiện</t>
        </is>
      </c>
      <c r="G495" s="19" t="inlineStr"/>
    </row>
    <row r="496" ht="180" customHeight="1">
      <c r="A496" s="18" t="inlineStr">
        <is>
          <t>TC-RS-DATA-011 / Base</t>
        </is>
      </c>
      <c r="B496" s="18" t="inlineStr">
        <is>
          <t>Dữ liệu và dữ liệu đỏ cũ — Bảo toàn dữ liệu và cấu hình
Bảng/cột mới theo quy tắc schema của BLEND</t>
        </is>
      </c>
      <c r="C496" s="18" t="inlineStr">
        <is>
          <t>Chuẩn bị: Đang chuẩn bị
Kỳ vọng: Đã xác nhận
Dữ liệu (trích): Toàn bộ thủ tục theo đúng thứ tự; các đối chứng cùng fixture…
Thao tác (trích): 1. `SHOW CREATE TABLE` và `SHOW FULL COLUMNS` cho `red_score_settings`, `red_score_results`.…
Xem chi tiết</t>
        </is>
      </c>
      <c r="D496" s="18" t="inlineStr">
        <is>
          <t>Kỳ vọng: Đã xác nhận
1. Có phạm vi trường/năm, cột audit và comment theo quy tắc schema hiện hành. Đối chiếu thêm với thiết kế (PROPOSED): InnoDB, `utf8mb4`/`utf8mb4_general_ci`, không khai báo…
Xem chi tiết</t>
        </is>
      </c>
      <c r="E496" s="19" t="inlineStr"/>
      <c r="F496" s="19" t="inlineStr">
        <is>
          <t>Chưa thực hiện</t>
        </is>
      </c>
      <c r="G496" s="19" t="inlineStr"/>
    </row>
    <row r="497" ht="163" customHeight="1">
      <c r="A497" s="18" t="inlineStr">
        <is>
          <t>TC-RS-DATA-012 / read-copy</t>
        </is>
      </c>
      <c r="B497" s="18" t="inlineStr">
        <is>
          <t>Bảo toàn dữ liệu và cấu hình
Lưu, đọc lại và sao chép hiệu ứng đỏ theo dòng mục của cấu hình công khai
Xem chi tiết</t>
        </is>
      </c>
      <c r="C497" s="18" t="inlineStr">
        <is>
          <t>Chuẩn bị: Đang chuẩn bị
Kỳ vọng: Đề xuất
Dữ liệu (trích): Bước 1–3 đọc cấu hình cũ và sao chép
Thao tác (trích): 1. SELECT `grade_publish_conf_id`, `year`, `evaluate_item_id`, `tangen_flg`, `red_score_display_type` của X,…
Xem chi tiết</t>
        </is>
      </c>
      <c r="D497" s="18" t="inlineStr">
        <is>
          <t>Kỳ vọng: Đề xuất
1. X: 1 (ngoặc) ở dòng mục số nguyên (M=100); Y: 2 (`*` trước); dòng thường/đơn vị tách theo `tangen_flg`. Không có cột hiệu ứng trong bảng kết quả của học sinh.…
Xem chi tiết</t>
        </is>
      </c>
      <c r="E497" s="19" t="inlineStr"/>
      <c r="F497" s="19" t="inlineStr">
        <is>
          <t>Chưa thực hiện</t>
        </is>
      </c>
      <c r="G497" s="19" t="inlineStr"/>
    </row>
    <row r="498" ht="163" customHeight="1">
      <c r="A498" s="18" t="inlineStr">
        <is>
          <t>TC-RS-DATA-012 / invalid-enum</t>
        </is>
      </c>
      <c r="B498" s="18" t="inlineStr">
        <is>
          <t>Bảo toàn dữ liệu và cấu hình
Lưu, đọc lại và sao chép hiệu ứng đỏ theo dòng mục của cấu hình công khai
Xem chi tiết</t>
        </is>
      </c>
      <c r="C498" s="18" t="inlineStr">
        <is>
          <t>Chuẩn bị: Đang chuẩn bị
Kỳ vọng: Đề xuất
Dữ liệu (trích): Bước 4 giá trị 4
Thao tác (trích): 1. SELECT `grade_publish_conf_id`, `year`, `evaluate_item_id`, `tangen_flg`, `red_score_display_type` của X,…
Xem chi tiết</t>
        </is>
      </c>
      <c r="D498" s="18" t="inlineStr">
        <is>
          <t>Kỳ vọng: Đề xuất
1. X: 1 (ngoặc) ở dòng mục số nguyên (M=100); Y: 2 (`*` trước); dòng thường/đơn vị tách theo `tangen_flg`. Không có cột hiệu ứng trong bảng kết quả của học sinh.…
Xem chi tiết</t>
        </is>
      </c>
      <c r="E498" s="19" t="inlineStr"/>
      <c r="F498" s="19" t="inlineStr">
        <is>
          <t>Chưa thực hiện</t>
        </is>
      </c>
      <c r="G498" s="19" t="inlineStr"/>
    </row>
    <row r="499" ht="163" customHeight="1">
      <c r="A499" s="18" t="inlineStr">
        <is>
          <t>TC-RS-DATA-012 / foreign-school</t>
        </is>
      </c>
      <c r="B499" s="18" t="inlineStr">
        <is>
          <t>Bảo toàn dữ liệu và cấu hình
Lưu, đọc lại và sao chép hiệu ứng đỏ theo dòng mục của cấu hình công khai
Xem chi tiết</t>
        </is>
      </c>
      <c r="C499" s="18" t="inlineStr">
        <is>
          <t>Chuẩn bị: Đang chuẩn bị
Kỳ vọng: Đề xuất
Dữ liệu (trích): Bước 4 ID trường B
Thao tác (trích): 1. SELECT `grade_publish_conf_id`, `year`, `evaluate_item_id`, `tangen_flg`, `red_score_display_type` của X,…
Xem chi tiết</t>
        </is>
      </c>
      <c r="D499" s="18" t="inlineStr">
        <is>
          <t>Kỳ vọng: Đề xuất
1. X: 1 (ngoặc) ở dòng mục số nguyên (M=100); Y: 2 (`*` trước); dòng thường/đơn vị tách theo `tangen_flg`. Không có cột hiệu ứng trong bảng kết quả của học sinh.…
Xem chi tiết</t>
        </is>
      </c>
      <c r="E499" s="19" t="inlineStr"/>
      <c r="F499" s="19" t="inlineStr">
        <is>
          <t>Chưa thực hiện</t>
        </is>
      </c>
      <c r="G499" s="19" t="inlineStr"/>
    </row>
    <row r="500" ht="163" customHeight="1">
      <c r="A500" s="18" t="inlineStr">
        <is>
          <t>TC-RS-DATA-013 / revision</t>
        </is>
      </c>
      <c r="B500" s="18" t="inlineStr">
        <is>
          <t>Bảo toàn dữ liệu và cấu hình
Phiên bản quy tắc, dòng điều khiển và thế hệ ô được cập nhật đúng sự kiện
Xem chi tiết</t>
        </is>
      </c>
      <c r="C500" s="18" t="inlineStr">
        <is>
          <t>Chuẩn bị: Đang chuẩn bị
Kỳ vọng: Đề xuất
Dữ liệu (trích): Bước 1–2 fixture A, SELECT sau từng sự kiện
Thao tác (trích): 1. SELECT `red_score_revision` của mục mục số nguyên (M=100) trên `grade_evaluate_frame_items`; SELECT…
Xem chi tiết</t>
        </is>
      </c>
      <c r="D500" s="18" t="inlineStr">
        <is>
          <t>Kỳ vọng: Đề xuất
1. Có giá trị ban đầu; `judged_version` của S01 bằng phiên bản của lần ghi hoàn tất.…
Xem chi tiết</t>
        </is>
      </c>
      <c r="E500" s="19" t="inlineStr"/>
      <c r="F500" s="19" t="inlineStr">
        <is>
          <t>Chưa thực hiện</t>
        </is>
      </c>
      <c r="G500" s="19" t="inlineStr"/>
    </row>
    <row r="501" ht="163" customHeight="1">
      <c r="A501" s="18" t="inlineStr">
        <is>
          <t>TC-RS-DATA-013 / delete-last-rule</t>
        </is>
      </c>
      <c r="B501" s="18" t="inlineStr">
        <is>
          <t>Bảo toàn dữ liệu và cấu hình
Phiên bản quy tắc, dòng điều khiển và thế hệ ô được cập nhật đúng sự kiện
Xem chi tiết</t>
        </is>
      </c>
      <c r="C501" s="18" t="inlineStr">
        <is>
          <t>Chuẩn bị: Đang chuẩn bị
Kỳ vọng: Đề xuất
Dữ liệu (trích): Bước 1 và 3 fixture B độc lập
Thao tác (trích): 1. SELECT `red_score_revision` của mục mục số nguyên (M=100) trên `grade_evaluate_frame_items`; SELECT…
Xem chi tiết</t>
        </is>
      </c>
      <c r="D501" s="18" t="inlineStr">
        <is>
          <t>Kỳ vọng: Đề xuất
1. Có giá trị ban đầu; `judged_version` của S01 bằng phiên bản của lần ghi hoàn tất.…
Xem chi tiết</t>
        </is>
      </c>
      <c r="E501" s="19" t="inlineStr"/>
      <c r="F501" s="19" t="inlineStr">
        <is>
          <t>Chưa thực hiện</t>
        </is>
      </c>
      <c r="G501" s="19" t="inlineStr"/>
    </row>
    <row r="502" ht="163" customHeight="1">
      <c r="A502" s="18" t="inlineStr">
        <is>
          <t>TC-RS-DATA-013 / reservation</t>
        </is>
      </c>
      <c r="B502" s="18" t="inlineStr">
        <is>
          <t>Bảo toàn dữ liệu và cấu hình
Phiên bản quy tắc, dòng điều khiển và thế hệ ô được cập nhật đúng sự kiện
Xem chi tiết</t>
        </is>
      </c>
      <c r="C502" s="18" t="inlineStr">
        <is>
          <t>Chuẩn bị: Đang chuẩn bị
Kỳ vọng: Đề xuất
Dữ liệu (trích): Bước 1 và 4 fixture C độc lập
Thao tác (trích): 1. SELECT `red_score_revision` của mục mục số nguyên (M=100) trên `grade_evaluate_frame_items`; SELECT…
Xem chi tiết</t>
        </is>
      </c>
      <c r="D502" s="18" t="inlineStr">
        <is>
          <t>Kỳ vọng: Đề xuất
1. Có giá trị ban đầu; `judged_version` của S01 bằng phiên bản của lần ghi hoàn tất.…
Xem chi tiết</t>
        </is>
      </c>
      <c r="E502" s="19" t="inlineStr"/>
      <c r="F502" s="19" t="inlineStr">
        <is>
          <t>Chưa thực hiện</t>
        </is>
      </c>
      <c r="G502" s="19" t="inlineStr"/>
    </row>
    <row r="503" ht="163" customHeight="1">
      <c r="A503" s="18" t="inlineStr">
        <is>
          <t>TC-RS-DATA-013 / cell-generation</t>
        </is>
      </c>
      <c r="B503" s="18" t="inlineStr">
        <is>
          <t>Bảo toàn dữ liệu và cấu hình
Phiên bản quy tắc, dòng điều khiển và thế hệ ô được cập nhật đúng sự kiện
Xem chi tiết</t>
        </is>
      </c>
      <c r="C503" s="18" t="inlineStr">
        <is>
          <t>Chuẩn bị: Đang chuẩn bị
Kỳ vọng: Đề xuất
Dữ liệu (trích): Bước 1 và 5 fixture D độc lập
Thao tác (trích): 1. SELECT `red_score_revision` của mục mục số nguyên (M=100) trên `grade_evaluate_frame_items`; SELECT…
Xem chi tiết</t>
        </is>
      </c>
      <c r="D503" s="18" t="inlineStr">
        <is>
          <t>Kỳ vọng: Đề xuất
1. Có giá trị ban đầu; `judged_version` của S01 bằng phiên bản của lần ghi hoàn tất.…
Xem chi tiết</t>
        </is>
      </c>
      <c r="E503" s="19" t="inlineStr"/>
      <c r="F503" s="19" t="inlineStr">
        <is>
          <t>Chưa thực hiện</t>
        </is>
      </c>
      <c r="G503" s="19" t="inlineStr"/>
    </row>
    <row r="504" ht="180" customHeight="1">
      <c r="A504" s="18" t="inlineStr">
        <is>
          <t>TC-RS-DATA-014 / Base</t>
        </is>
      </c>
      <c r="B504" s="18" t="inlineStr">
        <is>
          <t>Dữ liệu và dữ liệu đỏ cũ — Bảo toàn dữ liệu và cấu hình
Legacy: báo cáo riêng trường vẫn giữ cách dùng điểm đỏ cũ</t>
        </is>
      </c>
      <c r="C504" s="18" t="inlineStr">
        <is>
          <t>Chuẩn bị: Đang chuẩn bị
Kỳ vọng: Đã xác nhận
Dữ liệu (trích): Toàn bộ thủ tục theo đúng thứ tự; các đối chứng cùng fixture…
Thao tác (trích): 1. Xem báo cáo riêng trường trước và sau khi cấu hình/chạy rule mới.…
Xem chi tiết</t>
        </is>
      </c>
      <c r="D504" s="18" t="inlineStr">
        <is>
          <t>Legacy không bị chuyển thành rule mới, reset hoặc dùng thay cho rule mới; hai nguồn được giữ riêng và báo cáo legacy vẫn giữ cách dùng cũ.
Bảo toàn: Giữ điểm, cấu hình và đối tượng không đích theo expected; chỉ thay phần thủ tục yêu cầu, không tự đổi oracle hoặc mở rộng phạm vi.</t>
        </is>
      </c>
      <c r="E504" s="19" t="inlineStr"/>
      <c r="F504" s="19" t="inlineStr">
        <is>
          <t>Chưa thực hiện</t>
        </is>
      </c>
      <c r="G504" s="19" t="inlineStr"/>
    </row>
    <row r="505" ht="180" customHeight="1">
      <c r="A505" s="18" t="inlineStr">
        <is>
          <t>TC-RS-DATA-015 / Base</t>
        </is>
      </c>
      <c r="B505" s="18" t="inlineStr">
        <is>
          <t>Bảo toàn dữ liệu và cấu hình
Sao chép cấu hình giữ riêng legacy và không sao chép kết quả cá nhân
Xem chi tiết</t>
        </is>
      </c>
      <c r="C505" s="18" t="inlineStr">
        <is>
          <t>Chuẩn bị: Bị chặn
Kỳ vọng: Đã xác nhận
Dữ liệu (trích): Toàn bộ thủ tục theo đúng thứ tự; các đối chứng cùng fixture…
Thao tác (trích): 1. Ghi snapshot trước thao tác: rule, mapping mục/môn/nhóm, legacy và kết quả riêng của S01 ở nguồn.…
Xem chi tiết</t>
        </is>
      </c>
      <c r="D505" s="18" t="inlineStr">
        <is>
          <t>Kỳ vọng: Đã xác nhận
Cấu hình `&lt;30` được ánh xạ theo identity đích. Ngưỡng legacy `red_score=25` có mapping hợp lệ cũng được sao chép theo đường legacy hiện hữu: nguồn và đích đều đọc ra 25 tại cấu…
Xem chi tiết</t>
        </is>
      </c>
      <c r="E505" s="19" t="inlineStr"/>
      <c r="F505" s="19" t="inlineStr">
        <is>
          <t>Chưa thực hiện</t>
        </is>
      </c>
      <c r="G505" s="19" t="inlineStr"/>
    </row>
    <row r="506" ht="180" customHeight="1">
      <c r="A506" s="18" t="inlineStr">
        <is>
          <t>TC-RS-DATA-016 / Base</t>
        </is>
      </c>
      <c r="B506" s="18" t="inlineStr">
        <is>
          <t>Bảo toàn dữ liệu và cấu hình
Kế thừa năm mới không dùng bản chốt hoặc kết quả cá nhân của năm cũ
Xem chi tiết</t>
        </is>
      </c>
      <c r="C506" s="18" t="inlineStr">
        <is>
          <t>Chuẩn bị: Bị chặn
Kỳ vọng: Đã xác nhận
Dữ liệu (trích): Toàn bộ thủ tục theo đúng thứ tự; các đối chứng cùng fixture…
Thao tác (trích): 1. Chụp riêng rule mới, giá trị legacy 25 tại nguồn, snapshot và kết quả cá nhân S01 năm 2025; ghi đích chưa…
Xem chi tiết</t>
        </is>
      </c>
      <c r="D506" s="18" t="inlineStr">
        <is>
          <t>Kỳ vọng: Đã xác nhận
Rule mới `&lt;30` và ngưỡng legacy **25** được kế thừa đúng mapping: nguồn vẫn 25, đích đọc 25 ở cấu hình/báo cáo legacy riêng; không thành rule/fallback mới. Trước lần xét mới, đích…
Xem chi tiết</t>
        </is>
      </c>
      <c r="E506" s="19" t="inlineStr"/>
      <c r="F506" s="19" t="inlineStr">
        <is>
          <t>Chưa thực hiện</t>
        </is>
      </c>
      <c r="G506" s="19" t="inlineStr"/>
    </row>
    <row r="507" ht="180" customHeight="1">
      <c r="A507" s="18" t="inlineStr">
        <is>
          <t>TC-RS-DATA-017 / Base</t>
        </is>
      </c>
      <c r="B507" s="18" t="inlineStr">
        <is>
          <t>Dữ liệu và dữ liệu đỏ cũ — Bảo toàn dữ liệu và cấu hình
Xuất/nhập cấu hình giữ legacy riêng và không nhập kết quả cá nhân</t>
        </is>
      </c>
      <c r="C507" s="18" t="inlineStr">
        <is>
          <t>Chuẩn bị: Bị chặn
Kỳ vọng: Đã xác nhận
Dữ liệu (trích): Toàn bộ thủ tục theo đúng thứ tự; các đối chứng cùng fixture…
Thao tác (trích): 1. Ghi file xuất thật, vị trí giá trị legacy 25, mapping nguồn→đích và sự vắng mặt của snapshot/kết quả cá…
Xem chi tiết</t>
        </is>
      </c>
      <c r="D507" s="18" t="inlineStr">
        <is>
          <t>Kỳ vọng: Đã xác nhận
Chỉ payload cấu hình có mapping hợp lệ được nhập: ngưỡng legacy nguồn 25 vẫn là 25, file chứa 25 và đích đọc ra **25** ở cấu hình/báo cáo legacy riêng; rule mới `&lt;30` giữ riêng,…
Xem chi tiết</t>
        </is>
      </c>
      <c r="E507" s="19" t="inlineStr"/>
      <c r="F507" s="19" t="inlineStr">
        <is>
          <t>Chưa thực hiện</t>
        </is>
      </c>
      <c r="G507" s="19" t="inlineStr"/>
    </row>
    <row r="508" ht="180" customHeight="1">
      <c r="A508" s="18" t="inlineStr">
        <is>
          <t>TC-RS-DATA-018 / Base</t>
        </is>
      </c>
      <c r="B508" s="18" t="inlineStr">
        <is>
          <t>Dữ liệu và dữ liệu đỏ cũ — Bảo toàn dữ liệu và cấu hình
Khôi phục/thay khung không gắn kết quả vào ô mới</t>
        </is>
      </c>
      <c r="C508" s="18" t="inlineStr">
        <is>
          <t>Chuẩn bị: Bị chặn
Kỳ vọng: Đã xác nhận
Dữ liệu (trích): Toàn bộ thủ tục theo đúng thứ tự; các đối chứng cùng fixture…
Thao tác (trích): 1. Chụp identity, rule mới, ngưỡng legacy 25 và kết quả cá nhân ô cũ; ghi ô đích chưa có các giá trị đó.…
Xem chi tiết</t>
        </is>
      </c>
      <c r="D508" s="18" t="inlineStr">
        <is>
          <t>Kỳ vọng: Đã xác nhận
Nguồn giữ ngưỡng legacy **25**; ô/khung mới có mapping hợp lệ cũng đọc **25** qua cấu hình/báo cáo legacy riêng, không thành rule/fallback mới. Ô mới **không** nhận snapshot/kết…
Xem chi tiết</t>
        </is>
      </c>
      <c r="E508" s="19" t="inlineStr"/>
      <c r="F508" s="19" t="inlineStr">
        <is>
          <t>Chưa thực hiện</t>
        </is>
      </c>
      <c r="G508" s="19" t="inlineStr"/>
    </row>
    <row r="509" ht="180" customHeight="1">
      <c r="A509" s="18" t="inlineStr">
        <is>
          <t>TC-RS-DATA-019 / Base</t>
        </is>
      </c>
      <c r="B509" s="18" t="inlineStr">
        <is>
          <t>Dữ liệu và dữ liệu đỏ cũ — Bảo toàn dữ liệu và cấu hình
Đồng bộ cấu hình không đồng nghĩa đã xét</t>
        </is>
      </c>
      <c r="C509" s="18" t="inlineStr">
        <is>
          <t>Chuẩn bị: Bị chặn
Kỳ vọng: Đã xác nhận
Dữ liệu (trích): Toàn bộ thủ tục theo đúng thứ tự; các đối chứng cùng fixture…
Thao tác (trích): 1. Ghi mapping kỳ/môn/mục/nhóm, identity nguồn/đích, giá trị legacy nguồn 25 và snapshot/kết quả cá nhân…
Xem chi tiết</t>
        </is>
      </c>
      <c r="D509" s="18" t="inlineStr">
        <is>
          <t>Kỳ vọng: Đã xác nhận
Đồng bộ cấu hình có mapping hợp lệ giữ ngưỡng legacy **25** ở nguồn và đưa **25** tới cấu hình/báo cáo legacy riêng của đích; không thành rule/fallback mới. Trước lần xét riêng,…
Xem chi tiết</t>
        </is>
      </c>
      <c r="E509" s="19" t="inlineStr"/>
      <c r="F509" s="19" t="inlineStr">
        <is>
          <t>Chưa thực hiện</t>
        </is>
      </c>
      <c r="G509" s="19" t="inlineStr"/>
    </row>
    <row r="510" ht="146" customHeight="1">
      <c r="A510" s="18" t="inlineStr">
        <is>
          <t>TC-RS-DATA-006 / Base</t>
        </is>
      </c>
      <c r="B510" s="18" t="inlineStr">
        <is>
          <t>Dữ liệu và dữ liệu đỏ cũ — Bảo toàn dữ liệu và cấu hình
Giá trị legacy giữ nguyên khi thay đổi rule mới</t>
        </is>
      </c>
      <c r="C510" s="18" t="inlineStr">
        <is>
          <t>Chuẩn bị: Đang chuẩn bị
Kỳ vọng: Đã xác nhận
Dữ liệu (trích): Toàn bộ thủ tục theo đúng thứ tự; các đối chứng cùng fixture…
Thao tác (trích): 1. Thêm, sửa, xóa và chạy rule mới.…
Xem chi tiết</t>
        </is>
      </c>
      <c r="D510" s="18" t="inlineStr">
        <is>
          <t>Giá trị legacy không bị sửa, xóa hoặc dùng lại làm kết quả cá nhân của rule mới.
Bảo toàn: Giữ điểm, cấu hình và đối tượng không đích theo expected; chỉ thay phần thủ tục yêu cầu, không tự đổi oracle hoặc mở rộng phạm vi.</t>
        </is>
      </c>
      <c r="E510" s="19" t="inlineStr"/>
      <c r="F510" s="19" t="inlineStr">
        <is>
          <t>Chưa thực hiện</t>
        </is>
      </c>
      <c r="G510" s="19" t="inlineStr"/>
    </row>
    <row r="511" ht="197" customHeight="1">
      <c r="A511" s="18" t="inlineStr">
        <is>
          <t>TC-RS-DATA-009 / copy</t>
        </is>
      </c>
      <c r="B511" s="18" t="inlineStr">
        <is>
          <t>Dữ liệu và dữ liệu đỏ cũ — Bảo toàn dữ liệu và cấu hình
Copy, kế thừa năm, import/export và sync không mang kết quả cũ</t>
        </is>
      </c>
      <c r="C511" s="18" t="inlineStr">
        <is>
          <t>Chuẩn bị: Đang chuẩn bị
Kỳ vọng: Đã xác nhận
Dữ liệu (trích): Đường copy, fixture DATA-015
Thao tác (trích): 1. Thực hiện từng đường copy, kế thừa năm, import/export và sync.…
Xem chi tiết</t>
        </is>
      </c>
      <c r="D511" s="18" t="inlineStr">
        <is>
          <t>Chỉ phần được phép copy/sync được chuyển; không chuyển kết quả cá nhân hoặc bản chốt legacy sang identity đích. Mapping đúng; đích chỉ có kết quả sau lượt xét riêng.
Bảo toàn: Giữ điểm, cấu hình và đối tượng không đích theo expected; chỉ thay phần thủ tục yêu cầu, không tự đổi oracle hoặc mở rộng phạm vi.</t>
        </is>
      </c>
      <c r="E511" s="19" t="inlineStr"/>
      <c r="F511" s="19" t="inlineStr">
        <is>
          <t>Chưa thực hiện</t>
        </is>
      </c>
      <c r="G511" s="19" t="inlineStr"/>
    </row>
    <row r="512" ht="197" customHeight="1">
      <c r="A512" s="18" t="inlineStr">
        <is>
          <t>TC-RS-DATA-009 / year</t>
        </is>
      </c>
      <c r="B512" s="18" t="inlineStr">
        <is>
          <t>Dữ liệu và dữ liệu đỏ cũ — Bảo toàn dữ liệu và cấu hình
Copy, kế thừa năm, import/export và sync không mang kết quả cũ</t>
        </is>
      </c>
      <c r="C512" s="18" t="inlineStr">
        <is>
          <t>Chuẩn bị: Đang chuẩn bị
Kỳ vọng: Đã xác nhận
Dữ liệu (trích): Đường kế thừa năm, fixture DATA-016
Thao tác (trích): 1. Thực hiện từng đường copy, kế thừa năm, import/export và sync.…
Xem chi tiết</t>
        </is>
      </c>
      <c r="D512" s="18" t="inlineStr">
        <is>
          <t>Chỉ phần được phép copy/sync được chuyển; không chuyển kết quả cá nhân hoặc bản chốt legacy sang identity đích. Mapping đúng; đích chỉ có kết quả sau lượt xét riêng.
Bảo toàn: Giữ điểm, cấu hình và đối tượng không đích theo expected; chỉ thay phần thủ tục yêu cầu, không tự đổi oracle hoặc mở rộng phạm vi.</t>
        </is>
      </c>
      <c r="E512" s="19" t="inlineStr"/>
      <c r="F512" s="19" t="inlineStr">
        <is>
          <t>Chưa thực hiện</t>
        </is>
      </c>
      <c r="G512" s="19" t="inlineStr"/>
    </row>
    <row r="513" ht="197" customHeight="1">
      <c r="A513" s="18" t="inlineStr">
        <is>
          <t>TC-RS-DATA-009 / import-export</t>
        </is>
      </c>
      <c r="B513" s="18" t="inlineStr">
        <is>
          <t>Dữ liệu và dữ liệu đỏ cũ — Bảo toàn dữ liệu và cấu hình
Copy, kế thừa năm, import/export và sync không mang kết quả cũ</t>
        </is>
      </c>
      <c r="C513" s="18" t="inlineStr">
        <is>
          <t>Chuẩn bị: Đang chuẩn bị
Kỳ vọng: Đã xác nhận
Dữ liệu (trích): Đường xuất nhập, fixture DATA-017
Thao tác (trích): 1. Thực hiện từng đường copy, kế thừa năm, import/export và sync.…
Xem chi tiết</t>
        </is>
      </c>
      <c r="D513" s="18" t="inlineStr">
        <is>
          <t>Chỉ phần được phép copy/sync được chuyển; không chuyển kết quả cá nhân hoặc bản chốt legacy sang identity đích. Mapping đúng; đích chỉ có kết quả sau lượt xét riêng.
Bảo toàn: Giữ điểm, cấu hình và đối tượng không đích theo expected; chỉ thay phần thủ tục yêu cầu, không tự đổi oracle hoặc mở rộng phạm vi.</t>
        </is>
      </c>
      <c r="E513" s="19" t="inlineStr"/>
      <c r="F513" s="19" t="inlineStr">
        <is>
          <t>Chưa thực hiện</t>
        </is>
      </c>
      <c r="G513" s="19" t="inlineStr"/>
    </row>
    <row r="514" ht="197" customHeight="1">
      <c r="A514" s="18" t="inlineStr">
        <is>
          <t>TC-RS-DATA-009 / sync</t>
        </is>
      </c>
      <c r="B514" s="18" t="inlineStr">
        <is>
          <t>Dữ liệu và dữ liệu đỏ cũ — Bảo toàn dữ liệu và cấu hình
Copy, kế thừa năm, import/export và sync không mang kết quả cũ</t>
        </is>
      </c>
      <c r="C514" s="18" t="inlineStr">
        <is>
          <t>Chuẩn bị: Đang chuẩn bị
Kỳ vọng: Đã xác nhận
Dữ liệu (trích): Đường đồng bộ, fixture DATA-019
Thao tác (trích): 1. Thực hiện từng đường copy, kế thừa năm, import/export và sync.…
Xem chi tiết</t>
        </is>
      </c>
      <c r="D514" s="18" t="inlineStr">
        <is>
          <t>Chỉ phần được phép copy/sync được chuyển; không chuyển kết quả cá nhân hoặc bản chốt legacy sang identity đích. Mapping đúng; đích chỉ có kết quả sau lượt xét riêng.
Bảo toàn: Giữ điểm, cấu hình và đối tượng không đích theo expected; chỉ thay phần thủ tục yêu cầu, không tự đổi oracle hoặc mở rộng phạm vi.</t>
        </is>
      </c>
      <c r="E514" s="19" t="inlineStr"/>
      <c r="F514" s="19" t="inlineStr">
        <is>
          <t>Chưa thực hiện</t>
        </is>
      </c>
      <c r="G514" s="19" t="inlineStr"/>
    </row>
    <row r="515" ht="180" customHeight="1">
      <c r="A515" s="18" t="inlineStr">
        <is>
          <t>TC-RS-UI-018 / Base</t>
        </is>
      </c>
      <c r="B515" s="18" t="inlineStr">
        <is>
          <t>Lỗi và cập nhật kết quả
Màn Tổng hợp thành tích（成績集計）: nút xanh/cam và lần chạy trước
Xem chi tiết</t>
        </is>
      </c>
      <c r="C515" s="18" t="inlineStr">
        <is>
          <t>Chuẩn bị: Đang chuẩn bị
Kỳ vọng: Đã xác nhận
Dữ liệu (trích): Toàn bộ thủ tục theo đúng thứ tự; các đối chứng cùng fixture…
Thao tác (trích): Mở Tổng hợp thành tích（成績集計）.
Xem chi tiết</t>
        </is>
      </c>
      <c r="D515" s="18" t="inlineStr">
        <is>
          <t>Mỗi khối có Thực hiện tổng hợp（集計実行） và Thực hiện tính toán tự động（自動算出実行） kèm thời điểm chạy trước, như màn hiện có.
Bảo toàn: Giữ điểm, cấu hình và đối tượng không đích theo expected; chỉ thay phần thủ tục yêu cầu, không tự đổi oracle hoặc mở rộng phạm vi.</t>
        </is>
      </c>
      <c r="E515" s="19" t="inlineStr"/>
      <c r="F515" s="19" t="inlineStr">
        <is>
          <t>Chưa thực hiện</t>
        </is>
      </c>
      <c r="G515" s="19" t="inlineStr"/>
    </row>
    <row r="516" ht="129" customHeight="1">
      <c r="A516" s="18" t="inlineStr">
        <is>
          <t>TC-RS-UI-019 / missing</t>
        </is>
      </c>
      <c r="B516" s="18" t="inlineStr">
        <is>
          <t>Lỗi và cập nhật kết quả
Thông báo kết quả sau khi chạy: hoàn tất, chưa xét được, thất bại một phần
Xem chi tiết</t>
        </is>
      </c>
      <c r="C516" s="18" t="inlineStr">
        <is>
          <t>Chuẩn bị: Đang chuẩn bị
Kỳ vọng: Đề xuất
Dữ liệu (trích): Thiếu nguồn
Thao tác (trích): 1. Chạy nút cam khi thiếu nguồn.…
Xem chi tiết</t>
        </is>
      </c>
      <c r="D516" s="18" t="inlineStr">
        <is>
          <t>Kỳ vọng: Đề xuất
1. Thông báo hoàn tất nêu có mục chưa xét được, phạm vi và lý do, và kết quả trước không còn dùng.…
Xem chi tiết</t>
        </is>
      </c>
      <c r="E516" s="19" t="inlineStr"/>
      <c r="F516" s="19" t="inlineStr">
        <is>
          <t>Chưa thực hiện</t>
        </is>
      </c>
      <c r="G516" s="19" t="inlineStr"/>
    </row>
    <row r="517" ht="129" customHeight="1">
      <c r="A517" s="18" t="inlineStr">
        <is>
          <t>TC-RS-UI-019 / partial</t>
        </is>
      </c>
      <c r="B517" s="18" t="inlineStr">
        <is>
          <t>Lỗi và cập nhật kết quả
Thông báo kết quả sau khi chạy: hoàn tất, chưa xét được, thất bại một phần
Xem chi tiết</t>
        </is>
      </c>
      <c r="C517" s="18" t="inlineStr">
        <is>
          <t>Chuẩn bị: Đang chuẩn bị
Kỳ vọng: Đề xuất
Dữ liệu (trích): Lỗi một phần
Thao tác (trích): 1. Chạy nút cam khi thiếu nguồn.…
Xem chi tiết</t>
        </is>
      </c>
      <c r="D517" s="18" t="inlineStr">
        <is>
          <t>Kỳ vọng: Đề xuất
1. Thông báo hoàn tất nêu có mục chưa xét được, phạm vi và lý do, và kết quả trước không còn dùng.…
Xem chi tiết</t>
        </is>
      </c>
      <c r="E517" s="19" t="inlineStr"/>
      <c r="F517" s="19" t="inlineStr">
        <is>
          <t>Chưa thực hiện</t>
        </is>
      </c>
      <c r="G517" s="19" t="inlineStr"/>
    </row>
    <row r="518" ht="197" customHeight="1">
      <c r="A518" s="18" t="inlineStr">
        <is>
          <t>TC-RS-ERR-001 / extract</t>
        </is>
      </c>
      <c r="B518" s="18" t="inlineStr">
        <is>
          <t>Trạng thái kết quả và lỗi — Lỗi và cập nhật kết quả
Hiển thị theo từng trạng thái kết quả ở ba đầu ra</t>
        </is>
      </c>
      <c r="C518" s="18" t="inlineStr">
        <is>
          <t>Chuẩn bị: Đang chuẩn bị
Kỳ vọng: Đã xác nhận
Dữ liệu (trích): Trích xuất cả bảy trạng thái không lọc
Thao tác (trích): 1. Chạy trích xuất có lọc đỏ và xuất Excel.…
Xem chi tiết</t>
        </is>
      </c>
      <c r="D518" s="18" t="inlineStr">
        <is>
          <t>Chỉ ô (1) và (7) có dấu đỏ và làm học sinh thỏa lọc đỏ. Ô (2)–(6) không có dấu đỏ, không thỏa lọc; (3), (4), (5) không được hiển thị như "đạt". Ba đầu ra cho cùng kết luận.
Bảo toàn: Giữ điểm, cấu hình và đối tượng không đích theo expected; chỉ thay phần thủ tục yêu cầu, không tự đổi oracle hoặc mở rộng phạm vi.</t>
        </is>
      </c>
      <c r="E518" s="19" t="inlineStr"/>
      <c r="F518" s="19" t="inlineStr">
        <is>
          <t>Chưa thực hiện</t>
        </is>
      </c>
      <c r="G518" s="19" t="inlineStr"/>
    </row>
    <row r="519" ht="197" customHeight="1">
      <c r="A519" s="18" t="inlineStr">
        <is>
          <t>TC-RS-ERR-001 / publish</t>
        </is>
      </c>
      <c r="B519" s="18" t="inlineStr">
        <is>
          <t>Trạng thái kết quả và lỗi — Lỗi và cập nhật kết quả
Hiển thị theo từng trạng thái kết quả ở ba đầu ra</t>
        </is>
      </c>
      <c r="C519" s="18" t="inlineStr">
        <is>
          <t>Chuẩn bị: Đang chuẩn bị
Kỳ vọng: Đã xác nhận
Dữ liệu (trích): Công khai cả bảy trạng thái
Thao tác (trích): 1. Chạy trích xuất có lọc đỏ và xuất Excel.…
Xem chi tiết</t>
        </is>
      </c>
      <c r="D519" s="18" t="inlineStr">
        <is>
          <t>Chỉ ô (1) và (7) có dấu đỏ và làm học sinh thỏa lọc đỏ. Ô (2)–(6) không có dấu đỏ, không thỏa lọc; (3), (4), (5) không được hiển thị như "đạt". Ba đầu ra cho cùng kết luận.
Bảo toàn: Giữ điểm, cấu hình và đối tượng không đích theo expected; chỉ thay phần thủ tục yêu cầu, không tự đổi oracle hoặc mở rộng phạm vi.</t>
        </is>
      </c>
      <c r="E519" s="19" t="inlineStr"/>
      <c r="F519" s="19" t="inlineStr">
        <is>
          <t>Chưa thực hiện</t>
        </is>
      </c>
      <c r="G519" s="19" t="inlineStr"/>
    </row>
    <row r="520" ht="197" customHeight="1">
      <c r="A520" s="18" t="inlineStr">
        <is>
          <t>TC-RS-ERR-001 / report</t>
        </is>
      </c>
      <c r="B520" s="18" t="inlineStr">
        <is>
          <t>Trạng thái kết quả và lỗi — Lỗi và cập nhật kết quả
Hiển thị theo từng trạng thái kết quả ở ba đầu ra</t>
        </is>
      </c>
      <c r="C520" s="18" t="inlineStr">
        <is>
          <t>Chuẩn bị: Đang chuẩn bị
Kỳ vọng: Đã xác nhận
Dữ liệu (trích): Phiếu điểm cả bảy trạng thái
Thao tác (trích): 1. Chạy trích xuất có lọc đỏ và xuất Excel.…
Xem chi tiết</t>
        </is>
      </c>
      <c r="D520" s="18" t="inlineStr">
        <is>
          <t>Chỉ ô (1) và (7) có dấu đỏ và làm học sinh thỏa lọc đỏ. Ô (2)–(6) không có dấu đỏ, không thỏa lọc; (3), (4), (5) không được hiển thị như "đạt". Ba đầu ra cho cùng kết luận.
Bảo toàn: Giữ điểm, cấu hình và đối tượng không đích theo expected; chỉ thay phần thủ tục yêu cầu, không tự đổi oracle hoặc mở rộng phạm vi.</t>
        </is>
      </c>
      <c r="E520" s="19" t="inlineStr"/>
      <c r="F520" s="19" t="inlineStr">
        <is>
          <t>Chưa thực hiện</t>
        </is>
      </c>
      <c r="G520" s="19" t="inlineStr"/>
    </row>
    <row r="521" ht="180" customHeight="1">
      <c r="A521" s="18" t="inlineStr">
        <is>
          <t>TC-RS-ERR-002 / direct-success-delete</t>
        </is>
      </c>
      <c r="B521" s="18" t="inlineStr">
        <is>
          <t>Lỗi và cập nhật kết quả
Lỗi kỹ thuật khi lưu kết quả khác với Chưa xét được; không báo thành công giả
Xem chi tiết</t>
        </is>
      </c>
      <c r="C521" s="18" t="inlineStr">
        <is>
          <t>Chuẩn bị: Bị chặn
Kỳ vọng: Đã xác nhận
Dữ liệu (trích): Nhánh direct-success-delete trong thủ tục và Expected của case;…
Thao tác (trích): 1. Với `*-success-delete`, dùng ba bản reset riêng và xóa ô Toán lần lượt bằng nhập trực tiếp, Đăng ký thành…
Xem chi tiết</t>
        </is>
      </c>
      <c r="D521" s="18" t="inlineStr">
        <is>
          <t>Kỳ vọng: Đã xác nhận
1. Mỗi đường xóa thành công chỉ xóa điểm/kết quả Toán của identity đích; Ngữ văn vẫn Đỏ và S01 vẫn qua bộ lọc nhờ Ngữ văn. CSV phải ánh xạ đúng ô.…
Xem chi tiết</t>
        </is>
      </c>
      <c r="E521" s="19" t="inlineStr"/>
      <c r="F521" s="19" t="inlineStr">
        <is>
          <t>Chưa thực hiện</t>
        </is>
      </c>
      <c r="G521" s="19" t="inlineStr"/>
    </row>
    <row r="522" ht="180" customHeight="1">
      <c r="A522" s="18" t="inlineStr">
        <is>
          <t>TC-RS-ERR-002 / csv-success-delete</t>
        </is>
      </c>
      <c r="B522" s="18" t="inlineStr">
        <is>
          <t>Lỗi và cập nhật kết quả
Lỗi kỹ thuật khi lưu kết quả khác với Chưa xét được; không báo thành công giả
Xem chi tiết</t>
        </is>
      </c>
      <c r="C522" s="18" t="inlineStr">
        <is>
          <t>Chuẩn bị: Bị chặn
Kỳ vọng: Đã xác nhận
Dữ liệu (trích): Nhánh csv-success-delete trong thủ tục và Expected của case;…
Thao tác (trích): 1. Với `*-success-delete`, dùng ba bản reset riêng và xóa ô Toán lần lượt bằng nhập trực tiếp, Đăng ký thành…
Xem chi tiết</t>
        </is>
      </c>
      <c r="D522" s="18" t="inlineStr">
        <is>
          <t>Kỳ vọng: Đã xác nhận
1. Mỗi đường xóa thành công chỉ xóa điểm/kết quả Toán của identity đích; Ngữ văn vẫn Đỏ và S01 vẫn qua bộ lọc nhờ Ngữ văn. CSV phải ánh xạ đúng ô.…
Xem chi tiết</t>
        </is>
      </c>
      <c r="E522" s="19" t="inlineStr"/>
      <c r="F522" s="19" t="inlineStr">
        <is>
          <t>Chưa thực hiện</t>
        </is>
      </c>
      <c r="G522" s="19" t="inlineStr"/>
    </row>
    <row r="523" ht="180" customHeight="1">
      <c r="A523" s="18" t="inlineStr">
        <is>
          <t>TC-RS-ERR-002 / linked-success-delete</t>
        </is>
      </c>
      <c r="B523" s="18" t="inlineStr">
        <is>
          <t>Lỗi và cập nhật kết quả
Lỗi kỹ thuật khi lưu kết quả khác với Chưa xét được; không báo thành công giả
Xem chi tiết</t>
        </is>
      </c>
      <c r="C523" s="18" t="inlineStr">
        <is>
          <t>Chuẩn bị: Bị chặn
Kỳ vọng: Đã xác nhận
Dữ liệu (trích): Nhánh linked-success-delete trong thủ tục và Expected của case;…
Thao tác (trích): 1. Với `*-success-delete`, dùng ba bản reset riêng và xóa ô Toán lần lượt bằng nhập trực tiếp, Đăng ký thành…
Xem chi tiết</t>
        </is>
      </c>
      <c r="D523" s="18" t="inlineStr">
        <is>
          <t>Kỳ vọng: Đã xác nhận
1. Mỗi đường xóa thành công chỉ xóa điểm/kết quả Toán của identity đích; Ngữ văn vẫn Đỏ và S01 vẫn qua bộ lọc nhờ Ngữ văn. CSV phải ánh xạ đúng ô.…
Xem chi tiết</t>
        </is>
      </c>
      <c r="E523" s="19" t="inlineStr"/>
      <c r="F523" s="19" t="inlineStr">
        <is>
          <t>Chưa thực hiện</t>
        </is>
      </c>
      <c r="G523" s="19" t="inlineStr"/>
    </row>
    <row r="524" ht="180" customHeight="1">
      <c r="A524" s="18" t="inlineStr">
        <is>
          <t>TC-RS-ERR-002 / direct-delete-save-failure</t>
        </is>
      </c>
      <c r="B524" s="18" t="inlineStr">
        <is>
          <t>Lỗi và cập nhật kết quả
Lỗi kỹ thuật khi lưu kết quả khác với Chưa xét được; không báo thành công giả
Xem chi tiết</t>
        </is>
      </c>
      <c r="C524" s="18" t="inlineStr">
        <is>
          <t>Chuẩn bị: Bị chặn
Kỳ vọng: Đã xác nhận
Dữ liệu (trích): Nhánh direct-delete-save-failure trong thủ tục và Expected của…
Thao tác (trích): 1. Với `*-success-delete`, dùng ba bản reset riêng và xóa ô Toán lần lượt bằng nhập trực tiếp, Đăng ký thành…
Xem chi tiết</t>
        </is>
      </c>
      <c r="D524" s="18" t="inlineStr">
        <is>
          <t>Kỳ vọng: Đã xác nhận
1. Mỗi đường xóa thành công chỉ xóa điểm/kết quả Toán của identity đích; Ngữ văn vẫn Đỏ và S01 vẫn qua bộ lọc nhờ Ngữ văn. CSV phải ánh xạ đúng ô.…
Xem chi tiết</t>
        </is>
      </c>
      <c r="E524" s="19" t="inlineStr"/>
      <c r="F524" s="19" t="inlineStr">
        <is>
          <t>Chưa thực hiện</t>
        </is>
      </c>
      <c r="G524" s="19" t="inlineStr"/>
    </row>
    <row r="525" ht="180" customHeight="1">
      <c r="A525" s="18" t="inlineStr">
        <is>
          <t>TC-RS-ERR-002 / csv-delete-save-failure</t>
        </is>
      </c>
      <c r="B525" s="18" t="inlineStr">
        <is>
          <t>Lỗi và cập nhật kết quả
Lỗi kỹ thuật khi lưu kết quả khác với Chưa xét được; không báo thành công giả
Xem chi tiết</t>
        </is>
      </c>
      <c r="C525" s="18" t="inlineStr">
        <is>
          <t>Chuẩn bị: Bị chặn
Kỳ vọng: Đã xác nhận
Dữ liệu (trích): Nhánh csv-delete-save-failure trong thủ tục và Expected của…
Thao tác (trích): 1. Với `*-success-delete`, dùng ba bản reset riêng và xóa ô Toán lần lượt bằng nhập trực tiếp, Đăng ký thành…
Xem chi tiết</t>
        </is>
      </c>
      <c r="D525" s="18" t="inlineStr">
        <is>
          <t>Kỳ vọng: Đã xác nhận
1. Mỗi đường xóa thành công chỉ xóa điểm/kết quả Toán của identity đích; Ngữ văn vẫn Đỏ và S01 vẫn qua bộ lọc nhờ Ngữ văn. CSV phải ánh xạ đúng ô.…
Xem chi tiết</t>
        </is>
      </c>
      <c r="E525" s="19" t="inlineStr"/>
      <c r="F525" s="19" t="inlineStr">
        <is>
          <t>Chưa thực hiện</t>
        </is>
      </c>
      <c r="G525" s="19" t="inlineStr"/>
    </row>
    <row r="526" ht="180" customHeight="1">
      <c r="A526" s="18" t="inlineStr">
        <is>
          <t>TC-RS-ERR-002 / linked-delete-save-failure</t>
        </is>
      </c>
      <c r="B526" s="18" t="inlineStr">
        <is>
          <t>Lỗi và cập nhật kết quả
Lỗi kỹ thuật khi lưu kết quả khác với Chưa xét được; không báo thành công giả
Xem chi tiết</t>
        </is>
      </c>
      <c r="C526" s="18" t="inlineStr">
        <is>
          <t>Chuẩn bị: Bị chặn
Kỳ vọng: Đã xác nhận
Dữ liệu (trích): Nhánh linked-delete-save-failure trong thủ tục và Expected của…
Thao tác (trích): 1. Với `*-success-delete`, dùng ba bản reset riêng và xóa ô Toán lần lượt bằng nhập trực tiếp, Đăng ký thành…
Xem chi tiết</t>
        </is>
      </c>
      <c r="D526" s="18" t="inlineStr">
        <is>
          <t>Kỳ vọng: Đã xác nhận
1. Mỗi đường xóa thành công chỉ xóa điểm/kết quả Toán của identity đích; Ngữ văn vẫn Đỏ và S01 vẫn qua bộ lọc nhờ Ngữ văn. CSV phải ánh xạ đúng ô.…
Xem chi tiết</t>
        </is>
      </c>
      <c r="E526" s="19" t="inlineStr"/>
      <c r="F526" s="19" t="inlineStr">
        <is>
          <t>Chưa thực hiện</t>
        </is>
      </c>
      <c r="G526" s="19" t="inlineStr"/>
    </row>
    <row r="527" ht="180" customHeight="1">
      <c r="A527" s="18" t="inlineStr">
        <is>
          <t>TC-RS-ERR-002 / direct-delete-result-write-failure</t>
        </is>
      </c>
      <c r="B527" s="18" t="inlineStr">
        <is>
          <t>Lỗi và cập nhật kết quả
Lỗi kỹ thuật khi lưu kết quả khác với Chưa xét được; không báo thành công giả
Xem chi tiết</t>
        </is>
      </c>
      <c r="C527" s="18" t="inlineStr">
        <is>
          <t>Chuẩn bị: Bị chặn
Kỳ vọng: Đã xác nhận
Dữ liệu (trích): Nhánh direct-delete-result-write-failure trong thủ tục và…
Thao tác (trích): 1. Với `*-success-delete`, dùng ba bản reset riêng và xóa ô Toán lần lượt bằng nhập trực tiếp, Đăng ký thành…
Xem chi tiết</t>
        </is>
      </c>
      <c r="D527" s="18" t="inlineStr">
        <is>
          <t>Kỳ vọng: Đã xác nhận
1. Mỗi đường xóa thành công chỉ xóa điểm/kết quả Toán của identity đích; Ngữ văn vẫn Đỏ và S01 vẫn qua bộ lọc nhờ Ngữ văn. CSV phải ánh xạ đúng ô.…
Xem chi tiết</t>
        </is>
      </c>
      <c r="E527" s="19" t="inlineStr"/>
      <c r="F527" s="19" t="inlineStr">
        <is>
          <t>Chưa thực hiện</t>
        </is>
      </c>
      <c r="G527" s="19" t="inlineStr"/>
    </row>
    <row r="528" ht="180" customHeight="1">
      <c r="A528" s="18" t="inlineStr">
        <is>
          <t>TC-RS-ERR-002 / csv-delete-result-write-failure</t>
        </is>
      </c>
      <c r="B528" s="18" t="inlineStr">
        <is>
          <t>Lỗi và cập nhật kết quả
Lỗi kỹ thuật khi lưu kết quả khác với Chưa xét được; không báo thành công giả
Xem chi tiết</t>
        </is>
      </c>
      <c r="C528" s="18" t="inlineStr">
        <is>
          <t>Chuẩn bị: Bị chặn
Kỳ vọng: Đã xác nhận
Dữ liệu (trích): Nhánh csv-delete-result-write-failure trong thủ tục và Expected…
Thao tác (trích): 1. Với `*-success-delete`, dùng ba bản reset riêng và xóa ô Toán lần lượt bằng nhập trực tiếp, Đăng ký thành…
Xem chi tiết</t>
        </is>
      </c>
      <c r="D528" s="18" t="inlineStr">
        <is>
          <t>Kỳ vọng: Đã xác nhận
1. Mỗi đường xóa thành công chỉ xóa điểm/kết quả Toán của identity đích; Ngữ văn vẫn Đỏ và S01 vẫn qua bộ lọc nhờ Ngữ văn. CSV phải ánh xạ đúng ô.…
Xem chi tiết</t>
        </is>
      </c>
      <c r="E528" s="19" t="inlineStr"/>
      <c r="F528" s="19" t="inlineStr">
        <is>
          <t>Chưa thực hiện</t>
        </is>
      </c>
      <c r="G528" s="19" t="inlineStr"/>
    </row>
    <row r="529" ht="180" customHeight="1">
      <c r="A529" s="18" t="inlineStr">
        <is>
          <t>TC-RS-ERR-002 / linked-delete-result-write-failure</t>
        </is>
      </c>
      <c r="B529" s="18" t="inlineStr">
        <is>
          <t>Lỗi và cập nhật kết quả
Lỗi kỹ thuật khi lưu kết quả khác với Chưa xét được; không báo thành công giả
Xem chi tiết</t>
        </is>
      </c>
      <c r="C529" s="18" t="inlineStr">
        <is>
          <t>Chuẩn bị: Bị chặn
Kỳ vọng: Đã xác nhận
Dữ liệu (trích): Nhánh linked-delete-result-write-failure trong thủ tục và…
Thao tác (trích): 1. Với `*-success-delete`, dùng ba bản reset riêng và xóa ô Toán lần lượt bằng nhập trực tiếp, Đăng ký thành…
Xem chi tiết</t>
        </is>
      </c>
      <c r="D529" s="18" t="inlineStr">
        <is>
          <t>Kỳ vọng: Đã xác nhận
1. Mỗi đường xóa thành công chỉ xóa điểm/kết quả Toán của identity đích; Ngữ văn vẫn Đỏ và S01 vẫn qua bộ lọc nhờ Ngữ văn. CSV phải ánh xạ đúng ô.…
Xem chi tiết</t>
        </is>
      </c>
      <c r="E529" s="19" t="inlineStr"/>
      <c r="F529" s="19" t="inlineStr">
        <is>
          <t>Chưa thực hiện</t>
        </is>
      </c>
      <c r="G529" s="19" t="inlineStr"/>
    </row>
    <row r="530" ht="180" customHeight="1">
      <c r="A530" s="18" t="inlineStr">
        <is>
          <t>TC-RS-ERR-002 / direct-edit-save-failure</t>
        </is>
      </c>
      <c r="B530" s="18" t="inlineStr">
        <is>
          <t>Lỗi và cập nhật kết quả
Lỗi kỹ thuật khi lưu kết quả khác với Chưa xét được; không báo thành công giả
Xem chi tiết</t>
        </is>
      </c>
      <c r="C530" s="18" t="inlineStr">
        <is>
          <t>Chuẩn bị: Bị chặn
Kỳ vọng: Đã xác nhận
Dữ liệu (trích): Nhánh direct-edit-save-failure trong thủ tục và Expected của…
Thao tác (trích): 1. Với `*-success-delete`, dùng ba bản reset riêng và xóa ô Toán lần lượt bằng nhập trực tiếp, Đăng ký thành…
Xem chi tiết</t>
        </is>
      </c>
      <c r="D530" s="18" t="inlineStr">
        <is>
          <t>Kỳ vọng: Đã xác nhận
1. Mỗi đường xóa thành công chỉ xóa điểm/kết quả Toán của identity đích; Ngữ văn vẫn Đỏ và S01 vẫn qua bộ lọc nhờ Ngữ văn. CSV phải ánh xạ đúng ô.…
Xem chi tiết</t>
        </is>
      </c>
      <c r="E530" s="19" t="inlineStr"/>
      <c r="F530" s="19" t="inlineStr">
        <is>
          <t>Chưa thực hiện</t>
        </is>
      </c>
      <c r="G530" s="19" t="inlineStr"/>
    </row>
    <row r="531" ht="180" customHeight="1">
      <c r="A531" s="18" t="inlineStr">
        <is>
          <t>TC-RS-ERR-002 / csv-edit-save-failure</t>
        </is>
      </c>
      <c r="B531" s="18" t="inlineStr">
        <is>
          <t>Lỗi và cập nhật kết quả
Lỗi kỹ thuật khi lưu kết quả khác với Chưa xét được; không báo thành công giả
Xem chi tiết</t>
        </is>
      </c>
      <c r="C531" s="18" t="inlineStr">
        <is>
          <t>Chuẩn bị: Bị chặn
Kỳ vọng: Đã xác nhận
Dữ liệu (trích): Nhánh csv-edit-save-failure trong thủ tục và Expected của case;…
Thao tác (trích): 1. Với `*-success-delete`, dùng ba bản reset riêng và xóa ô Toán lần lượt bằng nhập trực tiếp, Đăng ký thành…
Xem chi tiết</t>
        </is>
      </c>
      <c r="D531" s="18" t="inlineStr">
        <is>
          <t>Kỳ vọng: Đã xác nhận
1. Mỗi đường xóa thành công chỉ xóa điểm/kết quả Toán của identity đích; Ngữ văn vẫn Đỏ và S01 vẫn qua bộ lọc nhờ Ngữ văn. CSV phải ánh xạ đúng ô.…
Xem chi tiết</t>
        </is>
      </c>
      <c r="E531" s="19" t="inlineStr"/>
      <c r="F531" s="19" t="inlineStr">
        <is>
          <t>Chưa thực hiện</t>
        </is>
      </c>
      <c r="G531" s="19" t="inlineStr"/>
    </row>
    <row r="532" ht="180" customHeight="1">
      <c r="A532" s="18" t="inlineStr">
        <is>
          <t>TC-RS-ERR-002 / linked-edit-save-failure</t>
        </is>
      </c>
      <c r="B532" s="18" t="inlineStr">
        <is>
          <t>Lỗi và cập nhật kết quả
Lỗi kỹ thuật khi lưu kết quả khác với Chưa xét được; không báo thành công giả
Xem chi tiết</t>
        </is>
      </c>
      <c r="C532" s="18" t="inlineStr">
        <is>
          <t>Chuẩn bị: Bị chặn
Kỳ vọng: Đã xác nhận
Dữ liệu (trích): Nhánh linked-edit-save-failure trong thủ tục và Expected của…
Thao tác (trích): 1. Với `*-success-delete`, dùng ba bản reset riêng và xóa ô Toán lần lượt bằng nhập trực tiếp, Đăng ký thành…
Xem chi tiết</t>
        </is>
      </c>
      <c r="D532" s="18" t="inlineStr">
        <is>
          <t>Kỳ vọng: Đã xác nhận
1. Mỗi đường xóa thành công chỉ xóa điểm/kết quả Toán của identity đích; Ngữ văn vẫn Đỏ và S01 vẫn qua bộ lọc nhờ Ngữ văn. CSV phải ánh xạ đúng ô.…
Xem chi tiết</t>
        </is>
      </c>
      <c r="E532" s="19" t="inlineStr"/>
      <c r="F532" s="19" t="inlineStr">
        <is>
          <t>Chưa thực hiện</t>
        </is>
      </c>
      <c r="G532" s="19" t="inlineStr"/>
    </row>
    <row r="533" ht="180" customHeight="1">
      <c r="A533" s="18" t="inlineStr">
        <is>
          <t>TC-RS-ERR-002 / direct-edit-result-write-failure</t>
        </is>
      </c>
      <c r="B533" s="18" t="inlineStr">
        <is>
          <t>Lỗi và cập nhật kết quả
Lỗi kỹ thuật khi lưu kết quả khác với Chưa xét được; không báo thành công giả
Xem chi tiết</t>
        </is>
      </c>
      <c r="C533" s="18" t="inlineStr">
        <is>
          <t>Chuẩn bị: Bị chặn
Kỳ vọng: Đã xác nhận
Dữ liệu (trích): Nhánh direct-edit-result-write-failure trong thủ tục và Expected…
Thao tác (trích): 1. Với `*-success-delete`, dùng ba bản reset riêng và xóa ô Toán lần lượt bằng nhập trực tiếp, Đăng ký thành…
Xem chi tiết</t>
        </is>
      </c>
      <c r="D533" s="18" t="inlineStr">
        <is>
          <t>Kỳ vọng: Đã xác nhận
1. Mỗi đường xóa thành công chỉ xóa điểm/kết quả Toán của identity đích; Ngữ văn vẫn Đỏ và S01 vẫn qua bộ lọc nhờ Ngữ văn. CSV phải ánh xạ đúng ô.…
Xem chi tiết</t>
        </is>
      </c>
      <c r="E533" s="19" t="inlineStr"/>
      <c r="F533" s="19" t="inlineStr">
        <is>
          <t>Chưa thực hiện</t>
        </is>
      </c>
      <c r="G533" s="19" t="inlineStr"/>
    </row>
    <row r="534" ht="180" customHeight="1">
      <c r="A534" s="18" t="inlineStr">
        <is>
          <t>TC-RS-ERR-002 / csv-edit-result-write-failure</t>
        </is>
      </c>
      <c r="B534" s="18" t="inlineStr">
        <is>
          <t>Lỗi và cập nhật kết quả
Lỗi kỹ thuật khi lưu kết quả khác với Chưa xét được; không báo thành công giả
Xem chi tiết</t>
        </is>
      </c>
      <c r="C534" s="18" t="inlineStr">
        <is>
          <t>Chuẩn bị: Bị chặn
Kỳ vọng: Đã xác nhận
Dữ liệu (trích): Nhánh csv-edit-result-write-failure trong thủ tục và Expected…
Thao tác (trích): 1. Với `*-success-delete`, dùng ba bản reset riêng và xóa ô Toán lần lượt bằng nhập trực tiếp, Đăng ký thành…
Xem chi tiết</t>
        </is>
      </c>
      <c r="D534" s="18" t="inlineStr">
        <is>
          <t>Kỳ vọng: Đã xác nhận
1. Mỗi đường xóa thành công chỉ xóa điểm/kết quả Toán của identity đích; Ngữ văn vẫn Đỏ và S01 vẫn qua bộ lọc nhờ Ngữ văn. CSV phải ánh xạ đúng ô.…
Xem chi tiết</t>
        </is>
      </c>
      <c r="E534" s="19" t="inlineStr"/>
      <c r="F534" s="19" t="inlineStr">
        <is>
          <t>Chưa thực hiện</t>
        </is>
      </c>
      <c r="G534" s="19" t="inlineStr"/>
    </row>
    <row r="535" ht="180" customHeight="1">
      <c r="A535" s="18" t="inlineStr">
        <is>
          <t>TC-RS-ERR-002 / linked-edit-result-write-failure</t>
        </is>
      </c>
      <c r="B535" s="18" t="inlineStr">
        <is>
          <t>Lỗi và cập nhật kết quả
Lỗi kỹ thuật khi lưu kết quả khác với Chưa xét được; không báo thành công giả
Xem chi tiết</t>
        </is>
      </c>
      <c r="C535" s="18" t="inlineStr">
        <is>
          <t>Chuẩn bị: Bị chặn
Kỳ vọng: Đã xác nhận
Dữ liệu (trích): Nhánh linked-edit-result-write-failure trong thủ tục và Expected…
Thao tác (trích): 1. Với `*-success-delete`, dùng ba bản reset riêng và xóa ô Toán lần lượt bằng nhập trực tiếp, Đăng ký thành…
Xem chi tiết</t>
        </is>
      </c>
      <c r="D535" s="18" t="inlineStr">
        <is>
          <t>Kỳ vọng: Đã xác nhận
1. Mỗi đường xóa thành công chỉ xóa điểm/kết quả Toán của identity đích; Ngữ văn vẫn Đỏ và S01 vẫn qua bộ lọc nhờ Ngữ văn. CSV phải ánh xạ đúng ô.…
Xem chi tiết</t>
        </is>
      </c>
      <c r="E535" s="19" t="inlineStr"/>
      <c r="F535" s="19" t="inlineStr">
        <is>
          <t>Chưa thực hiện</t>
        </is>
      </c>
      <c r="G535" s="19" t="inlineStr"/>
    </row>
    <row r="536" ht="146" customHeight="1">
      <c r="A536" s="18" t="inlineStr">
        <is>
          <t>TC-RS-ERR-003 / partial-G-A2-failure</t>
        </is>
      </c>
      <c r="B536" s="18" t="inlineStr">
        <is>
          <t>Trạng thái kết quả và lỗi — Lỗi và cập nhật kết quả
Batch hoàn tất một phần: báo đúng phạm vi đã/không cập nhật</t>
        </is>
      </c>
      <c r="C536" s="18" t="inlineStr">
        <is>
          <t>Chuẩn bị: Bị chặn
Kỳ vọng: Đã xác nhận
Dữ liệu (trích): Nhánh partial-G-A2-failure trong thủ tục và Expected của case;…
Thao tác (trích): 1. Chạy nút cam cho khối.…
Xem chi tiết</t>
        </is>
      </c>
      <c r="D536" s="18" t="inlineStr">
        <is>
          <t>Kỳ vọng: Đã xác nhận
1–2. G-A1 cập nhật; G-A2 giữ trạng thái trước lượt. Thông báo cho biết phạm vi đã cập nhật, chưa cập nhật và cần chạy lại; không báo hoàn tất toàn bộ; không suy số lớp đã xử lý…
Xem chi tiết</t>
        </is>
      </c>
      <c r="E536" s="19" t="inlineStr"/>
      <c r="F536" s="19" t="inlineStr">
        <is>
          <t>Chưa thực hiện</t>
        </is>
      </c>
      <c r="G536" s="19" t="inlineStr"/>
    </row>
    <row r="537" ht="146" customHeight="1">
      <c r="A537" s="18" t="inlineStr">
        <is>
          <t>TC-RS-ERR-003 / retry-G-A2-only</t>
        </is>
      </c>
      <c r="B537" s="18" t="inlineStr">
        <is>
          <t>Trạng thái kết quả và lỗi — Lỗi và cập nhật kết quả
Batch hoàn tất một phần: báo đúng phạm vi đã/không cập nhật</t>
        </is>
      </c>
      <c r="C537" s="18" t="inlineStr">
        <is>
          <t>Chuẩn bị: Bị chặn
Kỳ vọng: Đã xác nhận
Dữ liệu (trích): Nhánh retry-G-A2-only trong thủ tục và Expected của case; thực…
Thao tác (trích): 1. Chạy nút cam cho khối.…
Xem chi tiết</t>
        </is>
      </c>
      <c r="D537" s="18" t="inlineStr">
        <is>
          <t>Kỳ vọng: Đã xác nhận
1–2. G-A1 cập nhật; G-A2 giữ trạng thái trước lượt. Thông báo cho biết phạm vi đã cập nhật, chưa cập nhật và cần chạy lại; không báo hoàn tất toàn bộ; không suy số lớp đã xử lý…
Xem chi tiết</t>
        </is>
      </c>
      <c r="E537" s="19" t="inlineStr"/>
      <c r="F537" s="19" t="inlineStr">
        <is>
          <t>Chưa thực hiện</t>
        </is>
      </c>
      <c r="G537" s="19" t="inlineStr"/>
    </row>
    <row r="538" ht="146" customHeight="1">
      <c r="A538" s="18" t="inlineStr">
        <is>
          <t>TC-RS-ERR-003 / concurrent-score-write</t>
        </is>
      </c>
      <c r="B538" s="18" t="inlineStr">
        <is>
          <t>Trạng thái kết quả và lỗi — Lỗi và cập nhật kết quả
Batch hoàn tất một phần: báo đúng phạm vi đã/không cập nhật</t>
        </is>
      </c>
      <c r="C538" s="18" t="inlineStr">
        <is>
          <t>Chuẩn bị: Bị chặn
Kỳ vọng: Đã xác nhận
Dữ liệu (trích): Nhánh concurrent-score-write trong thủ tục và Expected của case;…
Thao tác (trích): 1. Chạy nút cam cho khối.…
Xem chi tiết</t>
        </is>
      </c>
      <c r="D538" s="18" t="inlineStr">
        <is>
          <t>Kỳ vọng: Đã xác nhận
1–2. G-A1 cập nhật; G-A2 giữ trạng thái trước lượt. Thông báo cho biết phạm vi đã cập nhật, chưa cập nhật và cần chạy lại; không báo hoàn tất toàn bộ; không suy số lớp đã xử lý…
Xem chi tiết</t>
        </is>
      </c>
      <c r="E538" s="19" t="inlineStr"/>
      <c r="F538" s="19" t="inlineStr">
        <is>
          <t>Chưa thực hiện</t>
        </is>
      </c>
      <c r="G538" s="19" t="inlineStr"/>
    </row>
    <row r="539" ht="180" customHeight="1">
      <c r="A539" s="18" t="inlineStr">
        <is>
          <t>TC-RS-ERR-004 / Base</t>
        </is>
      </c>
      <c r="B539" s="18" t="inlineStr">
        <is>
          <t>Trạng thái kết quả và lỗi — Lỗi và cập nhật kết quả
Đã xếp hàng không phải đã hoàn tất; bấm chạy trùng</t>
        </is>
      </c>
      <c r="C539" s="18" t="inlineStr">
        <is>
          <t>Chuẩn bị: Đang chuẩn bị
Kỳ vọng: Đã xác nhận
Dữ liệu (trích): Toàn bộ thủ tục theo đúng thứ tự; các đối chứng cùng fixture…
Thao tác (trích): 1. Bấm Thực hiện tính toán tự động（自動算出実行）, đọc thông báo ngay khi request trả về.…
Xem chi tiết</t>
        </is>
      </c>
      <c r="D539" s="18" t="inlineStr">
        <is>
          <t>Kỳ vọng: Đã xác nhận
1. Nếu xử lý chạy nền: thông báo là đã nhận/xếp hàng, không phải đã hoàn tất; kết quả chưa đổi cho tới khi xử lý xong.…
Xem chi tiết</t>
        </is>
      </c>
      <c r="E539" s="19" t="inlineStr"/>
      <c r="F539" s="19" t="inlineStr">
        <is>
          <t>Chưa thực hiện</t>
        </is>
      </c>
      <c r="G539" s="19" t="inlineStr"/>
    </row>
    <row r="540" ht="163" customHeight="1">
      <c r="A540" s="18" t="inlineStr">
        <is>
          <t>TC-RS-ERR-005 / save-error</t>
        </is>
      </c>
      <c r="B540" s="18" t="inlineStr">
        <is>
          <t>Trạng thái kết quả và lỗi — Lỗi và cập nhật kết quả
Thông báo lỗi không lộ SQL, stack trace hoặc dữ liệu ngoài quyền</t>
        </is>
      </c>
      <c r="C540" s="18" t="inlineStr">
        <is>
          <t>Chuẩn bị: Đang chuẩn bị
Kỳ vọng: Đã xác nhận
Dữ liệu (trích): Lỗi lưu theo ERR-002
Thao tác (trích): Thu thập mọi thông báo lỗi hiển thị cho người dùng trong các case trên.
Xem chi tiết</t>
        </is>
      </c>
      <c r="D540" s="18" t="inlineStr">
        <is>
          <t>Không có câu SQL, stack trace, đường dẫn file server hoặc tên/điểm học sinh ngoài quyền người thao tác.
Bảo toàn: Giữ điểm, cấu hình và đối tượng không đích theo expected; chỉ thay phần thủ tục yêu cầu, không tự đổi oracle hoặc mở rộng phạm vi.</t>
        </is>
      </c>
      <c r="E540" s="19" t="inlineStr"/>
      <c r="F540" s="19" t="inlineStr">
        <is>
          <t>Chưa thực hiện</t>
        </is>
      </c>
      <c r="G540" s="19" t="inlineStr"/>
    </row>
    <row r="541" ht="163" customHeight="1">
      <c r="A541" s="18" t="inlineStr">
        <is>
          <t>TC-RS-ERR-005 / batch-error</t>
        </is>
      </c>
      <c r="B541" s="18" t="inlineStr">
        <is>
          <t>Trạng thái kết quả và lỗi — Lỗi và cập nhật kết quả
Thông báo lỗi không lộ SQL, stack trace hoặc dữ liệu ngoài quyền</t>
        </is>
      </c>
      <c r="C541" s="18" t="inlineStr">
        <is>
          <t>Chuẩn bị: Đang chuẩn bị
Kỳ vọng: Đã xác nhận
Dữ liệu (trích): Lỗi batch theo ERR-003
Thao tác (trích): Thu thập mọi thông báo lỗi hiển thị cho người dùng trong các case trên.
Xem chi tiết</t>
        </is>
      </c>
      <c r="D541" s="18" t="inlineStr">
        <is>
          <t>Không có câu SQL, stack trace, đường dẫn file server hoặc tên/điểm học sinh ngoài quyền người thao tác.
Bảo toàn: Giữ điểm, cấu hình và đối tượng không đích theo expected; chỉ thay phần thủ tục yêu cầu, không tự đổi oracle hoặc mở rộng phạm vi.</t>
        </is>
      </c>
      <c r="E541" s="19" t="inlineStr"/>
      <c r="F541" s="19" t="inlineStr">
        <is>
          <t>Chưa thực hiện</t>
        </is>
      </c>
      <c r="G541" s="19" t="inlineStr"/>
    </row>
    <row r="542" ht="163" customHeight="1">
      <c r="A542" s="18" t="inlineStr">
        <is>
          <t>TC-RS-ERR-005 / permission-error</t>
        </is>
      </c>
      <c r="B542" s="18" t="inlineStr">
        <is>
          <t>Trạng thái kết quả và lỗi — Lỗi và cập nhật kết quả
Thông báo lỗi không lộ SQL, stack trace hoặc dữ liệu ngoài quyền</t>
        </is>
      </c>
      <c r="C542" s="18" t="inlineStr">
        <is>
          <t>Chuẩn bị: Đang chuẩn bị
Kỳ vọng: Đã xác nhận
Dữ liệu (trích): Lỗi quyền theo ERR-006
Thao tác (trích): Thu thập mọi thông báo lỗi hiển thị cho người dùng trong các case trên.
Xem chi tiết</t>
        </is>
      </c>
      <c r="D542" s="18" t="inlineStr">
        <is>
          <t>Không có câu SQL, stack trace, đường dẫn file server hoặc tên/điểm học sinh ngoài quyền người thao tác.
Bảo toàn: Giữ điểm, cấu hình và đối tượng không đích theo expected; chỉ thay phần thủ tục yêu cầu, không tự đổi oracle hoặc mở rộng phạm vi.</t>
        </is>
      </c>
      <c r="E542" s="19" t="inlineStr"/>
      <c r="F542" s="19" t="inlineStr">
        <is>
          <t>Chưa thực hiện</t>
        </is>
      </c>
      <c r="G542" s="19" t="inlineStr"/>
    </row>
    <row r="543" ht="163" customHeight="1">
      <c r="A543" s="18" t="inlineStr">
        <is>
          <t>TC-RS-ERR-005 / input-error</t>
        </is>
      </c>
      <c r="B543" s="18" t="inlineStr">
        <is>
          <t>Trạng thái kết quả và lỗi — Lỗi và cập nhật kết quả
Thông báo lỗi không lộ SQL, stack trace hoặc dữ liệu ngoài quyền</t>
        </is>
      </c>
      <c r="C543" s="18" t="inlineStr">
        <is>
          <t>Chuẩn bị: Đang chuẩn bị
Kỳ vọng: Đã xác nhận
Dữ liệu (trích): Lỗi dữ liệu theo ERR-009
Thao tác (trích): Thu thập mọi thông báo lỗi hiển thị cho người dùng trong các case trên.
Xem chi tiết</t>
        </is>
      </c>
      <c r="D543" s="18" t="inlineStr">
        <is>
          <t>Không có câu SQL, stack trace, đường dẫn file server hoặc tên/điểm học sinh ngoài quyền người thao tác.
Bảo toàn: Giữ điểm, cấu hình và đối tượng không đích theo expected; chỉ thay phần thủ tục yêu cầu, không tự đổi oracle hoặc mở rộng phạm vi.</t>
        </is>
      </c>
      <c r="E543" s="19" t="inlineStr"/>
      <c r="F543" s="19" t="inlineStr">
        <is>
          <t>Chưa thực hiện</t>
        </is>
      </c>
      <c r="G543" s="19" t="inlineStr"/>
    </row>
    <row r="544" ht="163" customHeight="1">
      <c r="A544" s="18" t="inlineStr">
        <is>
          <t>TC-RS-ERR-011 / score-update</t>
        </is>
      </c>
      <c r="B544" s="18" t="inlineStr">
        <is>
          <t>Lỗi và cập nhật kết quả
Lượt cũ hoàn tất muộn không ghi đè kết quả của điểm/cấu hình mới hơn
Xem chi tiết</t>
        </is>
      </c>
      <c r="C544" s="18" t="inlineStr">
        <is>
          <t>Chuẩn bị: Đang chuẩn bị
Kỳ vọng: Đã xác nhận
Dữ liệu (trích): Nhánh score-update trong thủ tục và Expected của case; thực hiện…
Thao tác (trích): 1. Khi batch chưa xong, sửa S01 từ 29 thành 40 và lưu.…
Xem chi tiết</t>
        </is>
      </c>
      <c r="D544" s="18" t="inlineStr">
        <is>
          <t>Kỳ vọng: Đã xác nhận
1–2. S01 = 40 và Không đỏ; batch cũ không ghi lại kết quả Đỏ của điểm 29.…
Xem chi tiết</t>
        </is>
      </c>
      <c r="E544" s="19" t="inlineStr"/>
      <c r="F544" s="19" t="inlineStr">
        <is>
          <t>Chưa thực hiện</t>
        </is>
      </c>
      <c r="G544" s="19" t="inlineStr"/>
    </row>
    <row r="545" ht="163" customHeight="1">
      <c r="A545" s="18" t="inlineStr">
        <is>
          <t>TC-RS-ERR-011 / rule-update</t>
        </is>
      </c>
      <c r="B545" s="18" t="inlineStr">
        <is>
          <t>Lỗi và cập nhật kết quả
Lượt cũ hoàn tất muộn không ghi đè kết quả của điểm/cấu hình mới hơn
Xem chi tiết</t>
        </is>
      </c>
      <c r="C545" s="18" t="inlineStr">
        <is>
          <t>Chuẩn bị: Đang chuẩn bị
Kỳ vọng: Đã xác nhận
Dữ liệu (trích): Nhánh rule-update trong thủ tục và Expected của case; thực hiện…
Thao tác (trích): 1. Khi batch chưa xong, sửa S01 từ 29 thành 40 và lưu.…
Xem chi tiết</t>
        </is>
      </c>
      <c r="D545" s="18" t="inlineStr">
        <is>
          <t>Kỳ vọng: Đã xác nhận
1–2. S01 = 40 và Không đỏ; batch cũ không ghi lại kết quả Đỏ của điểm 29.…
Xem chi tiết</t>
        </is>
      </c>
      <c r="E545" s="19" t="inlineStr"/>
      <c r="F545" s="19" t="inlineStr">
        <is>
          <t>Chưa thực hiện</t>
        </is>
      </c>
      <c r="G545" s="19" t="inlineStr"/>
    </row>
    <row r="546" ht="163" customHeight="1">
      <c r="A546" s="18" t="inlineStr">
        <is>
          <t>TC-RS-ERR-011 / aggregation-snapshot-update</t>
        </is>
      </c>
      <c r="B546" s="18" t="inlineStr">
        <is>
          <t>Lỗi và cập nhật kết quả
Lượt cũ hoàn tất muộn không ghi đè kết quả của điểm/cấu hình mới hơn
Xem chi tiết</t>
        </is>
      </c>
      <c r="C546" s="18" t="inlineStr">
        <is>
          <t>Chuẩn bị: Đang chuẩn bị
Kỳ vọng: Đã xác nhận
Dữ liệu (trích): Nhánh aggregation-snapshot-update trong thủ tục và Expected của…
Thao tác (trích): 1. Khi batch chưa xong, sửa S01 từ 29 thành 40 và lưu.…
Xem chi tiết</t>
        </is>
      </c>
      <c r="D546" s="18" t="inlineStr">
        <is>
          <t>Kỳ vọng: Đã xác nhận
1–2. S01 = 40 và Không đỏ; batch cũ không ghi lại kết quả Đỏ của điểm 29.…
Xem chi tiết</t>
        </is>
      </c>
      <c r="E546" s="19" t="inlineStr"/>
      <c r="F546" s="19" t="inlineStr">
        <is>
          <t>Chưa thực hiện</t>
        </is>
      </c>
      <c r="G546" s="19" t="inlineStr"/>
    </row>
    <row r="547" ht="163" customHeight="1">
      <c r="A547" s="18" t="inlineStr">
        <is>
          <t>TC-RS-ERR-011 / edit-away-and-back</t>
        </is>
      </c>
      <c r="B547" s="18" t="inlineStr">
        <is>
          <t>Lỗi và cập nhật kết quả
Lượt cũ hoàn tất muộn không ghi đè kết quả của điểm/cấu hình mới hơn
Xem chi tiết</t>
        </is>
      </c>
      <c r="C547" s="18" t="inlineStr">
        <is>
          <t>Chuẩn bị: Đang chuẩn bị
Kỳ vọng: Đã xác nhận
Dữ liệu (trích): Nhánh edit-away-and-back trong thủ tục và Expected của case;…
Thao tác (trích): 1. Khi batch chưa xong, sửa S01 từ 29 thành 40 và lưu.…
Xem chi tiết</t>
        </is>
      </c>
      <c r="D547" s="18" t="inlineStr">
        <is>
          <t>Kỳ vọng: Đã xác nhận
1–2. S01 = 40 và Không đỏ; batch cũ không ghi lại kết quả Đỏ của điểm 29.…
Xem chi tiết</t>
        </is>
      </c>
      <c r="E547" s="19" t="inlineStr"/>
      <c r="F547" s="19" t="inlineStr">
        <is>
          <t>Chưa thực hiện</t>
        </is>
      </c>
      <c r="G547" s="19" t="inlineStr"/>
    </row>
    <row r="548" ht="163" customHeight="1">
      <c r="A548" s="18" t="inlineStr">
        <is>
          <t>TC-RS-ERR-011 / delete-and-recreate</t>
        </is>
      </c>
      <c r="B548" s="18" t="inlineStr">
        <is>
          <t>Lỗi và cập nhật kết quả
Lượt cũ hoàn tất muộn không ghi đè kết quả của điểm/cấu hình mới hơn
Xem chi tiết</t>
        </is>
      </c>
      <c r="C548" s="18" t="inlineStr">
        <is>
          <t>Chuẩn bị: Đang chuẩn bị
Kỳ vọng: Đã xác nhận
Dữ liệu (trích): Nhánh delete-and-recreate trong thủ tục và Expected của case;…
Thao tác (trích): 1. Khi batch chưa xong, sửa S01 từ 29 thành 40 và lưu.…
Xem chi tiết</t>
        </is>
      </c>
      <c r="D548" s="18" t="inlineStr">
        <is>
          <t>Kỳ vọng: Đã xác nhận
1–2. S01 = 40 và Không đỏ; batch cũ không ghi lại kết quả Đỏ của điểm 29.…
Xem chi tiết</t>
        </is>
      </c>
      <c r="E548" s="19" t="inlineStr"/>
      <c r="F548" s="19" t="inlineStr">
        <is>
          <t>Chưa thực hiện</t>
        </is>
      </c>
      <c r="G548" s="19" t="inlineStr"/>
    </row>
    <row r="549" ht="163" customHeight="1">
      <c r="A549" s="18" t="inlineStr">
        <is>
          <t>TC-RS-ERR-011 / rule-update-without-score-write</t>
        </is>
      </c>
      <c r="B549" s="18" t="inlineStr">
        <is>
          <t>Lỗi và cập nhật kết quả
Lượt cũ hoàn tất muộn không ghi đè kết quả của điểm/cấu hình mới hơn
Xem chi tiết</t>
        </is>
      </c>
      <c r="C549" s="18" t="inlineStr">
        <is>
          <t>Chuẩn bị: Đang chuẩn bị
Kỳ vọng: Đã xác nhận
Dữ liệu (trích): Nhánh rule-update-without-score-write trong thủ tục và Expected…
Thao tác (trích): 1. Khi batch chưa xong, sửa S01 từ 29 thành 40 và lưu.…
Xem chi tiết</t>
        </is>
      </c>
      <c r="D549" s="18" t="inlineStr">
        <is>
          <t>Kỳ vọng: Đã xác nhận
1–2. S01 = 40 và Không đỏ; batch cũ không ghi lại kết quả Đỏ của điểm 29.…
Xem chi tiết</t>
        </is>
      </c>
      <c r="E549" s="19" t="inlineStr"/>
      <c r="F549" s="19" t="inlineStr">
        <is>
          <t>Chưa thực hiện</t>
        </is>
      </c>
      <c r="G549" s="19" t="inlineStr"/>
    </row>
    <row r="550" ht="214" customHeight="1">
      <c r="A550" s="18" t="inlineStr">
        <is>
          <t>TC-RS-ERR-018 / concurrent</t>
        </is>
      </c>
      <c r="B550" s="18" t="inlineStr">
        <is>
          <t>Lỗi và cập nhật kết quả
Hai lượt xét lần đầu đồng thời hoặc gửi lại thao tác hoàn tất chỉ tạo một kết…
Xem chi tiết</t>
        </is>
      </c>
      <c r="C550" s="18" t="inlineStr">
        <is>
          <t>Chuẩn bị: Đang chuẩn bị
Kỳ vọng: Đã xác nhận
Dữ liệu (trích): Bước 1–2 hai lượt lần đầu
Thao tác (trích): 1. Cùng lúc: giáo viên lưu điểm S01 = 29 trên Đăng ký thành tích（成績登録） và người có quyền bấm nút cam cho G-A.…
Xem chi tiết</t>
        </is>
      </c>
      <c r="D550" s="18" t="inlineStr">
        <is>
          <t>1–2. S01 Đỏ; ô có đúng một kết quả hiện hành; ký hiệu đỏ không bị nhân đôi ở đầu ra (không có `**29`, `((29))`).
3. Không phát sinh dòng hoặc thao tác ghi thứ hai; kết quả không đổi.
Bảo toàn: Giữ điểm, cấu hình và đối tượng không đích theo expected; chỉ thay phần thủ tục yêu cầu, không tự đổi oracle hoặc mở rộng phạm vi.</t>
        </is>
      </c>
      <c r="E550" s="19" t="inlineStr"/>
      <c r="F550" s="19" t="inlineStr">
        <is>
          <t>Chưa thực hiện</t>
        </is>
      </c>
      <c r="G550" s="19" t="inlineStr"/>
    </row>
    <row r="551" ht="214" customHeight="1">
      <c r="A551" s="18" t="inlineStr">
        <is>
          <t>TC-RS-ERR-018 / replay-form</t>
        </is>
      </c>
      <c r="B551" s="18" t="inlineStr">
        <is>
          <t>Lỗi và cập nhật kết quả
Hai lượt xét lần đầu đồng thời hoặc gửi lại thao tác hoàn tất chỉ tạo một kết…
Xem chi tiết</t>
        </is>
      </c>
      <c r="C551" s="18" t="inlineStr">
        <is>
          <t>Chuẩn bị: Đang chuẩn bị
Kỳ vọng: Đã xác nhận
Dữ liệu (trích): Bước 3 gửi lại form sau baseline bước 1–2
Thao tác (trích): 1. Cùng lúc: giáo viên lưu điểm S01 = 29 trên Đăng ký thành tích（成績登録） và người có quyền bấm nút cam cho G-A.…
Xem chi tiết</t>
        </is>
      </c>
      <c r="D551" s="18" t="inlineStr">
        <is>
          <t>1–2. S01 Đỏ; ô có đúng một kết quả hiện hành; ký hiệu đỏ không bị nhân đôi ở đầu ra (không có `**29`, `((29))`).
3. Không phát sinh dòng hoặc thao tác ghi thứ hai; kết quả không đổi.
Bảo toàn: Giữ điểm, cấu hình và đối tượng không đích theo expected; chỉ thay phần thủ tục yêu cầu, không tự đổi oracle hoặc mở rộng phạm vi.</t>
        </is>
      </c>
      <c r="E551" s="19" t="inlineStr"/>
      <c r="F551" s="19" t="inlineStr">
        <is>
          <t>Chưa thực hiện</t>
        </is>
      </c>
      <c r="G551" s="19" t="inlineStr"/>
    </row>
    <row r="552" ht="214" customHeight="1">
      <c r="A552" s="18" t="inlineStr">
        <is>
          <t>TC-RS-ERR-018 / replay-job</t>
        </is>
      </c>
      <c r="B552" s="18" t="inlineStr">
        <is>
          <t>Lỗi và cập nhật kết quả
Hai lượt xét lần đầu đồng thời hoặc gửi lại thao tác hoàn tất chỉ tạo một kết…
Xem chi tiết</t>
        </is>
      </c>
      <c r="C552" s="18" t="inlineStr">
        <is>
          <t>Chuẩn bị: Đang chuẩn bị
Kỳ vọng: Đã xác nhận
Dữ liệu (trích): Bước 3 chạy lại job cùng lượt nếu có seam, không có seam thì…
Thao tác (trích): 1. Cùng lúc: giáo viên lưu điểm S01 = 29 trên Đăng ký thành tích（成績登録） và người có quyền bấm nút cam cho G-A.…
Xem chi tiết</t>
        </is>
      </c>
      <c r="D552" s="18" t="inlineStr">
        <is>
          <t>1–2. S01 Đỏ; ô có đúng một kết quả hiện hành; ký hiệu đỏ không bị nhân đôi ở đầu ra (không có `**29`, `((29))`).
3. Không phát sinh dòng hoặc thao tác ghi thứ hai; kết quả không đổi.
Bảo toàn: Giữ điểm, cấu hình và đối tượng không đích theo expected; chỉ thay phần thủ tục yêu cầu, không tự đổi oracle hoặc mở rộng phạm vi.</t>
        </is>
      </c>
      <c r="E552" s="19" t="inlineStr"/>
      <c r="F552" s="19" t="inlineStr">
        <is>
          <t>Chưa thực hiện</t>
        </is>
      </c>
      <c r="G552" s="19" t="inlineStr"/>
    </row>
    <row r="553" ht="214" customHeight="1">
      <c r="A553" s="18" t="inlineStr">
        <is>
          <t>TC-RS-ERR-019 / Base</t>
        </is>
      </c>
      <c r="B553" s="18" t="inlineStr">
        <is>
          <t>Lỗi và cập nhật kết quả
Đăng ký lần đầu đồng thời hai mục khác nhau của cùng học sinh giữ đủ cả hai
Xem chi tiết</t>
        </is>
      </c>
      <c r="C553" s="18" t="inlineStr">
        <is>
          <t>Chuẩn bị: Đang chuẩn bị
Kỳ vọng: Đã xác nhận
Dữ liệu (trích): Toàn bộ thủ tục theo đúng thứ tự; các đối chứng cùng fixture…
Thao tác (trích): 1. Hai phiên cùng lúc: phiên 1 lưu S01 = 29 cho mục số nguyên (M=100); phiên 2 lưu S01 = 45 cho mục thứ hai.…
Xem chi tiết</t>
        </is>
      </c>
      <c r="D553" s="18" t="inlineStr">
        <is>
          <t>- Cả hai điểm được giữ: mục số nguyên (M=100) = 29 (Đỏ), mục thứ hai = 45 (Không đỏ).
- Chỉ một dòng điểm vật lý cho S01/G-A/kỳ/điểm thường; không có dòng trùng; không mất điểm hoặc kết quả của mục nào.
Bảo toàn: Giữ điểm, cấu hình và đối tượng không đích theo expected; chỉ thay phần thủ tục yêu cầu, không tự đổi oracle hoặc mở rộng phạm vi.</t>
        </is>
      </c>
      <c r="E553" s="19" t="inlineStr"/>
      <c r="F553" s="19" t="inlineStr">
        <is>
          <t>Chưa thực hiện</t>
        </is>
      </c>
      <c r="G553" s="19" t="inlineStr"/>
    </row>
    <row r="554" ht="163" customHeight="1">
      <c r="A554" s="18" t="inlineStr">
        <is>
          <t>TC-RS-UI-025 / Base</t>
        </is>
      </c>
      <c r="B554" s="18" t="inlineStr">
        <is>
          <t>Phạm vi phát hành — Phạm vi triển khai
Loại ngưỡng/điều kiện chưa thuộc phạm vi phát hành không hiện như đang hoạt động</t>
        </is>
      </c>
      <c r="C554" s="18" t="inlineStr">
        <is>
          <t>Chuẩn bị: Đang chuẩn bị
Kỳ vọng: Đã xác nhận
Dữ liệu (trích): Toàn bộ thủ tục theo đúng thứ tự; các đối chứng cùng fixture…
Thao tác (trích): 1. Mở màn Điều kiện áp dụng（適用条件設定）, xem các loại điều kiện.…
Xem chi tiết</t>
        </is>
      </c>
      <c r="D554" s="18" t="inlineStr">
        <is>
          <t>Loại ngoài phạm vi không hiện như lựa chọn dùng được; không lưu được cấu hình dùng loại đó.
Bảo toàn: Giữ điểm, cấu hình và đối tượng không đích theo expected; chỉ thay phần thủ tục yêu cầu, không tự đổi oracle hoặc mở rộng phạm vi.</t>
        </is>
      </c>
      <c r="E554" s="19" t="inlineStr"/>
      <c r="F554" s="19" t="inlineStr">
        <is>
          <t>Chưa thực hiện</t>
        </is>
      </c>
      <c r="G554" s="19" t="inlineStr"/>
    </row>
    <row r="555" ht="146" customHeight="1">
      <c r="A555" s="18" t="inlineStr">
        <is>
          <t>TC-RS-REG-001 / Base</t>
        </is>
      </c>
      <c r="B555" s="18" t="inlineStr">
        <is>
          <t>Hồi quy luồng hiện có
Điểm do tính tự động（自動計算） tạo ra không đổi khi có quy tắc đỏ
Xem chi tiết</t>
        </is>
      </c>
      <c r="C555" s="18" t="inlineStr">
        <is>
          <t>Chuẩn bị: Đang chuẩn bị
Kỳ vọng: Đã xác nhận
Dữ liệu (trích): Toàn bộ thủ tục theo đúng thứ tự; các đối chứng cùng fixture…
Thao tác (trích): 1. Chạy nút cam cho khối 1.…
Xem chi tiết</t>
        </is>
      </c>
      <c r="D555" s="18" t="inlineStr">
        <is>
          <t>Mọi điểm tự động bằng baseline; chỉ có thêm kết quả đỏ.
Bảo toàn: Giữ điểm, cấu hình và đối tượng không đích theo expected; chỉ thay phần thủ tục yêu cầu, không tự đổi oracle hoặc mở rộng phạm vi.</t>
        </is>
      </c>
      <c r="E555" s="19" t="inlineStr"/>
      <c r="F555" s="19" t="inlineStr">
        <is>
          <t>Chưa thực hiện</t>
        </is>
      </c>
      <c r="G555" s="19" t="inlineStr"/>
    </row>
    <row r="556" ht="146" customHeight="1">
      <c r="A556" s="18" t="inlineStr">
        <is>
          <t>TC-RS-REG-002 / Base</t>
        </is>
      </c>
      <c r="B556" s="18" t="inlineStr">
        <is>
          <t>Hồi quy luồng hiện có
Quy tắc đỏ không kế thừa hành vi "không khớp thì ghi NULL" của AutoRating
Xem chi tiết</t>
        </is>
      </c>
      <c r="C556" s="18" t="inlineStr">
        <is>
          <t>Chuẩn bị: Đang chuẩn bị
Kỳ vọng: Đã xác nhận
Dữ liệu (trích): Toàn bộ thủ tục theo đúng thứ tự; các đối chứng cùng fixture…
Thao tác (trích): 1. Đăng ký S07=20; chạy nút cam.…
Xem chi tiết</t>
        </is>
      </c>
      <c r="D556" s="18" t="inlineStr">
        <is>
          <t>Điểm S07 vẫn 20 (không bị xóa/NULL); kết quả là Không áp dụng.
Bảo toàn: Giữ điểm, cấu hình và đối tượng không đích theo expected; chỉ thay phần thủ tục yêu cầu, không tự đổi oracle hoặc mở rộng phạm vi.</t>
        </is>
      </c>
      <c r="E556" s="19" t="inlineStr"/>
      <c r="F556" s="19" t="inlineStr">
        <is>
          <t>Chưa thực hiện</t>
        </is>
      </c>
      <c r="G556" s="19" t="inlineStr"/>
    </row>
    <row r="557" ht="163" customHeight="1">
      <c r="A557" s="18" t="inlineStr">
        <is>
          <t>TC-RS-REG-004 / orange</t>
        </is>
      </c>
      <c r="B557" s="18" t="inlineStr">
        <is>
          <t>Hồi quy luồng hiện có
Nút cam/nút xanh của trường đang dùng AutoRating hoạt động như trước
Xem chi tiết</t>
        </is>
      </c>
      <c r="C557" s="18" t="inlineStr">
        <is>
          <t>Chuẩn bị: Đang chuẩn bị
Kỳ vọng: Đã xác nhận
Dữ liệu (trích): Nút cam
Thao tác (trích): 1. Mở màn, chọn cùng phạm vi như baseline.…
Xem chi tiết</t>
        </is>
      </c>
      <c r="D557" s="18" t="inlineStr">
        <is>
          <t>Nút hiện, phạm vi chọn và danh sách lớp xếp hàng như baseline; AutoRating tính như baseline (REG-001).
Bảo toàn: Giữ điểm, cấu hình và đối tượng không đích theo expected; chỉ thay phần thủ tục yêu cầu, không tự đổi oracle hoặc mở rộng phạm vi.</t>
        </is>
      </c>
      <c r="E557" s="19" t="inlineStr"/>
      <c r="F557" s="19" t="inlineStr">
        <is>
          <t>Chưa thực hiện</t>
        </is>
      </c>
      <c r="G557" s="19" t="inlineStr"/>
    </row>
    <row r="558" ht="163" customHeight="1">
      <c r="A558" s="18" t="inlineStr">
        <is>
          <t>TC-RS-REG-004 / green</t>
        </is>
      </c>
      <c r="B558" s="18" t="inlineStr">
        <is>
          <t>Hồi quy luồng hiện có
Nút cam/nút xanh của trường đang dùng AutoRating hoạt động như trước
Xem chi tiết</t>
        </is>
      </c>
      <c r="C558" s="18" t="inlineStr">
        <is>
          <t>Chuẩn bị: Đang chuẩn bị
Kỳ vọng: Đã xác nhận
Dữ liệu (trích): Nút xanh
Thao tác (trích): 1. Mở màn, chọn cùng phạm vi như baseline.…
Xem chi tiết</t>
        </is>
      </c>
      <c r="D558" s="18" t="inlineStr">
        <is>
          <t>Nút hiện, phạm vi chọn và danh sách lớp xếp hàng như baseline; AutoRating tính như baseline (REG-001).
Bảo toàn: Giữ điểm, cấu hình và đối tượng không đích theo expected; chỉ thay phần thủ tục yêu cầu, không tự đổi oracle hoặc mở rộng phạm vi.</t>
        </is>
      </c>
      <c r="E558" s="19" t="inlineStr"/>
      <c r="F558" s="19" t="inlineStr">
        <is>
          <t>Chưa thực hiện</t>
        </is>
      </c>
      <c r="G558" s="19" t="inlineStr"/>
    </row>
    <row r="559" ht="146" customHeight="1">
      <c r="A559" s="18" t="inlineStr">
        <is>
          <t>TC-RS-REG-005 / Base</t>
        </is>
      </c>
      <c r="B559" s="18" t="inlineStr">
        <is>
          <t>Hồi quy luồng hiện có
Kết quả tổng hợp thứ hạng（順位集計） không đổi khi có quy tắc đỏ đọc nguồn
Xem chi tiết</t>
        </is>
      </c>
      <c r="C559" s="18" t="inlineStr">
        <is>
          <t>Chuẩn bị: Đang chuẩn bị
Kỳ vọng: Đã xác nhận
Dữ liệu (trích): Toàn bộ thủ tục theo đúng thứ tự; các đối chứng cùng fixture…
Thao tác (trích): 1. Chạy nút xanh rồi nút cam cho khối 1.…
Xem chi tiết</t>
        </is>
      </c>
      <c r="D559" s="18" t="inlineStr">
        <is>
          <t>Trung bình, thứ hạng, số người bằng baseline; nút cam không ghi lại kết quả tổng hợp.
Bảo toàn: Giữ điểm, cấu hình và đối tượng không đích theo expected; chỉ thay phần thủ tục yêu cầu, không tự đổi oracle hoặc mở rộng phạm vi.</t>
        </is>
      </c>
      <c r="E559" s="19" t="inlineStr"/>
      <c r="F559" s="19" t="inlineStr">
        <is>
          <t>Chưa thực hiện</t>
        </is>
      </c>
      <c r="G559" s="19" t="inlineStr"/>
    </row>
    <row r="560" ht="146" customHeight="1">
      <c r="A560" s="18" t="inlineStr">
        <is>
          <t>TC-RS-REG-013 / definition</t>
        </is>
      </c>
      <c r="B560" s="18" t="inlineStr">
        <is>
          <t>Hồi quy AutoRating và các luồng hiện có — Hồi quy luồng hiện có
Các màn điểm tối đa lưu và xếp hàng như trước</t>
        </is>
      </c>
      <c r="C560" s="18" t="inlineStr">
        <is>
          <t>Chuẩn bị: Đang chuẩn bị
Kỳ vọng: Đã xác nhận
Dữ liệu (trích): Đổi định nghĩa M
Thao tác (trích): 1. Đổi định nghĩa M ở Thiết lập điểm tối đa（満点設定）, lưu, mở lại.…
Xem chi tiết</t>
        </is>
      </c>
      <c r="D560" s="18" t="inlineStr">
        <is>
          <t>Giá trị lưu, thông báo và danh sách job (lớp/kỳ được xếp hàng) bằng baseline.
Bảo toàn: Giữ điểm, cấu hình và đối tượng không đích theo expected; chỉ thay phần thủ tục yêu cầu, không tự đổi oracle hoặc mở rộng phạm vi.</t>
        </is>
      </c>
      <c r="E560" s="19" t="inlineStr"/>
      <c r="F560" s="19" t="inlineStr">
        <is>
          <t>Chưa thực hiện</t>
        </is>
      </c>
      <c r="G560" s="19" t="inlineStr"/>
    </row>
    <row r="561" ht="146" customHeight="1">
      <c r="A561" s="18" t="inlineStr">
        <is>
          <t>TC-RS-REG-013 / maximum</t>
        </is>
      </c>
      <c r="B561" s="18" t="inlineStr">
        <is>
          <t>Hồi quy AutoRating và các luồng hiện có — Hồi quy luồng hiện có
Các màn điểm tối đa lưu và xếp hàng như trước</t>
        </is>
      </c>
      <c r="C561" s="18" t="inlineStr">
        <is>
          <t>Chuẩn bị: Đang chuẩn bị
Kỳ vọng: Đã xác nhận
Dữ liệu (trích): Đổi Giá trị tối đa
Thao tác (trích): 1. Đổi định nghĩa M ở Thiết lập điểm tối đa（満点設定）, lưu, mở lại.…
Xem chi tiết</t>
        </is>
      </c>
      <c r="D561" s="18" t="inlineStr">
        <is>
          <t>Giá trị lưu, thông báo và danh sách job (lớp/kỳ được xếp hàng) bằng baseline.
Bảo toàn: Giữ điểm, cấu hình và đối tượng không đích theo expected; chỉ thay phần thủ tục yêu cầu, không tự đổi oracle hoặc mở rộng phạm vi.</t>
        </is>
      </c>
      <c r="E561" s="19" t="inlineStr"/>
      <c r="F561" s="19" t="inlineStr">
        <is>
          <t>Chưa thực hiện</t>
        </is>
      </c>
      <c r="G561" s="19" t="inlineStr"/>
    </row>
    <row r="562" ht="146" customHeight="1">
      <c r="A562" s="18" t="inlineStr">
        <is>
          <t>TC-RS-REG-013 / batch</t>
        </is>
      </c>
      <c r="B562" s="18" t="inlineStr">
        <is>
          <t>Hồi quy AutoRating và các luồng hiện có — Hồi quy luồng hiện có
Các màn điểm tối đa lưu và xếp hàng như trước</t>
        </is>
      </c>
      <c r="C562" s="18" t="inlineStr">
        <is>
          <t>Chuẩn bị: Đang chuẩn bị
Kỳ vọng: Đã xác nhận
Dữ liệu (trích): Lưu điểm tối đa hàng loạt
Thao tác (trích): 1. Đổi định nghĩa M ở Thiết lập điểm tối đa（満点設定）, lưu, mở lại.…
Xem chi tiết</t>
        </is>
      </c>
      <c r="D562" s="18" t="inlineStr">
        <is>
          <t>Giá trị lưu, thông báo và danh sách job (lớp/kỳ được xếp hàng) bằng baseline.
Bảo toàn: Giữ điểm, cấu hình và đối tượng không đích theo expected; chỉ thay phần thủ tục yêu cầu, không tự đổi oracle hoặc mở rộng phạm vi.</t>
        </is>
      </c>
      <c r="E562" s="19" t="inlineStr"/>
      <c r="F562" s="19" t="inlineStr">
        <is>
          <t>Chưa thực hiện</t>
        </is>
      </c>
      <c r="G562" s="19" t="inlineStr"/>
    </row>
    <row r="563" ht="180" customHeight="1">
      <c r="A563" s="18" t="inlineStr">
        <is>
          <t>TC-RS-REG-014 / size10</t>
        </is>
      </c>
      <c r="B563" s="18" t="inlineStr">
        <is>
          <t>Hồi quy AutoRating và các luồng hiện có — Hồi quy luồng hiện có
Batch không phát sinh truy vấn theo từng ô（N+1）</t>
        </is>
      </c>
      <c r="C563" s="18" t="inlineStr">
        <is>
          <t>Chuẩn bị: Đang chuẩn bị
Kỳ vọng: Đã xác nhận
Dữ liệu (trích): Cỡ 10 học sinh
Thao tác (trích): Chạy batch với từng cỡ dữ liệu; đếm truy vấn liên quan đến quy tắc/nguồn/kết quả đỏ.
Xem chi tiết</t>
        </is>
      </c>
      <c r="D563" s="18" t="inlineStr">
        <is>
          <t>Số truy vấn đọc quy tắc/nguồn/M không tăng tuyến tính theo số ô. Thời gian chạy chỉ ghi lại để so, không có ngưỡng pass/fail (tài liệu chưa đặt ngưỡng).
Bảo toàn: Giữ điểm, cấu hình và đối tượng không đích theo expected; chỉ thay phần thủ tục yêu cầu, không tự đổi oracle hoặc mở rộng phạm vi.</t>
        </is>
      </c>
      <c r="E563" s="19" t="inlineStr"/>
      <c r="F563" s="19" t="inlineStr">
        <is>
          <t>Chưa thực hiện</t>
        </is>
      </c>
      <c r="G563" s="19" t="inlineStr"/>
    </row>
    <row r="564" ht="180" customHeight="1">
      <c r="A564" s="18" t="inlineStr">
        <is>
          <t>TC-RS-REG-014 / size100</t>
        </is>
      </c>
      <c r="B564" s="18" t="inlineStr">
        <is>
          <t>Hồi quy AutoRating và các luồng hiện có — Hồi quy luồng hiện có
Batch không phát sinh truy vấn theo từng ô（N+1）</t>
        </is>
      </c>
      <c r="C564" s="18" t="inlineStr">
        <is>
          <t>Chuẩn bị: Đang chuẩn bị
Kỳ vọng: Đã xác nhận
Dữ liệu (trích): Cỡ 100 học sinh, đối chiếu log cả hai cỡ
Thao tác (trích): Chạy batch với từng cỡ dữ liệu; đếm truy vấn liên quan đến quy tắc/nguồn/kết quả đỏ.
Xem chi tiết</t>
        </is>
      </c>
      <c r="D564" s="18" t="inlineStr">
        <is>
          <t>Số truy vấn đọc quy tắc/nguồn/M không tăng tuyến tính theo số ô. Thời gian chạy chỉ ghi lại để so, không có ngưỡng pass/fail (tài liệu chưa đặt ngưỡng).
Bảo toàn: Giữ điểm, cấu hình và đối tượng không đích theo expected; chỉ thay phần thủ tục yêu cầu, không tự đổi oracle hoặc mở rộng phạm vi.</t>
        </is>
      </c>
      <c r="E564" s="19" t="inlineStr"/>
      <c r="F564" s="19" t="inlineStr">
        <is>
          <t>Chưa thực hiện</t>
        </is>
      </c>
      <c r="G564" s="19" t="inlineStr"/>
    </row>
    <row r="565" ht="180" customHeight="1">
      <c r="A565" s="18" t="inlineStr">
        <is>
          <t>TC-RS-REG-016 / direct</t>
        </is>
      </c>
      <c r="B565" s="18" t="inlineStr">
        <is>
          <t>Hồi quy AutoRating và các luồng hiện có — Hồi quy luồng hiện có
Đăng ký điểm: xử lý điểm liên quan và giao dịch giữ như trước</t>
        </is>
      </c>
      <c r="C565" s="18" t="inlineStr">
        <is>
          <t>Chuẩn bị: Đang chuẩn bị
Kỳ vọng: Đã xác nhận
Dữ liệu (trích): Màn đăng ký NB, đủ bước 1–3
Thao tác (trích): 1. Lưu điểm môn con qua đường ghi điểm “Màn lớp NB 成績登録 (đăng ký điểm)”, đường ghi điểm “CSV lớp NB”, đường…
Xem chi tiết</t>
        </is>
      </c>
      <c r="D565" s="18" t="inlineStr">
        <is>
          <t>Kỳ vọng: Đã xác nhận
1–2. Điểm môn chính, điểm quan điểm được sao chép và tín chỉ bằng baseline; thông báo và hành vi lỗi của từng đường như baseline.…
Xem chi tiết</t>
        </is>
      </c>
      <c r="E565" s="19" t="inlineStr"/>
      <c r="F565" s="19" t="inlineStr">
        <is>
          <t>Chưa thực hiện</t>
        </is>
      </c>
      <c r="G565" s="19" t="inlineStr"/>
    </row>
    <row r="566" ht="180" customHeight="1">
      <c r="A566" s="18" t="inlineStr">
        <is>
          <t>TC-RS-REG-016 / csv</t>
        </is>
      </c>
      <c r="B566" s="18" t="inlineStr">
        <is>
          <t>Hồi quy AutoRating và các luồng hiện có — Hồi quy luồng hiện có
Đăng ký điểm: xử lý điểm liên quan và giao dịch giữ như trước</t>
        </is>
      </c>
      <c r="C566" s="18" t="inlineStr">
        <is>
          <t>Chuẩn bị: Đang chuẩn bị
Kỳ vọng: Đã xác nhận
Dữ liệu (trích): CSV lớp NB, đủ bước 1–3
Thao tác (trích): 1. Lưu điểm môn con qua đường ghi điểm “Màn lớp NB 成績登録 (đăng ký điểm)”, đường ghi điểm “CSV lớp NB”, đường…
Xem chi tiết</t>
        </is>
      </c>
      <c r="D566" s="18" t="inlineStr">
        <is>
          <t>Kỳ vọng: Đã xác nhận
1–2. Điểm môn chính, điểm quan điểm được sao chép và tín chỉ bằng baseline; thông báo và hành vi lỗi của từng đường như baseline.…
Xem chi tiết</t>
        </is>
      </c>
      <c r="E566" s="19" t="inlineStr"/>
      <c r="F566" s="19" t="inlineStr">
        <is>
          <t>Chưa thực hiện</t>
        </is>
      </c>
      <c r="G566" s="19" t="inlineStr"/>
    </row>
    <row r="567" ht="180" customHeight="1">
      <c r="A567" s="18" t="inlineStr">
        <is>
          <t>TC-RS-REG-016 / hr-csv</t>
        </is>
      </c>
      <c r="B567" s="18" t="inlineStr">
        <is>
          <t>Hồi quy AutoRating và các luồng hiện có — Hồi quy luồng hiện có
Đăng ký điểm: xử lý điểm liên quan và giao dịch giữ như trước</t>
        </is>
      </c>
      <c r="C567" s="18" t="inlineStr">
        <is>
          <t>Chuẩn bị: Đang chuẩn bị
Kỳ vọng: Đã xác nhận
Dữ liệu (trích): CSV lớp chủ nhiệm hàng loạt, đủ bước 1–3
Thao tác (trích): 1. Lưu điểm môn con qua đường ghi điểm “Màn lớp NB 成績登録 (đăng ký điểm)”, đường ghi điểm “CSV lớp NB”, đường…
Xem chi tiết</t>
        </is>
      </c>
      <c r="D567" s="18" t="inlineStr">
        <is>
          <t>Kỳ vọng: Đã xác nhận
1–2. Điểm môn chính, điểm quan điểm được sao chép và tín chỉ bằng baseline; thông báo và hành vi lỗi của từng đường như baseline.…
Xem chi tiết</t>
        </is>
      </c>
      <c r="E567" s="19" t="inlineStr"/>
      <c r="F567" s="19" t="inlineStr">
        <is>
          <t>Chưa thực hiện</t>
        </is>
      </c>
      <c r="G567" s="19" t="inlineStr"/>
    </row>
    <row r="568" ht="146" customHeight="1">
      <c r="A568" s="18" t="inlineStr">
        <is>
          <t>TC-RS-REG-017 / Base</t>
        </is>
      </c>
      <c r="B568" s="18" t="inlineStr">
        <is>
          <t>Hồi quy luồng hiện có
Thiết lập ô nhập（入力欄設定）: các hàng hiện có không bị ảnh hưởng
Xem chi tiết</t>
        </is>
      </c>
      <c r="C568" s="18" t="inlineStr">
        <is>
          <t>Chuẩn bị: Đang chuẩn bị
Kỳ vọng: Đã xác nhận
Dữ liệu (trích): Toàn bộ thủ tục theo đúng thứ tự; các đối chứng cùng fixture…
Thao tác (trích): 1. Mở màn, so bố cục với baseline.…
Xem chi tiết</t>
        </is>
      </c>
      <c r="D568" s="18" t="inlineStr">
        <is>
          <t>Cột thẳng hàng, link mở đúng màn của đúng mục, lưu các hàng khác như baseline.
Bảo toàn: Giữ điểm, cấu hình và đối tượng không đích theo expected; chỉ thay phần thủ tục yêu cầu, không tự đổi oracle hoặc mở rộng phạm vi.</t>
        </is>
      </c>
      <c r="E568" s="19" t="inlineStr"/>
      <c r="F568" s="19" t="inlineStr">
        <is>
          <t>Chưa thực hiện</t>
        </is>
      </c>
      <c r="G568" s="19" t="inlineStr"/>
    </row>
    <row r="569" ht="180" customHeight="1">
      <c r="A569" s="18" t="inlineStr">
        <is>
          <t>TC-RS-REG-011 / Base</t>
        </is>
      </c>
      <c r="B569" s="18" t="inlineStr">
        <is>
          <t>Hồi quy AutoRating và các luồng hiện có — Hồi quy luồng hiện có
Consumer legacy giữ hành vi sau khi thêm rule đỏ</t>
        </is>
      </c>
      <c r="C569" s="18" t="inlineStr">
        <is>
          <t>Chuẩn bị: Đang chuẩn bị
Kỳ vọng: Đã xác nhận
Dữ liệu (trích): Toàn bộ thủ tục theo đúng thứ tự; các đối chứng cùng fixture…
Thao tác (trích): 1. Thêm và chạy rule đỏ mới.…
Xem chi tiết</t>
        </is>
      </c>
      <c r="D569" s="18" t="inlineStr">
        <is>
          <t>Consumer legacy giữ hành vi và giá trị trước đó, trừ phần tích hợp đỏ được xác nhận riêng; không đọc nhầm payload kết quả cá nhân mới.
Bảo toàn: Giữ điểm, cấu hình và đối tượng không đích theo expected; chỉ thay phần thủ tục yêu cầu, không tự đổi oracle hoặc mở rộng phạm vi.</t>
        </is>
      </c>
      <c r="E569" s="19" t="inlineStr"/>
      <c r="F569" s="19" t="inlineStr">
        <is>
          <t>Chưa thực hiện</t>
        </is>
      </c>
      <c r="G569" s="19" t="inlineStr"/>
    </row>
    <row r="570" ht="163" customHeight="1">
      <c r="A570" s="18" t="inlineStr">
        <is>
          <t>TC-RS-REG-012 / copy</t>
        </is>
      </c>
      <c r="B570" s="18" t="inlineStr">
        <is>
          <t>Hồi quy AutoRating và các luồng hiện có — Hồi quy luồng hiện có
Các luồng chuyển cấu hình không làm mất legacy</t>
        </is>
      </c>
      <c r="C570" s="18" t="inlineStr">
        <is>
          <t>Chuẩn bị: Đang chuẩn bị
Kỳ vọng: Đã xác nhận
Dữ liệu (trích): Đường copy DATA-015
Thao tác (trích): 1. Chuyển cấu hình qua copy/năm mới/import hoặc sync.…
Xem chi tiết</t>
        </is>
      </c>
      <c r="D570" s="18" t="inlineStr">
        <is>
          <t>Legacy ở nguồn vẫn nguyên vẹn; đích không nhận kết quả cá nhân ngoài mapping hợp lệ và không dùng lại kết quả nguồn.
Bảo toàn: Giữ điểm, cấu hình và đối tượng không đích theo expected; chỉ thay phần thủ tục yêu cầu, không tự đổi oracle hoặc mở rộng phạm vi.</t>
        </is>
      </c>
      <c r="E570" s="19" t="inlineStr"/>
      <c r="F570" s="19" t="inlineStr">
        <is>
          <t>Chưa thực hiện</t>
        </is>
      </c>
      <c r="G570" s="19" t="inlineStr"/>
    </row>
    <row r="571" ht="163" customHeight="1">
      <c r="A571" s="18" t="inlineStr">
        <is>
          <t>TC-RS-REG-012 / year</t>
        </is>
      </c>
      <c r="B571" s="18" t="inlineStr">
        <is>
          <t>Hồi quy AutoRating và các luồng hiện có — Hồi quy luồng hiện có
Các luồng chuyển cấu hình không làm mất legacy</t>
        </is>
      </c>
      <c r="C571" s="18" t="inlineStr">
        <is>
          <t>Chuẩn bị: Đang chuẩn bị
Kỳ vọng: Đã xác nhận
Dữ liệu (trích): Đường năm mới DATA-016
Thao tác (trích): 1. Chuyển cấu hình qua copy/năm mới/import hoặc sync.…
Xem chi tiết</t>
        </is>
      </c>
      <c r="D571" s="18" t="inlineStr">
        <is>
          <t>Legacy ở nguồn vẫn nguyên vẹn; đích không nhận kết quả cá nhân ngoài mapping hợp lệ và không dùng lại kết quả nguồn.
Bảo toàn: Giữ điểm, cấu hình và đối tượng không đích theo expected; chỉ thay phần thủ tục yêu cầu, không tự đổi oracle hoặc mở rộng phạm vi.</t>
        </is>
      </c>
      <c r="E571" s="19" t="inlineStr"/>
      <c r="F571" s="19" t="inlineStr">
        <is>
          <t>Chưa thực hiện</t>
        </is>
      </c>
      <c r="G571" s="19" t="inlineStr"/>
    </row>
    <row r="572" ht="163" customHeight="1">
      <c r="A572" s="18" t="inlineStr">
        <is>
          <t>TC-RS-REG-012 / import</t>
        </is>
      </c>
      <c r="B572" s="18" t="inlineStr">
        <is>
          <t>Hồi quy AutoRating và các luồng hiện có — Hồi quy luồng hiện có
Các luồng chuyển cấu hình không làm mất legacy</t>
        </is>
      </c>
      <c r="C572" s="18" t="inlineStr">
        <is>
          <t>Chuẩn bị: Đang chuẩn bị
Kỳ vọng: Đã xác nhận
Dữ liệu (trích): Đường import DATA-017
Thao tác (trích): 1. Chuyển cấu hình qua copy/năm mới/import hoặc sync.…
Xem chi tiết</t>
        </is>
      </c>
      <c r="D572" s="18" t="inlineStr">
        <is>
          <t>Legacy ở nguồn vẫn nguyên vẹn; đích không nhận kết quả cá nhân ngoài mapping hợp lệ và không dùng lại kết quả nguồn.
Bảo toàn: Giữ điểm, cấu hình và đối tượng không đích theo expected; chỉ thay phần thủ tục yêu cầu, không tự đổi oracle hoặc mở rộng phạm vi.</t>
        </is>
      </c>
      <c r="E572" s="19" t="inlineStr"/>
      <c r="F572" s="19" t="inlineStr">
        <is>
          <t>Chưa thực hiện</t>
        </is>
      </c>
      <c r="G572" s="19" t="inlineStr"/>
    </row>
    <row r="573" ht="163" customHeight="1">
      <c r="A573" s="18" t="inlineStr">
        <is>
          <t>TC-RS-REG-012 / sync</t>
        </is>
      </c>
      <c r="B573" s="18" t="inlineStr">
        <is>
          <t>Hồi quy AutoRating và các luồng hiện có — Hồi quy luồng hiện có
Các luồng chuyển cấu hình không làm mất legacy</t>
        </is>
      </c>
      <c r="C573" s="18" t="inlineStr">
        <is>
          <t>Chuẩn bị: Đang chuẩn bị
Kỳ vọng: Đã xác nhận
Dữ liệu (trích): Đường sync DATA-019
Thao tác (trích): 1. Chuyển cấu hình qua copy/năm mới/import hoặc sync.…
Xem chi tiết</t>
        </is>
      </c>
      <c r="D573" s="18" t="inlineStr">
        <is>
          <t>Legacy ở nguồn vẫn nguyên vẹn; đích không nhận kết quả cá nhân ngoài mapping hợp lệ và không dùng lại kết quả nguồn.
Bảo toàn: Giữ điểm, cấu hình và đối tượng không đích theo expected; chỉ thay phần thủ tục yêu cầu, không tự đổi oracle hoặc mở rộng phạm vi.</t>
        </is>
      </c>
      <c r="E573" s="19" t="inlineStr"/>
      <c r="F573" s="19" t="inlineStr">
        <is>
          <t>Chưa thực hiện</t>
        </is>
      </c>
      <c r="G573" s="19" t="inlineStr"/>
    </row>
  </sheetData>
  <autoFilter ref="A4:G573"/>
  <mergeCells count="1">
    <mergeCell ref="A3:G3"/>
  </mergeCells>
  <conditionalFormatting sqref="F5:F573">
    <cfRule type="cellIs" priority="1" operator="equal" dxfId="0">
      <formula>"Không đạt"</formula>
    </cfRule>
    <cfRule type="cellIs" priority="2" operator="equal" dxfId="1">
      <formula>"Bị chặn"</formula>
    </cfRule>
    <cfRule type="cellIs" priority="3" operator="equal" dxfId="2">
      <formula>"Không thực hiện"</formula>
    </cfRule>
    <cfRule type="cellIs" priority="4" operator="equal" dxfId="2">
      <formula>"Chưa thực hiện"</formula>
    </cfRule>
  </conditionalFormatting>
  <dataValidations count="1">
    <dataValidation sqref="F5:F573" showDropDown="0" showInputMessage="0" showErrorMessage="1" allowBlank="0" errorTitle="Trạng thái không hợp lệ" error="Chọn trạng thái trong danh sách." type="list">
      <formula1>"Đạt,Không đạt,Bị chặn,Không thực hiện,Chưa thực hiện"</formula1>
    </dataValidation>
  </dataValidations>
  <hyperlinks>
    <hyperlink ref="B5" location="'Chi tiết'!A5" display="Thiết lập điểm đỏ（赤点設定）&#10;Hàng Thiết lập điểm đỏ（赤点設定） xuất hiện trong Thiết lập ô nhập（入力欄設定） cho mục…&#10;Xem chi tiết"/>
    <hyperlink ref="C5" location="'Chi tiết'!A6" display="Chuẩn bị: Đang chuẩn bị&#10;Kỳ vọng: Đề xuất&#10;Dữ liệu (trích): Mục số nguyên&#10;Thao tác (trích): 1. Mở Thiết lập nhập điểm（成績入力設定）→ Thiết lập ô nhập（入力欄設定） của kỳ 1学期期末 (cuối kỳ học kỳ 1).…&#10;Xem chi tiết"/>
    <hyperlink ref="D5" location="'Chi tiết'!A8" display="Kỳ vọng: Đề xuất&#10;1. Theo Figma MW, hàng Thiết lập điểm đỏ（赤点設定） được đặt giữa hàng Tính tự động（自動計算） và hàng Thiết lập ẩn mục nhập（入力項目の非表示設定）. Đây là oracle UI PROPOSED; nếu bố cục khác, ghi…&#10;Xem chi tiết"/>
    <hyperlink ref="B6" location="'Chi tiết'!A9" display="Thiết lập điểm đỏ（赤点設定）&#10;Hàng Thiết lập điểm đỏ（赤点設定） xuất hiện trong Thiết lập ô nhập（入力欄設定） cho mục…&#10;Xem chi tiết"/>
    <hyperlink ref="C6" location="'Chi tiết'!A10" display="Chuẩn bị: Đang chuẩn bị&#10;Kỳ vọng: Đề xuất&#10;Dữ liệu (trích): Mục thập phân&#10;Thao tác (trích): 1. Mở Thiết lập nhập điểm（成績入力設定）→ Thiết lập ô nhập（入力欄設定） của kỳ 1学期期末 (cuối kỳ học kỳ 1).…&#10;Xem chi tiết"/>
    <hyperlink ref="D6" location="'Chi tiết'!A12" display="Kỳ vọng: Đề xuất&#10;1. Theo Figma MW, hàng Thiết lập điểm đỏ（赤点設定） được đặt giữa hàng Tính tự động（自動計算） và hàng Thiết lập ẩn mục nhập（入力項目の非表示設定）. Đây là oracle UI PROPOSED; nếu bố cục khác, ghi…&#10;Xem chi tiết"/>
    <hyperlink ref="B7" location="'Chi tiết'!A13" display="Thiết lập điểm đỏ（赤点設定）&#10;Hàng Thiết lập điểm đỏ（赤点設定） xuất hiện trong Thiết lập ô nhập（入力欄設定） cho mục…&#10;Xem chi tiết"/>
    <hyperlink ref="C7" location="'Chi tiết'!A14" display="Chuẩn bị: Đang chuẩn bị&#10;Kỳ vọng: Đề xuất&#10;Dữ liệu (trích): Mục đơn vị&#10;Thao tác (trích): 1. Mở Thiết lập nhập điểm（成績入力設定）→ Thiết lập ô nhập（入力欄設定） của kỳ 1学期期末 (cuối kỳ học kỳ 1).…&#10;Xem chi tiết"/>
    <hyperlink ref="D7" location="'Chi tiết'!A16" display="Kỳ vọng: Đề xuất&#10;1. Theo Figma MW, hàng Thiết lập điểm đỏ（赤点設定） được đặt giữa hàng Tính tự động（自動計算） và hàng Thiết lập ẩn mục nhập（入力項目の非表示設定）. Đây là oracle UI PROPOSED; nếu bố cục khác, ghi…&#10;Xem chi tiết"/>
    <hyperlink ref="B8" location="'Chi tiết'!A17" display="Thiết lập điểm đỏ（赤点設定）&#10;Mục kiểu lựa chọn và Đạt/không đạt（合否） không có thao tác tạo quy tắc đỏ có hiệu…&#10;Xem chi tiết"/>
    <hyperlink ref="C8" location="'Chi tiết'!A18" display="Chuẩn bị: Bị chặn&#10;Kỳ vọng: Đã xác nhận&#10;Dữ liệu (trích): Mục lựa chọn, gồm thử URL trực tiếp ở bước 3&#10;Thao tác (trích): 1. Mở Thiết lập ô nhập（入力欄設定）.…&#10;Xem chi tiết"/>
    <hyperlink ref="D8" location="'Chi tiết'!A20" display="Kỳ vọng: Đã xác nhận&#10;1. Không có thao tác tạo quy tắc đỏ có hiệu lực cho hai mục này.…&#10;Xem chi tiết"/>
    <hyperlink ref="B9" location="'Chi tiết'!A21" display="Thiết lập điểm đỏ（赤点設定）&#10;Mục kiểu lựa chọn và Đạt/không đạt（合否） không có thao tác tạo quy tắc đỏ có hiệu…&#10;Xem chi tiết"/>
    <hyperlink ref="C9" location="'Chi tiết'!A22" display="Chuẩn bị: Bị chặn&#10;Kỳ vọng: Đã xác nhận&#10;Dữ liệu (trích): Mục Đạt/không đạt ở bước 1–2&#10;Thao tác (trích): 1. Mở Thiết lập ô nhập（入力欄設定）.…&#10;Xem chi tiết"/>
    <hyperlink ref="D9" location="'Chi tiết'!A24" display="Kỳ vọng: Đã xác nhận&#10;1. Không có thao tác tạo quy tắc đỏ có hiệu lực cho hai mục này.…&#10;Xem chi tiết"/>
    <hyperlink ref="B10" location="'Chi tiết'!A25" display="Thiết lập điểm đỏ（赤点設定）&#10;Thêm quy tắc qua Điều kiện áp dụng（適用条件） và Ngưỡng（基準設定） rồi quay lại danh sách&#10;Xem chi tiết"/>
    <hyperlink ref="C10" location="'Chi tiết'!A26" display="Chuẩn bị: Đang chuẩn bị&#10;Kỳ vọng: Đã xác nhận&#10;Dữ liệu (trích): Toàn bộ thủ tục theo đúng thứ tự; các đối chứng cùng fixture…&#10;Thao tác (trích): 1. Ở danh sách, bấm Thêm thiết lập chi tiết（詳細設定の追加）.…&#10;Xem chi tiết"/>
    <hyperlink ref="D10" location="'Chi tiết'!A28" display="Kỳ vọng: Đã xác nhận&#10;1. Sau mỗi lần cập nhật, màn quay về danh sách.…&#10;Xem chi tiết"/>
    <hyperlink ref="B11" location="'Chi tiết'!A29" display="Thiết lập điểm đỏ（赤点設定）&#10;Nhiều quy tắc hiển thị theo ưu tiên; đổi thứ tự bằng ▲▼ được lưu&#10;Xem chi tiết"/>
    <hyperlink ref="C11" location="'Chi tiết'!A30" display="Chuẩn bị: Đang chuẩn bị&#10;Kỳ vọng: Đã xác nhận&#10;Dữ liệu (trích): Toàn bộ thủ tục theo đúng thứ tự; các đối chứng cùng fixture…&#10;Thao tác (trích): 1. Bấm ▼ ở quy tắc 1.…&#10;Xem chi tiết"/>
    <hyperlink ref="D11" location="'Chi tiết'!A32" display="Kỳ vọng: Đã xác nhận&#10;1. Sau bước 1 thứ tự là quy tắc 2, quy tắc 1, quy tắc 3 và giữ nguyên sau khi tải lại.…&#10;Xem chi tiết"/>
    <hyperlink ref="B12" location="'Chi tiết'!A33" display="Thiết lập điểm đỏ（赤点設定）&#10;Xóa một quy tắc có xác nhận; Hủy（キャンセル） giữ nguyên&#10;Xem chi tiết"/>
    <hyperlink ref="C12" location="'Chi tiết'!A34" display="Chuẩn bị: Đang chuẩn bị&#10;Kỳ vọng: Đã xác nhận&#10;Dữ liệu (trích): Hủy xóa&#10;Thao tác (trích): 1. Bấm Xóa（削除） ở quy tắc thứ 2, chọn Hủy（キャンセル）.…&#10;Xem chi tiết"/>
    <hyperlink ref="D12" location="'Chi tiết'!A36" display="Kỳ vọng: Đã xác nhận&#10;1. Hộp xác nhận nêu thiết lập sẽ bị xóa và kết quả học sinh chỉ cập nhật ở lần xét tiếp theo.…&#10;Xem chi tiết"/>
    <hyperlink ref="B13" location="'Chi tiết'!A37" display="Thiết lập điểm đỏ（赤点設定）&#10;Xóa một quy tắc có xác nhận; Hủy（キャンセル） giữ nguyên&#10;Xem chi tiết"/>
    <hyperlink ref="C13" location="'Chi tiết'!A38" display="Chuẩn bị: Đang chuẩn bị&#10;Kỳ vọng: Đã xác nhận&#10;Dữ liệu (trích): Xác nhận xóa, dựng lại baseline trước lượt này&#10;Thao tác (trích): 1. Bấm Xóa（削除） ở quy tắc thứ 2, chọn Hủy（キャンセル）.…&#10;Xem chi tiết"/>
    <hyperlink ref="D13" location="'Chi tiết'!A40" display="Kỳ vọng: Đã xác nhận&#10;1. Hộp xác nhận nêu thiết lập sẽ bị xóa và kết quả học sinh chỉ cập nhật ở lần xét tiếp theo.…&#10;Xem chi tiết"/>
    <hyperlink ref="B14" location="'Chi tiết'!A41" display="Thiết lập điểm đỏ（赤点設定）&#10;Quay lại（戻る）/hủy chỉnh sửa không lưu dữ liệu đang nhập&#10;Xem chi tiết"/>
    <hyperlink ref="C14" location="'Chi tiết'!A42" display="Chuẩn bị: Đang chuẩn bị&#10;Kỳ vọng: Đã xác nhận&#10;Dữ liệu (trích): Quay lại từ màn ngưỡng&#10;Thao tác (trích): 1. Mở Ngưỡng của quy tắc “Cố định 30” (dưới 30), đổi 30 thành 35 và đổi sang Nhỏ hơn hoặc bằng（以下）.…&#10;Xem chi tiết"/>
    <hyperlink ref="B15" location="'Chi tiết'!A44" display="Thiết lập điểm đỏ（赤点設定）&#10;Quay lại（戻る）/hủy chỉnh sửa không lưu dữ liệu đang nhập&#10;Xem chi tiết"/>
    <hyperlink ref="C15" location="'Chi tiết'!A45" display="Chuẩn bị: Đang chuẩn bị&#10;Kỳ vọng: Đã xác nhận&#10;Dữ liệu (trích): Quay lại từ màn điều kiện&#10;Thao tác (trích): 1. Mở Ngưỡng của quy tắc “Cố định 30” (dưới 30), đổi 30 thành 35 và đổi sang Nhỏ hơn hoặc bằng（以下）.…&#10;Xem chi tiết"/>
    <hyperlink ref="B16" location="'Chi tiết'!A47" display="Thiết lập điểm đỏ（赤点設定）&#10;Quy tắc mới chỉ có điều kiện, chưa có ngưỡng, không tham gia xét&#10;Xem chi tiết"/>
    <hyperlink ref="C16" location="'Chi tiết'!A48" display="Chuẩn bị: Bị chặn&#10;Kỳ vọng: Đã xác nhận&#10;Dữ liệu (trích): Nhánh incomplete-excluded trong thủ tục và Expected của case;…&#10;Thao tác (trích): 1. Với `incomplete-excluded`, dựng fixture riêng, xem dòng chưa hoàn chỉnh; đăng ký S01=29 và đọc kết quả,…&#10;Xem chi tiết"/>
    <hyperlink ref="D16" location="'Chi tiết'!A52" display="Kỳ vọng: Đã xác nhận&#10;1. `incomplete-excluded`: dòng nhập dở hiện chưa thiết lập và cho mở ngưỡng; không tạo ngưỡng 0 ngầm. Bộ xét chọn đúng rule đối chứng T=30, S01=29 Đỏ; rule nhập dở không tham gia…&#10;Xem chi tiết"/>
    <hyperlink ref="B17" location="'Chi tiết'!A53" display="Thiết lập điểm đỏ（赤点設定）&#10;Quy tắc mới chỉ có điều kiện, chưa có ngưỡng, không tham gia xét&#10;Xem chi tiết"/>
    <hyperlink ref="C17" location="'Chi tiết'!A54" display="Chuẩn bị: Bị chặn&#10;Kỳ vọng: Đã xác nhận&#10;Dữ liệu (trích): Nhánh complete-deleted-stale trong thủ tục và Expected của case;…&#10;Thao tác (trích): 1. Với `incomplete-excluded`, dựng fixture riêng, xem dòng chưa hoàn chỉnh; đăng ký S01=29 và đọc kết quả,…&#10;Xem chi tiết"/>
    <hyperlink ref="D17" location="'Chi tiết'!A58" display="Kỳ vọng: Đã xác nhận&#10;1. `incomplete-excluded`: dòng nhập dở hiện chưa thiết lập và cho mở ngưỡng; không tạo ngưỡng 0 ngầm. Bộ xét chọn đúng rule đối chứng T=30, S01=29 Đỏ; rule nhập dở không tham gia…&#10;Xem chi tiết"/>
    <hyperlink ref="B18" location="'Chi tiết'!A59" display="Thiết lập điểm đỏ（赤点設定）&#10;Quy tắc mới chỉ có điều kiện, chưa có ngưỡng, không tham gia xét&#10;Xem chi tiết"/>
    <hyperlink ref="C18" location="'Chi tiết'!A60" display="Chuẩn bị: Bị chặn&#10;Kỳ vọng: Đã xác nhận&#10;Dữ liệu (trích): Nhánh incomplete-deleted-stale trong thủ tục và Expected của…&#10;Thao tác (trích): 1. Với `incomplete-excluded`, dựng fixture riêng, xem dòng chưa hoàn chỉnh; đăng ký S01=29 và đọc kết quả,…&#10;Xem chi tiết"/>
    <hyperlink ref="D18" location="'Chi tiết'!A64" display="Kỳ vọng: Đã xác nhận&#10;1. `incomplete-excluded`: dòng nhập dở hiện chưa thiết lập và cho mở ngưỡng; không tạo ngưỡng 0 ngầm. Bộ xét chọn đúng rule đối chứng T=30, S01=29 Đỏ; rule nhập dở không tham gia…&#10;Xem chi tiết"/>
    <hyperlink ref="B19" location="'Chi tiết'!A65" display="Thiết lập điểm đỏ（赤点設定）&#10;Đổi tên quy tắc: giữ liên kết, thứ tự và kết quả&#10;Xem chi tiết"/>
    <hyperlink ref="C19" location="'Chi tiết'!A66" display="Chuẩn bị: Đang chuẩn bị&#10;Kỳ vọng: Đã xác nhận&#10;Dữ liệu (trích): Toàn bộ thủ tục theo đúng thứ tự; các đối chứng cùng fixture…&#10;Thao tác (trích): 1. Đổi tên quy tắc “Cố định 30” (dưới 30) từ &quot;Cố định 30&quot; thành &quot;Ngưỡng học kỳ 1&quot;, Lưu.…&#10;Xem chi tiết"/>
    <hyperlink ref="D19" location="'Chi tiết'!A68" display="Kỳ vọng: Đã xác nhận&#10;1–2. Danh sách hiện tên mới ở cùng vị trí ưu tiên, tóm tắt không đổi; S01 vẫn Đỏ ở ba đầu ra.…&#10;Xem chi tiết"/>
    <hyperlink ref="C20" location="'Chi tiết'!A69" display="Chuẩn bị: Đang chuẩn bị&#10;Kỳ vọng: Đề xuất&#10;Dữ liệu (trích): Tên trống&#10;Thao tác (trích): 1. Nhập từng giá trị, Lưu, mở lại.…&#10;Xem chi tiết"/>
    <hyperlink ref="D20" location="'Chi tiết'!A71" display="Kỳ vọng: Đề xuất&#10;1. Trống/chỉ khoảng trắng: không lưu được. 255 ký tự: lưu được, mở lại đủ. 256 ký tự: bị từ chối, không tự cắt. 255 ký tự kèm khoảng trắng đầu/cuối: lưu được, tên lưu đã bỏ khoảng…&#10;Xem chi tiết"/>
    <hyperlink ref="C21" location="'Chi tiết'!A72" display="Chuẩn bị: Đang chuẩn bị&#10;Kỳ vọng: Đề xuất&#10;Dữ liệu (trích): Chỉ khoảng trắng&#10;Thao tác (trích): 1. Nhập từng giá trị, Lưu, mở lại.…&#10;Xem chi tiết"/>
    <hyperlink ref="D21" location="'Chi tiết'!A74" display="Kỳ vọng: Đề xuất&#10;1. Trống/chỉ khoảng trắng: không lưu được. 255 ký tự: lưu được, mở lại đủ. 256 ký tự: bị từ chối, không tự cắt. 255 ký tự kèm khoảng trắng đầu/cuối: lưu được, tên lưu đã bỏ khoảng…&#10;Xem chi tiết"/>
    <hyperlink ref="C22" location="'Chi tiết'!A75" display="Chuẩn bị: Đang chuẩn bị&#10;Kỳ vọng: Đề xuất&#10;Dữ liệu (trích): 255 ký tự&#10;Thao tác (trích): 1. Nhập từng giá trị, Lưu, mở lại.…&#10;Xem chi tiết"/>
    <hyperlink ref="D22" location="'Chi tiết'!A77" display="Kỳ vọng: Đề xuất&#10;1. Trống/chỉ khoảng trắng: không lưu được. 255 ký tự: lưu được, mở lại đủ. 256 ký tự: bị từ chối, không tự cắt. 255 ký tự kèm khoảng trắng đầu/cuối: lưu được, tên lưu đã bỏ khoảng…&#10;Xem chi tiết"/>
    <hyperlink ref="C23" location="'Chi tiết'!A78" display="Chuẩn bị: Đang chuẩn bị&#10;Kỳ vọng: Đề xuất&#10;Dữ liệu (trích): 256 ký tự&#10;Thao tác (trích): 1. Nhập từng giá trị, Lưu, mở lại.…&#10;Xem chi tiết"/>
    <hyperlink ref="D23" location="'Chi tiết'!A80" display="Kỳ vọng: Đề xuất&#10;1. Trống/chỉ khoảng trắng: không lưu được. 255 ký tự: lưu được, mở lại đủ. 256 ký tự: bị từ chối, không tự cắt. 255 ký tự kèm khoảng trắng đầu/cuối: lưu được, tên lưu đã bỏ khoảng…&#10;Xem chi tiết"/>
    <hyperlink ref="C24" location="'Chi tiết'!A81" display="Chuẩn bị: Đang chuẩn bị&#10;Kỳ vọng: Đề xuất&#10;Dữ liệu (trích): 255 ký tự kèm khoảng trắng&#10;Thao tác (trích): 1. Nhập từng giá trị, Lưu, mở lại.…&#10;Xem chi tiết"/>
    <hyperlink ref="D24" location="'Chi tiết'!A83" display="Kỳ vọng: Đề xuất&#10;1. Trống/chỉ khoảng trắng: không lưu được. 255 ký tự: lưu được, mở lại đủ. 256 ký tự: bị từ chối, không tự cắt. 255 ký tự kèm khoảng trắng đầu/cuối: lưu được, tên lưu đã bỏ khoảng…&#10;Xem chi tiết"/>
    <hyperlink ref="C25" location="'Chi tiết'!A84" display="Chuẩn bị: Đang chuẩn bị&#10;Kỳ vọng: Đề xuất&#10;Dữ liệu (trích): Trùng tên&#10;Thao tác (trích): 1. Nhập từng giá trị, Lưu, mở lại.…&#10;Xem chi tiết"/>
    <hyperlink ref="D25" location="'Chi tiết'!A86" display="Kỳ vọng: Đề xuất&#10;1. Trống/chỉ khoảng trắng: không lưu được. 255 ký tự: lưu được, mở lại đủ. 256 ký tự: bị từ chối, không tự cắt. 255 ký tự kèm khoảng trắng đầu/cuối: lưu được, tên lưu đã bỏ khoảng…&#10;Xem chi tiết"/>
    <hyperlink ref="B26" location="'Chi tiết'!A87" display="Thiết lập điểm đỏ（赤点設定）&#10;Lỗi khi lưu không làm mất cấu hình/kết quả đã lưu&#10;Xem chi tiết"/>
    <hyperlink ref="C26" location="'Chi tiết'!A88" display="Chuẩn bị: Đang chuẩn bị&#10;Kỳ vọng: Đã xác nhận&#10;Dữ liệu (trích): Toàn bộ thủ tục theo đúng thứ tự; các đối chứng cùng fixture…&#10;Thao tác (trích): 1. Mở quy tắc “Cố định 30” (dưới 30), đổi N=101, Lưu (lỗi).…&#10;Xem chi tiết"/>
    <hyperlink ref="B27" location="'Chi tiết'!A90" display="Thiết lập điểm đỏ（赤点設定）&#10;Cấu hình lưu và mở lại đầy đủ, không cắt/làm tròn âm thầm&#10;Xem chi tiết"/>
    <hyperlink ref="C27" location="'Chi tiết'!A91" display="Chuẩn bị: Đang chuẩn bị&#10;Kỳ vọng: Đã xác nhận&#10;Dữ liệu (trích): Cố định 29.5&#10;Thao tác (trích): 1. Lưu từng quy tắc.…&#10;Xem chi tiết"/>
    <hyperlink ref="B28" location="'Chi tiết'!A93" display="Thiết lập điểm đỏ（赤点設定）&#10;Cấu hình lưu và mở lại đầy đủ, không cắt/làm tròn âm thầm&#10;Xem chi tiết"/>
    <hyperlink ref="C28" location="'Chi tiết'!A94" display="Chuẩn bị: Đang chuẩn bị&#10;Kỳ vọng: Đã xác nhận&#10;Dữ liệu (trích): Tỷ lệ 30 phần trăm cắt xuống&#10;Thao tác (trích): 1. Lưu từng quy tắc.…&#10;Xem chi tiết"/>
    <hyperlink ref="B29" location="'Chi tiết'!A96" display="Thiết lập điểm đỏ（赤点設定）&#10;Cấu hình lưu và mở lại đầy đủ, không cắt/làm tròn âm thầm&#10;Xem chi tiết"/>
    <hyperlink ref="C29" location="'Chi tiết'!A97" display="Chuẩn bị: Đang chuẩn bị&#10;Kỳ vọng: Đã xác nhận&#10;Dữ liệu (trích): Công thức hai dòng&#10;Thao tác (trích): 1. Lưu từng quy tắc.…&#10;Xem chi tiết"/>
    <hyperlink ref="B30" location="'Chi tiết'!A99" display="Thiết lập điểm đỏ（赤点設定）&#10;Cấu hình lưu và mở lại đầy đủ, không cắt/làm tròn âm thầm&#10;Xem chi tiết"/>
    <hyperlink ref="C30" location="'Chi tiết'!A100" display="Chuẩn bị: Đang chuẩn bị&#10;Kỳ vọng: Đã xác nhận&#10;Dữ liệu (trích): Bộ lọc kết hợp&#10;Thao tác (trích): 1. Lưu từng quy tắc.…&#10;Xem chi tiết"/>
    <hyperlink ref="B31" location="'Chi tiết'!A102" display="Thiết lập điểm đỏ（赤点設定）&#10;Xóa quy tắc không xóa dây chuyền kết quả hay điểm&#10;Xem chi tiết"/>
    <hyperlink ref="C31" location="'Chi tiết'!A103" display="Chuẩn bị: Đang chuẩn bị&#10;Kỳ vọng: Đã xác nhận&#10;Dữ liệu (trích): Toàn bộ thủ tục theo đúng thứ tự; các đối chứng cùng fixture…&#10;Thao tác (trích): 1. Xóa quy tắc “Cố định 30” (dưới 30).…&#10;Xem chi tiết"/>
    <hyperlink ref="B32" location="'Chi tiết'!A105" display="Thiết lập điểm đỏ（赤点設定）&#10;Nhãn trạng thái ở hàng Thiết lập điểm đỏ（赤点設定） trong Thiết lập ô nhập（入力欄設定）&#10;Xem chi tiết"/>
    <hyperlink ref="C32" location="'Chi tiết'!A106" display="Chuẩn bị: Đang chuẩn bị&#10;Kỳ vọng: Đề xuất&#10;Dữ liệu (trích): Toàn bộ thủ tục theo đúng thứ tự; các đối chứng cùng fixture…&#10;Thao tác (trích): 1. Mở Thiết lập ô nhập（入力欄設定）.…&#10;Xem chi tiết"/>
    <hyperlink ref="D32" location="'Chi tiết'!A108" display="Kỳ vọng: Đề xuất&#10;Mục chưa có quy tắc và mục đã có quy tắc được phân biệt được; mục lựa chọn không có thao tác mở thiết lập (đặc tả v2 mục 4.1 “Điểm vào và trạng thái trống”).…&#10;Xem chi tiết"/>
    <hyperlink ref="B33" location="'Chi tiết'!A109" display="Thiết lập điểm đỏ（赤点設定）&#10;Cấu trúc màn danh sách Thiết lập điểm đỏ（赤点設定）&#10;Xem chi tiết"/>
    <hyperlink ref="C33" location="'Chi tiết'!A110" display="Chuẩn bị: Đang chuẩn bị&#10;Kỳ vọng: Đề xuất&#10;Dữ liệu (trích): Toàn bộ thủ tục theo đúng thứ tự; các đối chứng cùng fixture…&#10;Thao tác (trích): 1. Mở Thiết lập nhập điểm（成績入力設定） (URL ở đường dẫn các màn liên quan) → Thiết lập ô nhập（入力欄設定） của kỳ Cuối…&#10;Xem chi tiết"/>
    <hyperlink ref="D33" location="'Chi tiết'!A112" display="Kỳ vọng: Đề xuất&#10;a. Breadcrumb: Thiết lập bảng thành tích（成績帳票設定） - Thiết lập thành tích（成績設定） - Thiết lập nhập điểm（成績入力設定） - Thiết lập điểm đỏ（赤点設定）.…&#10;Xem chi tiết"/>
    <hyperlink ref="C34" location="'Chi tiết'!A114" display="Chuẩn bị: Đang chuẩn bị&#10;Kỳ vọng: Đã xác nhận&#10;Dữ liệu (trích): Toàn bộ thủ tục theo đúng thứ tự; các đối chứng cùng fixture…&#10;Thao tác (trích): Mở màn danh sách của mục số thập phân (M=100), đọc tiêu đề.&#10;Xem chi tiết"/>
    <hyperlink ref="D34" location="'Chi tiết'!A116" display="Kỳ vọng: Đã xác nhận&#10;Theo tiêu chí nghiệm thu “Lưu và mở lại nhiều thiết lập”: màn danh sách thể hiện kỳ Cuối kỳ học kỳ 1（1学期期末）, tên mục, kiểu nhập Nhập số – thập phân（数値入力・小数） và Thiết lập điểm…&#10;Xem chi tiết"/>
    <hyperlink ref="B35" location="'Chi tiết'!A117" display="Thiết lập điểm đỏ（赤点設定）&#10;Tóm tắt điều kiện và ngưỡng trên từng dòng danh sách&#10;Xem chi tiết"/>
    <hyperlink ref="C35" location="'Chi tiết'!A118" display="Chuẩn bị: Đang chuẩn bị&#10;Kỳ vọng: Đề xuất&#10;Dữ liệu (trích): Toàn bộ thủ tục theo đúng thứ tự; các đối chứng cùng fixture…&#10;Thao tác (trích): Xem cột Điều kiện áp dụng（適用条件） và Ngưỡng đỏ（赤点の基準） của từng dòng.&#10;Xem chi tiết"/>
    <hyperlink ref="C36" location="'Chi tiết'!A120" display="Chuẩn bị: Đang chuẩn bị&#10;Kỳ vọng: Đề xuất&#10;Dữ liệu (trích): Toàn bộ thủ tục theo đúng thứ tự; các đối chứng cùng fixture…&#10;Thao tác (trích): Mở danh sách.&#10;Xem chi tiết"/>
    <hyperlink ref="C37" location="'Chi tiết'!A122" display="Chuẩn bị: Đang chuẩn bị&#10;Kỳ vọng: Đề xuất&#10;Dữ liệu (trích): Toàn bộ thủ tục theo đúng thứ tự; các đối chứng cùng fixture…&#10;Thao tác (trích): Bấm Xóa（削除） ở dòng duy nhất.&#10;Xem chi tiết"/>
    <hyperlink ref="B38" location="'Chi tiết'!A124" display="Thiết lập điểm đỏ（赤点設定）&#10;Dòng quy tắc mới chỉ có điều kiện, chưa có ngưỡng&#10;Xem chi tiết"/>
    <hyperlink ref="C38" location="'Chi tiết'!A125" display="Chuẩn bị: Bị chặn&#10;Kỳ vọng: Đã xác nhận&#10;Dữ liệu (trích): Nhánh incomplete-row trong thủ tục và Expected của case; thực…&#10;Thao tác (trích): 1. Với `incomplete-row`, quay về danh sách, xem dòng nhập dở và thao tác mở thiết lập ngưỡng; chạy xét và đọc…&#10;Xem chi tiết"/>
    <hyperlink ref="D38" location="'Chi tiết'!A127" display="Kỳ vọng: Đã xác nhận&#10;1. `incomplete-row`: dòng hiển thị chưa có ngưỡng, có link mở thiết lập ngưỡng và câu báo không dùng để xét. Bộ xét chọn rule đối chứng T=20, S01=29 Không đỏ; không tạo ngưỡng 0…&#10;Xem chi tiết"/>
    <hyperlink ref="B39" location="'Chi tiết'!A128" display="Thiết lập điểm đỏ（赤点設定）&#10;Dòng quy tắc mới chỉ có điều kiện, chưa có ngưỡng&#10;Xem chi tiết"/>
    <hyperlink ref="C39" location="'Chi tiết'!A129" display="Chuẩn bị: Bị chặn&#10;Kỳ vọng: Đã xác nhận&#10;Dữ liệu (trích): Nhánh incomplete-deleted-stale trong thủ tục và Expected của…&#10;Thao tác (trích): 1. Với `incomplete-row`, quay về danh sách, xem dòng nhập dở và thao tác mở thiết lập ngưỡng; chạy xét và đọc…&#10;Xem chi tiết"/>
    <hyperlink ref="D39" location="'Chi tiết'!A131" display="Kỳ vọng: Đã xác nhận&#10;1. `incomplete-row`: dòng hiển thị chưa có ngưỡng, có link mở thiết lập ngưỡng và câu báo không dùng để xét. Bộ xét chọn rule đối chứng T=20, S01=29 Không đỏ; không tạo ngưỡng 0…&#10;Xem chi tiết"/>
    <hyperlink ref="B40" location="'Chi tiết'!A132" display="Thiết lập điểm đỏ（赤点設定）&#10;Danh sách trống không tự dựng rule từ cấu hình legacy&#10;Xem chi tiết"/>
    <hyperlink ref="C40" location="'Chi tiết'!A133" display="Chuẩn bị: Đang chuẩn bị&#10;Kỳ vọng: Đã xác nhận&#10;Dữ liệu (trích): Toàn bộ thủ tục theo đúng thứ tự; các đối chứng cùng fixture…&#10;Thao tác (trích): 1. Mở danh sách rule đỏ trống.…&#10;Xem chi tiết"/>
    <hyperlink ref="B41" location="'Chi tiết'!A135" display="Điều kiện áp dụng（適用条件）&#10;Điều kiện áp dụng: Toàn bộ đối tượng hoặc giới hạn bằng bộ lọc kế thừa từ tính…&#10;Xem chi tiết"/>
    <hyperlink ref="C41" location="'Chi tiết'!A136" display="Chuẩn bị: Đang chuẩn bị&#10;Kỳ vọng: Đã xác nhận&#10;Dữ liệu (trích): Toàn bộ đối tượng&#10;Thao tác (trích): 1. Mở Điều kiện áp dụng của một quy tắc mới.…&#10;Xem chi tiết"/>
    <hyperlink ref="D41" location="'Chi tiết'!A138" display="Kỳ vọng: Đã xác nhận&#10;1. Hai lựa chọn đối tượng lưu và mở lại đúng.…&#10;Xem chi tiết"/>
    <hyperlink ref="B42" location="'Chi tiết'!A139" display="Điều kiện áp dụng（適用条件）&#10;Điều kiện áp dụng: Toàn bộ đối tượng hoặc giới hạn bằng bộ lọc kế thừa từ tính…&#10;Xem chi tiết"/>
    <hyperlink ref="C42" location="'Chi tiết'!A140" display="Chuẩn bị: Đang chuẩn bị&#10;Kỳ vọng: Đã xác nhận&#10;Dữ liệu (trích): Giới hạn bằng bộ lọc&#10;Thao tác (trích): 1. Mở Điều kiện áp dụng của một quy tắc mới.…&#10;Xem chi tiết"/>
    <hyperlink ref="D42" location="'Chi tiết'!A142" display="Kỳ vọng: Đã xác nhận&#10;1. Hai lựa chọn đối tượng lưu và mở lại đúng.…&#10;Xem chi tiết"/>
    <hyperlink ref="B43" location="'Chi tiết'!A143" display="Điều kiện áp dụng（適用条件）&#10;Điều kiện phân nhánh theo Trung bình（平均点） được lưu cùng bộ nguồn&#10;Xem chi tiết"/>
    <hyperlink ref="C43" location="'Chi tiết'!A144" display="Chuẩn bị: Đang chuẩn bị&#10;Kỳ vọng: Đã xác nhận&#10;Dữ liệu (trích): Điều kiện dưới 60&#10;Thao tác (trích): 1. Tạo quy tắc &quot;Trung bình dưới 60&quot;: thêm bộ lọc Môn（教科・科目）= Toán（数学） và điều kiện Trung bình（平均点）.…&#10;Xem chi tiết"/>
    <hyperlink ref="D43" location="'Chi tiết'!A146" display="Kỳ vọng: Đã xác nhận&#10;1. Cả hai quy tắc lưu được, là hai dòng riêng trong danh sách (không phải một form hai nhánh).…&#10;Xem chi tiết"/>
    <hyperlink ref="B44" location="'Chi tiết'!A147" display="Điều kiện áp dụng（適用条件）&#10;Điều kiện phân nhánh theo Trung bình（平均点） được lưu cùng bộ nguồn&#10;Xem chi tiết"/>
    <hyperlink ref="C44" location="'Chi tiết'!A148" display="Chuẩn bị: Đang chuẩn bị&#10;Kỳ vọng: Đã xác nhận&#10;Dữ liệu (trích): Điều kiện từ 60&#10;Thao tác (trích): 1. Tạo quy tắc &quot;Trung bình dưới 60&quot;: thêm bộ lọc Môn（教科・科目）= Toán（数学） và điều kiện Trung bình（平均点）.…&#10;Xem chi tiết"/>
    <hyperlink ref="D44" location="'Chi tiết'!A150" display="Kỳ vọng: Đã xác nhận&#10;1. Cả hai quy tắc lưu được, là hai dòng riêng trong danh sách (không phải một form hai nhánh).…&#10;Xem chi tiết"/>
    <hyperlink ref="B45" location="'Chi tiết'!A151" display="Điều kiện áp dụng（適用条件）&#10;Điều kiện Tỷ lệ điểm của nhóm（集団の得点率） được lưu cùng bộ nguồn&#10;Xem chi tiết"/>
    <hyperlink ref="C45" location="'Chi tiết'!A152" display="Chuẩn bị: Đang chuẩn bị&#10;Kỳ vọng: Đã xác nhận&#10;Dữ liệu (trích): Toàn bộ thủ tục theo đúng thứ tự; các đối chứng cùng fixture…&#10;Thao tác (trích): 1. Tạo quy tắc với điều kiện Tỷ lệ điểm của nhóm（集団の得点率）, nguồn mặc định, mốc 65, dấu Từ mức này trở lên（以上）.…&#10;Xem chi tiết"/>
    <hyperlink ref="C46" location="'Chi tiết'!A154" display="Chuẩn bị: Đang chuẩn bị&#10;Kỳ vọng: Đã xác nhận&#10;Dữ liệu (trích): Toàn bộ thủ tục theo đúng thứ tự; các đối chứng cùng fixture…&#10;Thao tác (trích): 1. Đăng ký điểm 20 cho P1–P4.…&#10;Xem chi tiết"/>
    <hyperlink ref="C47" location="'Chi tiết'!A156" display="Chuẩn bị: Bị chặn&#10;Kỳ vọng: Đã xác nhận&#10;Dữ liệu (trích): Nhánh A-P9 trong thủ tục và Expected của case; thực hiện các…&#10;Thao tác (trích): 1. Lưu rule A+A. Với từng variant A-P9…A-P16, reset fixture, chọn đúng TD-SRC tương ứng, ghi identity…&#10;Xem chi tiết"/>
    <hyperlink ref="D47" location="'Chi tiết'!A159" display="Kỳ vọng: Đã xác nhận&#10;1. Biến thể A: P9/P12/P13/P16 không thỏa; P10/P11/P14/P15 thỏa `50≤A&lt;70`; với `T=70`, chỉ học sinh positive có `S=60` bị Đỏ. Mỗi kết quả chỉ hợp lệ khi source identity/reader…&#10;Xem chi tiết"/>
    <hyperlink ref="C48" location="'Chi tiết'!A161" display="Chuẩn bị: Bị chặn&#10;Kỳ vọng: Đã xác nhận&#10;Dữ liệu (trích): Nhánh A-P10 trong thủ tục và Expected của case; thực hiện các…&#10;Thao tác (trích): 1. Lưu rule A+A. Với từng variant A-P9…A-P16, reset fixture, chọn đúng TD-SRC tương ứng, ghi identity…&#10;Xem chi tiết"/>
    <hyperlink ref="D48" location="'Chi tiết'!A164" display="Kỳ vọng: Đã xác nhận&#10;1. Biến thể A: P9/P12/P13/P16 không thỏa; P10/P11/P14/P15 thỏa `50≤A&lt;70`; với `T=70`, chỉ học sinh positive có `S=60` bị Đỏ. Mỗi kết quả chỉ hợp lệ khi source identity/reader…&#10;Xem chi tiết"/>
    <hyperlink ref="C49" location="'Chi tiết'!A166" display="Chuẩn bị: Bị chặn&#10;Kỳ vọng: Đã xác nhận&#10;Dữ liệu (trích): Nhánh A-P11 trong thủ tục và Expected của case; thực hiện các…&#10;Thao tác (trích): 1. Lưu rule A+A. Với từng variant A-P9…A-P16, reset fixture, chọn đúng TD-SRC tương ứng, ghi identity…&#10;Xem chi tiết"/>
    <hyperlink ref="D49" location="'Chi tiết'!A169" display="Kỳ vọng: Đã xác nhận&#10;1. Biến thể A: P9/P12/P13/P16 không thỏa; P10/P11/P14/P15 thỏa `50≤A&lt;70`; với `T=70`, chỉ học sinh positive có `S=60` bị Đỏ. Mỗi kết quả chỉ hợp lệ khi source identity/reader…&#10;Xem chi tiết"/>
    <hyperlink ref="C50" location="'Chi tiết'!A171" display="Chuẩn bị: Bị chặn&#10;Kỳ vọng: Đã xác nhận&#10;Dữ liệu (trích): Nhánh A-P12 trong thủ tục và Expected của case; thực hiện các…&#10;Thao tác (trích): 1. Lưu rule A+A. Với từng variant A-P9…A-P16, reset fixture, chọn đúng TD-SRC tương ứng, ghi identity…&#10;Xem chi tiết"/>
    <hyperlink ref="D50" location="'Chi tiết'!A174" display="Kỳ vọng: Đã xác nhận&#10;1. Biến thể A: P9/P12/P13/P16 không thỏa; P10/P11/P14/P15 thỏa `50≤A&lt;70`; với `T=70`, chỉ học sinh positive có `S=60` bị Đỏ. Mỗi kết quả chỉ hợp lệ khi source identity/reader…&#10;Xem chi tiết"/>
    <hyperlink ref="C51" location="'Chi tiết'!A176" display="Chuẩn bị: Bị chặn&#10;Kỳ vọng: Đã xác nhận&#10;Dữ liệu (trích): Nhánh A-P13 trong thủ tục và Expected của case; thực hiện các…&#10;Thao tác (trích): 1. Lưu rule A+A. Với từng variant A-P9…A-P16, reset fixture, chọn đúng TD-SRC tương ứng, ghi identity…&#10;Xem chi tiết"/>
    <hyperlink ref="D51" location="'Chi tiết'!A179" display="Kỳ vọng: Đã xác nhận&#10;1. Biến thể A: P9/P12/P13/P16 không thỏa; P10/P11/P14/P15 thỏa `50≤A&lt;70`; với `T=70`, chỉ học sinh positive có `S=60` bị Đỏ. Mỗi kết quả chỉ hợp lệ khi source identity/reader…&#10;Xem chi tiết"/>
    <hyperlink ref="C52" location="'Chi tiết'!A181" display="Chuẩn bị: Bị chặn&#10;Kỳ vọng: Đã xác nhận&#10;Dữ liệu (trích): Nhánh A-P14 trong thủ tục và Expected của case; thực hiện các…&#10;Thao tác (trích): 1. Lưu rule A+A. Với từng variant A-P9…A-P16, reset fixture, chọn đúng TD-SRC tương ứng, ghi identity…&#10;Xem chi tiết"/>
    <hyperlink ref="D52" location="'Chi tiết'!A184" display="Kỳ vọng: Đã xác nhận&#10;1. Biến thể A: P9/P12/P13/P16 không thỏa; P10/P11/P14/P15 thỏa `50≤A&lt;70`; với `T=70`, chỉ học sinh positive có `S=60` bị Đỏ. Mỗi kết quả chỉ hợp lệ khi source identity/reader…&#10;Xem chi tiết"/>
    <hyperlink ref="C53" location="'Chi tiết'!A186" display="Chuẩn bị: Bị chặn&#10;Kỳ vọng: Đã xác nhận&#10;Dữ liệu (trích): Nhánh A-P15 trong thủ tục và Expected của case; thực hiện các…&#10;Thao tác (trích): 1. Lưu rule A+A. Với từng variant A-P9…A-P16, reset fixture, chọn đúng TD-SRC tương ứng, ghi identity…&#10;Xem chi tiết"/>
    <hyperlink ref="D53" location="'Chi tiết'!A189" display="Kỳ vọng: Đã xác nhận&#10;1. Biến thể A: P9/P12/P13/P16 không thỏa; P10/P11/P14/P15 thỏa `50≤A&lt;70`; với `T=70`, chỉ học sinh positive có `S=60` bị Đỏ. Mỗi kết quả chỉ hợp lệ khi source identity/reader…&#10;Xem chi tiết"/>
    <hyperlink ref="C54" location="'Chi tiết'!A191" display="Chuẩn bị: Bị chặn&#10;Kỳ vọng: Đã xác nhận&#10;Dữ liệu (trích): Nhánh A-P16 trong thủ tục và Expected của case; thực hiện các…&#10;Thao tác (trích): 1. Lưu rule A+A. Với từng variant A-P9…A-P16, reset fixture, chọn đúng TD-SRC tương ứng, ghi identity…&#10;Xem chi tiết"/>
    <hyperlink ref="D54" location="'Chi tiết'!A194" display="Kỳ vọng: Đã xác nhận&#10;1. Biến thể A: P9/P12/P13/P16 không thỏa; P10/P11/P14/P15 thỏa `50≤A&lt;70`; với `T=70`, chỉ học sinh positive có `S=60` bị Đỏ. Mỗi kết quả chỉ hợp lệ khi source identity/reader…&#10;Xem chi tiết"/>
    <hyperlink ref="C55" location="'Chi tiết'!A196" display="Chuẩn bị: Bị chặn&#10;Kỳ vọng: Đã xác nhận&#10;Dữ liệu (trích): Nhánh RR-60 trong thủ tục và Expected của case; thực hiện các…&#10;Thao tác (trích): 1. Lưu rule A+A. Với từng variant A-P9…A-P16, reset fixture, chọn đúng TD-SRC tương ứng, ghi identity…&#10;Xem chi tiết"/>
    <hyperlink ref="D55" location="'Chi tiết'!A199" display="Kỳ vọng: Đã xác nhận&#10;1. Biến thể A: P9/P12/P13/P16 không thỏa; P10/P11/P14/P15 thỏa `50≤A&lt;70`; với `T=70`, chỉ học sinh positive có `S=60` bị Đỏ. Mỗi kết quả chỉ hợp lệ khi source identity/reader…&#10;Xem chi tiết"/>
    <hyperlink ref="C56" location="'Chi tiết'!A201" display="Chuẩn bị: Bị chặn&#10;Kỳ vọng: Đã xác nhận&#10;Dữ liệu (trích): Nhánh RR-49.9 trong thủ tục và Expected của case; thực hiện các…&#10;Thao tác (trích): 1. Lưu rule A+A. Với từng variant A-P9…A-P16, reset fixture, chọn đúng TD-SRC tương ứng, ghi identity…&#10;Xem chi tiết"/>
    <hyperlink ref="D56" location="'Chi tiết'!A204" display="Kỳ vọng: Đã xác nhận&#10;1. Biến thể A: P9/P12/P13/P16 không thỏa; P10/P11/P14/P15 thỏa `50≤A&lt;70`; với `T=70`, chỉ học sinh positive có `S=60` bị Đỏ. Mỗi kết quả chỉ hợp lệ khi source identity/reader…&#10;Xem chi tiết"/>
    <hyperlink ref="C57" location="'Chi tiết'!A206" display="Chuẩn bị: Bị chặn&#10;Kỳ vọng: Đã xác nhận&#10;Dữ liệu (trích): Nhánh RR-70 trong thủ tục và Expected của case; thực hiện các…&#10;Thao tác (trích): 1. Lưu rule A+A. Với từng variant A-P9…A-P16, reset fixture, chọn đúng TD-SRC tương ứng, ghi identity…&#10;Xem chi tiết"/>
    <hyperlink ref="D57" location="'Chi tiết'!A209" display="Kỳ vọng: Đã xác nhận&#10;1. Biến thể A: P9/P12/P13/P16 không thỏa; P10/P11/P14/P15 thỏa `50≤A&lt;70`; với `T=70`, chỉ học sinh positive có `S=60` bị Đỏ. Mỗi kết quả chỉ hợp lệ khi source identity/reader…&#10;Xem chi tiết"/>
    <hyperlink ref="C58" location="'Chi tiết'!A211" display="Chuẩn bị: Bị chặn&#10;Kỳ vọng: Đã xác nhận&#10;Dữ liệu (trích): Nhánh AR-60-60 trong thủ tục và Expected của case; thực hiện các…&#10;Thao tác (trích): 1. Lưu rule A+A. Với từng variant A-P9…A-P16, reset fixture, chọn đúng TD-SRC tương ứng, ghi identity…&#10;Xem chi tiết"/>
    <hyperlink ref="D58" location="'Chi tiết'!A214" display="Kỳ vọng: Đã xác nhận&#10;1. Biến thể A: P9/P12/P13/P16 không thỏa; P10/P11/P14/P15 thỏa `50≤A&lt;70`; với `T=70`, chỉ học sinh positive có `S=60` bị Đỏ. Mỗi kết quả chỉ hợp lệ khi source identity/reader…&#10;Xem chi tiết"/>
    <hyperlink ref="C59" location="'Chi tiết'!A216" display="Chuẩn bị: Bị chặn&#10;Kỳ vọng: Đã xác nhận&#10;Dữ liệu (trích): Nhánh AR-40-60 trong thủ tục và Expected của case; thực hiện các…&#10;Thao tác (trích): 1. Lưu rule A+A. Với từng variant A-P9…A-P16, reset fixture, chọn đúng TD-SRC tương ứng, ghi identity…&#10;Xem chi tiết"/>
    <hyperlink ref="D59" location="'Chi tiết'!A219" display="Kỳ vọng: Đã xác nhận&#10;1. Biến thể A: P9/P12/P13/P16 không thỏa; P10/P11/P14/P15 thỏa `50≤A&lt;70`; với `T=70`, chỉ học sinh positive có `S=60` bị Đỏ. Mỗi kết quả chỉ hợp lệ khi source identity/reader…&#10;Xem chi tiết"/>
    <hyperlink ref="C60" location="'Chi tiết'!A221" display="Chuẩn bị: Bị chặn&#10;Kỳ vọng: Đã xác nhận&#10;Dữ liệu (trích): Nhánh AR-60-40 trong thủ tục và Expected của case; thực hiện các…&#10;Thao tác (trích): 1. Lưu rule A+A. Với từng variant A-P9…A-P16, reset fixture, chọn đúng TD-SRC tương ứng, ghi identity…&#10;Xem chi tiết"/>
    <hyperlink ref="D60" location="'Chi tiết'!A224" display="Kỳ vọng: Đã xác nhận&#10;1. Biến thể A: P9/P12/P13/P16 không thỏa; P10/P11/P14/P15 thỏa `50≤A&lt;70`; với `T=70`, chỉ học sinh positive có `S=60` bị Đỏ. Mỗi kết quả chỉ hợp lệ khi source identity/reader…&#10;Xem chi tiết"/>
    <hyperlink ref="C61" location="'Chi tiết'!A226" display="Chuẩn bị: Bị chặn&#10;Kỳ vọng: Đã xác nhận&#10;Dữ liệu (trích): Nhánh FILTER-POS trong thủ tục và Expected của case; thực hiện…&#10;Thao tác (trích): 1. Lưu rule A+A. Với từng variant A-P9…A-P16, reset fixture, chọn đúng TD-SRC tương ứng, ghi identity…&#10;Xem chi tiết"/>
    <hyperlink ref="D61" location="'Chi tiết'!A229" display="Kỳ vọng: Đã xác nhận&#10;1. Biến thể A: P9/P12/P13/P16 không thỏa; P10/P11/P14/P15 thỏa `50≤A&lt;70`; với `T=70`, chỉ học sinh positive có `S=60` bị Đỏ. Mỗi kết quả chỉ hợp lệ khi source identity/reader…&#10;Xem chi tiết"/>
    <hyperlink ref="C62" location="'Chi tiết'!A231" display="Chuẩn bị: Bị chặn&#10;Kỳ vọng: Đã xác nhận&#10;Dữ liệu (trích): Nhánh FILTER-GRADE-NEG trong thủ tục và Expected của case; thực…&#10;Thao tác (trích): 1. Lưu rule A+A. Với từng variant A-P9…A-P16, reset fixture, chọn đúng TD-SRC tương ứng, ghi identity…&#10;Xem chi tiết"/>
    <hyperlink ref="D62" location="'Chi tiết'!A234" display="Kỳ vọng: Đã xác nhận&#10;1. Biến thể A: P9/P12/P13/P16 không thỏa; P10/P11/P14/P15 thỏa `50≤A&lt;70`; với `T=70`, chỉ học sinh positive có `S=60` bị Đỏ. Mỗi kết quả chỉ hợp lệ khi source identity/reader…&#10;Xem chi tiết"/>
    <hyperlink ref="C63" location="'Chi tiết'!A236" display="Chuẩn bị: Bị chặn&#10;Kỳ vọng: Đã xác nhận&#10;Dữ liệu (trích): Nhánh FILTER-GROUP-NEG trong thủ tục và Expected của case; thực…&#10;Thao tác (trích): 1. Lưu rule A+A. Với từng variant A-P9…A-P16, reset fixture, chọn đúng TD-SRC tương ứng, ghi identity…&#10;Xem chi tiết"/>
    <hyperlink ref="D63" location="'Chi tiết'!A239" display="Kỳ vọng: Đã xác nhận&#10;1. Biến thể A: P9/P12/P13/P16 không thỏa; P10/P11/P14/P15 thỏa `50≤A&lt;70`; với `T=70`, chỉ học sinh positive có `S=60` bị Đỏ. Mỗi kết quả chỉ hợp lệ khi source identity/reader…&#10;Xem chi tiết"/>
    <hyperlink ref="C64" location="'Chi tiết'!A241" display="Chuẩn bị: Bị chặn&#10;Kỳ vọng: Đã xác nhận&#10;Dữ liệu (trích): Nhánh P17-A-NAN trong thủ tục và Expected của case; thực hiện…&#10;Thao tác (trích): 1. Lưu rule A+A. Với từng variant A-P9…A-P16, reset fixture, chọn đúng TD-SRC tương ứng, ghi identity…&#10;Xem chi tiết"/>
    <hyperlink ref="D64" location="'Chi tiết'!A244" display="Kỳ vọng: Đã xác nhận&#10;1. Biến thể A: P9/P12/P13/P16 không thỏa; P10/P11/P14/P15 thỏa `50≤A&lt;70`; với `T=70`, chỉ học sinh positive có `S=60` bị Đỏ. Mỗi kết quả chỉ hợp lệ khi source identity/reader…&#10;Xem chi tiết"/>
    <hyperlink ref="C65" location="'Chi tiết'!A246" display="Chuẩn bị: Bị chặn&#10;Kỳ vọng: Đã xác nhận&#10;Dữ liệu (trích): Nhánh P19-A-INFINITY trong thủ tục và Expected của case; thực…&#10;Thao tác (trích): 1. Lưu rule A+A. Với từng variant A-P9…A-P16, reset fixture, chọn đúng TD-SRC tương ứng, ghi identity…&#10;Xem chi tiết"/>
    <hyperlink ref="D65" location="'Chi tiết'!A249" display="Kỳ vọng: Đã xác nhận&#10;1. Biến thể A: P9/P12/P13/P16 không thỏa; P10/P11/P14/P15 thỏa `50≤A&lt;70`; với `T=70`, chỉ học sinh positive có `S=60` bị Đỏ. Mỗi kết quả chỉ hợp lệ khi source identity/reader…&#10;Xem chi tiết"/>
    <hyperlink ref="C66" location="'Chi tiết'!A251" display="Chuẩn bị: Bị chặn&#10;Kỳ vọng: Đã xác nhận&#10;Dữ liệu (trích): Nhánh P18-A-EMPTY trong thủ tục và Expected của case; thực hiện…&#10;Thao tác (trích): 1. Lưu rule A+A. Với từng variant A-P9…A-P16, reset fixture, chọn đúng TD-SRC tương ứng, ghi identity…&#10;Xem chi tiết"/>
    <hyperlink ref="D66" location="'Chi tiết'!A254" display="Kỳ vọng: Đã xác nhận&#10;1. Biến thể A: P9/P12/P13/P16 không thỏa; P10/P11/P14/P15 thỏa `50≤A&lt;70`; với `T=70`, chỉ học sinh positive có `S=60` bị Đỏ. Mỗi kết quả chỉ hợp lệ khi source identity/reader…&#10;Xem chi tiết"/>
    <hyperlink ref="C67" location="'Chi tiết'!A256" display="Chuẩn bị: Bị chặn&#10;Kỳ vọng: Đã xác nhận&#10;Dữ liệu (trích): Nhánh P18-S-EMPTY trong thủ tục và Expected của case; thực hiện…&#10;Thao tác (trích): 1. Lưu rule A+A. Với từng variant A-P9…A-P16, reset fixture, chọn đúng TD-SRC tương ứng, ghi identity…&#10;Xem chi tiết"/>
    <hyperlink ref="D67" location="'Chi tiết'!A259" display="Kỳ vọng: Đã xác nhận&#10;1. Biến thể A: P9/P12/P13/P16 không thỏa; P10/P11/P14/P15 thỏa `50≤A&lt;70`; với `T=70`, chỉ học sinh positive có `S=60` bị Đỏ. Mỗi kết quả chỉ hợp lệ khi source identity/reader…&#10;Xem chi tiết"/>
    <hyperlink ref="C68" location="'Chi tiết'!A261" display="Chuẩn bị: Bị chặn&#10;Kỳ vọng: Đã xác nhận&#10;Dữ liệu (trích): Bước 5 sau từng cấu hình ở bước 1–4, giữ source và phép AND khi…&#10;Thao tác (trích): 1. Lưu rule A+A. Với từng variant A-P9…A-P16, reset fixture, chọn đúng TD-SRC tương ứng, ghi identity…&#10;Xem chi tiết"/>
    <hyperlink ref="D68" location="'Chi tiết'!A264" display="Kỳ vọng: Đã xác nhận&#10;1. Biến thể A: P9/P12/P13/P16 không thỏa; P10/P11/P14/P15 thỏa `50≤A&lt;70`; với `T=70`, chỉ học sinh positive có `S=60` bị Đỏ. Mỗi kết quả chỉ hợp lệ khi source identity/reader…&#10;Xem chi tiết"/>
    <hyperlink ref="B69" location="'Chi tiết'!A266" display="Điều kiện áp dụng（適用条件）&#10;Toàn bộ đối tượng（全員が対象） không vượt phạm vi mục, trường, năm&#10;Xem chi tiết"/>
    <hyperlink ref="C69" location="'Chi tiết'!A267" display="Chuẩn bị: Đang chuẩn bị&#10;Kỳ vọng: Đã xác nhận&#10;Dữ liệu (trích): Toàn bộ thủ tục theo đúng thứ tự; các đối chứng cùng fixture…&#10;Thao tác (trích): 1. Chạy xét hàng loạt cho trường A.…&#10;Xem chi tiết"/>
    <hyperlink ref="B70" location="'Chi tiết'!A269" display="Điều kiện áp dụng（適用条件）&#10;Mục lựa chọn không được xét, nhưng bộ lọc theo lựa chọn vẫn dùng để chọn đối…&#10;Xem chi tiết"/>
    <hyperlink ref="C70" location="'Chi tiết'!A270" display="Chuẩn bị: Đang chuẩn bị&#10;Kỳ vọng: Đã xác nhận&#10;Dữ liệu (trích): Toàn bộ thủ tục theo đúng thứ tự; các đối chứng cùng fixture…&#10;Thao tác (trích): 1. Tạo quy tắc cho mục số nguyên (M=100) với bộ lọc theo lựa chọn（選択肢型） mục kiểu lựa chọn A/B/C = B, cố định…&#10;Xem chi tiết"/>
    <hyperlink ref="C71" location="'Chi tiết'!A272" display="Chuẩn bị: Đang chuẩn bị&#10;Kỳ vọng: Đã xác nhận&#10;Dữ liệu (trích): Toàn bộ thủ tục theo đúng thứ tự; các đối chứng cùng fixture…&#10;Thao tác (trích): 1. Đăng ký điểm 20 cho P5–P8.…&#10;Xem chi tiết"/>
    <hyperlink ref="C72" location="'Chi tiết'!A274" display="Chuẩn bị: Đang chuẩn bị&#10;Kỳ vọng: Đề xuất&#10;Dữ liệu (trích): Toàn bộ thủ tục theo đúng thứ tự; các đối chứng cùng fixture…&#10;Thao tác (trích): Chọn giới hạn bằng bộ lọc, không chọn điều kiện, Lưu.&#10;Xem chi tiết"/>
    <hyperlink ref="C73" location="'Chi tiết'!A276" display="Chuẩn bị: Đang chuẩn bị&#10;Kỳ vọng: Đề xuất&#10;Dữ liệu (trích): Trung bình trống&#10;Thao tác (trích): Nhập từng giá trị, Lưu.&#10;Xem chi tiết"/>
    <hyperlink ref="D73" location="'Chi tiết'!A278"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C74" location="'Chi tiết'!A279" display="Chuẩn bị: Đang chuẩn bị&#10;Kỳ vọng: Đề xuất&#10;Dữ liệu (trích): Trung bình -1&#10;Thao tác (trích): Nhập từng giá trị, Lưu.&#10;Xem chi tiết"/>
    <hyperlink ref="D74" location="'Chi tiết'!A281"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C75" location="'Chi tiết'!A282" display="Chuẩn bị: Đang chuẩn bị&#10;Kỳ vọng: Đề xuất&#10;Dữ liệu (trích): Trung bình 101&#10;Thao tác (trích): Nhập từng giá trị, Lưu.&#10;Xem chi tiết"/>
    <hyperlink ref="D75" location="'Chi tiết'!A284"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C76" location="'Chi tiết'!A285" display="Chuẩn bị: Đang chuẩn bị&#10;Kỳ vọng: Đề xuất&#10;Dữ liệu (trích): Trung bình 60.5&#10;Thao tác (trích): Nhập từng giá trị, Lưu.&#10;Xem chi tiết"/>
    <hyperlink ref="D76" location="'Chi tiết'!A287"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C77" location="'Chi tiết'!A288" display="Chuẩn bị: Đang chuẩn bị&#10;Kỳ vọng: Đề xuất&#10;Dữ liệu (trích): Trung bình 60.123456789&#10;Thao tác (trích): Nhập từng giá trị, Lưu.&#10;Xem chi tiết"/>
    <hyperlink ref="D77" location="'Chi tiết'!A290"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C78" location="'Chi tiết'!A291" display="Chuẩn bị: Đang chuẩn bị&#10;Kỳ vọng: Đề xuất&#10;Dữ liệu (trích): Tỷ lệ -1&#10;Thao tác (trích): Nhập từng giá trị, Lưu.&#10;Xem chi tiết"/>
    <hyperlink ref="D78" location="'Chi tiết'!A293"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C79" location="'Chi tiết'!A294" display="Chuẩn bị: Đang chuẩn bị&#10;Kỳ vọng: Đề xuất&#10;Dữ liệu (trích): Tỷ lệ 0&#10;Thao tác (trích): Nhập từng giá trị, Lưu.&#10;Xem chi tiết"/>
    <hyperlink ref="D79" location="'Chi tiết'!A296"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C80" location="'Chi tiết'!A297" display="Chuẩn bị: Đang chuẩn bị&#10;Kỳ vọng: Đề xuất&#10;Dữ liệu (trích): Tỷ lệ 100&#10;Thao tác (trích): Nhập từng giá trị, Lưu.&#10;Xem chi tiết"/>
    <hyperlink ref="D80" location="'Chi tiết'!A299"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C81" location="'Chi tiết'!A300" display="Chuẩn bị: Đang chuẩn bị&#10;Kỳ vọng: Đề xuất&#10;Dữ liệu (trích): Tỷ lệ 101&#10;Thao tác (trích): Nhập từng giá trị, Lưu.&#10;Xem chi tiết"/>
    <hyperlink ref="D81" location="'Chi tiết'!A302" display="Kỳ vọng: Đề xuất&#10;Đề xuất (thiết kế DB v2): trống → không lưu được (điều kiện chưa đủ); 60.5 lưu được; 60.123456789 (9 chữ số lẻ) bị từ chối; tỷ lệ nhóm 0 và 100 lưu được, −1 và 101 bị từ chối.…&#10;Xem chi tiết"/>
    <hyperlink ref="B82" location="'Chi tiết'!A303" display="Điều kiện áp dụng（適用条件）&#10;Màn Điều kiện áp dụng（適用条件設定）: bố cục và chuyển Toàn bộ/Bộ lọc&#10;Xem chi tiết"/>
    <hyperlink ref="C82" location="'Chi tiết'!A304" display="Chuẩn bị: Đang chuẩn bị&#10;Kỳ vọng: Đề xuất&#10;Dữ liệu (trích): Toàn bộ thủ tục theo đúng thứ tự; các đối chứng cùng fixture…&#10;Thao tác (trích): 1. Đối chiếu bố cục và đọc nguyên văn hướng dẫn điều kiện.…&#10;Xem chi tiết"/>
    <hyperlink ref="D82" location="'Chi tiết'!A306" display="Kỳ vọng: Đề xuất&#10;1. Có các phần tử như Source.…&#10;Xem chi tiết"/>
    <hyperlink ref="B83" location="'Chi tiết'!A307" display="Điều kiện áp dụng（適用条件）&#10;Khối điều kiện Trung bình（平均点） và nguồn tham chiếu, không có ô chọn &quot;kết quả…&#10;Xem chi tiết"/>
    <hyperlink ref="C83" location="'Chi tiết'!A308" display="Chuẩn bị: Đang chuẩn bị&#10;Kỳ vọng: Đã xác nhận&#10;Dữ liệu (trích): Toàn bộ thủ tục theo đúng thứ tự; các đối chứng cùng fixture…&#10;Thao tác (trích): Thêm điều kiện Trung bình（平均点）, xem các ô.&#10;Xem chi tiết"/>
    <hyperlink ref="D83" location="'Chi tiết'!A310" display="Kỳ vọng: Đã xác nhận&#10;CONFIRMED: có ba ô nguồn (thời kỳ, thiết lập tổng hợp thứ hạng, nhóm tham chiếu); **không** có ô chọn kết quả tổng hợp cụ thể/bản chốt.…&#10;Xem chi tiết"/>
    <hyperlink ref="C84" location="'Chi tiết'!A311" display="Chuẩn bị: Đang chuẩn bị&#10;Kỳ vọng: Đề xuất&#10;Dữ liệu (trích): Toàn bộ thủ tục theo đúng thứ tự; các đối chứng cùng fixture…&#10;Thao tác (trích): Thêm điều kiện Tỷ lệ điểm của nhóm（集団の得点率）.&#10;Xem chi tiết"/>
    <hyperlink ref="C85" location="'Chi tiết'!A313" display="Chuẩn bị: Đang chuẩn bị&#10;Kỳ vọng: Đã xác nhận&#10;Dữ liệu (trích): Chọn cố định&#10;Thao tác (trích): 1. Chọn Điểm cố định（固定点数）.…&#10;Xem chi tiết"/>
    <hyperlink ref="D85" location="'Chi tiết'!A315" display="Kỳ vọng: Đã xác nhận&#10;1. Cố định: có ô ngưỡng và dấu so sánh; không có vùng nguồn trung bình, không có xử lý phần lẻ.…&#10;Xem chi tiết"/>
    <hyperlink ref="C86" location="'Chi tiết'!A316" display="Chuẩn bị: Đang chuẩn bị&#10;Kỳ vọng: Đã xác nhận&#10;Dữ liệu (trích): Chọn tỷ lệ&#10;Thao tác (trích): 1. Chọn Điểm cố định（固定点数）.…&#10;Xem chi tiết"/>
    <hyperlink ref="D86" location="'Chi tiết'!A318" display="Kỳ vọng: Đã xác nhận&#10;1. Cố định: có ô ngưỡng và dấu so sánh; không có vùng nguồn trung bình, không có xử lý phần lẻ.…&#10;Xem chi tiết"/>
    <hyperlink ref="C87" location="'Chi tiết'!A319" display="Chuẩn bị: Đang chuẩn bị&#10;Kỳ vọng: Đã xác nhận&#10;Dữ liệu (trích): Chọn công thức&#10;Thao tác (trích): 1. Chọn Điểm cố định（固定点数）.…&#10;Xem chi tiết"/>
    <hyperlink ref="D87" location="'Chi tiết'!A321" display="Kỳ vọng: Đã xác nhận&#10;1. Cố định: có ô ngưỡng và dấu so sánh; không có vùng nguồn trung bình, không có xử lý phần lẻ.…&#10;Xem chi tiết"/>
    <hyperlink ref="B88" location="'Chi tiết'!A322" display="Thiết lập ngưỡng（基準設定）&#10;Dấu so sánh Nhỏ hơn（未満）/Nhỏ hơn hoặc bằng（以下） được lưu và hiển thị&#10;Xem chi tiết"/>
    <hyperlink ref="C88" location="'Chi tiết'!A323" display="Chuẩn bị: Đang chuẩn bị&#10;Kỳ vọng: Đã xác nhận&#10;Dữ liệu (trích): Dấu nhỏ hơn&#10;Thao tác (trích): 1. Đổi dấu của quy tắc “Cố định 30” (dưới 30) sang Nhỏ hơn hoặc bằng（以下）, lưu, mở lại.…&#10;Xem chi tiết"/>
    <hyperlink ref="B89" location="'Chi tiết'!A325" display="Thiết lập ngưỡng（基準設定）&#10;Dấu so sánh Nhỏ hơn（未満）/Nhỏ hơn hoặc bằng（以下） được lưu và hiển thị&#10;Xem chi tiết"/>
    <hyperlink ref="C89" location="'Chi tiết'!A326" display="Chuẩn bị: Đang chuẩn bị&#10;Kỳ vọng: Đã xác nhận&#10;Dữ liệu (trích): Dấu nhỏ hơn hoặc bằng&#10;Thao tác (trích): 1. Đổi dấu của quy tắc “Cố định 30” (dưới 30) sang Nhỏ hơn hoặc bằng（以下）, lưu, mở lại.…&#10;Xem chi tiết"/>
    <hyperlink ref="C90" location="'Chi tiết'!A328" display="Chuẩn bị: Đang chuẩn bị&#10;Kỳ vọng: Đã xác nhận&#10;Dữ liệu (trích): N=-1&#10;Thao tác (trích): Lần lượt nhập Điểm cố định（固定点数）= −1, 0, 100, 101 và bấm Cập nhật（更新する）.&#10;Xem chi tiết"/>
    <hyperlink ref="C91" location="'Chi tiết'!A330" display="Chuẩn bị: Đang chuẩn bị&#10;Kỳ vọng: Đã xác nhận&#10;Dữ liệu (trích): N=0&#10;Thao tác (trích): Lần lượt nhập Điểm cố định（固定点数）= −1, 0, 100, 101 và bấm Cập nhật（更新する）.&#10;Xem chi tiết"/>
    <hyperlink ref="C92" location="'Chi tiết'!A332" display="Chuẩn bị: Đang chuẩn bị&#10;Kỳ vọng: Đã xác nhận&#10;Dữ liệu (trích): N=100&#10;Thao tác (trích): Lần lượt nhập Điểm cố định（固定点数）= −1, 0, 100, 101 và bấm Cập nhật（更新する）.&#10;Xem chi tiết"/>
    <hyperlink ref="C93" location="'Chi tiết'!A334" display="Chuẩn bị: Đang chuẩn bị&#10;Kỳ vọng: Đã xác nhận&#10;Dữ liệu (trích): N=101&#10;Thao tác (trích): Lần lượt nhập Điểm cố định（固定点数）= −1, 0, 100, 101 và bấm Cập nhật（更新する）.&#10;Xem chi tiết"/>
    <hyperlink ref="C94" location="'Chi tiết'!A336" display="Chuẩn bị: Đang chuẩn bị&#10;Kỳ vọng: Đã xác nhận&#10;Dữ liệu (trích): Toàn bộ N=30&#10;Thao tác (trích): 1. Toàn bộ đối tượng, N=30, Lưu.…&#10;Xem chi tiết"/>
    <hyperlink ref="C95" location="'Chi tiết'!A338" display="Chuẩn bị: Đang chuẩn bị&#10;Kỳ vọng: Đã xác nhận&#10;Dữ liệu (trích): Toàn bộ N=20&#10;Thao tác (trích): 1. Toàn bộ đối tượng, N=30, Lưu.…&#10;Xem chi tiết"/>
    <hyperlink ref="C96" location="'Chi tiết'!A340" display="Chuẩn bị: Đang chuẩn bị&#10;Kỳ vọng: Đã xác nhận&#10;Dữ liệu (trích): Chỉ G-B N=30&#10;Thao tác (trích): 1. Toàn bộ đối tượng, N=30, Lưu.…&#10;Xem chi tiết"/>
    <hyperlink ref="B97" location="'Chi tiết'!A342" display="Thiết lập ngưỡng（基準設定）&#10;Mở rộng phạm vi sau khi lưu: kiểm lại ngưỡng cố định với M của đối tượng mới&#10;Xem chi tiết"/>
    <hyperlink ref="C97" location="'Chi tiết'!A343" display="Chuẩn bị: Đang chuẩn bị&#10;Kỳ vọng: Đã xác nhận&#10;Dữ liệu (trích): Toàn bộ thủ tục theo đúng thứ tự; các đối chứng cùng fixture…&#10;Thao tác (trích): Sửa bộ lọc thành G-A hoặc G-B (giữ N=30), bấm Lưu.&#10;Xem chi tiết"/>
    <hyperlink ref="C98" location="'Chi tiết'!A345" display="Chuẩn bị: Đang chuẩn bị&#10;Kỳ vọng: Đã xác nhận&#10;Dữ liệu (trích): Cố định với trống&#10;Thao tác (trích): Với loại Điểm cố định（固定点数） rồi Tỷ lệ điểm tối đa（得点率）: nhập từng giá trị, bấm Lưu.&#10;Xem chi tiết"/>
    <hyperlink ref="C99" location="'Chi tiết'!A347" display="Chuẩn bị: Đang chuẩn bị&#10;Kỳ vọng: Đã xác nhận&#10;Dữ liệu (trích): Cố định với abc&#10;Thao tác (trích): Với loại Điểm cố định（固定点数） rồi Tỷ lệ điểm tối đa（得点率）: nhập từng giá trị, bấm Lưu.&#10;Xem chi tiết"/>
    <hyperlink ref="C100" location="'Chi tiết'!A349" display="Chuẩn bị: Đang chuẩn bị&#10;Kỳ vọng: Đã xác nhận&#10;Dữ liệu (trích): Cố định với 3O&#10;Thao tác (trích): Với loại Điểm cố định（固定点数） rồi Tỷ lệ điểm tối đa（得点率）: nhập từng giá trị, bấm Lưu.&#10;Xem chi tiết"/>
    <hyperlink ref="C101" location="'Chi tiết'!A351" display="Chuẩn bị: Đang chuẩn bị&#10;Kỳ vọng: Đã xác nhận&#10;Dữ liệu (trích): Cố định với chữ số toàn chiều rộng, phần TBD giữ BLOCKED&#10;Thao tác (trích): Với loại Điểm cố định（固定点数） rồi Tỷ lệ điểm tối đa（得点率）: nhập từng giá trị, bấm Lưu.&#10;Xem chi tiết"/>
    <hyperlink ref="C102" location="'Chi tiết'!A353" display="Chuẩn bị: Đang chuẩn bị&#10;Kỳ vọng: Đã xác nhận&#10;Dữ liệu (trích): Tỷ lệ với trống&#10;Thao tác (trích): Với loại Điểm cố định（固定点数） rồi Tỷ lệ điểm tối đa（得点率）: nhập từng giá trị, bấm Lưu.&#10;Xem chi tiết"/>
    <hyperlink ref="C103" location="'Chi tiết'!A355" display="Chuẩn bị: Đang chuẩn bị&#10;Kỳ vọng: Đã xác nhận&#10;Dữ liệu (trích): Tỷ lệ với abc&#10;Thao tác (trích): Với loại Điểm cố định（固定点数） rồi Tỷ lệ điểm tối đa（得点率）: nhập từng giá trị, bấm Lưu.&#10;Xem chi tiết"/>
    <hyperlink ref="C104" location="'Chi tiết'!A357" display="Chuẩn bị: Đang chuẩn bị&#10;Kỳ vọng: Đã xác nhận&#10;Dữ liệu (trích): Tỷ lệ với 3O&#10;Thao tác (trích): Với loại Điểm cố định（固定点数） rồi Tỷ lệ điểm tối đa（得点率）: nhập từng giá trị, bấm Lưu.&#10;Xem chi tiết"/>
    <hyperlink ref="C105" location="'Chi tiết'!A359" display="Chuẩn bị: Đang chuẩn bị&#10;Kỳ vọng: Đã xác nhận&#10;Dữ liệu (trích): Tỷ lệ với chữ số toàn chiều rộng, phần TBD giữ BLOCKED&#10;Thao tác (trích): Với loại Điểm cố định（固定点数） rồi Tỷ lệ điểm tối đa（得点率）: nhập từng giá trị, bấm Lưu.&#10;Xem chi tiết"/>
    <hyperlink ref="C106" location="'Chi tiết'!A361" display="Chuẩn bị: Đang chuẩn bị&#10;Kỳ vọng: Đề xuất&#10;Dữ liệu (trích): 29.5&#10;Thao tác (trích): Nhập từng giá trị, Lưu, mở lại.&#10;Xem chi tiết"/>
    <hyperlink ref="D106" location="'Chi tiết'!A363" display="Kỳ vọng: Đề xuất&#10;Đề xuất (thiết kế DB v2 mục 4.2 “Xử lý phần lẻ và miền lưu trữ”): 29.5, 29.55, 29.555 lưu và mở lại đúng; 29.5555 bị từ chối, không tự cắt/làm tròn. Tối thiểu (CONFIRMED, đặc tả…&#10;Xem chi tiết"/>
    <hyperlink ref="C107" location="'Chi tiết'!A364" display="Chuẩn bị: Đang chuẩn bị&#10;Kỳ vọng: Đề xuất&#10;Dữ liệu (trích): 29.55&#10;Thao tác (trích): Nhập từng giá trị, Lưu, mở lại.&#10;Xem chi tiết"/>
    <hyperlink ref="D107" location="'Chi tiết'!A366" display="Kỳ vọng: Đề xuất&#10;Đề xuất (thiết kế DB v2 mục 4.2 “Xử lý phần lẻ và miền lưu trữ”): 29.5, 29.55, 29.555 lưu và mở lại đúng; 29.5555 bị từ chối, không tự cắt/làm tròn. Tối thiểu (CONFIRMED, đặc tả…&#10;Xem chi tiết"/>
    <hyperlink ref="C108" location="'Chi tiết'!A367" display="Chuẩn bị: Đang chuẩn bị&#10;Kỳ vọng: Đề xuất&#10;Dữ liệu (trích): 29.555&#10;Thao tác (trích): Nhập từng giá trị, Lưu, mở lại.&#10;Xem chi tiết"/>
    <hyperlink ref="D108" location="'Chi tiết'!A369" display="Kỳ vọng: Đề xuất&#10;Đề xuất (thiết kế DB v2 mục 4.2 “Xử lý phần lẻ và miền lưu trữ”): 29.5, 29.55, 29.555 lưu và mở lại đúng; 29.5555 bị từ chối, không tự cắt/làm tròn. Tối thiểu (CONFIRMED, đặc tả…&#10;Xem chi tiết"/>
    <hyperlink ref="C109" location="'Chi tiết'!A370" display="Chuẩn bị: Đang chuẩn bị&#10;Kỳ vọng: Đề xuất&#10;Dữ liệu (trích): 29.5555&#10;Thao tác (trích): Nhập từng giá trị, Lưu, mở lại.&#10;Xem chi tiết"/>
    <hyperlink ref="D109" location="'Chi tiết'!A372" display="Kỳ vọng: Đề xuất&#10;Đề xuất (thiết kế DB v2 mục 4.2 “Xử lý phần lẻ và miền lưu trữ”): 29.5, 29.55, 29.555 lưu và mở lại đúng; 29.5555 bị từ chối, không tự cắt/làm tròn. Tối thiểu (CONFIRMED, đặc tả…&#10;Xem chi tiết"/>
    <hyperlink ref="C110" location="'Chi tiết'!A373" display="Chuẩn bị: Đang chuẩn bị&#10;Kỳ vọng: Đã xác nhận&#10;Dữ liệu (trích): Ngưỡng 30, dấu nhỏ hơn, cả ba điểm&#10;Thao tác (trích): 1. Chỉ có quy tắc “Cố định 30” (dưới 30) (`T=30`, `&lt;`): đăng ký S01=29, S02=30, S03=31.…&#10;Xem chi tiết"/>
    <hyperlink ref="C111" location="'Chi tiết'!A375" display="Chuẩn bị: Đang chuẩn bị&#10;Kỳ vọng: Đã xác nhận&#10;Dữ liệu (trích): Ngưỡng 30, dấu nhỏ hơn hoặc bằng, cả ba điểm&#10;Thao tác (trích): 1. Chỉ có quy tắc “Cố định 30” (dưới 30) (`T=30`, `&lt;`): đăng ký S01=29, S02=30, S03=31.…&#10;Xem chi tiết"/>
    <hyperlink ref="C112" location="'Chi tiết'!A377" display="Chuẩn bị: Đang chuẩn bị&#10;Kỳ vọng: Đã xác nhận&#10;Dữ liệu (trích): Ngưỡng 0 nhỏ hơn&#10;Thao tác (trích): Với từng cấu hình: cố định 0 `&lt;`, cố định 0 `≤`, cố định 30 `&lt;`: chạy lại, xem S04.&#10;Xem chi tiết"/>
    <hyperlink ref="C113" location="'Chi tiết'!A379" display="Chuẩn bị: Đang chuẩn bị&#10;Kỳ vọng: Đã xác nhận&#10;Dữ liệu (trích): Ngưỡng 0 nhỏ hơn hoặc bằng&#10;Thao tác (trích): Với từng cấu hình: cố định 0 `&lt;`, cố định 0 `≤`, cố định 30 `&lt;`: chạy lại, xem S04.&#10;Xem chi tiết"/>
    <hyperlink ref="C114" location="'Chi tiết'!A381" display="Chuẩn bị: Đang chuẩn bị&#10;Kỳ vọng: Đã xác nhận&#10;Dữ liệu (trích): Ngưỡng 30 nhỏ hơn&#10;Thao tác (trích): Với từng cấu hình: cố định 0 `&lt;`, cố định 0 `≤`, cố định 30 `&lt;`: chạy lại, xem S04.&#10;Xem chi tiết"/>
    <hyperlink ref="C115" location="'Chi tiết'!A383" display="Chuẩn bị: Đang chuẩn bị&#10;Kỳ vọng: Đã xác nhận&#10;Dữ liệu (trích): Dấu nhỏ hơn, cả bốn điểm&#10;Thao tác (trích): Đăng ký bốn học sinh với các điểm trên; xét với `&lt;` rồi `≤`.&#10;Xem chi tiết"/>
    <hyperlink ref="C116" location="'Chi tiết'!A385" display="Chuẩn bị: Đang chuẩn bị&#10;Kỳ vọng: Đã xác nhận&#10;Dữ liệu (trích): Dấu nhỏ hơn hoặc bằng, cả bốn điểm&#10;Thao tác (trích): Đăng ký bốn học sinh với các điểm trên; xét với `&lt;` rồi `≤`.&#10;Xem chi tiết"/>
    <hyperlink ref="C117" location="'Chi tiết'!A387" display="Chuẩn bị: Đang chuẩn bị&#10;Kỳ vọng: Đã xác nhận&#10;Dữ liệu (trích): Toàn bộ thủ tục theo đúng thứ tự; các đối chứng cùng fixture…&#10;Thao tác (trích): 1. Đăng ký hai học sinh S=15 và S=20.…&#10;Xem chi tiết"/>
    <hyperlink ref="B118" location="'Chi tiết'!A389" display="Thiết lập ngưỡng（基準設定）&#10;Màn Ngưỡng（基準設定）: ba loại, dấu so sánh và câu giải thích đổi theo dấu&#10;Xem chi tiết"/>
    <hyperlink ref="C118" location="'Chi tiết'!A390" display="Chuẩn bị: Đang chuẩn bị&#10;Kỳ vọng: Đề xuất&#10;Dữ liệu (trích): Dấu nhỏ hơn&#10;Thao tác (trích): 1. Xem ba lựa chọn loại.…&#10;Xem chi tiết"/>
    <hyperlink ref="B119" location="'Chi tiết'!A392" display="Thiết lập ngưỡng（基準設定）&#10;Màn Ngưỡng（基準設定）: ba loại, dấu so sánh và câu giải thích đổi theo dấu&#10;Xem chi tiết"/>
    <hyperlink ref="C119" location="'Chi tiết'!A393" display="Chuẩn bị: Đang chuẩn bị&#10;Kỳ vọng: Đề xuất&#10;Dữ liệu (trích): Dấu nhỏ hơn hoặc bằng&#10;Thao tác (trích): 1. Xem ba lựa chọn loại.…&#10;Xem chi tiết"/>
    <hyperlink ref="C120" location="'Chi tiết'!A395" display="Chuẩn bị: Đang chuẩn bị&#10;Kỳ vọng: Đề xuất&#10;Dữ liệu (trích): Toàn bộ thủ tục theo đúng thứ tự; các đối chứng cùng fixture…&#10;Thao tác (trích): Quan sát giá trị ban đầu.&#10;Xem chi tiết"/>
    <hyperlink ref="D120" location="'Chi tiết'!A397" display="Kỳ vọng: Đề xuất&#10;Loại = Điểm cố định（固定点数）; dấu = Nhỏ hơn（未満）; ô Điểm chuẩn（基準点） trống; tỷ lệ/công thức (nếu mở) mặc định Không xử lý phần lẻ（しない）.…&#10;Xem chi tiết"/>
    <hyperlink ref="C121" location="'Chi tiết'!A398" display="Chuẩn bị: Đang chuẩn bị&#10;Kỳ vọng: Đã xác nhận&#10;Dữ liệu (trích): Toàn bộ thủ tục theo đúng thứ tự; các đối chứng cùng fixture…&#10;Thao tác (trích): Xem màn.&#10;Xem chi tiết"/>
    <hyperlink ref="D121" location="'Chi tiết'!A400" display="Kỳ vọng: Đã xác nhận&#10;CONFIRMED: không có khối Trung bình tham chiếu（参照する平均点）; lưu không yêu cầu chọn nguồn.…&#10;Xem chi tiết"/>
    <hyperlink ref="C122" location="'Chi tiết'!A401" display="Chuẩn bị: Đang chuẩn bị&#10;Kỳ vọng: Đã xác nhận&#10;Dữ liệu (trích): Toàn bộ thủ tục theo đúng thứ tự; các đối chứng cùng fixture…&#10;Thao tác (trích): 1. Cấu hình dòng 1 và dòng 2 như quy tắc công thức hai dòng (trung bình ÷ 2 × 0.8), lưu.…&#10;Xem chi tiết"/>
    <hyperlink ref="D122" location="'Chi tiết'!A403" display="Kỳ vọng: Đã xác nhận&#10;1. Lưu được 2 dòng; mở lại giữ vế trái, phép toán, vế phải và xử lý phần lẻ từng dòng (chi tiết form là PROPOSED theo thiết kế).…&#10;Xem chi tiết"/>
    <hyperlink ref="C123" location="'Chi tiết'!A404" display="Chuẩn bị: Đang chuẩn bị&#10;Kỳ vọng: Đã xác nhận&#10;Dữ liệu (trích): Toàn bộ thủ tục theo đúng thứ tự; các đối chứng cùng fixture…&#10;Thao tác (trích): Xóa hết các dòng công thức (nếu UI cho phép), bấm Lưu.&#10;Xem chi tiết"/>
    <hyperlink ref="C124" location="'Chi tiết'!A406" display="Chuẩn bị: Đang chuẩn bị&#10;Kỳ vọng: Đã xác nhận&#10;Dữ liệu (trích): Chia 0&#10;Thao tác (trích): Nhập công thức, Lưu.&#10;Xem chi tiết"/>
    <hyperlink ref="C125" location="'Chi tiết'!A408" display="Chuẩn bị: Đang chuẩn bị&#10;Kỳ vọng: Đã xác nhận&#10;Dữ liệu (trích): Chia 0.0&#10;Thao tác (trích): Nhập công thức, Lưu.&#10;Xem chi tiết"/>
    <hyperlink ref="C126" location="'Chi tiết'!A410" display="Chuẩn bị: Đang chuẩn bị&#10;Kỳ vọng: Đã xác nhận&#10;Dữ liệu (trích): Trống toán hạng&#10;Thao tác (trích): Nhập từng biến thể, Lưu.&#10;Xem chi tiết"/>
    <hyperlink ref="C127" location="'Chi tiết'!A412" display="Chuẩn bị: Đang chuẩn bị&#10;Kỳ vọng: Đã xác nhận&#10;Dữ liệu (trích): Toán hạng không phải số&#10;Thao tác (trích): Nhập từng biến thể, Lưu.&#10;Xem chi tiết"/>
    <hyperlink ref="C128" location="'Chi tiết'!A414" display="Chuẩn bị: Đang chuẩn bị&#10;Kỳ vọng: Đã xác nhận&#10;Dữ liệu (trích): Thiếu phép toán&#10;Thao tác (trích): Nhập từng biến thể, Lưu.&#10;Xem chi tiết"/>
    <hyperlink ref="C129" location="'Chi tiết'!A416" display="Chuẩn bị: Đang chuẩn bị&#10;Kỳ vọng: Đã xác nhận&#10;Dữ liệu (trích): Tham chiếu dòng đầu&#10;Thao tác (trích): Thử từng biến thể, bấm Lưu.&#10;Xem chi tiết"/>
    <hyperlink ref="C130" location="'Chi tiết'!A418" display="Chuẩn bị: Đang chuẩn bị&#10;Kỳ vọng: Đã xác nhận&#10;Dữ liệu (trích): Tham chiếu chính dòng&#10;Thao tác (trích): Thử từng biến thể, bấm Lưu.&#10;Xem chi tiết"/>
    <hyperlink ref="C131" location="'Chi tiết'!A420" display="Chuẩn bị: Đang chuẩn bị&#10;Kỳ vọng: Đã xác nhận&#10;Dữ liệu (trích): Tham chiếu dòng sau&#10;Thao tác (trích): Thử từng biến thể, bấm Lưu.&#10;Xem chi tiết"/>
    <hyperlink ref="C132" location="'Chi tiết'!A422" display="Chuẩn bị: Đang chuẩn bị&#10;Kỳ vọng: Đã xác nhận&#10;Dữ liệu (trích): Tham chiếu dòng trước&#10;Thao tác (trích): Thử từng biến thể, bấm Lưu.&#10;Xem chi tiết"/>
    <hyperlink ref="C133" location="'Chi tiết'!A424" display="Chuẩn bị: Đang chuẩn bị&#10;Kỳ vọng: Đã xác nhận&#10;Dữ liệu (trích): Xóa dòng được tham chiếu&#10;Thao tác (trích): 1. Xóa dòng 2, bấm Lưu.…&#10;Xem chi tiết"/>
    <hyperlink ref="D133" location="'Chi tiết'!A426" display="Kỳ vọng: Đã xác nhận&#10;1. Dòng 3 báo tham chiếu không hợp lệ hoặc buộc chọn lại; không âm thầm trỏ sang dòng 1.…&#10;Xem chi tiết"/>
    <hyperlink ref="C134" location="'Chi tiết'!A427" display="Chuẩn bị: Đang chuẩn bị&#10;Kỳ vọng: Đã xác nhận&#10;Dữ liệu (trích): Đổi thứ tự dòng được tham chiếu&#10;Thao tác (trích): 1. Xóa dòng 2, bấm Lưu.…&#10;Xem chi tiết"/>
    <hyperlink ref="D134" location="'Chi tiết'!A429" display="Kỳ vọng: Đã xác nhận&#10;1. Dòng 3 báo tham chiếu không hợp lệ hoặc buộc chọn lại; không âm thầm trỏ sang dòng 1.…&#10;Xem chi tiết"/>
    <hyperlink ref="C135" location="'Chi tiết'!A430" display="Chuẩn bị: Đang chuẩn bị&#10;Kỳ vọng: Đề xuất&#10;Dữ liệu (trích): Nhân 150&#10;Thao tác (trích): Nhập từng công thức, Lưu.&#10;Xem chi tiết"/>
    <hyperlink ref="C136" location="'Chi tiết'!A432" display="Chuẩn bị: Đang chuẩn bị&#10;Kỳ vọng: Đề xuất&#10;Dữ liệu (trích): Nhân 0.5&#10;Thao tác (trích): Nhập từng công thức, Lưu.&#10;Xem chi tiết"/>
    <hyperlink ref="C137" location="'Chi tiết'!A434" display="Chuẩn bị: Đang chuẩn bị&#10;Kỳ vọng: Đề xuất&#10;Dữ liệu (trích): Trừ 150&#10;Thao tác (trích): Nhập từng công thức, Lưu.&#10;Xem chi tiết"/>
    <hyperlink ref="C138" location="'Chi tiết'!A436" display="Chuẩn bị: Đang chuẩn bị&#10;Kỳ vọng: Đã xác nhận&#10;Dữ liệu (trích): Cố định 0 nhỏ hơn&#10;Thao tác (trích): Nhập từng giá trị, Lưu, mở lại.&#10;Xem chi tiết"/>
    <hyperlink ref="D138" location="'Chi tiết'!A438" display="Kỳ vọng: Đã xác nhận&#10;1. Cảnh báo theo `T` cuối và dấu: `&lt;0` (không ai đỏ) và `≤100` (mọi điểm hợp lệ đỏ) phải có cảnh báo; các tổ hợp biên khác theo thiết kế.…&#10;Xem chi tiết"/>
    <hyperlink ref="C139" location="'Chi tiết'!A439" display="Chuẩn bị: Đang chuẩn bị&#10;Kỳ vọng: Đã xác nhận&#10;Dữ liệu (trích): Cố định 0 nhỏ hơn hoặc bằng&#10;Thao tác (trích): Nhập từng giá trị, Lưu, mở lại.&#10;Xem chi tiết"/>
    <hyperlink ref="D139" location="'Chi tiết'!A441" display="Kỳ vọng: Đã xác nhận&#10;1. Cảnh báo theo `T` cuối và dấu: `&lt;0` (không ai đỏ) và `≤100` (mọi điểm hợp lệ đỏ) phải có cảnh báo; các tổ hợp biên khác theo thiết kế.…&#10;Xem chi tiết"/>
    <hyperlink ref="C140" location="'Chi tiết'!A442" display="Chuẩn bị: Đang chuẩn bị&#10;Kỳ vọng: Đã xác nhận&#10;Dữ liệu (trích): Cố định 100 nhỏ hơn&#10;Thao tác (trích): Nhập từng giá trị, Lưu, mở lại.&#10;Xem chi tiết"/>
    <hyperlink ref="D140" location="'Chi tiết'!A444" display="Kỳ vọng: Đã xác nhận&#10;1. Cảnh báo theo `T` cuối và dấu: `&lt;0` (không ai đỏ) và `≤100` (mọi điểm hợp lệ đỏ) phải có cảnh báo; các tổ hợp biên khác theo thiết kế.…&#10;Xem chi tiết"/>
    <hyperlink ref="C141" location="'Chi tiết'!A445" display="Chuẩn bị: Đang chuẩn bị&#10;Kỳ vọng: Đã xác nhận&#10;Dữ liệu (trích): Cố định 100 nhỏ hơn hoặc bằng&#10;Thao tác (trích): Nhập từng giá trị, Lưu, mở lại.&#10;Xem chi tiết"/>
    <hyperlink ref="D141" location="'Chi tiết'!A447" display="Kỳ vọng: Đã xác nhận&#10;1. Cảnh báo theo `T` cuối và dấu: `&lt;0` (không ai đỏ) và `≤100` (mọi điểm hợp lệ đỏ) phải có cảnh báo; các tổ hợp biên khác theo thiết kế.…&#10;Xem chi tiết"/>
    <hyperlink ref="C142" location="'Chi tiết'!A448" display="Chuẩn bị: Đang chuẩn bị&#10;Kỳ vọng: Đã xác nhận&#10;Dữ liệu (trích): Tỷ lệ 0, dấu nhỏ hơn, không xử lý phần lẻ: T=0, có cảnh báo&#10;Thao tác (trích): Nhập từng giá trị, Lưu, mở lại.&#10;Xem chi tiết"/>
    <hyperlink ref="D142" location="'Chi tiết'!A450" display="Kỳ vọng: Đã xác nhận&#10;1. Cảnh báo theo `T` cuối và dấu: `&lt;0` (không ai đỏ) và `≤100` (mọi điểm hợp lệ đỏ) phải có cảnh báo; các tổ hợp biên khác theo thiết kế.…&#10;Xem chi tiết"/>
    <hyperlink ref="C143" location="'Chi tiết'!A451" display="Chuẩn bị: Đang chuẩn bị&#10;Kỳ vọng: Đã xác nhận&#10;Dữ liệu (trích): Tỷ lệ 100, dấu nhỏ hơn hoặc bằng, không xử lý phần lẻ: T=100, có…&#10;Thao tác (trích): Nhập từng giá trị, Lưu, mở lại.&#10;Xem chi tiết"/>
    <hyperlink ref="D143" location="'Chi tiết'!A453" display="Kỳ vọng: Đã xác nhận&#10;1. Cảnh báo theo `T` cuối và dấu: `&lt;0` (không ai đỏ) và `≤100` (mọi điểm hợp lệ đỏ) phải có cảnh báo; các tổ hợp biên khác theo thiết kế.…&#10;Xem chi tiết"/>
    <hyperlink ref="C144" location="'Chi tiết'!A454" display="Chuẩn bị: Đang chuẩn bị&#10;Kỳ vọng: Đã xác nhận&#10;Dữ liệu (trích): Tỷ lệ 0.4, dấu nhỏ hơn, làm tròn gần nhất p=1: T=0, có cảnh báo&#10;Thao tác (trích): Nhập từng giá trị, Lưu, mở lại.&#10;Xem chi tiết"/>
    <hyperlink ref="D144" location="'Chi tiết'!A456" display="Kỳ vọng: Đã xác nhận&#10;1. Cảnh báo theo `T` cuối và dấu: `&lt;0` (không ai đỏ) và `≤100` (mọi điểm hợp lệ đỏ) phải có cảnh báo; các tổ hợp biên khác theo thiết kế.…&#10;Xem chi tiết"/>
    <hyperlink ref="C145" location="'Chi tiết'!A457" display="Chuẩn bị: Đang chuẩn bị&#10;Kỳ vọng: Đã xác nhận&#10;Dữ liệu (trích): Trừ 20&#10;Thao tác (trích): Lưu từng công thức.&#10;Xem chi tiết"/>
    <hyperlink ref="C146" location="'Chi tiết'!A459" display="Chuẩn bị: Đang chuẩn bị&#10;Kỳ vọng: Đã xác nhận&#10;Dữ liệu (trích): Nhân 3&#10;Thao tác (trích): Lưu từng công thức.&#10;Xem chi tiết"/>
    <hyperlink ref="C147" location="'Chi tiết'!A461" display="Chuẩn bị: Đang chuẩn bị&#10;Kỳ vọng: Đề xuất&#10;Dữ liệu (trích): Toàn bộ thủ tục theo đúng thứ tự; các đối chứng cùng fixture…&#10;Thao tác (trích): 1. Đổi sang Tỷ lệ, nhập 40, đổi lại Cố định; xem ô Cố định; đổi sang Tỷ lệ lần nữa, xem ô Tỷ lệ.…&#10;Xem chi tiết"/>
    <hyperlink ref="D147" location="'Chi tiết'!A463" display="Kỳ vọng: Đề xuất&#10;1. (PROPOSED) Trong phiên: ô Cố định vẫn 30; quay lại Tỷ lệ vẫn thấy 40.…&#10;Xem chi tiết"/>
    <hyperlink ref="C148" location="'Chi tiết'!A464" display="Chuẩn bị: Đang chuẩn bị&#10;Kỳ vọng: Đề xuất&#10;Dữ liệu (trích): 20 dòng&#10;Thao tác (trích): Nhập từng cấu hình, Lưu, mở lại.&#10;Xem chi tiết"/>
    <hyperlink ref="D148" location="'Chi tiết'!A466" display="Kỳ vọng: Đề xuất&#10;(a) Lưu được, mở lại đủ 20 dòng.…&#10;Xem chi tiết"/>
    <hyperlink ref="C149" location="'Chi tiết'!A467" display="Chuẩn bị: Đang chuẩn bị&#10;Kỳ vọng: Đề xuất&#10;Dữ liệu (trích): 21 dòng&#10;Thao tác (trích): Nhập từng cấu hình, Lưu, mở lại.&#10;Xem chi tiết"/>
    <hyperlink ref="D149" location="'Chi tiết'!A469" display="Kỳ vọng: Đề xuất&#10;(a) Lưu được, mở lại đủ 20 dòng.…&#10;Xem chi tiết"/>
    <hyperlink ref="C150" location="'Chi tiết'!A470" display="Chuẩn bị: Đang chuẩn bị&#10;Kỳ vọng: Đề xuất&#10;Dữ liệu (trích): Hằng số cực lớn&#10;Thao tác (trích): Nhập từng cấu hình, Lưu, mở lại.&#10;Xem chi tiết"/>
    <hyperlink ref="D150" location="'Chi tiết'!A472" display="Kỳ vọng: Đề xuất&#10;(a) Lưu được, mở lại đủ 20 dòng.…&#10;Xem chi tiết"/>
    <hyperlink ref="C151" location="'Chi tiết'!A473" display="Chuẩn bị: Đang chuẩn bị&#10;Kỳ vọng: Đề xuất&#10;Dữ liệu (trích): Vượt phần nguyên&#10;Thao tác (trích): Nhập từng cấu hình, Lưu, mở lại.&#10;Xem chi tiết"/>
    <hyperlink ref="D151" location="'Chi tiết'!A475" display="Kỳ vọng: Đề xuất&#10;(a) Lưu được, mở lại đủ 20 dòng.…&#10;Xem chi tiết"/>
    <hyperlink ref="C152" location="'Chi tiết'!A476" display="Chuẩn bị: Đang chuẩn bị&#10;Kỳ vọng: Đề xuất&#10;Dữ liệu (trích): Vượt phần thập phân&#10;Thao tác (trích): Nhập từng cấu hình, Lưu, mở lại.&#10;Xem chi tiết"/>
    <hyperlink ref="D152" location="'Chi tiết'!A478" display="Kỳ vọng: Đề xuất&#10;(a) Lưu được, mở lại đủ 20 dòng.…&#10;Xem chi tiết"/>
    <hyperlink ref="C153" location="'Chi tiết'!A479" display="Chuẩn bị: Đang chuẩn bị&#10;Kỳ vọng: Đã xác nhận&#10;Dữ liệu (trích): Nhân 0.5&#10;Thao tác (trích): Với từng công thức, chạy nút cam, xem kết quả.&#10;Xem chi tiết"/>
    <hyperlink ref="C154" location="'Chi tiết'!A481" display="Chuẩn bị: Đang chuẩn bị&#10;Kỳ vọng: Đã xác nhận&#10;Dữ liệu (trích): Trừ 20&#10;Thao tác (trích): Với từng công thức, chạy nút cam, xem kết quả.&#10;Xem chi tiết"/>
    <hyperlink ref="C155" location="'Chi tiết'!A483" display="Chuẩn bị: Đang chuẩn bị&#10;Kỳ vọng: Đã xác nhận&#10;Dữ liệu (trích): Cộng 5&#10;Thao tác (trích): Với từng công thức, chạy nút cam, xem kết quả.&#10;Xem chi tiết"/>
    <hyperlink ref="C156" location="'Chi tiết'!A485" display="Chuẩn bị: Đang chuẩn bị&#10;Kỳ vọng: Đã xác nhận&#10;Dữ liệu (trích): Toàn bộ thủ tục theo đúng thứ tự; các đối chứng cùng fixture…&#10;Thao tác (trích): 1. Lưu đúng cấu hình: dòng 1 bật xử lý phần lẻ, vị trí 1, làm tròn xuống; dòng 2 không xử lý.…&#10;Xem chi tiết"/>
    <hyperlink ref="C157" location="'Chi tiết'!A487" display="Chuẩn bị: Bị chặn&#10;Kỳ vọng: Đã xác nhận&#10;Dữ liệu (trích): Nhánh less-than trong thủ tục và Expected của case; thực hiện…&#10;Thao tác (trích): 1. Tạo dòng 1 `A÷2`; chọn **chữ số thập phân thứ 1（小数第1位）** và **Làm tròn xuống（切り捨て）**, tức kết quả dòng 1…&#10;Xem chi tiết"/>
    <hyperlink ref="D157" location="'Chi tiết'!A489" display="Kỳ vọng: Đã xác nhận&#10;Dòng 1 `61÷2=30.5` làm tròn xuống thành `30`; dòng 2 `30×0.8=24`, nên oracle cố định là `T=24`.…&#10;Xem chi tiết"/>
    <hyperlink ref="C158" location="'Chi tiết'!A490" display="Chuẩn bị: Bị chặn&#10;Kỳ vọng: Đã xác nhận&#10;Dữ liệu (trích): Nhánh less-or-equal trong thủ tục và Expected của case; thực…&#10;Thao tác (trích): 1. Tạo dòng 1 `A÷2`; chọn **chữ số thập phân thứ 1（小数第1位）** và **Làm tròn xuống（切り捨て）**, tức kết quả dòng 1…&#10;Xem chi tiết"/>
    <hyperlink ref="D158" location="'Chi tiết'!A492" display="Kỳ vọng: Đã xác nhận&#10;Dòng 1 `61÷2=30.5` làm tròn xuống thành `30`; dòng 2 `30×0.8=24`, nên oracle cố định là `T=24`.…&#10;Xem chi tiết"/>
    <hyperlink ref="C159" location="'Chi tiết'!A493" display="Chuẩn bị: Bị chặn&#10;Kỳ vọng: Đã xác nhận&#10;Dữ liệu (trích): Nhánh reopen-summary trong thủ tục và Expected của case; thực…&#10;Thao tác (trích): 1. Tạo dòng 1 `A÷2`; chọn **chữ số thập phân thứ 1（小数第1位）** và **Làm tròn xuống（切り捨て）**, tức kết quả dòng 1…&#10;Xem chi tiết"/>
    <hyperlink ref="D159" location="'Chi tiết'!A495" display="Kỳ vọng: Đã xác nhận&#10;Dòng 1 `61÷2=30.5` làm tròn xuống thành `30`; dòng 2 `30×0.8=24`, nên oracle cố định là `T=24`.…&#10;Xem chi tiết"/>
    <hyperlink ref="C160" location="'Chi tiết'!A496" display="Chuẩn bị: Đang chuẩn bị&#10;Kỳ vọng: Đã xác nhận&#10;Dữ liệu (trích): Ngưỡng 0 nhỏ hơn&#10;Thao tác (trích): (a) Xét S=0 với `&lt;` và `≤`.…&#10;Xem chi tiết"/>
    <hyperlink ref="C161" location="'Chi tiết'!A498" display="Chuẩn bị: Đang chuẩn bị&#10;Kỳ vọng: Đã xác nhận&#10;Dữ liệu (trích): Ngưỡng 0 nhỏ hơn hoặc bằng&#10;Thao tác (trích): (a) Xét S=0 với `&lt;` và `≤`.…&#10;Xem chi tiết"/>
    <hyperlink ref="C162" location="'Chi tiết'!A500" display="Chuẩn bị: Đang chuẩn bị&#10;Kỳ vọng: Đã xác nhận&#10;Dữ liệu (trích): Ngưỡng âm nhỏ hơn&#10;Thao tác (trích): (a) Xét S=0 với `&lt;` và `≤`.…&#10;Xem chi tiết"/>
    <hyperlink ref="C163" location="'Chi tiết'!A502" display="Chuẩn bị: Đang chuẩn bị&#10;Kỳ vọng: Đã xác nhận&#10;Dữ liệu (trích): Ngưỡng âm nhỏ hơn hoặc bằng&#10;Thao tác (trích): (a) Xét S=0 với `&lt;` và `≤`.…&#10;Xem chi tiết"/>
    <hyperlink ref="C164" location="'Chi tiết'!A504" display="Chuẩn bị: Đang chuẩn bị&#10;Kỳ vọng: Đã xác nhận&#10;Dữ liệu (trích): Toàn bộ thủ tục theo đúng thứ tự; các đối chứng cùng fixture…&#10;Thao tác (trích): Chạy nút cam; xem kết quả.&#10;Xem chi tiết"/>
    <hyperlink ref="C165" location="'Chi tiết'!A506" display="Chuẩn bị: Đang chuẩn bị&#10;Kỳ vọng: Đã xác nhận&#10;Dữ liệu (trích): Toàn bộ thủ tục theo đúng thứ tự; các đối chứng cùng fixture…&#10;Thao tác (trích): 1. Lưu công thức (quan sát cảnh báo).…&#10;Xem chi tiết"/>
    <hyperlink ref="C166" location="'Chi tiết'!A508" display="Chuẩn bị: Bị chặn&#10;Kỳ vọng: Chờ xác nhận&#10;Dữ liệu (trích): 29.7 không xử lý&#10;Thao tác (trích): 1. Với từng dòng của Expected Result: đặt `A` (nguồn dummy, dữ liệu giả cho bản tổng hợp đã chốt), chọn xử lý…&#10;Xem chi tiết"/>
    <hyperlink ref="D166" location="'Chi tiết'!A512"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67" location="'Chi tiết'!A514" display="Chuẩn bị: Bị chặn&#10;Kỳ vọng: Chờ xác nhận&#10;Dữ liệu (trích): 29.7 xuống p1&#10;Thao tác (trích): 1. Với từng dòng của Expected Result: đặt `A` (nguồn dummy, dữ liệu giả cho bản tổng hợp đã chốt), chọn xử lý…&#10;Xem chi tiết"/>
    <hyperlink ref="D167" location="'Chi tiết'!A518"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68" location="'Chi tiết'!A520" display="Chuẩn bị: Bị chặn&#10;Kỳ vọng: Chờ xác nhận&#10;Dữ liệu (trích): 29.75 gần nhất p2&#10;Thao tác (trích): 1. Với từng dòng của Expected Result: đặt `A` (nguồn dummy, dữ liệu giả cho bản tổng hợp đã chốt), chọn xử lý…&#10;Xem chi tiết"/>
    <hyperlink ref="D168" location="'Chi tiết'!A524"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69" location="'Chi tiết'!A526" display="Chuẩn bị: Bị chặn&#10;Kỳ vọng: Chờ xác nhận&#10;Dữ liệu (trích): -5.2 lên p1&#10;Thao tác (trích): 1. Với từng dòng của Expected Result: đặt `A` (nguồn dummy, dữ liệu giả cho bản tổng hợp đã chốt), chọn xử lý…&#10;Xem chi tiết"/>
    <hyperlink ref="D169" location="'Chi tiết'!A530"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0" location="'Chi tiết'!A532" display="Chuẩn bị: Bị chặn&#10;Kỳ vọng: Chờ xác nhận&#10;Dữ liệu (trích): -5.2 xuống p1&#10;Thao tác (trích): 1. Với từng dòng của Expected Result: đặt `A` (nguồn dummy, dữ liệu giả cho bản tổng hợp đã chốt), chọn xử lý…&#10;Xem chi tiết"/>
    <hyperlink ref="D170" location="'Chi tiết'!A536"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1" location="'Chi tiết'!A538" display="Chuẩn bị: Bị chặn&#10;Kỳ vọng: Chờ xác nhận&#10;Dữ liệu (trích): -5.5 gần nhất p1&#10;Thao tác (trích): 1. Với từng dòng của Expected Result: đặt `A` (nguồn dummy, dữ liệu giả cho bản tổng hợp đã chốt), chọn xử lý…&#10;Xem chi tiết"/>
    <hyperlink ref="D171" location="'Chi tiết'!A542"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2" location="'Chi tiết'!A544" display="Chuẩn bị: Bị chặn&#10;Kỳ vọng: Chờ xác nhận&#10;Dữ liệu (trích): 12.5 gần nhất p1&#10;Thao tác (trích): 1. Với từng dòng của Expected Result: đặt `A` (nguồn dummy, dữ liệu giả cho bản tổng hợp đã chốt), chọn xử lý…&#10;Xem chi tiết"/>
    <hyperlink ref="D172" location="'Chi tiết'!A548"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3" location="'Chi tiết'!A550" display="Chuẩn bị: Bị chặn&#10;Kỳ vọng: Chờ xác nhận&#10;Dữ liệu (trích): -12.5 gần nhất p1&#10;Thao tác (trích): 1. Với từng dòng của Expected Result: đặt `A` (nguồn dummy, dữ liệu giả cho bản tổng hợp đã chốt), chọn xử lý…&#10;Xem chi tiết"/>
    <hyperlink ref="D173" location="'Chi tiết'!A554"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4" location="'Chi tiết'!A556" display="Chuẩn bị: Bị chặn&#10;Kỳ vọng: Chờ xác nhận&#10;Dữ liệu (trích): -12.5 lên p1&#10;Thao tác (trích): 1. Với từng dòng của Expected Result: đặt `A` (nguồn dummy, dữ liệu giả cho bản tổng hợp đã chốt), chọn xử lý…&#10;Xem chi tiết"/>
    <hyperlink ref="D174" location="'Chi tiết'!A560"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5" location="'Chi tiết'!A562" display="Chuẩn bị: Bị chặn&#10;Kỳ vọng: Chờ xác nhận&#10;Dữ liệu (trích): -12.5 xuống p1&#10;Thao tác (trích): 1. Với từng dòng của Expected Result: đặt `A` (nguồn dummy, dữ liệu giả cho bản tổng hợp đã chốt), chọn xử lý…&#10;Xem chi tiết"/>
    <hyperlink ref="D175" location="'Chi tiết'!A566"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6" location="'Chi tiết'!A568" display="Chuẩn bị: Bị chặn&#10;Kỳ vọng: Chờ xác nhận&#10;Dữ liệu (trích): 12.345 gần nhất p2&#10;Thao tác (trích): 1. Với từng dòng của Expected Result: đặt `A` (nguồn dummy, dữ liệu giả cho bản tổng hợp đã chốt), chọn xử lý…&#10;Xem chi tiết"/>
    <hyperlink ref="D176" location="'Chi tiết'!A572"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7" location="'Chi tiết'!A574" display="Chuẩn bị: Bị chặn&#10;Kỳ vọng: Chờ xác nhận&#10;Dữ liệu (trích): 12.345 lên p2&#10;Thao tác (trích): 1. Với từng dòng của Expected Result: đặt `A` (nguồn dummy, dữ liệu giả cho bản tổng hợp đã chốt), chọn xử lý…&#10;Xem chi tiết"/>
    <hyperlink ref="D177" location="'Chi tiết'!A578"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8" location="'Chi tiết'!A580" display="Chuẩn bị: Bị chặn&#10;Kỳ vọng: Chờ xác nhận&#10;Dữ liệu (trích): 2.675 gần nhất p3&#10;Thao tác (trích): 1. Với từng dòng của Expected Result: đặt `A` (nguồn dummy, dữ liệu giả cho bản tổng hợp đã chốt), chọn xử lý…&#10;Xem chi tiết"/>
    <hyperlink ref="D178" location="'Chi tiết'!A584"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79" location="'Chi tiết'!A586" display="Chuẩn bị: Bị chặn&#10;Kỳ vọng: Chờ xác nhận&#10;Dữ liệu (trích): 1.123456789 gần nhất p9&#10;Thao tác (trích): 1. Với từng dòng của Expected Result: đặt `A` (nguồn dummy, dữ liệu giả cho bản tổng hợp đã chốt), chọn xử lý…&#10;Xem chi tiết"/>
    <hyperlink ref="D179" location="'Chi tiết'!A590"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80" location="'Chi tiết'!A592" display="Chuẩn bị: Bị chặn&#10;Kỳ vọng: Chờ xác nhận&#10;Dữ liệu (trích): 1.123456789 xuống p9&#10;Thao tác (trích): 1. Với từng dòng của Expected Result: đặt `A` (nguồn dummy, dữ liệu giả cho bản tổng hợp đã chốt), chọn xử lý…&#10;Xem chi tiết"/>
    <hyperlink ref="D180" location="'Chi tiết'!A596" display="Kỳ vọng: Chờ xác nhận&#10;Các phép thử có fixture/source được quan sát dùng expected dưới đây. Giới hạn `p=9`, miền âm và quy tắc làm tròn âm là PROPOSED/TBD nếu đợt phát hành chưa chốt; thiếu seam thì…&#10;Xem chi tiết"/>
    <hyperlink ref="C181" location="'Chi tiết'!A598" display="Chuẩn bị: Đang chuẩn bị&#10;Kỳ vọng: Đã xác nhận&#10;Dữ liệu (trích): Cắt xuống&#10;Thao tác (trích): (a) Xuống p1.…&#10;Xem chi tiết"/>
    <hyperlink ref="D181" location="'Chi tiết'!A600" display="Kỳ vọng: Đã xác nhận&#10;(a) `T=29`; `29.5&lt;29` sai → Không đỏ. (Nếu làm tròn S thành 29 và giữ `T=29.7` → Đỏ — sai.)…&#10;Xem chi tiết"/>
    <hyperlink ref="C182" location="'Chi tiết'!A601" display="Chuẩn bị: Đang chuẩn bị&#10;Kỳ vọng: Đã xác nhận&#10;Dữ liệu (trích): Làm tròn gần nhất&#10;Thao tác (trích): (a) Xuống p1.…&#10;Xem chi tiết"/>
    <hyperlink ref="D182" location="'Chi tiết'!A603" display="Kỳ vọng: Đã xác nhận&#10;(a) `T=29`; `29.5&lt;29` sai → Không đỏ. (Nếu làm tròn S thành 29 và giữ `T=29.7` → Đỏ — sai.)…&#10;Xem chi tiết"/>
    <hyperlink ref="C183" location="'Chi tiết'!A604" display="Chuẩn bị: Đang chuẩn bị&#10;Kỳ vọng: Đã xác nhận&#10;Dữ liệu (trích): A0&#10;Thao tác (trích): Chạy nút cam cho từng nguồn.&#10;Xem chi tiết"/>
    <hyperlink ref="C184" location="'Chi tiết'!A606" display="Chuẩn bị: Đang chuẩn bị&#10;Kỳ vọng: Đã xác nhận&#10;Dữ liệu (trích): A4&#10;Thao tác (trích): Chạy nút cam cho từng nguồn.&#10;Xem chi tiết"/>
    <hyperlink ref="C185" location="'Chi tiết'!A608" display="Chuẩn bị: Đang chuẩn bị&#10;Kỳ vọng: Đã xác nhận&#10;Dữ liệu (trích): A3&#10;Thao tác (trích): Chạy nút cam cho từng nguồn.&#10;Xem chi tiết"/>
    <hyperlink ref="C186" location="'Chi tiết'!A610" display="Chuẩn bị: Đang chuẩn bị&#10;Kỳ vọng: Đã xác nhận&#10;Dữ liệu (trích): A1.1 nhân 3 nhỏ hơn&#10;Thao tác (trích): Xét với `&lt;` và `≤`.&#10;Xem chi tiết"/>
    <hyperlink ref="C187" location="'Chi tiết'!A612" display="Chuẩn bị: Đang chuẩn bị&#10;Kỳ vọng: Đã xác nhận&#10;Dữ liệu (trích): A1.1 nhân 3 nhỏ hơn hoặc bằng&#10;Thao tác (trích): Xét với `&lt;` và `≤`.&#10;Xem chi tiết"/>
    <hyperlink ref="C188" location="'Chi tiết'!A614" display="Chuẩn bị: Đang chuẩn bị&#10;Kỳ vọng: Đã xác nhận&#10;Dữ liệu (trích): A0.1 cộng 0.2 nhỏ hơn&#10;Thao tác (trích): Xét với `&lt;` và `≤`.&#10;Xem chi tiết"/>
    <hyperlink ref="C189" location="'Chi tiết'!A616" display="Chuẩn bị: Đang chuẩn bị&#10;Kỳ vọng: Đã xác nhận&#10;Dữ liệu (trích): A0.1 cộng 0.2 nhỏ hơn hoặc bằng&#10;Thao tác (trích): Xét với `&lt;` và `≤`.&#10;Xem chi tiết"/>
    <hyperlink ref="C190" location="'Chi tiết'!A618" display="Chuẩn bị: Đang chuẩn bị&#10;Kỳ vọng: Đã xác nhận&#10;Dữ liệu (trích): Hằng số cực lớn&#10;Thao tác (trích): 1. Nhập (a), Lưu.…&#10;Xem chi tiết"/>
    <hyperlink ref="D190" location="'Chi tiết'!A620" display="Kỳ vọng: Đã xác nhận&#10;1. (a) vượt giới hạn nhập đề xuất (9 chữ số nguyên, 8 chữ số lẻ) → bị từ chối khi lưu, không tự cắt số.…&#10;Xem chi tiết"/>
    <hyperlink ref="C191" location="'Chi tiết'!A621" display="Chuẩn bị: Đang chuẩn bị&#10;Kỳ vọng: Đã xác nhận&#10;Dữ liệu (trích): Số chia cực nhỏ&#10;Thao tác (trích): 1. Nhập (a), Lưu.…&#10;Xem chi tiết"/>
    <hyperlink ref="D191" location="'Chi tiết'!A623" display="Kỳ vọng: Đã xác nhận&#10;1. (a) vượt giới hạn nhập đề xuất (9 chữ số nguyên, 8 chữ số lẻ) → bị từ chối khi lưu, không tự cắt số.…&#10;Xem chi tiết"/>
    <hyperlink ref="C192" location="'Chi tiết'!A624" display="Chuẩn bị: Đang chuẩn bị&#10;Kỳ vọng: Đã xác nhận&#10;Dữ liệu (trích): Tràn trong lúc tính&#10;Thao tác (trích): 1. Nhập (a), Lưu.…&#10;Xem chi tiết"/>
    <hyperlink ref="D192" location="'Chi tiết'!A626" display="Kỳ vọng: Đã xác nhận&#10;1. (a) vượt giới hạn nhập đề xuất (9 chữ số nguyên, 8 chữ số lẻ) → bị từ chối khi lưu, không tự cắt số.…&#10;Xem chi tiết"/>
    <hyperlink ref="C193" location="'Chi tiết'!A627" display="Chuẩn bị: Đang chuẩn bị&#10;Kỳ vọng: Đã xác nhận&#10;Dữ liệu (trích): Dấu nhỏ hơn&#10;Thao tác (trích): Xét với `&lt;` rồi `≤`.&#10;Xem chi tiết"/>
    <hyperlink ref="C194" location="'Chi tiết'!A629" display="Chuẩn bị: Đang chuẩn bị&#10;Kỳ vọng: Đã xác nhận&#10;Dữ liệu (trích): Dấu nhỏ hơn hoặc bằng&#10;Thao tác (trích): Xét với `&lt;` rồi `≤`.&#10;Xem chi tiết"/>
    <hyperlink ref="C195" location="'Chi tiết'!A631" display="Chuẩn bị: Đang chuẩn bị&#10;Kỳ vọng: Đề xuất&#10;Dữ liệu (trích): Toàn bộ thủ tục theo đúng thứ tự; các đối chứng cùng fixture…&#10;Thao tác (trích): Ghi lại thứ tự các khối từ trên xuống.&#10;Xem chi tiết"/>
    <hyperlink ref="D195" location="'Chi tiết'!A633" display="Kỳ vọng: Đề xuất&#10;Khối nguồn chỉ hiện với Công thức, không hiện với cố định/tỷ lệ (đặc tả v2 mục 5.6 “Khi nào không cần nguồn?”).…&#10;Xem chi tiết"/>
    <hyperlink ref="C196" location="'Chi tiết'!A634" display="Chuẩn bị: Đang chuẩn bị&#10;Kỳ vọng: Đề xuất&#10;Dữ liệu (trích): Toàn bộ thủ tục theo đúng thứ tự; các đối chứng cùng fixture…&#10;Thao tác (trích): 1. Nhập quy tắc công thức hai dòng (trung bình ÷ 2 × 0.8).…&#10;Xem chi tiết"/>
    <hyperlink ref="C197" location="'Chi tiết'!A636" display="Chuẩn bị: Đang chuẩn bị&#10;Kỳ vọng: Đề xuất&#10;Dữ liệu (trích): N120&#10;Thao tác (trích): 1. Lưu N=120.…&#10;Xem chi tiết"/>
    <hyperlink ref="D197" location="'Chi tiết'!A638" display="Kỳ vọng: Đề xuất&#10;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10;Xem chi tiết"/>
    <hyperlink ref="C198" location="'Chi tiết'!A639" display="Chuẩn bị: Đang chuẩn bị&#10;Kỳ vọng: Đề xuất&#10;Dữ liệu (trích): Công thức chia 0&#10;Thao tác (trích): 1. Lưu N=120.…&#10;Xem chi tiết"/>
    <hyperlink ref="D198" location="'Chi tiết'!A641" display="Kỳ vọng: Đề xuất&#10;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10;Xem chi tiết"/>
    <hyperlink ref="B199" location="'Chi tiết'!A642" display="Nguồn tổng hợp&#10;Quy trình vận hành dùng trung bình: tắt tự tổng hợp → nút xanh → nút cam&#10;Xem chi tiết"/>
    <hyperlink ref="C199" location="'Chi tiết'!A643" display="Chuẩn bị: Đang chuẩn bị&#10;Kỳ vọng: Đã xác nhận&#10;Dữ liệu (trích): Toàn bộ thủ tục theo đúng thứ tự; các đối chứng cùng fixture…&#10;Thao tác (trích): 1. Thiết lập tổng hợp thứ hạng（順位集計設定）→ Thiết lập chi tiết（詳細設定）: đặt tự tổng hợp khi đăng ký điểm là Không…&#10;Xem chi tiết"/>
    <hyperlink ref="D199" location="'Chi tiết'!A645" display="Kỳ vọng: Đã xác nhận&#10;1. Sau bước 2 (chỉ nút xanh), kết quả đỏ chưa thay đổi.…&#10;Xem chi tiết"/>
    <hyperlink ref="C200" location="'Chi tiết'!A646" display="Chuẩn bị: Đang chuẩn bị&#10;Kỳ vọng: Đã xác nhận&#10;Dữ liệu (trích): Toàn bộ thủ tục theo đúng thứ tự; các đối chứng cùng fixture…&#10;Thao tác (trích): 1. Lưu quy tắc, mở lại.…&#10;Xem chi tiết"/>
    <hyperlink ref="D200" location="'Chi tiết'!A648" display="Kỳ vọng: Đã xác nhận&#10;1. Mỗi phần hiện đúng nguồn của mình (điều kiện: P; công thức: Q).…&#10;Xem chi tiết"/>
    <hyperlink ref="C201" location="'Chi tiết'!A649" display="Chuẩn bị: Đang chuẩn bị&#10;Kỳ vọng: Đã xác nhận&#10;Dữ liệu (trích): Bước 1–3 cùng X theo thứ tự&#10;Thao tác (trích): 1. Ở nguồn của điều kiện: chọn Thời kỳ tổng hợp（集計対象時期）, chọn Thiết lập tổng hợp thứ hạng（順位集計設定） X, rồi mở…&#10;Xem chi tiết"/>
    <hyperlink ref="D201" location="'Chi tiết'!A652" display="Kỳ vọng: Đã xác nhận&#10;1. Trong ba loại cơ bản chỉ có Khối（学年） và Lớp chủ nhiệm（ホームルーム）; không có Lớp học（授業）. Có nhóm tổng hợp thứ hạng “Toán I khối 1+2”, nhóm tổ hợp “Tổ hợp Toán”, nhóm môn học “Nhóm…&#10;Xem chi tiết"/>
    <hyperlink ref="C202" location="'Chi tiết'!A653" display="Chuẩn bị: Đang chuẩn bị&#10;Kỳ vọng: Đã xác nhận&#10;Dữ liệu (trích): Bước 4 với fixture chỉ khối&#10;Thao tác (trích): 1. Ở nguồn của điều kiện: chọn Thời kỳ tổng hợp（集計対象時期）, chọn Thiết lập tổng hợp thứ hạng（順位集計設定） X, rồi mở…&#10;Xem chi tiết"/>
    <hyperlink ref="D202" location="'Chi tiết'!A656" display="Kỳ vọng: Đã xác nhận&#10;1. Trong ba loại cơ bản chỉ có Khối（学年） và Lớp chủ nhiệm（ホームルーム）; không có Lớp học（授業）. Có nhóm tổng hợp thứ hạng “Toán I khối 1+2”, nhóm tổ hợp “Tổ hợp Toán”, nhóm môn học “Nhóm…&#10;Xem chi tiết"/>
    <hyperlink ref="C203" location="'Chi tiết'!A657" display="Chuẩn bị: Đang chuẩn bị&#10;Kỳ vọng: Đã xác nhận&#10;Dữ liệu (trích): Bước 5, chuẩn bị nguồn điều kiện trước&#10;Thao tác (trích): 1. Ở nguồn của điều kiện: chọn Thời kỳ tổng hợp（集計対象時期）, chọn Thiết lập tổng hợp thứ hạng（順位集計設定） X, rồi mở…&#10;Xem chi tiết"/>
    <hyperlink ref="D203" location="'Chi tiết'!A660" display="Kỳ vọng: Đã xác nhận&#10;1. Trong ba loại cơ bản chỉ có Khối（学年） và Lớp chủ nhiệm（ホームルーム）; không có Lớp học（授業）. Có nhóm tổng hợp thứ hạng “Toán I khối 1+2”, nhóm tổ hợp “Tổ hợp Toán”, nhóm môn học “Nhóm…&#10;Xem chi tiết"/>
    <hyperlink ref="B204" location="'Chi tiết'!A661" display="Nguồn tổng hợp&#10;Nhóm tham chiếu tách khỏi đối tượng áp dụng và danh sách đang lọc ở đầu ra&#10;Xem chi tiết"/>
    <hyperlink ref="C204" location="'Chi tiết'!A662" display="Chuẩn bị: Đang chuẩn bị&#10;Kỳ vọng: Đã xác nhận&#10;Dữ liệu (trích): Toàn bộ thủ tục theo đúng thứ tự; các đối chứng cùng fixture…&#10;Thao tác (trích): 1. Xem kết quả của học sinh G-A điểm 24 (Đỏ) và 26 (Không đỏ).…&#10;Xem chi tiết"/>
    <hyperlink ref="C205" location="'Chi tiết'!A664" display="Chuẩn bị: Đang chuẩn bị&#10;Kỳ vọng: Đã xác nhận&#10;Dữ liệu (trích): Toàn bộ thủ tục theo đúng thứ tự; các đối chứng cùng fixture…&#10;Thao tác (trích): 1. Chạy nút cam.…&#10;Xem chi tiết"/>
    <hyperlink ref="B206" location="'Chi tiết'!A666" display="Nguồn tổng hợp&#10;Nguồn: chưa có bản chốt → dùng tổng hợp hoàn tất mới nhất cùng phạm vi&#10;Xem chi tiết"/>
    <hyperlink ref="C206" location="'Chi tiết'!A667" display="Chuẩn bị: Đang chuẩn bị&#10;Kỳ vọng: Đã xác nhận&#10;Dữ liệu (trích): Bản mới nhất hoàn tất&#10;Thao tác (trích): 1. Chạy nút cam.…&#10;Xem chi tiết"/>
    <hyperlink ref="D206" location="'Chi tiết'!A669" display="Kỳ vọng: Đã xác nhận&#10;1–2. Dùng `A=62` (mới nhất, cùng kỳ) → nhánh `A≥60`, `T=30` → 26 và 29 Đỏ. Không dùng bản cũ hơn hoặc bản khác kỳ.…&#10;Xem chi tiết"/>
    <hyperlink ref="B207" location="'Chi tiết'!A670" display="Nguồn tổng hợp&#10;Nguồn: chưa có bản chốt → dùng tổng hợp hoàn tất mới nhất cùng phạm vi&#10;Xem chi tiết"/>
    <hyperlink ref="C207" location="'Chi tiết'!A671" display="Chuẩn bị: Đang chuẩn bị&#10;Kỳ vọng: Đã xác nhận&#10;Dữ liệu (trích): Bản mới đang chạy&#10;Thao tác (trích): 1. Chạy nút cam.…&#10;Xem chi tiết"/>
    <hyperlink ref="D207" location="'Chi tiết'!A673" display="Kỳ vọng: Đã xác nhận&#10;1–2. Dùng `A=62` (mới nhất, cùng kỳ) → nhánh `A≥60`, `T=30` → 26 và 29 Đỏ. Không dùng bản cũ hơn hoặc bản khác kỳ.…&#10;Xem chi tiết"/>
    <hyperlink ref="B208" location="'Chi tiết'!A674" display="Nguồn tổng hợp&#10;Nguồn: chưa có bản chốt → dùng tổng hợp hoàn tất mới nhất cùng phạm vi&#10;Xem chi tiết"/>
    <hyperlink ref="C208" location="'Chi tiết'!A675" display="Chuẩn bị: Đang chuẩn bị&#10;Kỳ vọng: Đã xác nhận&#10;Dữ liệu (trích): Bản mới thất bại&#10;Thao tác (trích): 1. Chạy nút cam.…&#10;Xem chi tiết"/>
    <hyperlink ref="D208" location="'Chi tiết'!A677" display="Kỳ vọng: Đã xác nhận&#10;1–2. Dùng `A=62` (mới nhất, cùng kỳ) → nhánh `A≥60`, `T=30` → 26 và 29 Đỏ. Không dùng bản cũ hơn hoặc bản khác kỳ.…&#10;Xem chi tiết"/>
    <hyperlink ref="B209" location="'Chi tiết'!A678" display="Nguồn tổng hợp&#10;Nguồn: bản đã chốt thiếu dữ liệu → Chưa xét được, không chuyển sang bản thường&#10;Xem chi tiết"/>
    <hyperlink ref="C209" location="'Chi tiết'!A679" display="Chuẩn bị: Đang chuẩn bị&#10;Kỳ vọng: Đã xác nhận&#10;Dữ liệu (trích): Toàn bộ thủ tục theo đúng thứ tự; các đối chứng cùng fixture…&#10;Thao tác (trích): 1. Chạy nút cam.…&#10;Xem chi tiết"/>
    <hyperlink ref="B210" location="'Chi tiết'!A681" display="Nguồn tổng hợp&#10;Chưa có kết quả tổng hợp → Chưa xét được, không thay bằng 0 hay nhóm khác&#10;Xem chi tiết"/>
    <hyperlink ref="C210" location="'Chi tiết'!A682" display="Chuẩn bị: Đang chuẩn bị&#10;Kỳ vọng: Đã xác nhận&#10;Dữ liệu (trích): Toàn bộ thủ tục theo đúng thứ tự; các đối chứng cùng fixture…&#10;Thao tác (trích): 1. Chạy nút cam.…&#10;Xem chi tiết"/>
    <hyperlink ref="C211" location="'Chi tiết'!A684" display="Chuẩn bị: Đang chuẩn bị&#10;Kỳ vọng: Đã xác nhận&#10;Dữ liệu (trích): Ngưỡng cố định&#10;Thao tác (trích): 1. Chỉ có quy tắc “Cố định 30” (dưới 30) (Toàn bộ, không điều kiện trung bình): đăng ký S01=29.…&#10;Xem chi tiết"/>
    <hyperlink ref="C212" location="'Chi tiết'!A686" display="Chuẩn bị: Đang chuẩn bị&#10;Kỳ vọng: Đã xác nhận&#10;Dữ liệu (trích): Ngưỡng tỷ lệ&#10;Thao tác (trích): 1. Chỉ có quy tắc “Cố định 30” (dưới 30) (Toàn bộ, không điều kiện trung bình): đăng ký S01=29.…&#10;Xem chi tiết"/>
    <hyperlink ref="C213" location="'Chi tiết'!A688" display="Chuẩn bị: Đang chuẩn bị&#10;Kỳ vọng: Đã xác nhận&#10;Dữ liệu (trích): Điều kiện trung bình&#10;Thao tác (trích): 1. Chỉ có quy tắc “Cố định 30” (dưới 30) (Toàn bộ, không điều kiện trung bình): đăng ký S01=29.…&#10;Xem chi tiết"/>
    <hyperlink ref="C214" location="'Chi tiết'!A690" display="Chuẩn bị: Đang chuẩn bị&#10;Kỳ vọng: Đã xác nhận&#10;Dữ liệu (trích): Toàn bộ thủ tục theo đúng thứ tự; các đối chứng cùng fixture…&#10;Thao tác (trích): 1. Lưu quy tắc theo tỷ lệ điểm của nhóm từ 65% với nguồn là nhóm trên; ghi source snapshot/reader và xác nhận…&#10;Xem chi tiết"/>
    <hyperlink ref="D214" location="'Chi tiết'!A692" display="Kỳ vọng: Đã xác nhận&#10;1. Lưu được; không bị chặn vì nhóm có lớp khác M.…&#10;Xem chi tiết"/>
    <hyperlink ref="B215" location="'Chi tiết'!A693" display="Nguồn tổng hợp&#10;Bật tự tổng hợp khi đăng ký: hệ thống không chặn; quy tắc độc lập với trung…&#10;Xem chi tiết"/>
    <hyperlink ref="C215" location="'Chi tiết'!A694" display="Chuẩn bị: Đang chuẩn bị&#10;Kỳ vọng: Đã xác nhận&#10;Dữ liệu (trích): Toàn bộ thủ tục theo đúng thứ tự; các đối chứng cùng fixture…&#10;Thao tác (trích): 1. Lưu quy tắc công thức (không bị chặn vì tự tổng hợp đang bật).…&#10;Xem chi tiết"/>
    <hyperlink ref="B216" location="'Chi tiết'!A696" display="Nguồn tổng hợp&#10;Nhóm lớp học（授業）: dùng kết quả tổng hợp của đúng lớp chứa ô đang xét&#10;Xem chi tiết"/>
    <hyperlink ref="C216" location="'Chi tiết'!A697" display="Chuẩn bị: Đang chuẩn bị&#10;Kỳ vọng: Đã xác nhận&#10;Dữ liệu (trích): Toàn bộ thủ tục theo đúng thứ tự; các đối chứng cùng fixture…&#10;Thao tác (trích): 1. Chạy nút cam cho G-A và G-D.…&#10;Xem chi tiết"/>
    <hyperlink ref="B217" location="'Chi tiết'!A699" display="Nguồn tổng hợp&#10;Nhóm môn học（科目グループ）: dùng cấu hình riêng của môn hoặc default đã lưu;…&#10;Xem chi tiết"/>
    <hyperlink ref="C217" location="'Chi tiết'!A700" display="Chuẩn bị: Đang chuẩn bị&#10;Kỳ vọng: Đã xác nhận&#10;Dữ liệu (trích): Nguồn riêng&#10;Thao tác (trích): 1. Chạy nút cam; xem S01 và nhóm được dùng.…&#10;Xem chi tiết"/>
    <hyperlink ref="D217" location="'Chi tiết'!A702" display="Kỳ vọng: Đã xác nhận&#10;1. Dùng kết quả của nhóm theo cấu hình riêng của Toán I.…&#10;Xem chi tiết"/>
    <hyperlink ref="B218" location="'Chi tiết'!A703" display="Nguồn tổng hợp&#10;Nhóm môn học（科目グループ）: dùng cấu hình riêng của môn hoặc default đã lưu;…&#10;Xem chi tiết"/>
    <hyperlink ref="C218" location="'Chi tiết'!A704" display="Chuẩn bị: Đang chuẩn bị&#10;Kỳ vọng: Đã xác nhận&#10;Dữ liệu (trích): Nguồn mặc định&#10;Thao tác (trích): 1. Chạy nút cam; xem S01 và nhóm được dùng.…&#10;Xem chi tiết"/>
    <hyperlink ref="D218" location="'Chi tiết'!A706" display="Kỳ vọng: Đã xác nhận&#10;1. Dùng kết quả của nhóm theo cấu hình riêng của Toán I.…&#10;Xem chi tiết"/>
    <hyperlink ref="B219" location="'Chi tiết'!A707" display="Nguồn tổng hợp&#10;Nhóm môn học（科目グループ）: dùng cấu hình riêng của môn hoặc default đã lưu;…&#10;Xem chi tiết"/>
    <hyperlink ref="C219" location="'Chi tiết'!A708" display="Chuẩn bị: Đang chuẩn bị&#10;Kỳ vọng: Đã xác nhận&#10;Dữ liệu (trích): Nguồn mặc định thiếu&#10;Thao tác (trích): 1. Chạy nút cam; xem S01 và nhóm được dùng.…&#10;Xem chi tiết"/>
    <hyperlink ref="D219" location="'Chi tiết'!A710" display="Kỳ vọng: Đã xác nhận&#10;1. Dùng kết quả của nhóm theo cấu hình riêng của Toán I.…&#10;Xem chi tiết"/>
    <hyperlink ref="B220" location="'Chi tiết'!A711" display="Nguồn tổng hợp&#10;Nhóm môn học（科目グループ）: dùng cấu hình riêng của môn hoặc default đã lưu;…&#10;Xem chi tiết"/>
    <hyperlink ref="C220" location="'Chi tiết'!A712" display="Chuẩn bị: Đang chuẩn bị&#10;Kỳ vọng: Đã xác nhận&#10;Dữ liệu (trích): Nguồn mặc định không hợp lệ&#10;Thao tác (trích): 1. Chạy nút cam; xem S01 và nhóm được dùng.…&#10;Xem chi tiết"/>
    <hyperlink ref="D220" location="'Chi tiết'!A714" display="Kỳ vọng: Đã xác nhận&#10;1. Dùng kết quả của nhóm theo cấu hình riêng của Toán I.…&#10;Xem chi tiết"/>
    <hyperlink ref="B221" location="'Chi tiết'!A715" display="Nguồn tổng hợp&#10;Loại nhóm được bật nhưng chưa có kết quả, hoặc tham chiếu đã lưu không còn hợp…&#10;Xem chi tiết"/>
    <hyperlink ref="C221" location="'Chi tiết'!A716" display="Chuẩn bị: Đang chuẩn bị&#10;Kỳ vọng: Đã xác nhận&#10;Dữ liệu (trích): Nguồn mới thiếu&#10;Thao tác (trích): 1. (a) Tạo quy tắc mới dùng nhóm tổng hợp nhóm tổng hợp thứ hạng “Toán I khối 1+2” nhưng X chưa chạy tổng hợp…&#10;Xem chi tiết"/>
    <hyperlink ref="D221" location="'Chi tiết'!A718" display="Kỳ vọng: Đã xác nhận&#10;1. S01 Chưa xét được (thiếu nguồn); lựa chọn nhóm tồn tại không có nghĩa đã có dữ liệu.…&#10;Xem chi tiết"/>
    <hyperlink ref="B222" location="'Chi tiết'!A719" display="Nguồn tổng hợp&#10;Loại nhóm được bật nhưng chưa có kết quả, hoặc tham chiếu đã lưu không còn hợp…&#10;Xem chi tiết"/>
    <hyperlink ref="C222" location="'Chi tiết'!A720" display="Chuẩn bị: Đang chuẩn bị&#10;Kỳ vọng: Đã xác nhận&#10;Dữ liệu (trích): Nhóm bị tắt&#10;Thao tác (trích): 1. (a) Tạo quy tắc mới dùng nhóm tổng hợp nhóm tổng hợp thứ hạng “Toán I khối 1+2” nhưng X chưa chạy tổng hợp…&#10;Xem chi tiết"/>
    <hyperlink ref="D222" location="'Chi tiết'!A722" display="Kỳ vọng: Đã xác nhận&#10;1. S01 Chưa xét được (thiếu nguồn); lựa chọn nhóm tồn tại không có nghĩa đã có dữ liệu.…&#10;Xem chi tiết"/>
    <hyperlink ref="B223" location="'Chi tiết'!A723" display="Nguồn tổng hợp&#10;Loại nhóm được bật nhưng chưa có kết quả, hoặc tham chiếu đã lưu không còn hợp…&#10;Xem chi tiết"/>
    <hyperlink ref="C223" location="'Chi tiết'!A724" display="Chuẩn bị: Đang chuẩn bị&#10;Kỳ vọng: Đã xác nhận&#10;Dữ liệu (trích): Nhóm bị xóa&#10;Thao tác (trích): 1. (a) Tạo quy tắc mới dùng nhóm tổng hợp nhóm tổng hợp thứ hạng “Toán I khối 1+2” nhưng X chưa chạy tổng hợp…&#10;Xem chi tiết"/>
    <hyperlink ref="D223" location="'Chi tiết'!A726" display="Kỳ vọng: Đã xác nhận&#10;1. S01 Chưa xét được (thiếu nguồn); lựa chọn nhóm tồn tại không có nghĩa đã có dữ liệu.…&#10;Xem chi tiết"/>
    <hyperlink ref="C224" location="'Chi tiết'!A727" display="Chuẩn bị: Đang chuẩn bị&#10;Kỳ vọng: Đã xác nhận&#10;Dữ liệu (trích): Điều kiện trung bình thiếu kỳ&#10;Thao tác (trích): Nhập từng biến thể, bấm Lưu; mở lại danh sách.&#10;Xem chi tiết"/>
    <hyperlink ref="C225" location="'Chi tiết'!A729" display="Chuẩn bị: Đang chuẩn bị&#10;Kỳ vọng: Đã xác nhận&#10;Dữ liệu (trích): Điều kiện trung bình thiếu thiết lập&#10;Thao tác (trích): Nhập từng biến thể, bấm Lưu; mở lại danh sách.&#10;Xem chi tiết"/>
    <hyperlink ref="C226" location="'Chi tiết'!A731" display="Chuẩn bị: Đang chuẩn bị&#10;Kỳ vọng: Đã xác nhận&#10;Dữ liệu (trích): Điều kiện trung bình thiếu nhóm&#10;Thao tác (trích): Nhập từng biến thể, bấm Lưu; mở lại danh sách.&#10;Xem chi tiết"/>
    <hyperlink ref="C227" location="'Chi tiết'!A733" display="Chuẩn bị: Đang chuẩn bị&#10;Kỳ vọng: Đã xác nhận&#10;Dữ liệu (trích): Điều kiện trung bình thiếu toàn bộ&#10;Thao tác (trích): Nhập từng biến thể, bấm Lưu; mở lại danh sách.&#10;Xem chi tiết"/>
    <hyperlink ref="C228" location="'Chi tiết'!A735" display="Chuẩn bị: Đang chuẩn bị&#10;Kỳ vọng: Đã xác nhận&#10;Dữ liệu (trích): Điều kiện tỷ lệ thiếu nguồn&#10;Thao tác (trích): Nhập từng biến thể, bấm Lưu; mở lại danh sách.&#10;Xem chi tiết"/>
    <hyperlink ref="C229" location="'Chi tiết'!A737" display="Chuẩn bị: Đang chuẩn bị&#10;Kỳ vọng: Đã xác nhận&#10;Dữ liệu (trích): Công thức thiếu nguồn&#10;Thao tác (trích): Nhập từng biến thể, bấm Lưu; mở lại danh sách.&#10;Xem chi tiết"/>
    <hyperlink ref="B230" location="'Chi tiết'!A739" display="Nguồn tổng hợp&#10;Server từ chối lưu nhóm tham chiếu không khả dụng hoặc ngoài trường/năm&#10;Xem chi tiết"/>
    <hyperlink ref="C230" location="'Chi tiết'!A740" display="Chuẩn bị: Đang chuẩn bị&#10;Kỳ vọng: Đã xác nhận&#10;Dữ liệu (trích): Điều kiện nhóm tắt&#10;Thao tác (trích): Gửi request lưu quy tắc có nguồn (điều kiện hoặc công thức) với từng biến thể:…&#10;Xem chi tiết"/>
    <hyperlink ref="B231" location="'Chi tiết'!A742" display="Nguồn tổng hợp&#10;Server từ chối lưu nhóm tham chiếu không khả dụng hoặc ngoài trường/năm&#10;Xem chi tiết"/>
    <hyperlink ref="C231" location="'Chi tiết'!A743" display="Chuẩn bị: Đang chuẩn bị&#10;Kỳ vọng: Đã xác nhận&#10;Dữ liệu (trích): Điều kiện sai trường&#10;Thao tác (trích): Gửi request lưu quy tắc có nguồn (điều kiện hoặc công thức) với từng biến thể:…&#10;Xem chi tiết"/>
    <hyperlink ref="B232" location="'Chi tiết'!A745" display="Nguồn tổng hợp&#10;Server từ chối lưu nhóm tham chiếu không khả dụng hoặc ngoài trường/năm&#10;Xem chi tiết"/>
    <hyperlink ref="C232" location="'Chi tiết'!A746" display="Chuẩn bị: Đang chuẩn bị&#10;Kỳ vọng: Đã xác nhận&#10;Dữ liệu (trích): Điều kiện sai năm&#10;Thao tác (trích): Gửi request lưu quy tắc có nguồn (điều kiện hoặc công thức) với từng biến thể:…&#10;Xem chi tiết"/>
    <hyperlink ref="B233" location="'Chi tiết'!A748" display="Nguồn tổng hợp&#10;Server từ chối lưu nhóm tham chiếu không khả dụng hoặc ngoài trường/năm&#10;Xem chi tiết"/>
    <hyperlink ref="C233" location="'Chi tiết'!A749" display="Chuẩn bị: Đang chuẩn bị&#10;Kỳ vọng: Đã xác nhận&#10;Dữ liệu (trích): Điều kiện nhóm không tồn tại&#10;Thao tác (trích): Gửi request lưu quy tắc có nguồn (điều kiện hoặc công thức) với từng biến thể:…&#10;Xem chi tiết"/>
    <hyperlink ref="B234" location="'Chi tiết'!A751" display="Nguồn tổng hợp&#10;Server từ chối lưu nhóm tham chiếu không khả dụng hoặc ngoài trường/năm&#10;Xem chi tiết"/>
    <hyperlink ref="C234" location="'Chi tiết'!A752" display="Chuẩn bị: Đang chuẩn bị&#10;Kỳ vọng: Đã xác nhận&#10;Dữ liệu (trích): Công thức nhóm tắt&#10;Thao tác (trích): Gửi request lưu quy tắc có nguồn (điều kiện hoặc công thức) với từng biến thể:…&#10;Xem chi tiết"/>
    <hyperlink ref="B235" location="'Chi tiết'!A754" display="Nguồn tổng hợp&#10;Server từ chối lưu nhóm tham chiếu không khả dụng hoặc ngoài trường/năm&#10;Xem chi tiết"/>
    <hyperlink ref="C235" location="'Chi tiết'!A755" display="Chuẩn bị: Đang chuẩn bị&#10;Kỳ vọng: Đã xác nhận&#10;Dữ liệu (trích): Công thức sai trường&#10;Thao tác (trích): Gửi request lưu quy tắc có nguồn (điều kiện hoặc công thức) với từng biến thể:…&#10;Xem chi tiết"/>
    <hyperlink ref="B236" location="'Chi tiết'!A757" display="Nguồn tổng hợp&#10;Server từ chối lưu nhóm tham chiếu không khả dụng hoặc ngoài trường/năm&#10;Xem chi tiết"/>
    <hyperlink ref="C236" location="'Chi tiết'!A758" display="Chuẩn bị: Đang chuẩn bị&#10;Kỳ vọng: Đã xác nhận&#10;Dữ liệu (trích): Công thức sai năm&#10;Thao tác (trích): Gửi request lưu quy tắc có nguồn (điều kiện hoặc công thức) với từng biến thể:…&#10;Xem chi tiết"/>
    <hyperlink ref="B237" location="'Chi tiết'!A760" display="Nguồn tổng hợp&#10;Server từ chối lưu nhóm tham chiếu không khả dụng hoặc ngoài trường/năm&#10;Xem chi tiết"/>
    <hyperlink ref="C237" location="'Chi tiết'!A761" display="Chuẩn bị: Đang chuẩn bị&#10;Kỳ vọng: Đã xác nhận&#10;Dữ liệu (trích): Công thức nhóm không tồn tại&#10;Thao tác (trích): Gửi request lưu quy tắc có nguồn (điều kiện hoặc công thức) với từng biến thể:…&#10;Xem chi tiết"/>
    <hyperlink ref="C238" location="'Chi tiết'!A763" display="Chuẩn bị: Đang chuẩn bị&#10;Kỳ vọng: Đã xác nhận&#10;Dữ liệu (trích): Toàn bộ thủ tục theo đúng thứ tự; các đối chứng cùng fixture…&#10;Thao tác (trích): Chạy nút xanh rồi nút cam; ghi `A` đọc được.&#10;Xem chi tiết"/>
    <hyperlink ref="C239" location="'Chi tiết'!A765" display="Chuẩn bị: Bị chặn&#10;Kỳ vọng: Đã xác nhận&#10;Dữ liệu (trích): Toàn bộ thủ tục theo đúng thứ tự; các đối chứng cùng fixture…&#10;Thao tác (trích): Chạy nút xanh rồi nút cam.&#10;Xem chi tiết"/>
    <hyperlink ref="B240" location="'Chi tiết'!A767" display="Nguồn tổng hợp&#10;Nguồn không có mẫu số hợp lệ (tổng điểm tối đa 0, số người có điểm 0) → Chưa…&#10;Xem chi tiết"/>
    <hyperlink ref="C240" location="'Chi tiết'!A768" display="Chuẩn bị: Đang chuẩn bị&#10;Kỳ vọng: Đã xác nhận&#10;Dữ liệu (trích): Tổng điểm tối đa bằng 0&#10;Thao tác (trích): Với từng nguồn: chạy nút xanh (nếu cần) rồi nút cam; xem kết quả S01.&#10;Xem chi tiết"/>
    <hyperlink ref="D240" location="'Chi tiết'!A770" display="Kỳ vọng: Đã xác nhận&#10;(a) Điều kiện tỷ lệ nhóm không xác định được → Chưa xét được; không coi `R=0` là không khớp để thành Không áp dụng hay chuyển xuống ưu tiên thấp hơn.…&#10;Xem chi tiết"/>
    <hyperlink ref="B241" location="'Chi tiết'!A771" display="Nguồn tổng hợp&#10;Nguồn không có mẫu số hợp lệ (tổng điểm tối đa 0, số người có điểm 0) → Chưa…&#10;Xem chi tiết"/>
    <hyperlink ref="C241" location="'Chi tiết'!A772" display="Chuẩn bị: Đang chuẩn bị&#10;Kỳ vọng: Đã xác nhận&#10;Dữ liệu (trích): Số người bằng 0&#10;Thao tác (trích): Với từng nguồn: chạy nút xanh (nếu cần) rồi nút cam; xem kết quả S01.&#10;Xem chi tiết"/>
    <hyperlink ref="D241" location="'Chi tiết'!A774" display="Kỳ vọng: Đã xác nhận&#10;(a) Điều kiện tỷ lệ nhóm không xác định được → Chưa xét được; không coi `R=0` là không khớp để thành Không áp dụng hay chuyển xuống ưu tiên thấp hơn.…&#10;Xem chi tiết"/>
    <hyperlink ref="C242" location="'Chi tiết'!A775" display="Chuẩn bị: Đang chuẩn bị&#10;Kỳ vọng: Đã xác nhận&#10;Dữ liệu (trích): Toàn bộ thủ tục theo đúng thứ tự; các đối chứng cùng fixture…&#10;Thao tác (trích): 1. Chạy nút xanh; ghi tổng điểm và tổng điểm tối đa hiển thị ở kết quả tổng hợp.…&#10;Xem chi tiết"/>
    <hyperlink ref="D242" location="'Chi tiết'!A777" display="Kỳ vọng: Đã xác nhận&#10;1. Tổng điểm và tổng điểm tối đa lấy cùng tập học sinh có điểm theo cấu hình tổng hợp.…&#10;Xem chi tiết"/>
    <hyperlink ref="B243" location="'Chi tiết'!A778" display="Nguồn tổng hợp&#10;Chưa xét được: sửa nguồn nhưng chỉ lưu cấu hình vẫn chưa có kết luận; xét lại…&#10;Xem chi tiết"/>
    <hyperlink ref="C243" location="'Chi tiết'!A779" display="Chuẩn bị: Đang chuẩn bị&#10;Kỳ vọng: Đã xác nhận&#10;Dữ liệu (trích): Toàn bộ thủ tục theo đúng thứ tự; các đối chứng cùng fixture…&#10;Thao tác (trích): 1. Chạy Thực hiện tổng hợp（集計実行） cho nguồn để có `A=62`; mở lại và lưu thiết lập quy tắc (không đổi nội…&#10;Xem chi tiết"/>
    <hyperlink ref="B244" location="'Chi tiết'!A781" display="Nguồn tổng hợp&#10;Không fallback sang legacy khi rule mới thiếu hoặc không khớp dữ liệu&#10;Xem chi tiết"/>
    <hyperlink ref="C244" location="'Chi tiết'!A782" display="Chuẩn bị: Đang chuẩn bị&#10;Kỳ vọng: Đã xác nhận&#10;Dữ liệu (trích): Không quy tắc khớp&#10;Thao tác (trích): 1. Chạy nút cam.…&#10;Xem chi tiết"/>
    <hyperlink ref="B245" location="'Chi tiết'!A784" display="Nguồn tổng hợp&#10;Không fallback sang legacy khi rule mới thiếu hoặc không khớp dữ liệu&#10;Xem chi tiết"/>
    <hyperlink ref="C245" location="'Chi tiết'!A785" display="Chuẩn bị: Đang chuẩn bị&#10;Kỳ vọng: Đã xác nhận&#10;Dữ liệu (trích): Thiếu dữ liệu để xét&#10;Thao tác (trích): 1. Chạy nút cam.…&#10;Xem chi tiết"/>
    <hyperlink ref="C246" location="'Chi tiết'!A787" display="Chuẩn bị: Đang chuẩn bị&#10;Kỳ vọng: Đã xác nhận&#10;Dữ liệu (trích): Toàn bộ thủ tục theo đúng thứ tự; các đối chứng cùng fixture…&#10;Thao tác (trích): 1. Ở màn đăng ký điểm của lớp G-A, nhập S01=29, S03=31, lưu.…&#10;Xem chi tiết"/>
    <hyperlink ref="C247" location="'Chi tiết'!A789" display="Chuẩn bị: Đang chuẩn bị&#10;Kỳ vọng: Đã xác nhận&#10;Dữ liệu (trích): Trường có tính tự động, thực hiện toàn bộ chuỗi CSV&#10;Thao tác (trích): 1. Mở Đăng ký thành tích bằng CSV（成績CSV登録） của lớp G-A, nhập CSV với S01=29.…&#10;Xem chi tiết"/>
    <hyperlink ref="D247" location="'Chi tiết'!A791" display="Kỳ vọng: Đã xác nhận&#10;1–2. Nhập thành công → S01 được xét: Đỏ, ở cả (a) và (b) (không phụ thuộc việc trường có tính tự động).…&#10;Xem chi tiết"/>
    <hyperlink ref="C248" location="'Chi tiết'!A792" display="Chuẩn bị: Đang chuẩn bị&#10;Kỳ vọng: Đã xác nhận&#10;Dữ liệu (trích): Trường không có tính tự động, cùng chuỗi CSV&#10;Thao tác (trích): 1. Mở Đăng ký thành tích bằng CSV（成績CSV登録） của lớp G-A, nhập CSV với S01=29.…&#10;Xem chi tiết"/>
    <hyperlink ref="D248" location="'Chi tiết'!A794" display="Kỳ vọng: Đã xác nhận&#10;1–2. Nhập thành công → S01 được xét: Đỏ, ở cả (a) và (b) (không phụ thuộc việc trường có tính tự động).…&#10;Xem chi tiết"/>
    <hyperlink ref="C249" location="'Chi tiết'!A795" display="Chuẩn bị: Bị chặn&#10;Kỳ vọng: Đã xác nhận&#10;Dữ liệu (trích): Liên kết điểm ở G-A&#10;Thao tác (trích): 1. Liên kết kết quả chấm của G-A với S01=29 (quy tắc cố định quy tắc “Cố định 30” (dưới 30)), gồm trường hợp…&#10;Xem chi tiết"/>
    <hyperlink ref="D249" location="'Chi tiết'!A797" display="Kỳ vọng: Đã xác nhận&#10;1. S01 Đỏ.…&#10;Xem chi tiết"/>
    <hyperlink ref="C250" location="'Chi tiết'!A798" display="Chuẩn bị: Bị chặn&#10;Kỳ vọng: Đã xác nhận&#10;Dữ liệu (trích): Nhánh AutoRating bỏ qua ở G-C&#10;Thao tác (trích): 1. Liên kết kết quả chấm của G-A với S01=29 (quy tắc cố định quy tắc “Cố định 30” (dưới 30)), gồm trường hợp…&#10;Xem chi tiết"/>
    <hyperlink ref="D250" location="'Chi tiết'!A800" display="Kỳ vọng: Đã xác nhận&#10;1. S01 Đỏ.…&#10;Xem chi tiết"/>
    <hyperlink ref="C251" location="'Chi tiết'!A801" display="Chuẩn bị: Đang chuẩn bị&#10;Kỳ vọng: Đã xác nhận&#10;Dữ liệu (trích): Toàn bộ thủ tục theo đúng thứ tự; các đối chứng cùng fixture…&#10;Thao tác (trích): 1. Ở màn đăng ký điểm lớp G-B, chọn lựa chọn lớp M=50 cho U1, lưu.…&#10;Xem chi tiết"/>
    <hyperlink ref="B252" location="'Chi tiết'!A803" display="Vòng đời kết quả&#10;Lưu Thiết lập điểm tối đa hàng loạt（満点一括設定） xếp hàng tính toán rồi mới có kết…&#10;Xem chi tiết"/>
    <hyperlink ref="C252" location="'Chi tiết'!A804" display="Chuẩn bị: Đang chuẩn bị&#10;Kỳ vọng: Đã xác nhận&#10;Dữ liệu (trích): Toàn bộ thủ tục theo đúng thứ tự; các đối chứng cùng fixture…&#10;Thao tác (trích): 1. Lưu M=50 cho các lớp/kỳ được phép.…&#10;Xem chi tiết"/>
    <hyperlink ref="B253" location="'Chi tiết'!A806" display="Vòng đời kết quả&#10;Trường chỉ có quy tắc đỏ (không có tính tự động) vẫn có đường chạy hàng loạt&#10;Xem chi tiết"/>
    <hyperlink ref="C253" location="'Chi tiết'!A807" display="Chuẩn bị: Đang chuẩn bị&#10;Kỳ vọng: Đã xác nhận&#10;Dữ liệu (trích): Toàn bộ thủ tục theo đúng thứ tự; các đối chứng cùng fixture…&#10;Thao tác (trích): 1. Mở Tổng hợp thành tích（成績集計） (`/admin/grade/grade_setting_system/grade_calc`).…&#10;Xem chi tiết"/>
    <hyperlink ref="D253" location="'Chi tiết'!A809" display="Kỳ vọng: Đã xác nhận&#10;Chạy được bằng thao tác hàng loạt hiện có (không có chế độ xét đỏ riêng); sau khi chạy, các ô được xét theo quy tắc “Cố định 30” (dưới 30). Nhãn/cách hiện nút cho trường không có…&#10;Xem chi tiết"/>
    <hyperlink ref="B254" location="'Chi tiết'!A810" display="Vòng đời kết quả&#10;Nhập CSV đăng ký điểm lớp chủ nhiệm hàng loạt（HR成績CSV一括登録） kích hoạt xét&#10;Xem chi tiết"/>
    <hyperlink ref="C254" location="'Chi tiết'!A811" display="Chuẩn bị: Đang chuẩn bị&#10;Kỳ vọng: Chờ xác nhận&#10;Dữ liệu (trích): Trường có tính tự động&#10;Thao tác (trích): 1. Nhập CSV đăng ký điểm lớp chủ nhiệm hàng loạt（HR成績CSV一括登録） với S01=28.…&#10;Xem chi tiết"/>
    <hyperlink ref="D254" location="'Chi tiết'!A813" display="Kỳ vọng: Chờ xác nhận&#10;Theo đặc tả v2 mục 7.2 “Bảng sự kiện”: nhập thành công → S01 Đỏ. tài liệu chia công việc v2 chưa đưa đường ghi điểm “HR成績CSV一括登録 (đăng ký điểm hàng loạt bằng CSV)” vào đường được…&#10;Xem chi tiết"/>
    <hyperlink ref="B255" location="'Chi tiết'!A814" display="Vòng đời kết quả&#10;Nhập CSV đăng ký điểm lớp chủ nhiệm hàng loạt（HR成績CSV一括登録） kích hoạt xét&#10;Xem chi tiết"/>
    <hyperlink ref="C255" location="'Chi tiết'!A815" display="Chuẩn bị: Đang chuẩn bị&#10;Kỳ vọng: Chờ xác nhận&#10;Dữ liệu (trích): Trường không có tính tự động&#10;Thao tác (trích): 1. Nhập CSV đăng ký điểm lớp chủ nhiệm hàng loạt（HR成績CSV一括登録） với S01=28.…&#10;Xem chi tiết"/>
    <hyperlink ref="D255" location="'Chi tiết'!A817" display="Kỳ vọng: Chờ xác nhận&#10;Theo đặc tả v2 mục 7.2 “Bảng sự kiện”: nhập thành công → S01 Đỏ. tài liệu chia công việc v2 chưa đưa đường ghi điểm “HR成績CSV一括登録 (đăng ký điểm hàng loạt bằng CSV)” vào đường được…&#10;Xem chi tiết"/>
    <hyperlink ref="C256" location="'Chi tiết'!A818" display="Chuẩn bị: Đang chuẩn bị&#10;Kỳ vọng: Đã xác nhận&#10;Dữ liệu (trích): Toàn bộ thủ tục theo đúng thứ tự; các đối chứng cùng fixture…&#10;Thao tác (trích): 1. Đổi ngưỡng thành 35 `&lt;`, lưu.…&#10;Xem chi tiết"/>
    <hyperlink ref="D256" location="'Chi tiết'!A820" display="Kỳ vọng: Đã xác nhận&#10;1. Sau lưu: không báo &quot;đã cập nhật điểm đỏ học sinh&quot;; có hướng dẫn chạy lại.…&#10;Xem chi tiết"/>
    <hyperlink ref="C257" location="'Chi tiết'!A821" display="Chuẩn bị: Đang chuẩn bị&#10;Kỳ vọng: Đã xác nhận&#10;Dữ liệu (trích): Toàn bộ thủ tục theo đúng thứ tự; các đối chứng cùng fixture…&#10;Thao tác (trích): 1. Sửa S01 thành 40, lưu thành công.…&#10;Xem chi tiết"/>
    <hyperlink ref="B258" location="'Chi tiết'!A823" display="Vòng đời kết quả&#10;Chạy lại không tạo được ngưỡng hợp lệ → Chưa xét được, ngừng kết quả cũ, giữ…&#10;Xem chi tiết"/>
    <hyperlink ref="C258" location="'Chi tiết'!A824" display="Chuẩn bị: Đang chuẩn bị&#10;Kỳ vọng: Đã xác nhận&#10;Dữ liệu (trích): Nhánh invalid-M trong thủ tục và Expected của case; thực hiện…&#10;Thao tác (trích): 1. Từ baseline độc lập, xác nhận S01=29 đang Đỏ; tạo biến thể (a) bằng cách đổi nguồn sang nguồn chưa có kết…&#10;Xem chi tiết"/>
    <hyperlink ref="B259" location="'Chi tiết'!A826" display="Vòng đời kết quả&#10;Chạy lại không tạo được ngưỡng hợp lệ → Chưa xét được, ngừng kết quả cũ, giữ…&#10;Xem chi tiết"/>
    <hyperlink ref="C259" location="'Chi tiết'!A827" display="Chuẩn bị: Đang chuẩn bị&#10;Kỳ vọng: Đã xác nhận&#10;Dữ liệu (trích): Nhánh missing-source trong thủ tục và Expected của case; thực…&#10;Thao tác (trích): 1. Từ baseline độc lập, xác nhận S01=29 đang Đỏ; tạo biến thể (a) bằng cách đổi nguồn sang nguồn chưa có kết…&#10;Xem chi tiết"/>
    <hyperlink ref="B260" location="'Chi tiết'!A829" display="Vòng đời kết quả&#10;Chạy lại không tạo được ngưỡng hợp lệ → Chưa xét được, ngừng kết quả cũ, giữ…&#10;Xem chi tiết"/>
    <hyperlink ref="C260" location="'Chi tiết'!A830" display="Chuẩn bị: Đang chuẩn bị&#10;Kỳ vọng: Đã xác nhận&#10;Dữ liệu (trích): Nhánh invalid-formula trong thủ tục và Expected của case; thực…&#10;Thao tác (trích): 1. Từ baseline độc lập, xác nhận S01=29 đang Đỏ; tạo biến thể (a) bằng cách đổi nguồn sang nguồn chưa có kết…&#10;Xem chi tiết"/>
    <hyperlink ref="B261" location="'Chi tiết'!A832" display="Vòng đời kết quả&#10;Đổi phạm vi làm ô không còn quy tắc áp dụng: giữ khi chưa chạy; chạy lại →…&#10;Xem chi tiết"/>
    <hyperlink ref="C261" location="'Chi tiết'!A833" display="Chuẩn bị: Đang chuẩn bị&#10;Kỳ vọng: Đã xác nhận&#10;Dữ liệu (trích): Toàn bộ thủ tục theo đúng thứ tự; các đối chứng cùng fixture…&#10;Thao tác (trích): 1. Đổi bộ lọc sang lớp G-B, lưu. Xem đầu ra.…&#10;Xem chi tiết"/>
    <hyperlink ref="B262" location="'Chi tiết'!A835" display="Vòng đời kết quả&#10;Xóa quy tắc cuối: giữ kết quả tới lần chạy lại; chạy lại → Không áp dụng&#10;Xem chi tiết"/>
    <hyperlink ref="C262" location="'Chi tiết'!A836" display="Chuẩn bị: Đang chuẩn bị&#10;Kỳ vọng: Đã xác nhận&#10;Dữ liệu (trích): Chạy lại bằng đăng ký điểm&#10;Thao tác (trích): 1. Xóa quy tắc “Cố định 30” (dưới 30) (quy tắc cuối).…&#10;Xem chi tiết"/>
    <hyperlink ref="D262" location="'Chi tiết'!A838" display="Kỳ vọng: Đã xác nhận&#10;1–2. Danh sách rỗng nhưng S01 vẫn hiện dấu đỏ/thỏa lọc ở ba đầu ra.…&#10;Xem chi tiết"/>
    <hyperlink ref="B263" location="'Chi tiết'!A839" display="Vòng đời kết quả&#10;Xóa quy tắc cuối: giữ kết quả tới lần chạy lại; chạy lại → Không áp dụng&#10;Xem chi tiết"/>
    <hyperlink ref="C263" location="'Chi tiết'!A840" display="Chuẩn bị: Đang chuẩn bị&#10;Kỳ vọng: Đã xác nhận&#10;Dữ liệu (trích): Chạy lại bằng nút cam, reset baseline trước lượt này&#10;Thao tác (trích): 1. Xóa quy tắc “Cố định 30” (dưới 30) (quy tắc cuối).…&#10;Xem chi tiết"/>
    <hyperlink ref="D263" location="'Chi tiết'!A842" display="Kỳ vọng: Đã xác nhận&#10;1–2. Danh sách rỗng nhưng S01 vẫn hiện dấu đỏ/thỏa lọc ở ba đầu ra.…&#10;Xem chi tiết"/>
    <hyperlink ref="C264" location="'Chi tiết'!A843" display="Chuẩn bị: Đang chuẩn bị&#10;Kỳ vọng: Đã xác nhận&#10;Dữ liệu (trích): Toàn bộ thủ tục theo đúng thứ tự; các đối chứng cùng fixture…&#10;Thao tác (trích): 1. Xóa điểm S01 thành trống, lưu.…&#10;Xem chi tiết"/>
    <hyperlink ref="C265" location="'Chi tiết'!A845" display="Chuẩn bị: Đang chuẩn bị&#10;Kỳ vọng: Đã xác nhận&#10;Dữ liệu (trích): Toàn bộ thủ tục theo đúng thứ tự; các đối chứng cùng fixture…&#10;Thao tác (trích): 1. Sửa điểm nhóm để trung bình mới là 40, bấm Thực hiện tổng hợp（集計実行）.…&#10;Xem chi tiết"/>
    <hyperlink ref="B266" location="'Chi tiết'!A847" display="Vòng đời kết quả&#10;Đổi M ở Thiết lập điểm tối đa（満点設定） hoặc Giá trị tối đa（最大値） không tự xét lại&#10;Xem chi tiết"/>
    <hyperlink ref="C266" location="'Chi tiết'!A848" display="Chuẩn bị: Đang chuẩn bị&#10;Kỳ vọng: Đã xác nhận&#10;Dữ liệu (trích): Toàn bộ thủ tục theo đúng thứ tự; các đối chứng cùng fixture…&#10;Thao tác (trích): 1. Sửa Giá trị tối đa（最大値） của mục số nguyên (M=100) ở Thiết lập ô nhập（入力欄設定） thành 200, lưu. Xem kết quả.…&#10;Xem chi tiết"/>
    <hyperlink ref="C267" location="'Chi tiết'!A850" display="Chuẩn bị: Đang chuẩn bị&#10;Kỳ vọng: Đã xác nhận&#10;Dữ liệu (trích): Toàn bộ thủ tục theo đúng thứ tự; các đối chứng cùng fixture…&#10;Thao tác (trích): 1. Bấm Thực hiện tổng hợp（集計実行）, chờ hoàn tất.…&#10;Xem chi tiết"/>
    <hyperlink ref="C268" location="'Chi tiết'!A852" display="Chuẩn bị: Đang chuẩn bị&#10;Kỳ vọng: Đã xác nhận&#10;Dữ liệu (trích): Trích xuất màn&#10;Thao tác (trích): 1. Chạy trích xuất, xuất Excel.…&#10;Xem chi tiết"/>
    <hyperlink ref="C269" location="'Chi tiết'!A854" display="Chuẩn bị: Đang chuẩn bị&#10;Kỳ vọng: Đã xác nhận&#10;Dữ liệu (trích): File Excel&#10;Thao tác (trích): 1. Chạy trích xuất, xuất Excel.…&#10;Xem chi tiết"/>
    <hyperlink ref="C270" location="'Chi tiết'!A856" display="Chuẩn bị: Đang chuẩn bị&#10;Kỳ vọng: Đã xác nhận&#10;Dữ liệu (trích): Màn công khai&#10;Thao tác (trích): 1. Chạy trích xuất, xuất Excel.…&#10;Xem chi tiết"/>
    <hyperlink ref="C271" location="'Chi tiết'!A858" display="Chuẩn bị: Đang chuẩn bị&#10;Kỳ vọng: Đã xác nhận&#10;Dữ liệu (trích): PDF công khai&#10;Thao tác (trích): 1. Chạy trích xuất, xuất Excel.…&#10;Xem chi tiết"/>
    <hyperlink ref="C272" location="'Chi tiết'!A860" display="Chuẩn bị: Đang chuẩn bị&#10;Kỳ vọng: Đã xác nhận&#10;Dữ liệu (trích): Phiếu điểm&#10;Thao tác (trích): 1. Chạy trích xuất, xuất Excel.…&#10;Xem chi tiết"/>
    <hyperlink ref="C273" location="'Chi tiết'!A862" display="Chuẩn bị: Đang chuẩn bị&#10;Kỳ vọng: Đã xác nhận&#10;Dữ liệu (trích): Toàn bộ thủ tục theo đúng thứ tự; các đối chứng cùng fixture…&#10;Thao tác (trích): 1. Chạy nút cam 3 lần liên tiếp (chờ mỗi lần hoàn tất).…&#10;Xem chi tiết"/>
    <hyperlink ref="C274" location="'Chi tiết'!A864" display="Chuẩn bị: Đang chuẩn bị&#10;Kỳ vọng: Đã xác nhận&#10;Dữ liệu (trích): Nhánh delete-unit trong thủ tục và Expected của case; thực hiện…&#10;Thao tác (trích): 1. Xác nhận U1 Đỏ ở ba đầu ra.…&#10;Xem chi tiết"/>
    <hyperlink ref="C275" location="'Chi tiết'!A866" display="Chuẩn bị: Đang chuẩn bị&#10;Kỳ vọng: Đã xác nhận&#10;Dữ liệu (trích): Nhánh disable-unit trong thủ tục và Expected của case; thực hiện…&#10;Thao tác (trích): 1. Xác nhận U1 Đỏ ở ba đầu ra.…&#10;Xem chi tiết"/>
    <hyperlink ref="C276" location="'Chi tiết'!A868" display="Chuẩn bị: Đang chuẩn bị&#10;Kỳ vọng: Chờ xác nhận&#10;Dữ liệu (trích): Toàn bộ thủ tục theo đúng thứ tự; các đối chứng cùng fixture…&#10;Thao tác (trích): 1. Nhập CSV lựa chọn điểm tối đa.…&#10;Xem chi tiết"/>
    <hyperlink ref="C277" location="'Chi tiết'!A870" display="Chuẩn bị: Đang chuẩn bị&#10;Kỳ vọng: Đã xác nhận&#10;Dữ liệu (trích): Bước 1–3 xóa rồi tạo lại 35&#10;Thao tác (trích): 1. Bỏ sử dụng đơn vị U1 cho lớp (hoặc thay khung điểm theo thao tác hiện có) để ô bị xóa/ngừng hoạt động.…&#10;Xem chi tiết"/>
    <hyperlink ref="D277" location="'Chi tiết'!A872" display="Kỳ vọng: Đã xác nhận&#10;Sau bước 1: không còn dấu đỏ của ô cũ. Sau bước 2: ô mới được xét theo 35 → Không đỏ; không mang kết quả Đỏ cũ.…&#10;Xem chi tiết"/>
    <hyperlink ref="C278" location="'Chi tiết'!A873" display="Chuẩn bị: Đang chuẩn bị&#10;Kỳ vọng: Đã xác nhận&#10;Dữ liệu (trích): Bước 4 xóa rồi khôi phục cùng 29&#10;Thao tác (trích): 1. Bỏ sử dụng đơn vị U1 cho lớp (hoặc thay khung điểm theo thao tác hiện có) để ô bị xóa/ngừng hoạt động.…&#10;Xem chi tiết"/>
    <hyperlink ref="D278" location="'Chi tiết'!A875" display="Kỳ vọng: Đã xác nhận&#10;Sau bước 1: không còn dấu đỏ của ô cũ. Sau bước 2: ô mới được xét theo 35 → Không đỏ; không mang kết quả Đỏ cũ.…&#10;Xem chi tiết"/>
    <hyperlink ref="C279" location="'Chi tiết'!A876" display="Chuẩn bị: Đang chuẩn bị&#10;Kỳ vọng: Đã xác nhận&#10;Dữ liệu (trích): Bước 5 batch cũ sau tạo lại&#10;Thao tác (trích): 1. Bỏ sử dụng đơn vị U1 cho lớp (hoặc thay khung điểm theo thao tác hiện có) để ô bị xóa/ngừng hoạt động.…&#10;Xem chi tiết"/>
    <hyperlink ref="D279" location="'Chi tiết'!A878" display="Kỳ vọng: Đã xác nhận&#10;Sau bước 1: không còn dấu đỏ của ô cũ. Sau bước 2: ô mới được xét theo 35 → Không đỏ; không mang kết quả Đỏ cũ.…&#10;Xem chi tiết"/>
    <hyperlink ref="B280" location="'Chi tiết'!A879" display="Trích xuất thành tích（成績抽出）&#10;Trích xuất thành tích（成績抽出）: các tùy chọn đỏ được lưu và mở lại đúng&#10;Xem chi tiết"/>
    <hyperlink ref="C280" location="'Chi tiết'!A880" display="Chuẩn bị: Đang chuẩn bị&#10;Kỳ vọng: Đã xác nhận&#10;Dữ liệu (trích): Cấu hình lọc và màu&#10;Thao tác (trích): 1. Mở thiết lập hiển thị của trích xuất, khung Thiết lập chi tiết thông tin lớp học（授業情報の詳細設定）, phần điều…&#10;Xem chi tiết"/>
    <hyperlink ref="D280" location="'Chi tiết'!A882" display="Kỳ vọng: Đã xác nhận&#10;1. Có bốn tùy chọn độc lập: lọc học sinh có điểm đỏ, ký hiệu phía trước, ký hiệu phía sau, tô màu ô.…&#10;Xem chi tiết"/>
    <hyperlink ref="B281" location="'Chi tiết'!A883" display="Trích xuất thành tích（成績抽出）&#10;Trích xuất thành tích（成績抽出）: các tùy chọn đỏ được lưu và mở lại đúng&#10;Xem chi tiết"/>
    <hyperlink ref="C281" location="'Chi tiết'!A884" display="Chuẩn bị: Đang chuẩn bị&#10;Kỳ vọng: Đã xác nhận&#10;Dữ liệu (trích): Cấu hình ký hiệu trước/sau&#10;Thao tác (trích): 1. Mở thiết lập hiển thị của trích xuất, khung Thiết lập chi tiết thông tin lớp học（授業情報の詳細設定）, phần điều…&#10;Xem chi tiết"/>
    <hyperlink ref="D281" location="'Chi tiết'!A886" display="Kỳ vọng: Đã xác nhận&#10;1. Có bốn tùy chọn độc lập: lọc học sinh có điểm đỏ, ký hiệu phía trước, ký hiệu phía sau, tô màu ô.…&#10;Xem chi tiết"/>
    <hyperlink ref="B282" location="'Chi tiết'!A887" display="Trích xuất thành tích（成績抽出）&#10;Trích xuất thành tích（成績抽出）: các tùy chọn đỏ được lưu và mở lại đúng&#10;Xem chi tiết"/>
    <hyperlink ref="C282" location="'Chi tiết'!A888" display="Chuẩn bị: Đang chuẩn bị&#10;Kỳ vọng: Đã xác nhận&#10;Dữ liệu (trích): Sao chép cấu hình theo phần đề xuất&#10;Thao tác (trích): 1. Mở thiết lập hiển thị của trích xuất, khung Thiết lập chi tiết thông tin lớp học（授業情報の詳細設定）, phần điều…&#10;Xem chi tiết"/>
    <hyperlink ref="D282" location="'Chi tiết'!A890" display="Kỳ vọng: Đã xác nhận&#10;1. Có bốn tùy chọn độc lập: lọc học sinh có điểm đỏ, ký hiệu phía trước, ký hiệu phía sau, tô màu ô.…&#10;Xem chi tiết"/>
    <hyperlink ref="B283" location="'Chi tiết'!A891" display="Trích xuất thành tích（成績抽出）&#10;Trích xuất: lọc giữ học sinh có ít nhất một ô đỏ trong phạm vi đang xét&#10;Xem chi tiết"/>
    <hyperlink ref="C283" location="'Chi tiết'!A892" display="Chuẩn bị: Đang chuẩn bị&#10;Kỳ vọng: Đã xác nhận&#10;Dữ liệu (trích): Bước 1, S10 có hai ô đỏ trong phạm vi&#10;Thao tác (trích): 1. Chạy trích xuất với cấu hình trích xuất: lọc, ký hiệu “*” phía trước, tô màu, phạm vi gồm Toán và Ngữ văn.…&#10;Xem chi tiết"/>
    <hyperlink ref="D283" location="'Chi tiết'!A895" display="Kỳ vọng: Đã xác nhận&#10;1. Bước 1: S10 có trong danh sách, S03 không.…&#10;Xem chi tiết"/>
    <hyperlink ref="B284" location="'Chi tiết'!A896" display="Trích xuất thành tích（成績抽出）&#10;Trích xuất: lọc giữ học sinh có ít nhất một ô đỏ trong phạm vi đang xét&#10;Xem chi tiết"/>
    <hyperlink ref="C284" location="'Chi tiết'!A897" display="Chuẩn bị: Đang chuẩn bị&#10;Kỳ vọng: Đã xác nhận&#10;Dữ liệu (trích): Bước 2, S10 chỉ còn Ngữ văn trong phạm vi&#10;Thao tác (trích): 1. Chạy trích xuất với cấu hình trích xuất: lọc, ký hiệu “*” phía trước, tô màu, phạm vi gồm Toán và Ngữ văn.…&#10;Xem chi tiết"/>
    <hyperlink ref="D284" location="'Chi tiết'!A900" display="Kỳ vọng: Đã xác nhận&#10;1. Bước 1: S10 có trong danh sách, S03 không.…&#10;Xem chi tiết"/>
    <hyperlink ref="B285" location="'Chi tiết'!A901" display="Trích xuất thành tích（成績抽出）&#10;Trích xuất: lọc giữ học sinh có ít nhất một ô đỏ trong phạm vi đang xét&#10;Xem chi tiết"/>
    <hyperlink ref="C285" location="'Chi tiết'!A902" display="Chuẩn bị: Đang chuẩn bị&#10;Kỳ vọng: Đã xác nhận&#10;Dữ liệu (trích): Đối chứng S03 của bước 1, không ô nào đỏ&#10;Thao tác (trích): 1. Chạy trích xuất với cấu hình trích xuất: lọc, ký hiệu “*” phía trước, tô màu, phạm vi gồm Toán và Ngữ văn.…&#10;Xem chi tiết"/>
    <hyperlink ref="D285" location="'Chi tiết'!A905" display="Kỳ vọng: Đã xác nhận&#10;1. Bước 1: S10 có trong danh sách, S03 không.…&#10;Xem chi tiết"/>
    <hyperlink ref="B286" location="'Chi tiết'!A906" display="Trích xuất thành tích（成績抽出）&#10;Trích xuất: lọc giữ học sinh có ít nhất một ô đỏ trong phạm vi đang xét&#10;Xem chi tiết"/>
    <hyperlink ref="C286" location="'Chi tiết'!A907" display="Chuẩn bị: Đang chuẩn bị&#10;Kỳ vọng: Đã xác nhận&#10;Dữ liệu (trích): Bước 3, chỉ ký hiệu và tắt lọc&#10;Thao tác (trích): 1. Chạy trích xuất với cấu hình trích xuất: lọc, ký hiệu “*” phía trước, tô màu, phạm vi gồm Toán và Ngữ văn.…&#10;Xem chi tiết"/>
    <hyperlink ref="D286" location="'Chi tiết'!A910" display="Kỳ vọng: Đã xác nhận&#10;1. Bước 1: S10 có trong danh sách, S03 không.…&#10;Xem chi tiết"/>
    <hyperlink ref="B287" location="'Chi tiết'!A911" display="Trích xuất thành tích（成績抽出）&#10;Trích xuất: lọc giữ học sinh có ít nhất một ô đỏ trong phạm vi đang xét&#10;Xem chi tiết"/>
    <hyperlink ref="C287" location="'Chi tiết'!A912" display="Chuẩn bị: Đang chuẩn bị&#10;Kỳ vọng: Đã xác nhận&#10;Dữ liệu (trích): Bước 4, ô đỏ nằm ở thời điểm khác&#10;Thao tác (trích): 1. Chạy trích xuất với cấu hình trích xuất: lọc, ký hiệu “*” phía trước, tô màu, phạm vi gồm Toán và Ngữ văn.…&#10;Xem chi tiết"/>
    <hyperlink ref="D287" location="'Chi tiết'!A915" display="Kỳ vọng: Đã xác nhận&#10;1. Bước 1: S10 có trong danh sách, S03 không.…&#10;Xem chi tiết"/>
    <hyperlink ref="B288" location="'Chi tiết'!A916" display="Trích xuất thành tích（成績抽出）&#10;Trích xuất: lọc giữ học sinh có ít nhất một ô đỏ trong phạm vi đang xét&#10;Xem chi tiết"/>
    <hyperlink ref="C288" location="'Chi tiết'!A917" display="Chuẩn bị: Đang chuẩn bị&#10;Kỳ vọng: Đã xác nhận&#10;Dữ liệu (trích): Bước 5, chỉ U2 Không đỏ&#10;Thao tác (trích): 1. Chạy trích xuất với cấu hình trích xuất: lọc, ký hiệu “*” phía trước, tô màu, phạm vi gồm Toán và Ngữ văn.…&#10;Xem chi tiết"/>
    <hyperlink ref="D288" location="'Chi tiết'!A920" display="Kỳ vọng: Đã xác nhận&#10;1. Bước 1: S10 có trong danh sách, S03 không.…&#10;Xem chi tiết"/>
    <hyperlink ref="B289" location="'Chi tiết'!A921" display="Trích xuất thành tích（成績抽出）&#10;Trích xuất: lọc giữ học sinh có ít nhất một ô đỏ trong phạm vi đang xét&#10;Xem chi tiết"/>
    <hyperlink ref="C289" location="'Chi tiết'!A922" display="Chuẩn bị: Đang chuẩn bị&#10;Kỳ vọng: Đã xác nhận&#10;Dữ liệu (trích): Bước 6 sau baseline bước 1, xóa Toán nhưng giữ Ngữ văn&#10;Thao tác (trích): 1. Chạy trích xuất với cấu hình trích xuất: lọc, ký hiệu “*” phía trước, tô màu, phạm vi gồm Toán và Ngữ văn.…&#10;Xem chi tiết"/>
    <hyperlink ref="D289" location="'Chi tiết'!A925" display="Kỳ vọng: Đã xác nhận&#10;1. Bước 1: S10 có trong danh sách, S03 không.…&#10;Xem chi tiết"/>
    <hyperlink ref="B290" location="'Chi tiết'!A926" display="Trích xuất thành tích（成績抽出）&#10;Trích xuất: chỉ ô đỏ được thêm ký hiệu/tô màu&#10;Xem chi tiết"/>
    <hyperlink ref="C290" location="'Chi tiết'!A927" display="Chuẩn bị: Đang chuẩn bị&#10;Kỳ vọng: Đã xác nhận&#10;Dữ liệu (trích): Ký hiệu trước và màu&#10;Thao tác (trích): 1. Chạy trích xuất cấu hình trích xuất: lọc, ký hiệu “*” phía trước, tô màu, xem dòng S10.…&#10;Xem chi tiết"/>
    <hyperlink ref="D290" location="'Chi tiết'!A929" display="Kỳ vọng: Đã xác nhận&#10;1. cấu hình trích xuất: lọc, ký hiệu “*” phía trước, tô màu: ô Toán hiện `*24` với nền màu Đỏ（赤） của bảng màu; ô Ngữ văn `70` không ký hiệu, không màu; không tô cả dòng.…&#10;Xem chi tiết"/>
    <hyperlink ref="B291" location="'Chi tiết'!A930" display="Trích xuất thành tích（成績抽出）&#10;Trích xuất: chỉ ô đỏ được thêm ký hiệu/tô màu&#10;Xem chi tiết"/>
    <hyperlink ref="C291" location="'Chi tiết'!A931" display="Chuẩn bị: Đang chuẩn bị&#10;Kỳ vọng: Đã xác nhận&#10;Dữ liệu (trích): Ký hiệu trước và sau&#10;Thao tác (trích): 1. Chạy trích xuất cấu hình trích xuất: lọc, ký hiệu “*” phía trước, tô màu, xem dòng S10.…&#10;Xem chi tiết"/>
    <hyperlink ref="D291" location="'Chi tiết'!A933" display="Kỳ vọng: Đã xác nhận&#10;1. cấu hình trích xuất: lọc, ký hiệu “*” phía trước, tô màu: ô Toán hiện `*24` với nền màu Đỏ（赤） của bảng màu; ô Ngữ văn `70` không ký hiệu, không màu; không tô cả dòng.…&#10;Xem chi tiết"/>
    <hyperlink ref="C292" location="'Chi tiết'!A934" display="Chuẩn bị: Đang chuẩn bị&#10;Kỳ vọng: Đã xác nhận&#10;Dữ liệu (trích): Lượt ban đầu bật lọc&#10;Thao tác (trích): 1. Chạy trích xuất, chụp màn kết quả.…&#10;Xem chi tiết"/>
    <hyperlink ref="D292" location="'Chi tiết'!A936" display="Kỳ vọng: Đã xác nhận&#10;1–2. Danh sách học sinh trong Excel giống màn hình (lọc đỏ đang bật). Cùng ô: ký hiệu, màu nền, số liệu, ô trống trong Excel giống màn hình. Ô trống không hiện số 0. Tải Excel…&#10;Xem chi tiết"/>
    <hyperlink ref="C293" location="'Chi tiết'!A937" display="Chuẩn bị: Đang chuẩn bị&#10;Kỳ vọng: Đã xác nhận&#10;Dữ liệu (trích): Nhánh a tắt lọc&#10;Thao tác (trích): 1. Chạy trích xuất, chụp màn kết quả.…&#10;Xem chi tiết"/>
    <hyperlink ref="D293" location="'Chi tiết'!A939" display="Kỳ vọng: Đã xác nhận&#10;1–2. Danh sách học sinh trong Excel giống màn hình (lọc đỏ đang bật). Cùng ô: ký hiệu, màu nền, số liệu, ô trống trong Excel giống màn hình. Ô trống không hiện số 0. Tải Excel…&#10;Xem chi tiết"/>
    <hyperlink ref="C294" location="'Chi tiết'!A940" display="Chuẩn bị: Đang chuẩn bị&#10;Kỳ vọng: Đã xác nhận&#10;Dữ liệu (trích): Nhánh b không có ô đỏ&#10;Thao tác (trích): 1. Chạy trích xuất, chụp màn kết quả.…&#10;Xem chi tiết"/>
    <hyperlink ref="D294" location="'Chi tiết'!A942" display="Kỳ vọng: Đã xác nhận&#10;1–2. Danh sách học sinh trong Excel giống màn hình (lọc đỏ đang bật). Cùng ô: ký hiệu, màu nền, số liệu, ô trống trong Excel giống màn hình. Ô trống không hiện số 0. Tải Excel…&#10;Xem chi tiết"/>
    <hyperlink ref="C295" location="'Chi tiết'!A943" display="Chuẩn bị: Đang chuẩn bị&#10;Kỳ vọng: Đã xác nhận&#10;Dữ liệu (trích): Nhánh c kết quả không còn hiệu lực&#10;Thao tác (trích): 1. Chạy trích xuất, chụp màn kết quả.…&#10;Xem chi tiết"/>
    <hyperlink ref="D295" location="'Chi tiết'!A945" display="Kỳ vọng: Đã xác nhận&#10;1–2. Danh sách học sinh trong Excel giống màn hình (lọc đỏ đang bật). Cùng ô: ký hiệu, màu nền, số liệu, ô trống trong Excel giống màn hình. Ô trống không hiện số 0. Tải Excel…&#10;Xem chi tiết"/>
    <hyperlink ref="C296" location="'Chi tiết'!A946" display="Chuẩn bị: Đang chuẩn bị&#10;Kỳ vọng: Đã xác nhận&#10;Dữ liệu (trích): Nhánh d điểm ẩn&#10;Thao tác (trích): 1. Chạy trích xuất, chụp màn kết quả.…&#10;Xem chi tiết"/>
    <hyperlink ref="D296" location="'Chi tiết'!A948" display="Kỳ vọng: Đã xác nhận&#10;1–2. Danh sách học sinh trong Excel giống màn hình (lọc đỏ đang bật). Cùng ô: ký hiệu, màu nền, số liệu, ô trống trong Excel giống màn hình. Ô trống không hiện số 0. Tải Excel…&#10;Xem chi tiết"/>
    <hyperlink ref="B297" location="'Chi tiết'!A949" display="Trích xuất thành tích（成績抽出）&#10;Trích xuất: bật ký hiệu thì bắt buộc nhập ký hiệu&#10;Xem chi tiết"/>
    <hyperlink ref="C297" location="'Chi tiết'!A950" display="Chuẩn bị: Đang chuẩn bị&#10;Kỳ vọng: Đã xác nhận&#10;Dữ liệu (trích): Ký hiệu trước trống&#10;Thao tác (trích): Chạy trích xuất với từng biến thể.&#10;Xem chi tiết"/>
    <hyperlink ref="B298" location="'Chi tiết'!A952" display="Trích xuất thành tích（成績抽出）&#10;Trích xuất: bật ký hiệu thì bắt buộc nhập ký hiệu&#10;Xem chi tiết"/>
    <hyperlink ref="C298" location="'Chi tiết'!A953" display="Chuẩn bị: Đang chuẩn bị&#10;Kỳ vọng: Đã xác nhận&#10;Dữ liệu (trích): Ký hiệu sau trống&#10;Thao tác (trích): Chạy trích xuất với từng biến thể.&#10;Xem chi tiết"/>
    <hyperlink ref="C299" location="'Chi tiết'!A955" display="Chuẩn bị: Đang chuẩn bị&#10;Kỳ vọng: Đã xác nhận&#10;Dữ liệu (trích): Toàn bộ thủ tục theo đúng thứ tự; các đối chứng cùng fixture…&#10;Thao tác (trích): 1. Mở Trích xuất thành tích（成績抽出）→ Thiết lập mục hiển thị（表示項目設定）→ chi tiết mục Điểm đánh giá（評点） kỳ Cuối kỳ…&#10;Xem chi tiết"/>
    <hyperlink ref="D299" location="'Chi tiết'!A957" display="Kỳ vọng: Đã xác nhận&#10;Theo specification v2 mục 9.1, có bốn tùy chọn độc lập: lọc học sinh có điểm đỏ, ký hiệu phía trước, ký hiệu phía sau và tô màu ô; màu chỉ chọn từ bảng màu hiện có. Vị trí và nhãn…&#10;Xem chi tiết"/>
    <hyperlink ref="B300" location="'Chi tiết'!A958" display="Trích xuất thành tích（成績抽出）&#10;Trích xuất: kết quả 0 học sinh và hiển thị ô đỏ số thập phân&#10;Xem chi tiết"/>
    <hyperlink ref="C300" location="'Chi tiết'!A959" display="Chuẩn bị: Đang chuẩn bị&#10;Kỳ vọng: Đề xuất&#10;Dữ liệu (trích): Fixture a không ô đỏ&#10;Thao tác (trích): Chạy trích xuất cho (a), (b).&#10;Xem chi tiết"/>
    <hyperlink ref="B301" location="'Chi tiết'!A961" display="Trích xuất thành tích（成績抽出）&#10;Trích xuất: kết quả 0 học sinh và hiển thị ô đỏ số thập phân&#10;Xem chi tiết"/>
    <hyperlink ref="C301" location="'Chi tiết'!A962" display="Chuẩn bị: Đang chuẩn bị&#10;Kỳ vọng: Đề xuất&#10;Dữ liệu (trích): Fixture b điểm thập phân 23.9&#10;Thao tác (trích): Chạy trích xuất cho (a), (b).&#10;Xem chi tiết"/>
    <hyperlink ref="B302" location="'Chi tiết'!A964" display="Trích xuất thành tích（成績抽出）&#10;Trích xuất: ô vừa thỏa điều kiện màu khác vừa là ô đỏ&#10;Xem chi tiết"/>
    <hyperlink ref="C302" location="'Chi tiết'!A965" display="Chuẩn bị: Đang chuẩn bị&#10;Kỳ vọng: Chờ xác nhận&#10;Dữ liệu (trích): Toàn bộ thủ tục theo đúng thứ tự; các đối chứng cùng fixture…&#10;Thao tác (trích): Chạy trích xuất, xuất Excel.&#10;Xem chi tiết"/>
    <hyperlink ref="B303" location="'Chi tiết'!A967" display="Trích xuất thành tích（成績抽出）&#10;Trích xuất: mẫu hiện có không cấu hình đỏ cho kết quả như trước&#10;Xem chi tiết"/>
    <hyperlink ref="C303" location="'Chi tiết'!A968" display="Chuẩn bị: Đang chuẩn bị&#10;Kỳ vọng: Đã xác nhận&#10;Dữ liệu (trích): Mẫu tô màu&#10;Thao tác (trích): 1. Chạy lại ba mẫu, xuất Excel, so với baseline.…&#10;Xem chi tiết"/>
    <hyperlink ref="D303" location="'Chi tiết'!A970" display="Kỳ vọng: Đã xác nhận&#10;1. Danh sách học sinh, giá trị, ký hiệu, màu và định dạng Excel bằng baseline (mẫu chưa bật tùy chọn đỏ).…&#10;Xem chi tiết"/>
    <hyperlink ref="B304" location="'Chi tiết'!A971" display="Trích xuất thành tích（成績抽出）&#10;Trích xuất: mẫu hiện có không cấu hình đỏ cho kết quả như trước&#10;Xem chi tiết"/>
    <hyperlink ref="C304" location="'Chi tiết'!A972" display="Chuẩn bị: Đang chuẩn bị&#10;Kỳ vọng: Đã xác nhận&#10;Dữ liệu (trích): Mẫu lọc&#10;Thao tác (trích): 1. Chạy lại ba mẫu, xuất Excel, so với baseline.…&#10;Xem chi tiết"/>
    <hyperlink ref="D304" location="'Chi tiết'!A974" display="Kỳ vọng: Đã xác nhận&#10;1. Danh sách học sinh, giá trị, ký hiệu, màu và định dạng Excel bằng baseline (mẫu chưa bật tùy chọn đỏ).…&#10;Xem chi tiết"/>
    <hyperlink ref="B305" location="'Chi tiết'!A975" display="Trích xuất thành tích（成績抽出）&#10;Trích xuất: mẫu hiện có không cấu hình đỏ cho kết quả như trước&#10;Xem chi tiết"/>
    <hyperlink ref="C305" location="'Chi tiết'!A976" display="Chuẩn bị: Đang chuẩn bị&#10;Kỳ vọng: Đã xác nhận&#10;Dữ liệu (trích): Mẫu ký hiệu&#10;Thao tác (trích): 1. Chạy lại ba mẫu, xuất Excel, so với baseline.…&#10;Xem chi tiết"/>
    <hyperlink ref="D305" location="'Chi tiết'!A978" display="Kỳ vọng: Đã xác nhận&#10;1. Danh sách học sinh, giá trị, ký hiệu, màu và định dạng Excel bằng baseline (mẫu chưa bật tùy chọn đỏ).…&#10;Xem chi tiết"/>
    <hyperlink ref="B306" location="'Chi tiết'!A979" display="Trích xuất thành tích（成績抽出）&#10;Trích xuất: mẫu hiện có không cấu hình đỏ cho kết quả như trước&#10;Xem chi tiết"/>
    <hyperlink ref="C306" location="'Chi tiết'!A980" display="Chuẩn bị: Đang chuẩn bị&#10;Kỳ vọng: Đã xác nhận&#10;Dữ liệu (trích): Bước 2 các cấu hình mới, phần đề xuất&#10;Thao tác (trích): 1. Chạy lại ba mẫu, xuất Excel, so với baseline.…&#10;Xem chi tiết"/>
    <hyperlink ref="D306" location="'Chi tiết'!A982" display="Kỳ vọng: Đã xác nhận&#10;1. Danh sách học sinh, giá trị, ký hiệu, màu và định dạng Excel bằng baseline (mẫu chưa bật tùy chọn đỏ).…&#10;Xem chi tiết"/>
    <hyperlink ref="B307" location="'Chi tiết'!A983" display="Công khai thành tích（成績公開）&#10;Công khai thành tích（成績公開）: ba hiệu ứng đỏ hiển thị đúng ở màn học sinh&#10;Xem chi tiết"/>
    <hyperlink ref="C307" location="'Chi tiết'!A984" display="Chuẩn bị: Đang chuẩn bị&#10;Kỳ vọng: Đã xác nhận&#10;Dữ liệu (trích): Hiệu ứng ngoặc&#10;Thao tác (trích): 1. Ở Thiết lập công khai thành tích（成績公開設定）, mục mục số nguyên (M=100), chọn hiệu ứng đỏ Ngoặc（括弧）, lưu. Đăng…&#10;Xem chi tiết"/>
    <hyperlink ref="D307" location="'Chi tiết'!A986" display="Kỳ vọng: Đã xác nhận&#10;1–3. Lần lượt `(29)`, `*29`, `29*`. Không có nền màu riêng cho ô đỏ.…&#10;Xem chi tiết"/>
    <hyperlink ref="B308" location="'Chi tiết'!A987" display="Công khai thành tích（成績公開）&#10;Công khai thành tích（成績公開）: ba hiệu ứng đỏ hiển thị đúng ở màn học sinh&#10;Xem chi tiết"/>
    <hyperlink ref="C308" location="'Chi tiết'!A988" display="Chuẩn bị: Đang chuẩn bị&#10;Kỳ vọng: Đã xác nhận&#10;Dữ liệu (trích): Hiệu ứng phía trước&#10;Thao tác (trích): 1. Ở Thiết lập công khai thành tích（成績公開設定）, mục mục số nguyên (M=100), chọn hiệu ứng đỏ Ngoặc（括弧）, lưu. Đăng…&#10;Xem chi tiết"/>
    <hyperlink ref="D308" location="'Chi tiết'!A990" display="Kỳ vọng: Đã xác nhận&#10;1–3. Lần lượt `(29)`, `*29`, `29*`. Không có nền màu riêng cho ô đỏ.…&#10;Xem chi tiết"/>
    <hyperlink ref="B309" location="'Chi tiết'!A991" display="Công khai thành tích（成績公開）&#10;Công khai thành tích（成績公開）: ba hiệu ứng đỏ hiển thị đúng ở màn học sinh&#10;Xem chi tiết"/>
    <hyperlink ref="C309" location="'Chi tiết'!A992" display="Chuẩn bị: Đang chuẩn bị&#10;Kỳ vọng: Đã xác nhận&#10;Dữ liệu (trích): Hiệu ứng phía sau và mở lại&#10;Thao tác (trích): 1. Ở Thiết lập công khai thành tích（成績公開設定）, mục mục số nguyên (M=100), chọn hiệu ứng đỏ Ngoặc（括弧）, lưu. Đăng…&#10;Xem chi tiết"/>
    <hyperlink ref="D309" location="'Chi tiết'!A994" display="Kỳ vọng: Đã xác nhận&#10;1–3. Lần lượt `(29)`, `*29`, `29*`. Không có nền màu riêng cho ô đỏ.…&#10;Xem chi tiết"/>
    <hyperlink ref="B310" location="'Chi tiết'!A995" display="Công khai thành tích（成績公開）&#10;Công khai thành tích（成績公開）: ba hiệu ứng đỏ hiển thị đúng ở màn học sinh&#10;Xem chi tiết"/>
    <hyperlink ref="C310" location="'Chi tiết'!A996" display="Chuẩn bị: Đang chuẩn bị&#10;Kỳ vọng: Đã xác nhận&#10;Dữ liệu (trích): Điểm đơn vị với hiệu ứng phía trước&#10;Thao tác (trích): 1. Ở Thiết lập công khai thành tích（成績公開設定）, mục mục số nguyên (M=100), chọn hiệu ứng đỏ Ngoặc（括弧）, lưu. Đăng…&#10;Xem chi tiết"/>
    <hyperlink ref="D310" location="'Chi tiết'!A998" display="Kỳ vọng: Đã xác nhận&#10;1–3. Lần lượt `(29)`, `*29`, `29*`. Không có nền màu riêng cho ô đỏ.…&#10;Xem chi tiết"/>
    <hyperlink ref="B311" location="'Chi tiết'!A999" display="Công khai thành tích（成績公開）&#10;Công khai: kết hợp hiệu ứng Điểm dự kiến（見込点） và điểm đỏ, khử trùng&#10;Xem chi tiết"/>
    <hyperlink ref="C311" location="'Chi tiết'!A1000" display="Chuẩn bị: Đang chuẩn bị&#10;Kỳ vọng: Đã xác nhận&#10;Dữ liệu (trích): Thực hiện tổ hợp (a)&#10;Thao tác (trích): Với mỗi dòng của bảng dưới, cấu hình hiệu ứng dự kiến và hiệu ứng đỏ, lưu, xem màn học sinh của S06.…&#10;Xem chi tiết"/>
    <hyperlink ref="B312" location="'Chi tiết'!A1002" display="Công khai thành tích（成績公開）&#10;Công khai: kết hợp hiệu ứng Điểm dự kiến（見込点） và điểm đỏ, khử trùng&#10;Xem chi tiết"/>
    <hyperlink ref="C312" location="'Chi tiết'!A1003" display="Chuẩn bị: Đang chuẩn bị&#10;Kỳ vọng: Đã xác nhận&#10;Dữ liệu (trích): Thực hiện tổ hợp (b)&#10;Thao tác (trích): Với mỗi dòng của bảng dưới, cấu hình hiệu ứng dự kiến và hiệu ứng đỏ, lưu, xem màn học sinh của S06.…&#10;Xem chi tiết"/>
    <hyperlink ref="B313" location="'Chi tiết'!A1005" display="Công khai thành tích（成績公開）&#10;Công khai: kết hợp hiệu ứng Điểm dự kiến（見込点） và điểm đỏ, khử trùng&#10;Xem chi tiết"/>
    <hyperlink ref="C313" location="'Chi tiết'!A1006" display="Chuẩn bị: Đang chuẩn bị&#10;Kỳ vọng: Đã xác nhận&#10;Dữ liệu (trích): Thực hiện tổ hợp (c)&#10;Thao tác (trích): Với mỗi dòng của bảng dưới, cấu hình hiệu ứng dự kiến và hiệu ứng đỏ, lưu, xem màn học sinh của S06.…&#10;Xem chi tiết"/>
    <hyperlink ref="B314" location="'Chi tiết'!A1008" display="Công khai thành tích（成績公開）&#10;Công khai: kết hợp hiệu ứng Điểm dự kiến（見込点） và điểm đỏ, khử trùng&#10;Xem chi tiết"/>
    <hyperlink ref="C314" location="'Chi tiết'!A1009" display="Chuẩn bị: Đang chuẩn bị&#10;Kỳ vọng: Đã xác nhận&#10;Dữ liệu (trích): Thực hiện tổ hợp (d)&#10;Thao tác (trích): Với mỗi dòng của bảng dưới, cấu hình hiệu ứng dự kiến và hiệu ứng đỏ, lưu, xem màn học sinh của S06.…&#10;Xem chi tiết"/>
    <hyperlink ref="B315" location="'Chi tiết'!A1011" display="Công khai thành tích（成績公開）&#10;Công khai: kết hợp hiệu ứng Điểm dự kiến（見込点） và điểm đỏ, khử trùng&#10;Xem chi tiết"/>
    <hyperlink ref="C315" location="'Chi tiết'!A1012" display="Chuẩn bị: Đang chuẩn bị&#10;Kỳ vọng: Đã xác nhận&#10;Dữ liệu (trích): Thực hiện tổ hợp (e)&#10;Thao tác (trích): Với mỗi dòng của bảng dưới, cấu hình hiệu ứng dự kiến và hiệu ứng đỏ, lưu, xem màn học sinh của S06.…&#10;Xem chi tiết"/>
    <hyperlink ref="B316" location="'Chi tiết'!A1014" display="Công khai thành tích（成績公開）&#10;Công khai: kết hợp hiệu ứng Điểm dự kiến（見込点） và điểm đỏ, khử trùng&#10;Xem chi tiết"/>
    <hyperlink ref="C316" location="'Chi tiết'!A1015" display="Chuẩn bị: Đang chuẩn bị&#10;Kỳ vọng: Đã xác nhận&#10;Dữ liệu (trích): Thực hiện tổ hợp (f)&#10;Thao tác (trích): Với mỗi dòng của bảng dưới, cấu hình hiệu ứng dự kiến và hiệu ứng đỏ, lưu, xem màn học sinh của S06.…&#10;Xem chi tiết"/>
    <hyperlink ref="B317" location="'Chi tiết'!A1017" display="Công khai thành tích（成績公開）&#10;Công khai: web, API và PDF học sinh dùng cùng kết quả và cùng hiệu ứng&#10;Xem chi tiết"/>
    <hyperlink ref="C317" location="'Chi tiết'!A1018" display="Chuẩn bị: Đang chuẩn bị&#10;Kỳ vọng: Đã xác nhận&#10;Dữ liệu (trích): Màn web&#10;Thao tác (trích): 1. Xem màn web Xác nhận thành tích（成績確認） của S01.…&#10;Xem chi tiết"/>
    <hyperlink ref="B318" location="'Chi tiết'!A1020" display="Công khai thành tích（成績公開）&#10;Công khai: web, API và PDF học sinh dùng cùng kết quả và cùng hiệu ứng&#10;Xem chi tiết"/>
    <hyperlink ref="C318" location="'Chi tiết'!A1021" display="Chuẩn bị: Đang chuẩn bị&#10;Kỳ vọng: Đã xác nhận&#10;Dữ liệu (trích): Response API&#10;Thao tác (trích): 1. Xem màn web Xác nhận thành tích（成績確認） của S01.…&#10;Xem chi tiết"/>
    <hyperlink ref="B319" location="'Chi tiết'!A1023" display="Công khai thành tích（成績公開）&#10;Công khai: web, API và PDF học sinh dùng cùng kết quả và cùng hiệu ứng&#10;Xem chi tiết"/>
    <hyperlink ref="C319" location="'Chi tiết'!A1024" display="Chuẩn bị: Đang chuẩn bị&#10;Kỳ vọng: Đã xác nhận&#10;Dữ liệu (trích): File PDF&#10;Thao tác (trích): 1. Xem màn web Xác nhận thành tích（成績確認） của S01.…&#10;Xem chi tiết"/>
    <hyperlink ref="B320" location="'Chi tiết'!A1026" display="Công khai thành tích（成績公開）&#10;Công khai: cùng mục dùng hiệu ứng đỏ khác nhau ở hai cấu hình công khai&#10;Xem chi tiết"/>
    <hyperlink ref="C320" location="'Chi tiết'!A1027" display="Chuẩn bị: Đang chuẩn bị&#10;Kỳ vọng: Đã xác nhận&#10;Dữ liệu (trích): Bước 1–3 xem X/Y trên web&#10;Thao tác (trích): 1. Ở X chọn hiệu ứng đỏ Ngoặc（括弧） cho mục số nguyên (M=100), lưu; ở Y chọn `*` phía trước（前に「*」） cho cùng…&#10;Xem chi tiết"/>
    <hyperlink ref="D320" location="'Chi tiết'!A1029" display="Kỳ vọng: Đã xác nhận&#10;1–2. X giữ Ngoặc, Y giữ `*` phía trước; lưu cấu hình này không đổi cấu hình kia.…&#10;Xem chi tiết"/>
    <hyperlink ref="B321" location="'Chi tiết'!A1030" display="Công khai thành tích（成績公開）&#10;Công khai: cùng mục dùng hiệu ứng đỏ khác nhau ở hai cấu hình công khai&#10;Xem chi tiết"/>
    <hyperlink ref="C321" location="'Chi tiết'!A1031" display="Chuẩn bị: Đang chuẩn bị&#10;Kỳ vọng: Đã xác nhận&#10;Dữ liệu (trích): Bước 1–3 đọc API X/Y&#10;Thao tác (trích): 1. Ở X chọn hiệu ứng đỏ Ngoặc（括弧） cho mục số nguyên (M=100), lưu; ở Y chọn `*` phía trước（前に「*」） cho cùng…&#10;Xem chi tiết"/>
    <hyperlink ref="D321" location="'Chi tiết'!A1033" display="Kỳ vọng: Đã xác nhận&#10;1–2. X giữ Ngoặc, Y giữ `*` phía trước; lưu cấu hình này không đổi cấu hình kia.…&#10;Xem chi tiết"/>
    <hyperlink ref="B322" location="'Chi tiết'!A1034" display="Công khai thành tích（成績公開）&#10;Công khai: cùng mục dùng hiệu ứng đỏ khác nhau ở hai cấu hình công khai&#10;Xem chi tiết"/>
    <hyperlink ref="C322" location="'Chi tiết'!A1035" display="Chuẩn bị: Đang chuẩn bị&#10;Kỳ vọng: Đã xác nhận&#10;Dữ liệu (trích): Bước 1–3 PDF X/Y&#10;Thao tác (trích): 1. Ở X chọn hiệu ứng đỏ Ngoặc（括弧） cho mục số nguyên (M=100), lưu; ở Y chọn `*` phía trước（前に「*」） cho cùng…&#10;Xem chi tiết"/>
    <hyperlink ref="D322" location="'Chi tiết'!A1037" display="Kỳ vọng: Đã xác nhận&#10;1–2. X giữ Ngoặc, Y giữ `*` phía trước; lưu cấu hình này không đổi cấu hình kia.…&#10;Xem chi tiết"/>
    <hyperlink ref="B323" location="'Chi tiết'!A1038" display="Công khai thành tích（成績公開）&#10;Công khai: cùng mục dùng hiệu ứng đỏ khác nhau ở hai cấu hình công khai&#10;Xem chi tiết"/>
    <hyperlink ref="C323" location="'Chi tiết'!A1039" display="Chuẩn bị: Đang chuẩn bị&#10;Kỳ vọng: Đã xác nhận&#10;Dữ liệu (trích): Bước 4 sau setup X&#10;Thao tác (trích): 1. Ở X chọn hiệu ứng đỏ Ngoặc（括弧） cho mục số nguyên (M=100), lưu; ở Y chọn `*` phía trước（前に「*」） cho cùng…&#10;Xem chi tiết"/>
    <hyperlink ref="D323" location="'Chi tiết'!A1041" display="Kỳ vọng: Đã xác nhận&#10;1–2. X giữ Ngoặc, Y giữ `*` phía trước; lưu cấu hình này không đổi cấu hình kia.…&#10;Xem chi tiết"/>
    <hyperlink ref="B324" location="'Chi tiết'!A1042" display="Công khai thành tích（成績公開）&#10;Công khai: cùng mục dùng hiệu ứng đỏ khác nhau ở hai cấu hình công khai&#10;Xem chi tiết"/>
    <hyperlink ref="C324" location="'Chi tiết'!A1043" display="Chuẩn bị: Đang chuẩn bị&#10;Kỳ vọng: Đã xác nhận&#10;Dữ liệu (trích): Bước 5&#10;Thao tác (trích): 1. Ở X chọn hiệu ứng đỏ Ngoặc（括弧） cho mục số nguyên (M=100), lưu; ở Y chọn `*` phía trước（前に「*」） cho cùng…&#10;Xem chi tiết"/>
    <hyperlink ref="D324" location="'Chi tiết'!A1045" display="Kỳ vọng: Đã xác nhận&#10;1–2. X giữ Ngoặc, Y giữ `*` phía trước; lưu cấu hình này không đổi cấu hình kia.…&#10;Xem chi tiết"/>
    <hyperlink ref="B325" location="'Chi tiết'!A1046" display="Công khai thành tích（成績公開）&#10;Công khai: cùng mục dùng hiệu ứng đỏ khác nhau ở hai cấu hình công khai&#10;Xem chi tiết"/>
    <hyperlink ref="C325" location="'Chi tiết'!A1047" display="Chuẩn bị: Đang chuẩn bị&#10;Kỳ vọng: Đã xác nhận&#10;Dữ liệu (trích): Bước 6 sau setup Y&#10;Thao tác (trích): 1. Ở X chọn hiệu ứng đỏ Ngoặc（括弧） cho mục số nguyên (M=100), lưu; ở Y chọn `*` phía trước（前に「*」） cho cùng…&#10;Xem chi tiết"/>
    <hyperlink ref="D325" location="'Chi tiết'!A1049" display="Kỳ vọng: Đã xác nhận&#10;1–2. X giữ Ngoặc, Y giữ `*` phía trước; lưu cấu hình này không đổi cấu hình kia.…&#10;Xem chi tiết"/>
    <hyperlink ref="B326" location="'Chi tiết'!A1050" display="Công khai thành tích（成績公開）&#10;Đầu ra không bị chặn vì chưa có hoặc chưa xét được kết quả đỏ&#10;Xem chi tiết"/>
    <hyperlink ref="C326" location="'Chi tiết'!A1051" display="Chuẩn bị: Đang chuẩn bị&#10;Kỳ vọng: Đã xác nhận&#10;Dữ liệu (trích): Trích xuất&#10;Thao tác (trích): 1. Chạy trích xuất và xuất Excel.…&#10;Xem chi tiết"/>
    <hyperlink ref="B327" location="'Chi tiết'!A1053" display="Công khai thành tích（成績公開）&#10;Đầu ra không bị chặn vì chưa có hoặc chưa xét được kết quả đỏ&#10;Xem chi tiết"/>
    <hyperlink ref="C327" location="'Chi tiết'!A1054" display="Chuẩn bị: Đang chuẩn bị&#10;Kỳ vọng: Đã xác nhận&#10;Dữ liệu (trích): Excel&#10;Thao tác (trích): 1. Chạy trích xuất và xuất Excel.…&#10;Xem chi tiết"/>
    <hyperlink ref="B328" location="'Chi tiết'!A1056" display="Công khai thành tích（成績公開）&#10;Đầu ra không bị chặn vì chưa có hoặc chưa xét được kết quả đỏ&#10;Xem chi tiết"/>
    <hyperlink ref="C328" location="'Chi tiết'!A1057" display="Chuẩn bị: Đang chuẩn bị&#10;Kỳ vọng: Đã xác nhận&#10;Dữ liệu (trích): Công khai&#10;Thao tác (trích): 1. Chạy trích xuất và xuất Excel.…&#10;Xem chi tiết"/>
    <hyperlink ref="B329" location="'Chi tiết'!A1059" display="Công khai thành tích（成績公開）&#10;Đầu ra không bị chặn vì chưa có hoặc chưa xét được kết quả đỏ&#10;Xem chi tiết"/>
    <hyperlink ref="C329" location="'Chi tiết'!A1060" display="Chuẩn bị: Đang chuẩn bị&#10;Kỳ vọng: Đã xác nhận&#10;Dữ liệu (trích): Phiếu điểm&#10;Thao tác (trích): 1. Chạy trích xuất và xuất Excel.…&#10;Xem chi tiết"/>
    <hyperlink ref="B330" location="'Chi tiết'!A1062" display="Công khai thành tích（成績公開）&#10;Công khai: dòng cách hiển thị đỏ theo mục có thiết lập, kể cả khi 0 học sinh đỏ…&#10;Xem chi tiết"/>
    <hyperlink ref="C330" location="'Chi tiết'!A1063" display="Chuẩn bị: Đang chuẩn bị&#10;Kỳ vọng: Đã xác nhận&#10;Dữ liệu (trích): Toàn bộ thủ tục theo đúng thứ tự; các đối chứng cùng fixture…&#10;Thao tác (trích): 1. Mở Thiết lập công khai thành tích（成績公開設定）→ khung Thành tích（成績）.…&#10;Xem chi tiết"/>
    <hyperlink ref="D330" location="'Chi tiết'!A1065" display="Kỳ vọng: Đã xác nhận&#10;1. Mục Điểm đánh giá（評点） có dòng cách hiển thị đỏ dù 0 học sinh đỏ; mục Tri thức – kỹ năng（知識・技能） không có dòng.…&#10;Xem chi tiết"/>
    <hyperlink ref="C331" location="'Chi tiết'!A1066" display="Chuẩn bị: Đang chuẩn bị&#10;Kỳ vọng: Đã xác nhận&#10;Dữ liệu (trích): Toàn bộ thủ tục theo đúng thứ tự; các đối chứng cùng fixture…&#10;Thao tác (trích): Mở danh sách chọn của dòng đỏ.&#10;Xem chi tiết"/>
    <hyperlink ref="D331" location="'Chi tiết'!A1068" display="Kỳ vọng: Đã xác nhận&#10;Theo specification v2 mục 10.1 và Q&amp;A Q16, danh sách chỉ có Kèm ngoặc, `*` phía trước và `*` phía sau; không có ô chữ tự do và không có màu nền riêng. Không đưa tùy chọn Nguyên…&#10;Xem chi tiết"/>
    <hyperlink ref="B332" location="'Chi tiết'!A1069" display="Công khai thành tích（成績公開）&#10;Bộ chọn hiệu ứng đỏ của điểm thường và điểm đơn vị hiển thị độc lập&#10;Xem chi tiết"/>
    <hyperlink ref="C332" location="'Chi tiết'!A1070" display="Chuẩn bị: Đang chuẩn bị&#10;Kỳ vọng: Đã xác nhận&#10;Dữ liệu (trích): Toàn bộ thủ tục theo đúng thứ tự; các đối chứng cùng fixture…&#10;Thao tác (trích): 1. Mở màn hình cấu hình công khai và đến khu vực hiển thị điểm đỏ.…&#10;Xem chi tiết"/>
    <hyperlink ref="D332" location="'Chi tiết'!A1072" display="Kỳ vọng: Đã xác nhận&#10;1. Cả hai panel đều hiển thị bộ chọn tương ứng; panel điểm đơn vị không bị nền hoặc lớp khác che.…&#10;Xem chi tiết"/>
    <hyperlink ref="B333" location="'Chi tiết'!A1073" display="Công khai thành tích（成績公開）&#10;Công khai: hiệu ứng Điểm dự kiến（見込点） và thiết lập khác được giữ&#10;Xem chi tiết"/>
    <hyperlink ref="C333" location="'Chi tiết'!A1074" display="Chuẩn bị: Đang chuẩn bị&#10;Kỳ vọng: Đã xác nhận&#10;Dữ liệu (trích): Toàn bộ thủ tục theo đúng thứ tự; các đối chứng cùng fixture…&#10;Thao tác (trích): 1. Xem màn học sinh.…&#10;Xem chi tiết"/>
    <hyperlink ref="B334" location="'Chi tiết'!A1076" display="Công khai thành tích（成績公開）&#10;Công khai: điểm ẩn, lịch và đối tượng công khai được giữ&#10;Xem chi tiết"/>
    <hyperlink ref="C334" location="'Chi tiết'!A1077" display="Chuẩn bị: Sẵn sàng&#10;Kỳ vọng: Đã xác nhận&#10;Dữ liệu (trích): Màn web lịch mở&#10;Thao tác (trích): 1. Xem màn học sinh, API, PDF của S06.…&#10;Xem chi tiết"/>
    <hyperlink ref="B335" location="'Chi tiết'!A1079" display="Công khai thành tích（成績公開）&#10;Công khai: điểm ẩn, lịch và đối tượng công khai được giữ&#10;Xem chi tiết"/>
    <hyperlink ref="C335" location="'Chi tiết'!A1080" display="Chuẩn bị: Sẵn sàng&#10;Kỳ vọng: Đã xác nhận&#10;Dữ liệu (trích): API lịch mở&#10;Thao tác (trích): 1. Xem màn học sinh, API, PDF của S06.…&#10;Xem chi tiết"/>
    <hyperlink ref="B336" location="'Chi tiết'!A1082" display="Công khai thành tích（成績公開）&#10;Công khai: điểm ẩn, lịch và đối tượng công khai được giữ&#10;Xem chi tiết"/>
    <hyperlink ref="C336" location="'Chi tiết'!A1083" display="Chuẩn bị: Sẵn sàng&#10;Kỳ vọng: Đã xác nhận&#10;Dữ liệu (trích): PDF lịch mở&#10;Thao tác (trích): 1. Xem màn học sinh, API, PDF của S06.…&#10;Xem chi tiết"/>
    <hyperlink ref="B337" location="'Chi tiết'!A1085" display="Công khai thành tích（成績公開）&#10;Công khai: điểm ẩn, lịch và đối tượng công khai được giữ&#10;Xem chi tiết"/>
    <hyperlink ref="C337" location="'Chi tiết'!A1086" display="Chuẩn bị: Sẵn sàng&#10;Kỳ vọng: Đã xác nhận&#10;Dữ liệu (trích): Màn web lịch đóng&#10;Thao tác (trích): 1. Xem màn học sinh, API, PDF của S06.…&#10;Xem chi tiết"/>
    <hyperlink ref="B338" location="'Chi tiết'!A1088" display="Công khai thành tích（成績公開）&#10;Công khai: điểm ẩn, lịch và đối tượng công khai được giữ&#10;Xem chi tiết"/>
    <hyperlink ref="C338" location="'Chi tiết'!A1089" display="Chuẩn bị: Sẵn sàng&#10;Kỳ vọng: Đã xác nhận&#10;Dữ liệu (trích): API lịch đóng&#10;Thao tác (trích): 1. Xem màn học sinh, API, PDF của S06.…&#10;Xem chi tiết"/>
    <hyperlink ref="B339" location="'Chi tiết'!A1091" display="Công khai thành tích（成績公開）&#10;Công khai: điểm ẩn, lịch và đối tượng công khai được giữ&#10;Xem chi tiết"/>
    <hyperlink ref="C339" location="'Chi tiết'!A1092" display="Chuẩn bị: Sẵn sàng&#10;Kỳ vọng: Đã xác nhận&#10;Dữ liệu (trích): PDF lịch đóng&#10;Thao tác (trích): 1. Xem màn học sinh, API, PDF của S06.…&#10;Xem chi tiết"/>
    <hyperlink ref="B340" location="'Chi tiết'!A1094" display="Công cụ phiếu điểm（通知表ツール）&#10;Công cụ phiếu điểm（通知表ツール）: bốn cách hiển thị đỏ trên PDF&#10;Xem chi tiết"/>
    <hyperlink ref="C340" location="'Chi tiết'!A1095" display="Chuẩn bị: Đang chuẩn bị&#10;Kỳ vọng: Đã xác nhận&#10;Dữ liệu (trích): Nguyên trạng&#10;Thao tác (trích): Với từng cách hiển thị: chọn ở dòng Thiết lập điểm đỏ（赤点設定）, đóng hộp, bấm Cập nhật（更新する）, xuất PDF phiếu của…&#10;Xem chi tiết"/>
    <hyperlink ref="B341" location="'Chi tiết'!A1097" display="Công cụ phiếu điểm（通知表ツール）&#10;Công cụ phiếu điểm（通知表ツール）: bốn cách hiển thị đỏ trên PDF&#10;Xem chi tiết"/>
    <hyperlink ref="C341" location="'Chi tiết'!A1098" display="Chuẩn bị: Đang chuẩn bị&#10;Kỳ vọng: Đã xác nhận&#10;Dữ liệu (trích): Kèm ngoặc&#10;Thao tác (trích): Với từng cách hiển thị: chọn ở dòng Thiết lập điểm đỏ（赤点設定）, đóng hộp, bấm Cập nhật（更新する）, xuất PDF phiếu của…&#10;Xem chi tiết"/>
    <hyperlink ref="B342" location="'Chi tiết'!A1100" display="Công cụ phiếu điểm（通知表ツール）&#10;Công cụ phiếu điểm（通知表ツール）: bốn cách hiển thị đỏ trên PDF&#10;Xem chi tiết"/>
    <hyperlink ref="C342" location="'Chi tiết'!A1101" display="Chuẩn bị: Đang chuẩn bị&#10;Kỳ vọng: Đã xác nhận&#10;Dữ liệu (trích): Ký tự phía trước&#10;Thao tác (trích): Với từng cách hiển thị: chọn ở dòng Thiết lập điểm đỏ（赤点設定）, đóng hộp, bấm Cập nhật（更新する）, xuất PDF phiếu của…&#10;Xem chi tiết"/>
    <hyperlink ref="B343" location="'Chi tiết'!A1103" display="Công cụ phiếu điểm（通知表ツール）&#10;Công cụ phiếu điểm（通知表ツール）: bốn cách hiển thị đỏ trên PDF&#10;Xem chi tiết"/>
    <hyperlink ref="C343" location="'Chi tiết'!A1104" display="Chuẩn bị: Đang chuẩn bị&#10;Kỳ vọng: Đã xác nhận&#10;Dữ liệu (trích): Ký tự phía sau&#10;Thao tác (trích): Với từng cách hiển thị: chọn ở dòng Thiết lập điểm đỏ（赤点設定）, đóng hộp, bấm Cập nhật（更新する）, xuất PDF phiếu của…&#10;Xem chi tiết"/>
    <hyperlink ref="B344" location="'Chi tiết'!A1106" display="Công cụ phiếu điểm（通知表ツール）&#10;Phiếu điểm: thứ tự điều kiện và dừng ở điều kiện khớp đầu tiên&#10;Xem chi tiết"/>
    <hyperlink ref="C344" location="'Chi tiết'!A1107" display="Chuẩn bị: Đang chuẩn bị&#10;Kỳ vọng: Đã xác nhận&#10;Dữ liệu (trích): Tổ hợp a&#10;Thao tác (trích): Cấu hình hộp tùy chọn theo từng dòng, bấm Cập nhật（更新する）, xuất PDF.…&#10;Xem chi tiết"/>
    <hyperlink ref="D344" location="'Chi tiết'!A1110" display="Kỳ vọng: Đã xác nhận&#10;(a) `(24)`, không thêm `※`; (b) `24`, không chuyển xuống điều kiện đỏ; (c) giữ ẩn/gạch chéo, đỏ không làm hiện lại điểm; (d) `※29`; (e) không áp dấu đỏ của kết quả cũ; ô trống…&#10;Xem chi tiết"/>
    <hyperlink ref="B345" location="'Chi tiết'!A1111" display="Công cụ phiếu điểm（通知表ツール）&#10;Phiếu điểm: thứ tự điều kiện và dừng ở điều kiện khớp đầu tiên&#10;Xem chi tiết"/>
    <hyperlink ref="C345" location="'Chi tiết'!A1112" display="Chuẩn bị: Đang chuẩn bị&#10;Kỳ vọng: Đã xác nhận&#10;Dữ liệu (trích): Tổ hợp b&#10;Thao tác (trích): Cấu hình hộp tùy chọn theo từng dòng, bấm Cập nhật（更新する）, xuất PDF.…&#10;Xem chi tiết"/>
    <hyperlink ref="D345" location="'Chi tiết'!A1115" display="Kỳ vọng: Đã xác nhận&#10;(a) `(24)`, không thêm `※`; (b) `24`, không chuyển xuống điều kiện đỏ; (c) giữ ẩn/gạch chéo, đỏ không làm hiện lại điểm; (d) `※29`; (e) không áp dấu đỏ của kết quả cũ; ô trống…&#10;Xem chi tiết"/>
    <hyperlink ref="B346" location="'Chi tiết'!A1116" display="Công cụ phiếu điểm（通知表ツール）&#10;Phiếu điểm: thứ tự điều kiện và dừng ở điều kiện khớp đầu tiên&#10;Xem chi tiết"/>
    <hyperlink ref="C346" location="'Chi tiết'!A1117" display="Chuẩn bị: Đang chuẩn bị&#10;Kỳ vọng: Đã xác nhận&#10;Dữ liệu (trích): Tổ hợp c với Ẩn&#10;Thao tác (trích): Cấu hình hộp tùy chọn theo từng dòng, bấm Cập nhật（更新する）, xuất PDF.…&#10;Xem chi tiết"/>
    <hyperlink ref="D346" location="'Chi tiết'!A1120" display="Kỳ vọng: Đã xác nhận&#10;(a) `(24)`, không thêm `※`; (b) `24`, không chuyển xuống điều kiện đỏ; (c) giữ ẩn/gạch chéo, đỏ không làm hiện lại điểm; (d) `※29`; (e) không áp dấu đỏ của kết quả cũ; ô trống…&#10;Xem chi tiết"/>
    <hyperlink ref="B347" location="'Chi tiết'!A1121" display="Công cụ phiếu điểm（通知表ツール）&#10;Phiếu điểm: thứ tự điều kiện và dừng ở điều kiện khớp đầu tiên&#10;Xem chi tiết"/>
    <hyperlink ref="C347" location="'Chi tiết'!A1122" display="Chuẩn bị: Đang chuẩn bị&#10;Kỳ vọng: Đã xác nhận&#10;Dữ liệu (trích): Tổ hợp c với Gạch chéo&#10;Thao tác (trích): Cấu hình hộp tùy chọn theo từng dòng, bấm Cập nhật（更新する）, xuất PDF.…&#10;Xem chi tiết"/>
    <hyperlink ref="D347" location="'Chi tiết'!A1125" display="Kỳ vọng: Đã xác nhận&#10;(a) `(24)`, không thêm `※`; (b) `24`, không chuyển xuống điều kiện đỏ; (c) giữ ẩn/gạch chéo, đỏ không làm hiện lại điểm; (d) `※29`; (e) không áp dấu đỏ của kết quả cũ; ô trống…&#10;Xem chi tiết"/>
    <hyperlink ref="B348" location="'Chi tiết'!A1126" display="Công cụ phiếu điểm（通知表ツール）&#10;Phiếu điểm: thứ tự điều kiện và dừng ở điều kiện khớp đầu tiên&#10;Xem chi tiết"/>
    <hyperlink ref="C348" location="'Chi tiết'!A1127" display="Chuẩn bị: Đang chuẩn bị&#10;Kỳ vọng: Đã xác nhận&#10;Dữ liệu (trích): Tổ hợp d&#10;Thao tác (trích): Cấu hình hộp tùy chọn theo từng dòng, bấm Cập nhật（更新する）, xuất PDF.…&#10;Xem chi tiết"/>
    <hyperlink ref="D348" location="'Chi tiết'!A1130" display="Kỳ vọng: Đã xác nhận&#10;(a) `(24)`, không thêm `※`; (b) `24`, không chuyển xuống điều kiện đỏ; (c) giữ ẩn/gạch chéo, đỏ không làm hiện lại điểm; (d) `※29`; (e) không áp dấu đỏ của kết quả cũ; ô trống…&#10;Xem chi tiết"/>
    <hyperlink ref="B349" location="'Chi tiết'!A1131" display="Công cụ phiếu điểm（通知表ツール）&#10;Phiếu điểm: thứ tự điều kiện và dừng ở điều kiện khớp đầu tiên&#10;Xem chi tiết"/>
    <hyperlink ref="C349" location="'Chi tiết'!A1132" display="Chuẩn bị: Đang chuẩn bị&#10;Kỳ vọng: Đã xác nhận&#10;Dữ liệu (trích): Tổ hợp e&#10;Thao tác (trích): Cấu hình hộp tùy chọn theo từng dòng, bấm Cập nhật（更新する）, xuất PDF.…&#10;Xem chi tiết"/>
    <hyperlink ref="D349" location="'Chi tiết'!A1135" display="Kỳ vọng: Đã xác nhận&#10;(a) `(24)`, không thêm `※`; (b) `24`, không chuyển xuống điều kiện đỏ; (c) giữ ẩn/gạch chéo, đỏ không làm hiện lại điểm; (d) `※29`; (e) không áp dấu đỏ của kết quả cũ; ô trống…&#10;Xem chi tiết"/>
    <hyperlink ref="B350" location="'Chi tiết'!A1136" display="Công cụ phiếu điểm（通知表ツール）&#10;Phiếu điểm: thứ tự điều kiện và dừng ở điều kiện khớp đầu tiên&#10;Xem chi tiết"/>
    <hyperlink ref="C350" location="'Chi tiết'!A1137" display="Chuẩn bị: Đang chuẩn bị&#10;Kỳ vọng: Đã xác nhận&#10;Dữ liệu (trích): Tổ hợp f&#10;Thao tác (trích): Cấu hình hộp tùy chọn theo từng dòng, bấm Cập nhật（更新する）, xuất PDF.…&#10;Xem chi tiết"/>
    <hyperlink ref="D350" location="'Chi tiết'!A1140" display="Kỳ vọng: Đã xác nhận&#10;(a) `(24)`, không thêm `※`; (b) `24`, không chuyển xuống điều kiện đỏ; (c) giữ ẩn/gạch chéo, đỏ không làm hiện lại điểm; (d) `※29`; (e) không áp dấu đỏ của kết quả cũ; ô trống…&#10;Xem chi tiết"/>
    <hyperlink ref="B351" location="'Chi tiết'!A1141" display="Công cụ phiếu điểm（通知表ツール）&#10;Phiếu điểm: thứ tự điều kiện và dừng ở điều kiện khớp đầu tiên&#10;Xem chi tiết"/>
    <hyperlink ref="C351" location="'Chi tiết'!A1142" display="Chuẩn bị: Đang chuẩn bị&#10;Kỳ vọng: Đã xác nhận&#10;Dữ liệu (trích): Tổ hợp g&#10;Thao tác (trích): Cấu hình hộp tùy chọn theo từng dòng, bấm Cập nhật（更新する）, xuất PDF.…&#10;Xem chi tiết"/>
    <hyperlink ref="D351" location="'Chi tiết'!A1145" display="Kỳ vọng: Đã xác nhận&#10;(a) `(24)`, không thêm `※`; (b) `24`, không chuyển xuống điều kiện đỏ; (c) giữ ẩn/gạch chéo, đỏ không làm hiện lại điểm; (d) `※29`; (e) không áp dấu đỏ của kết quả cũ; ô trống…&#10;Xem chi tiết"/>
    <hyperlink ref="B352" location="'Chi tiết'!A1146" display="Công cụ phiếu điểm（通知表ツール）&#10;Phiếu điểm: lưu qua Cập nhật（更新する）, mở lại giữ lựa chọn; chỉ dùng điều kiện đỏ…&#10;Xem chi tiết"/>
    <hyperlink ref="C352" location="'Chi tiết'!A1147" display="Chuẩn bị: Đang chuẩn bị&#10;Kỳ vọng: Đã xác nhận&#10;Dữ liệu (trích): Bước 1 không cập nhật&#10;Thao tác (trích): 1. Mở hộp tùy chọn, chọn Thiết lập（設定する）, chỉ chọn dòng đỏ = `※` trước, các dòng khác Nguyên trạng. Đóng hộp,…&#10;Xem chi tiết"/>
    <hyperlink ref="D352" location="'Chi tiết'!A1149" display="Kỳ vọng: Đã xác nhận&#10;1. Không bấm Cập nhật: thay đổi không được lưu (hành vi hiện có).…&#10;Xem chi tiết"/>
    <hyperlink ref="B353" location="'Chi tiết'!A1150" display="Công cụ phiếu điểm（通知表ツール）&#10;Phiếu điểm: lưu qua Cập nhật（更新する）, mở lại giữ lựa chọn; chỉ dùng điều kiện đỏ…&#10;Xem chi tiết"/>
    <hyperlink ref="C353" location="'Chi tiết'!A1151" display="Chuẩn bị: Đang chuẩn bị&#10;Kỳ vọng: Đã xác nhận&#10;Dữ liệu (trích): Bước 2–3 lưu, mở lại và PDF&#10;Thao tác (trích): 1. Mở hộp tùy chọn, chọn Thiết lập（設定する）, chỉ chọn dòng đỏ = `※` trước, các dòng khác Nguyên trạng. Đóng hộp,…&#10;Xem chi tiết"/>
    <hyperlink ref="D353" location="'Chi tiết'!A1153" display="Kỳ vọng: Đã xác nhận&#10;1. Không bấm Cập nhật: thay đổi không được lưu (hành vi hiện có).…&#10;Xem chi tiết"/>
    <hyperlink ref="B354" location="'Chi tiết'!A1154" display="Công cụ phiếu điểm（通知表ツール）&#10;Phiếu điểm: chỉ bắt buộc ký tự khi chọn phía trước/phía sau&#10;Xem chi tiết"/>
    <hyperlink ref="C354" location="'Chi tiết'!A1155" display="Chuẩn bị: Đang chuẩn bị&#10;Kỳ vọng: Đã xác nhận&#10;Dữ liệu (trích): Nguyên trạng&#10;Thao tác (trích): Chọn từng lựa chọn ở dòng Thiết lập điểm đỏ（赤点設定）, bấm Cập nhật（更新する）.&#10;Xem chi tiết"/>
    <hyperlink ref="B355" location="'Chi tiết'!A1157" display="Công cụ phiếu điểm（通知表ツール）&#10;Phiếu điểm: chỉ bắt buộc ký tự khi chọn phía trước/phía sau&#10;Xem chi tiết"/>
    <hyperlink ref="C355" location="'Chi tiết'!A1158" display="Chuẩn bị: Đang chuẩn bị&#10;Kỳ vọng: Đã xác nhận&#10;Dữ liệu (trích): Kèm ngoặc&#10;Thao tác (trích): Chọn từng lựa chọn ở dòng Thiết lập điểm đỏ（赤点設定）, bấm Cập nhật（更新する）.&#10;Xem chi tiết"/>
    <hyperlink ref="B356" location="'Chi tiết'!A1160" display="Công cụ phiếu điểm（通知表ツール）&#10;Phiếu điểm: chỉ bắt buộc ký tự khi chọn phía trước/phía sau&#10;Xem chi tiết"/>
    <hyperlink ref="C356" location="'Chi tiết'!A1161" display="Chuẩn bị: Đang chuẩn bị&#10;Kỳ vọng: Đã xác nhận&#10;Dữ liệu (trích): Ký tự trước trống&#10;Thao tác (trích): Chọn từng lựa chọn ở dòng Thiết lập điểm đỏ（赤点設定）, bấm Cập nhật（更新する）.&#10;Xem chi tiết"/>
    <hyperlink ref="B357" location="'Chi tiết'!A1163" display="Công cụ phiếu điểm（通知表ツール）&#10;Phiếu điểm: chỉ bắt buộc ký tự khi chọn phía trước/phía sau&#10;Xem chi tiết"/>
    <hyperlink ref="C357" location="'Chi tiết'!A1164" display="Chuẩn bị: Đang chuẩn bị&#10;Kỳ vọng: Đã xác nhận&#10;Dữ liệu (trích): Ký tự sau trống&#10;Thao tác (trích): Chọn từng lựa chọn ở dòng Thiết lập điểm đỏ（赤点設定）, bấm Cập nhật（更新する）.&#10;Xem chi tiết"/>
    <hyperlink ref="B358" location="'Chi tiết'!A1166" display="Công cụ phiếu điểm（通知表ツール）&#10;Sao chép mẫu phiếu điểm giữ lựa chọn hiển thị đỏ&#10;Xem chi tiết"/>
    <hyperlink ref="C358" location="'Chi tiết'!A1167" display="Chuẩn bị: Đang chuẩn bị&#10;Kỳ vọng: Đã xác nhận&#10;Dữ liệu (trích): Sao chép và xuất mẫu A&#10;Thao tác (trích): 1. Sao chép mẫu A và mẫu B.…&#10;Xem chi tiết"/>
    <hyperlink ref="D358" location="'Chi tiết'!A1169" display="Kỳ vọng: Đã xác nhận&#10;1–2. Bản sao giữ lựa chọn Ký tự phía trước（前に任意の文字） `※`; mẫu chỉ dùng điều kiện đỏ vẫn còn hiệu lực.…&#10;Xem chi tiết"/>
    <hyperlink ref="B359" location="'Chi tiết'!A1170" display="Công cụ phiếu điểm（通知表ツール）&#10;Sao chép mẫu phiếu điểm giữ lựa chọn hiển thị đỏ&#10;Xem chi tiết"/>
    <hyperlink ref="C359" location="'Chi tiết'!A1171" display="Chuẩn bị: Đang chuẩn bị&#10;Kỳ vọng: Đã xác nhận&#10;Dữ liệu (trích): Sao chép và xuất mẫu B&#10;Thao tác (trích): 1. Sao chép mẫu A và mẫu B.…&#10;Xem chi tiết"/>
    <hyperlink ref="D359" location="'Chi tiết'!A1173" display="Kỳ vọng: Đã xác nhận&#10;1–2. Bản sao giữ lựa chọn Ký tự phía trước（前に任意の文字） `※`; mẫu chỉ dùng điều kiện đỏ vẫn còn hiệu lực.…&#10;Xem chi tiết"/>
    <hyperlink ref="B360" location="'Chi tiết'!A1174" display="Công cụ phiếu điểm（通知表ツール）&#10;Phiếu điểm: hộp Thiết lập hiển thị tùy chọn mục đăng ký điểm（成績登録項目オプション表示設定）&#10;Xem chi tiết"/>
    <hyperlink ref="C360" location="'Chi tiết'!A1175" display="Chuẩn bị: Đang chuẩn bị&#10;Kỳ vọng: Đã xác nhận&#10;Dữ liệu (trích): Toàn bộ thủ tục theo đúng thứ tự; các đối chứng cùng fixture…&#10;Thao tác (trích): 1. Mở hộp tùy chọn của ô, chọn Thiết lập（設定する）.…&#10;Xem chi tiết"/>
    <hyperlink ref="D360" location="'Chi tiết'!A1177" display="Kỳ vọng: Đã xác nhận&#10;CONFIRMED: dòng đỏ nằm sau các dòng checkbox và trước Trường hợp ô trống（空欄の場合）; lựa chọn của dòng đỏ là Nguyên trạng（そのまま表示）, Kèm ngoặc（カッコ付き）, Ký tự phía trước（前に任意の文字）, Ký tự…&#10;Xem chi tiết"/>
    <hyperlink ref="B361" location="'Chi tiết'!A1178" display="Công cụ phiếu điểm（通知表ツール）&#10;Phiếu điểm: các điều kiện hiển thị hiện có giữ hành vi&#10;Xem chi tiết"/>
    <hyperlink ref="C361" location="'Chi tiết'!A1179" display="Chuẩn bị: Đang chuẩn bị&#10;Kỳ vọng: Đã xác nhận&#10;Dữ liệu (trích): Bảng a môn cụ thể và ô trống&#10;Thao tác (trích): Xuất PDF hai bảng, so với baseline.&#10;Xem chi tiết"/>
    <hyperlink ref="B362" location="'Chi tiết'!A1181" display="Công cụ phiếu điểm（通知表ツール）&#10;Phiếu điểm: các điều kiện hiển thị hiện có giữ hành vi&#10;Xem chi tiết"/>
    <hyperlink ref="C362" location="'Chi tiết'!A1182" display="Chuẩn bị: Đang chuẩn bị&#10;Kỳ vọng: Đã xác nhận&#10;Dữ liệu (trích): Bảng b chưa dự thi và ẩn&#10;Thao tác (trích): Xuất PDF hai bảng, so với baseline.&#10;Xem chi tiết"/>
    <hyperlink ref="B363" location="'Chi tiết'!A1184" display="Công cụ phiếu điểm（通知表ツール）&#10;PDF phiếu: bố cục template không đổi khi có dấu đỏ&#10;Xem chi tiết"/>
    <hyperlink ref="C363" location="'Chi tiết'!A1185" display="Chuẩn bị: Đang chuẩn bị&#10;Kỳ vọng: Đã xác nhận&#10;Dữ liệu (trích): Toàn bộ thủ tục theo đúng thứ tự; các đối chứng cùng fixture…&#10;Thao tác (trích): Xuất PDF; so với baseline.&#10;Xem chi tiết"/>
    <hyperlink ref="C364" location="'Chi tiết'!A1187" display="Chuẩn bị: Đang chuẩn bị&#10;Kỳ vọng: Đã xác nhận&#10;Dữ liệu (trích): Bước 1 và 5, không lọc&#10;Thao tác (trích): 1. Chạy một lượt đối chứng không lọc để S01, S03 và S05 đều có mặt; lưu file Excel làm baseline.…&#10;Xem chi tiết"/>
    <hyperlink ref="D364" location="'Chi tiết'!A1189" display="Kỳ vọng: Đã xác nhận&#10;Cả ba đầu ra đều dùng cùng kết quả đã lưu: S01 có dấu đỏ theo cấu hình riêng của từng output; S03 không có dấu đỏ; S05 không bị coi là điểm 0 và không có dấu đỏ. Excel phải giữ…&#10;Xem chi tiết"/>
    <hyperlink ref="C365" location="'Chi tiết'!A1190" display="Chuẩn bị: Đang chuẩn bị&#10;Kỳ vọng: Đã xác nhận&#10;Dữ liệu (trích): Bước 2 và 5, bật lọc&#10;Thao tác (trích): 1. Chạy một lượt đối chứng không lọc để S01, S03 và S05 đều có mặt; lưu file Excel làm baseline.…&#10;Xem chi tiết"/>
    <hyperlink ref="D365" location="'Chi tiết'!A1192" display="Kỳ vọng: Đã xác nhận&#10;Cả ba đầu ra đều dùng cùng kết quả đã lưu: S01 có dấu đỏ theo cấu hình riêng của từng output; S03 không có dấu đỏ; S05 không bị coi là điểm 0 và không có dấu đỏ. Excel phải giữ…&#10;Xem chi tiết"/>
    <hyperlink ref="C366" location="'Chi tiết'!A1193" display="Chuẩn bị: Đang chuẩn bị&#10;Kỳ vọng: Đã xác nhận&#10;Dữ liệu (trích): Bước 3 và 5&#10;Thao tác (trích): 1. Chạy một lượt đối chứng không lọc để S01, S03 và S05 đều có mặt; lưu file Excel làm baseline.…&#10;Xem chi tiết"/>
    <hyperlink ref="D366" location="'Chi tiết'!A1195" display="Kỳ vọng: Đã xác nhận&#10;Cả ba đầu ra đều dùng cùng kết quả đã lưu: S01 có dấu đỏ theo cấu hình riêng của từng output; S03 không có dấu đỏ; S05 không bị coi là điểm 0 và không có dấu đỏ. Excel phải giữ…&#10;Xem chi tiết"/>
    <hyperlink ref="C367" location="'Chi tiết'!A1196" display="Chuẩn bị: Đang chuẩn bị&#10;Kỳ vọng: Đã xác nhận&#10;Dữ liệu (trích): Bước 4 và 5&#10;Thao tác (trích): 1. Chạy một lượt đối chứng không lọc để S01, S03 và S05 đều có mặt; lưu file Excel làm baseline.…&#10;Xem chi tiết"/>
    <hyperlink ref="D367" location="'Chi tiết'!A1198" display="Kỳ vọng: Đã xác nhận&#10;Cả ba đầu ra đều dùng cùng kết quả đã lưu: S01 có dấu đỏ theo cấu hình riêng của từng output; S03 không có dấu đỏ; S05 không bị coi là điểm 0 và không có dấu đỏ. Excel phải giữ…&#10;Xem chi tiết"/>
    <hyperlink ref="C368" location="'Chi tiết'!A1199" display="Chuẩn bị: Đang chuẩn bị&#10;Kỳ vọng: Chờ xác nhận&#10;Dữ liệu (trích): Trích xuất&#10;Thao tác (trích): Chạy xét; xem ba đầu ra cho S06.&#10;Xem chi tiết"/>
    <hyperlink ref="C369" location="'Chi tiết'!A1201" display="Chuẩn bị: Đang chuẩn bị&#10;Kỳ vọng: Chờ xác nhận&#10;Dữ liệu (trích): Công khai&#10;Thao tác (trích): Chạy xét; xem ba đầu ra cho S06.&#10;Xem chi tiết"/>
    <hyperlink ref="C370" location="'Chi tiết'!A1203" display="Chuẩn bị: Đang chuẩn bị&#10;Kỳ vọng: Chờ xác nhận&#10;Dữ liệu (trích): Phiếu điểm&#10;Thao tác (trích): Chạy xét; xem ba đầu ra cho S06.&#10;Xem chi tiết"/>
    <hyperlink ref="B371" location="'Chi tiết'!A1205" display="Xét theo ưu tiên&#10;Chọn quy tắc khớp đầu tiên theo ưu tiên, không lấy ngưỡng nghiêm hơn&#10;Xem chi tiết"/>
    <hyperlink ref="C371" location="'Chi tiết'!A1206" display="Chuẩn bị: Đang chuẩn bị&#10;Kỳ vọng: Đã xác nhận&#10;Dữ liệu (trích): Thứ tự ban đầu&#10;Thao tác (trích): 1. Đăng ký S02=25.…&#10;Xem chi tiết"/>
    <hyperlink ref="B372" location="'Chi tiết'!A1208" display="Xét theo ưu tiên&#10;Chọn quy tắc khớp đầu tiên theo ưu tiên, không lấy ngưỡng nghiêm hơn&#10;Xem chi tiết"/>
    <hyperlink ref="C372" location="'Chi tiết'!A1209" display="Chuẩn bị: Đang chuẩn bị&#10;Kỳ vọng: Đã xác nhận&#10;Dữ liệu (trích): Đổi thứ tự rồi xét lại&#10;Thao tác (trích): 1. Đăng ký S02=25.…&#10;Xem chi tiết"/>
    <hyperlink ref="C373" location="'Chi tiết'!A1211" display="Chuẩn bị: Đang chuẩn bị&#10;Kỳ vọng: Đã xác nhận&#10;Dữ liệu (trích): Toàn bộ thủ tục theo đúng thứ tự; các đối chứng cùng fixture…&#10;Thao tác (trích): 1. Đăng ký S07=20.…&#10;Xem chi tiết"/>
    <hyperlink ref="B374" location="'Chi tiết'!A1213" display="Xét theo ưu tiên&#10;Ưu tiên 1 khớp nhưng thiếu dữ liệu → Chưa xét được, không chuyển xuống ưu tiên 2&#10;Xem chi tiết"/>
    <hyperlink ref="C374" location="'Chi tiết'!A1214" display="Chuẩn bị: Đang chuẩn bị&#10;Kỳ vọng: Đã xác nhận&#10;Dữ liệu (trích): Fixture A chia 0&#10;Thao tác (trích): Với từng cấu hình (A), (B), (C): đăng ký S01=29, xem kết quả.&#10;Xem chi tiết"/>
    <hyperlink ref="D374" location="'Chi tiết'!A1216" display="Kỳ vọng: Đã xác nhận&#10;(A) Quy tắc 1 được chọn, chia 0 → Chưa xét được; không dùng ưu tiên 2.…&#10;Xem chi tiết"/>
    <hyperlink ref="B375" location="'Chi tiết'!A1217" display="Xét theo ưu tiên&#10;Ưu tiên 1 khớp nhưng thiếu dữ liệu → Chưa xét được, không chuyển xuống ưu tiên 2&#10;Xem chi tiết"/>
    <hyperlink ref="C375" location="'Chi tiết'!A1218" display="Chuẩn bị: Đang chuẩn bị&#10;Kỳ vọng: Đã xác nhận&#10;Dữ liệu (trích): Fixture B thiếu trung bình&#10;Thao tác (trích): Với từng cấu hình (A), (B), (C): đăng ký S01=29, xem kết quả.&#10;Xem chi tiết"/>
    <hyperlink ref="D375" location="'Chi tiết'!A1220" display="Kỳ vọng: Đã xác nhận&#10;(A) Quy tắc 1 được chọn, chia 0 → Chưa xét được; không dùng ưu tiên 2.…&#10;Xem chi tiết"/>
    <hyperlink ref="B376" location="'Chi tiết'!A1221" display="Xét theo ưu tiên&#10;Ưu tiên 1 khớp nhưng thiếu dữ liệu → Chưa xét được, không chuyển xuống ưu tiên 2&#10;Xem chi tiết"/>
    <hyperlink ref="C376" location="'Chi tiết'!A1222" display="Chuẩn bị: Đang chuẩn bị&#10;Kỳ vọng: Đã xác nhận&#10;Dữ liệu (trích): Fixture C không khớp lọc&#10;Thao tác (trích): Với từng cấu hình (A), (B), (C): đăng ký S01=29, xem kết quả.&#10;Xem chi tiết"/>
    <hyperlink ref="D376" location="'Chi tiết'!A1224" display="Kỳ vọng: Đã xác nhận&#10;(A) Quy tắc 1 được chọn, chia 0 → Chưa xét được; không dùng ưu tiên 2.…&#10;Xem chi tiết"/>
    <hyperlink ref="B377" location="'Chi tiết'!A1225" display="Xét theo ưu tiên&#10;Cùng lượt đăng ký: ô thiếu nguồn chưa xét được, ô ngưỡng cố định vẫn được xét&#10;Xem chi tiết"/>
    <hyperlink ref="C377" location="'Chi tiết'!A1226" display="Chuẩn bị: Đang chuẩn bị&#10;Kỳ vọng: Đã xác nhận&#10;Dữ liệu (trích): Toàn bộ thủ tục theo đúng thứ tự; các đối chứng cùng fixture…&#10;Thao tác (trích): 1. Trong cùng một lượt đăng ký điểm của lớp G-A, lưu S01: mục số nguyên (M=100) = 29, mục số thập phân…&#10;Xem chi tiết"/>
    <hyperlink ref="D377" location="'Chi tiết'!A1228" display="Kỳ vọng: Đã xác nhận&#10;1. Lượt lưu không dừng hay báo lỗi chung vì ô mục số nguyên (M=100) thiếu nguồn.…&#10;Xem chi tiết"/>
    <hyperlink ref="B378" location="'Chi tiết'!A1229" display="Xét theo ưu tiên&#10;Phân nhánh theo trung bình: A = 40 / 50 / 49.99 (dùng A trước làm tròn)&#10;Xem chi tiết"/>
    <hyperlink ref="C378" location="'Chi tiết'!A1230" display="Chuẩn bị: Đang chuẩn bị&#10;Kỳ vọng: Đã xác nhận&#10;Dữ liệu (trích): A40&#10;Thao tác (trích): 1. Với từng nguồn, chạy nút cam, xem kết quả.…&#10;Xem chi tiết"/>
    <hyperlink ref="D378" location="'Chi tiết'!A1232" display="Kỳ vọng: Đã xác nhận&#10;`A=40` → ưu tiên 2, `T=20`: 19 Đỏ; 20 Không đỏ.…&#10;Xem chi tiết"/>
    <hyperlink ref="B379" location="'Chi tiết'!A1233" display="Xét theo ưu tiên&#10;Phân nhánh theo trung bình: A = 40 / 50 / 49.99 (dùng A trước làm tròn)&#10;Xem chi tiết"/>
    <hyperlink ref="C379" location="'Chi tiết'!A1234" display="Chuẩn bị: Đang chuẩn bị&#10;Kỳ vọng: Đã xác nhận&#10;Dữ liệu (trích): A50&#10;Thao tác (trích): 1. Với từng nguồn, chạy nút cam, xem kết quả.…&#10;Xem chi tiết"/>
    <hyperlink ref="D379" location="'Chi tiết'!A1236" display="Kỳ vọng: Đã xác nhận&#10;`A=40` → ưu tiên 2, `T=20`: 19 Đỏ; 20 Không đỏ.…&#10;Xem chi tiết"/>
    <hyperlink ref="B380" location="'Chi tiết'!A1237" display="Xét theo ưu tiên&#10;Phân nhánh theo trung bình: A = 40 / 50 / 49.99 (dùng A trước làm tròn)&#10;Xem chi tiết"/>
    <hyperlink ref="C380" location="'Chi tiết'!A1238" display="Chuẩn bị: Đang chuẩn bị&#10;Kỳ vọng: Đã xác nhận&#10;Dữ liệu (trích): A49.99 không làm tròn&#10;Thao tác (trích): 1. Với từng nguồn, chạy nút cam, xem kết quả.…&#10;Xem chi tiết"/>
    <hyperlink ref="D380" location="'Chi tiết'!A1240" display="Kỳ vọng: Đã xác nhận&#10;`A=40` → ưu tiên 2, `T=20`: 19 Đỏ; 20 Không đỏ.…&#10;Xem chi tiết"/>
    <hyperlink ref="B381" location="'Chi tiết'!A1241" display="Xét theo ưu tiên&#10;Phân nhánh theo trung bình: A = 40 / 50 / 49.99 (dùng A trước làm tròn)&#10;Xem chi tiết"/>
    <hyperlink ref="C381" location="'Chi tiết'!A1242" display="Chuẩn bị: Đang chuẩn bị&#10;Kỳ vọng: Đã xác nhận&#10;Dữ liệu (trích): A49.99 có làm tròn&#10;Thao tác (trích): 1. Với từng nguồn, chạy nút cam, xem kết quả.…&#10;Xem chi tiết"/>
    <hyperlink ref="D381" location="'Chi tiết'!A1244" display="Kỳ vọng: Đã xác nhận&#10;`A=40` → ưu tiên 2, `T=20`: 19 Đỏ; 20 Không đỏ.…&#10;Xem chi tiết"/>
    <hyperlink ref="C382" location="'Chi tiết'!A1245" display="Chuẩn bị: Đang chuẩn bị&#10;Kỳ vọng: Đã xác nhận&#10;Dữ liệu (trích): A60&#10;Thao tác (trích): Chạy nút cam với từng nguồn.&#10;Xem chi tiết"/>
    <hyperlink ref="C383" location="'Chi tiết'!A1247" display="Chuẩn bị: Đang chuẩn bị&#10;Kỳ vọng: Đã xác nhận&#10;Dữ liệu (trích): A59.96&#10;Thao tác (trích): Chạy nút cam với từng nguồn.&#10;Xem chi tiết"/>
    <hyperlink ref="C384" location="'Chi tiết'!A1249" display="Chuẩn bị: Đang chuẩn bị&#10;Kỳ vọng: Đã xác nhận&#10;Dữ liệu (trích): R70&#10;Thao tác (trích): Chạy nút xanh rồi nút cam cho từng nguồn.&#10;Xem chi tiết"/>
    <hyperlink ref="C385" location="'Chi tiết'!A1251" display="Chuẩn bị: Đang chuẩn bị&#10;Kỳ vọng: Đã xác nhận&#10;Dữ liệu (trích): R60&#10;Thao tác (trích): Chạy nút xanh rồi nút cam cho từng nguồn.&#10;Xem chi tiết"/>
    <hyperlink ref="C386" location="'Chi tiết'!A1253" display="Chuẩn bị: Bị chặn&#10;Kỳ vọng: Đã xác nhận&#10;Dữ liệu (trích): R64.99&#10;Thao tác (trích): Chạy nút xanh rồi nút cam cho từng nguồn.&#10;Xem chi tiết"/>
    <hyperlink ref="D386" location="'Chi tiết'!A1255" display="Kỳ vọng: Đã xác nhận&#10;(a) `R` thô = `64.99%` không khớp `≥65%` → Không áp dụng. Nếu seam chỉ cung cấp `65.0%` đã làm tròn, case bị BLOCKED/NEEDS_EVIDENCE vì thiếu dữ liệu nguồn, không được đổi oracle…&#10;Xem chi tiết"/>
    <hyperlink ref="C387" location="'Chi tiết'!A1256" display="Chuẩn bị: Bị chặn&#10;Kỳ vọng: Đã xác nhận&#10;Dữ liệu (trích): R65&#10;Thao tác (trích): Chạy nút xanh rồi nút cam cho từng nguồn.&#10;Xem chi tiết"/>
    <hyperlink ref="D387" location="'Chi tiết'!A1258" display="Kỳ vọng: Đã xác nhận&#10;(a) `R` thô = `64.99%` không khớp `≥65%` → Không áp dụng. Nếu seam chỉ cung cấp `65.0%` đã làm tròn, case bị BLOCKED/NEEDS_EVIDENCE vì thiếu dữ liệu nguồn, không được đổi oracle…&#10;Xem chi tiết"/>
    <hyperlink ref="B388" location="'Chi tiết'!A1259" display="Đăng ký thành tích（成績登録）&#10;Điểm được xét là điểm cuối đã lưu (dự kiến, sửa tay, sau giới hạn miền điểm)&#10;Xem chi tiết"/>
    <hyperlink ref="C388" location="'Chi tiết'!A1260" display="Chuẩn bị: Đang chuẩn bị&#10;Kỳ vọng: Đã xác nhận&#10;Dữ liệu (trích): Điểm dự kiến 24&#10;Thao tác (trích): (a) S06 = 24 là Điểm dự kiến（見込点）: đăng ký.…&#10;Xem chi tiết"/>
    <hyperlink ref="B389" location="'Chi tiết'!A1262" display="Đăng ký thành tích（成績登録）&#10;Điểm được xét là điểm cuối đã lưu (dự kiến, sửa tay, sau giới hạn miền điểm)&#10;Xem chi tiết"/>
    <hyperlink ref="C389" location="'Chi tiết'!A1263" display="Chuẩn bị: Đang chuẩn bị&#10;Kỳ vọng: Đã xác nhận&#10;Dữ liệu (trích): Chuỗi sửa tay 28 thành 35&#10;Thao tác (trích): (a) S06 = 24 là Điểm dự kiến（見込点）: đăng ký.…&#10;Xem chi tiết"/>
    <hyperlink ref="B390" location="'Chi tiết'!A1265" display="Đăng ký thành tích（成績登録）&#10;Điểm được xét là điểm cuối đã lưu (dự kiến, sửa tay, sau giới hạn miền điểm)&#10;Xem chi tiết"/>
    <hyperlink ref="C390" location="'Chi tiết'!A1266" display="Chuẩn bị: Đang chuẩn bị&#10;Kỳ vọng: Đã xác nhận&#10;Dữ liệu (trích): Điểm sau chặn 100 với nhỏ hơn&#10;Thao tác (trích): (a) S06 = 24 là Điểm dự kiến（見込点）: đăng ký.…&#10;Xem chi tiết"/>
    <hyperlink ref="B391" location="'Chi tiết'!A1268" display="Đăng ký thành tích（成績登録）&#10;Điểm được xét là điểm cuối đã lưu (dự kiến, sửa tay, sau giới hạn miền điểm)&#10;Xem chi tiết"/>
    <hyperlink ref="C391" location="'Chi tiết'!A1269" display="Chuẩn bị: Đang chuẩn bị&#10;Kỳ vọng: Đã xác nhận&#10;Dữ liệu (trích): Điểm sau chặn 100 với nhỏ hơn hoặc bằng&#10;Thao tác (trích): (a) S06 = 24 là Điểm dự kiến（見込点）: đăng ký.…&#10;Xem chi tiết"/>
    <hyperlink ref="C392" location="'Chi tiết'!A1271" display="Chuẩn bị: Đang chuẩn bị&#10;Kỳ vọng: Đã xác nhận&#10;Dữ liệu (trích): Cờ chưa dự thi với điểm 35&#10;Thao tác (trích): 1. Đăng ký S07=35 kèm cờ Chưa dự thi（未受験）.…&#10;Xem chi tiết"/>
    <hyperlink ref="C393" location="'Chi tiết'!A1273" display="Chuẩn bị: Đang chuẩn bị&#10;Kỳ vọng: Đã xác nhận&#10;Dữ liệu (trích): Cờ chưa dự thi với điểm 25&#10;Thao tác (trích): 1. Đăng ký S07=35 kèm cờ Chưa dự thi（未受験）.…&#10;Xem chi tiết"/>
    <hyperlink ref="C394" location="'Chi tiết'!A1275" display="Chuẩn bị: Đang chuẩn bị&#10;Kỳ vọng: Đã xác nhận&#10;Dữ liệu (trích): Loại khỏi xếp hạng với điểm 29.5&#10;Thao tác (trích): 1. Đăng ký S07=35 kèm cờ Chưa dự thi（未受験）.…&#10;Xem chi tiết"/>
    <hyperlink ref="C395" location="'Chi tiết'!A1277" display="Chuẩn bị: Đang chuẩn bị&#10;Kỳ vọng: Đã xác nhận&#10;Dữ liệu (trích): Ngưỡng 30 nhỏ hơn, kiểm cả trống và 0&#10;Thao tác (trích): 1. Với quy tắc “Cố định 30” (dưới 30): đăng ký S04=0, để S05 trống.…&#10;Xem chi tiết"/>
    <hyperlink ref="C396" location="'Chi tiết'!A1279" display="Chuẩn bị: Đang chuẩn bị&#10;Kỳ vọng: Đã xác nhận&#10;Dữ liệu (trích): Ngưỡng 0 nhỏ hơn hoặc bằng, kiểm cả trống và 0&#10;Thao tác (trích): 1. Với quy tắc “Cố định 30” (dưới 30): đăng ký S04=0, để S05 trống.…&#10;Xem chi tiết"/>
    <hyperlink ref="C397" location="'Chi tiết'!A1281" display="Chuẩn bị: Đang chuẩn bị&#10;Kỳ vọng: Đã xác nhận&#10;Dữ liệu (trích): Toàn bộ thủ tục theo đúng thứ tự; các đối chứng cùng fixture…&#10;Thao tác (trích): 1. Đăng ký điểm U1, U2 của S06.…&#10;Xem chi tiết"/>
    <hyperlink ref="B398" location="'Chi tiết'!A1283" display="Đăng ký thành tích（成績登録）&#10;Ô nhập tay được AutoRating bỏ qua vẫn giữ giá trị tay và vẫn được xét đỏ&#10;Xem chi tiết"/>
    <hyperlink ref="C398" location="'Chi tiết'!A1284" display="Chuẩn bị: Đang chuẩn bị&#10;Kỳ vọng: Đã xác nhận&#10;Dữ liệu (trích): Toàn bộ thủ tục theo đúng thứ tự; các đối chứng cùng fixture…&#10;Thao tác (trích): 1. Lưu S08=28 bằng nhập tay; chạy nút cam.…&#10;Xem chi tiết"/>
    <hyperlink ref="C399" location="'Chi tiết'!A1286" display="Chuẩn bị: Đang chuẩn bị&#10;Kỳ vọng: Đã xác nhận&#10;Dữ liệu (trích): Thử thêm&#10;Thao tác (trích): Thêm, sửa điều kiện, sửa ngưỡng, đổi thứ tự, xóa một quy tắc của mục số nguyên (M=100).&#10;Xem chi tiết"/>
    <hyperlink ref="C400" location="'Chi tiết'!A1288" display="Chuẩn bị: Đang chuẩn bị&#10;Kỳ vọng: Đã xác nhận&#10;Dữ liệu (trích): Thử sửa điều kiện&#10;Thao tác (trích): Thêm, sửa điều kiện, sửa ngưỡng, đổi thứ tự, xóa một quy tắc của mục số nguyên (M=100).&#10;Xem chi tiết"/>
    <hyperlink ref="C401" location="'Chi tiết'!A1290" display="Chuẩn bị: Đang chuẩn bị&#10;Kỳ vọng: Đã xác nhận&#10;Dữ liệu (trích): Thử sửa ngưỡng&#10;Thao tác (trích): Thêm, sửa điều kiện, sửa ngưỡng, đổi thứ tự, xóa một quy tắc của mục số nguyên (M=100).&#10;Xem chi tiết"/>
    <hyperlink ref="C402" location="'Chi tiết'!A1292" display="Chuẩn bị: Đang chuẩn bị&#10;Kỳ vọng: Đã xác nhận&#10;Dữ liệu (trích): Thử đổi thứ tự&#10;Thao tác (trích): Thêm, sửa điều kiện, sửa ngưỡng, đổi thứ tự, xóa một quy tắc của mục số nguyên (M=100).&#10;Xem chi tiết"/>
    <hyperlink ref="C403" location="'Chi tiết'!A1294" display="Chuẩn bị: Đang chuẩn bị&#10;Kỳ vọng: Đã xác nhận&#10;Dữ liệu (trích): Thử xóa&#10;Thao tác (trích): Thêm, sửa điều kiện, sửa ngưỡng, đổi thứ tự, xóa một quy tắc của mục số nguyên (M=100).&#10;Xem chi tiết"/>
    <hyperlink ref="B404" location="'Chi tiết'!A1296" display="Quyền thao tác&#10;Vào được màn nhưng không có quyền sửa mục → không sửa được quy tắc của mục đó&#10;Xem chi tiết"/>
    <hyperlink ref="C404" location="'Chi tiết'!A1297" display="Chuẩn bị: Đang chuẩn bị&#10;Kỳ vọng: Đã xác nhận&#10;Dữ liệu (trích): Toàn bộ thủ tục theo đúng thứ tự; các đối chứng cùng fixture…&#10;Thao tác (trích): 1. Mở Thiết lập ô nhập（入力欄設定）.…&#10;Xem chi tiết"/>
    <hyperlink ref="C405" location="'Chi tiết'!A1299" display="Chuẩn bị: Đang chuẩn bị&#10;Kỳ vọng: Đã xác nhận&#10;Dữ liệu (trích): Toàn bộ thủ tục theo đúng thứ tự; các đối chứng cùng fixture…&#10;Thao tác (trích): 1. Sửa một quy tắc (thành công).…&#10;Xem chi tiết"/>
    <hyperlink ref="C406" location="'Chi tiết'!A1301" display="Chuẩn bị: Đang chuẩn bị&#10;Kỳ vọng: Đã xác nhận&#10;Dữ liệu (trích): Gửi lưu&#10;Thao tác (trích): Dùng phiên tài khoản giáo viên không có quyền sửa mục gửi lại các request POST lưu, xóa, đổi thứ tự quy tắc…&#10;Xem chi tiết"/>
    <hyperlink ref="C407" location="'Chi tiết'!A1303" display="Chuẩn bị: Đang chuẩn bị&#10;Kỳ vọng: Đã xác nhận&#10;Dữ liệu (trích): Gửi xóa&#10;Thao tác (trích): Dùng phiên tài khoản giáo viên không có quyền sửa mục gửi lại các request POST lưu, xóa, đổi thứ tự quy tắc…&#10;Xem chi tiết"/>
    <hyperlink ref="C408" location="'Chi tiết'!A1305" display="Chuẩn bị: Đang chuẩn bị&#10;Kỳ vọng: Đã xác nhận&#10;Dữ liệu (trích): Gửi đổi thứ tự&#10;Thao tác (trích): Dùng phiên tài khoản giáo viên không có quyền sửa mục gửi lại các request POST lưu, xóa, đổi thứ tự quy tắc…&#10;Xem chi tiết"/>
    <hyperlink ref="C409" location="'Chi tiết'!A1307" display="Chuẩn bị: Đang chuẩn bị&#10;Kỳ vọng: Đã xác nhận&#10;Dữ liệu (trích): Đọc mục trường khác&#10;Thao tác (trích): 1. tài khoản của trường B mở URL/gửi request xem, lưu, xóa quy tắc với ID mục/quy tắc của trường A.…&#10;Xem chi tiết"/>
    <hyperlink ref="D409" location="'Chi tiết'!A1309" display="Kỳ vọng: Đã xác nhận&#10;1. Bị từ chối, không đọc được dữ liệu trường A.…&#10;Xem chi tiết"/>
    <hyperlink ref="C410" location="'Chi tiết'!A1310" display="Chuẩn bị: Đang chuẩn bị&#10;Kỳ vọng: Đã xác nhận&#10;Dữ liệu (trích): Lưu mục trường khác&#10;Thao tác (trích): 1. tài khoản của trường B mở URL/gửi request xem, lưu, xóa quy tắc với ID mục/quy tắc của trường A.…&#10;Xem chi tiết"/>
    <hyperlink ref="D410" location="'Chi tiết'!A1312" display="Kỳ vọng: Đã xác nhận&#10;1. Bị từ chối, không đọc được dữ liệu trường A.…&#10;Xem chi tiết"/>
    <hyperlink ref="C411" location="'Chi tiết'!A1313" display="Chuẩn bị: Đang chuẩn bị&#10;Kỳ vọng: Đã xác nhận&#10;Dữ liệu (trích): Xóa mục trường khác&#10;Thao tác (trích): 1. tài khoản của trường B mở URL/gửi request xem, lưu, xóa quy tắc với ID mục/quy tắc của trường A.…&#10;Xem chi tiết"/>
    <hyperlink ref="D411" location="'Chi tiết'!A1315" display="Kỳ vọng: Đã xác nhận&#10;1. Bị từ chối, không đọc được dữ liệu trường A.…&#10;Xem chi tiết"/>
    <hyperlink ref="C412" location="'Chi tiết'!A1316" display="Chuẩn bị: Đang chuẩn bị&#10;Kỳ vọng: Đã xác nhận&#10;Dữ liệu (trích): Nguồn trường khác&#10;Thao tác (trích): 1. tài khoản của trường B mở URL/gửi request xem, lưu, xóa quy tắc với ID mục/quy tắc của trường A.…&#10;Xem chi tiết"/>
    <hyperlink ref="D412" location="'Chi tiết'!A1318" display="Kỳ vọng: Đã xác nhận&#10;1. Bị từ chối, không đọc được dữ liệu trường A.…&#10;Xem chi tiết"/>
    <hyperlink ref="C413" location="'Chi tiết'!A1319" display="Chuẩn bị: Đang chuẩn bị&#10;Kỳ vọng: Đã xác nhận&#10;Dữ liệu (trích): Nguồn năm khác&#10;Thao tác (trích): 1. tài khoản của trường B mở URL/gửi request xem, lưu, xóa quy tắc với ID mục/quy tắc của trường A.…&#10;Xem chi tiết"/>
    <hyperlink ref="D413" location="'Chi tiết'!A1321" display="Kỳ vọng: Đã xác nhận&#10;1. Bị từ chối, không đọc được dữ liệu trường A.…&#10;Xem chi tiết"/>
    <hyperlink ref="C414" location="'Chi tiết'!A1322" display="Chuẩn bị: Đang chuẩn bị&#10;Kỳ vọng: Đã xác nhận&#10;Dữ liệu (trích): Lớp trường khác&#10;Thao tác (trích): 1. tài khoản của trường B mở URL/gửi request xem, lưu, xóa quy tắc với ID mục/quy tắc của trường A.…&#10;Xem chi tiết"/>
    <hyperlink ref="D414" location="'Chi tiết'!A1324" display="Kỳ vọng: Đã xác nhận&#10;1. Bị từ chối, không đọc được dữ liệu trường A.…&#10;Xem chi tiết"/>
    <hyperlink ref="C415" location="'Chi tiết'!A1325" display="Chuẩn bị: Đang chuẩn bị&#10;Kỳ vọng: Đã xác nhận&#10;Dữ liệu (trích): Lớp năm khác&#10;Thao tác (trích): 1. tài khoản của trường B mở URL/gửi request xem, lưu, xóa quy tắc với ID mục/quy tắc của trường A.…&#10;Xem chi tiết"/>
    <hyperlink ref="D415" location="'Chi tiết'!A1327" display="Kỳ vọng: Đã xác nhận&#10;1. Bị từ chối, không đọc được dữ liệu trường A.…&#10;Xem chi tiết"/>
    <hyperlink ref="C416" location="'Chi tiết'!A1328" display="Chuẩn bị: Đang chuẩn bị&#10;Kỳ vọng: Đã xác nhận&#10;Dữ liệu (trích): Nhóm trường khác&#10;Thao tác (trích): 1. tài khoản của trường B mở URL/gửi request xem, lưu, xóa quy tắc với ID mục/quy tắc của trường A.…&#10;Xem chi tiết"/>
    <hyperlink ref="D416" location="'Chi tiết'!A1330" display="Kỳ vọng: Đã xác nhận&#10;1. Bị từ chối, không đọc được dữ liệu trường A.…&#10;Xem chi tiết"/>
    <hyperlink ref="C417" location="'Chi tiết'!A1331" display="Chuẩn bị: Đang chuẩn bị&#10;Kỳ vọng: Đã xác nhận&#10;Dữ liệu (trích): Nhóm năm khác&#10;Thao tác (trích): 1. tài khoản của trường B mở URL/gửi request xem, lưu, xóa quy tắc với ID mục/quy tắc của trường A.…&#10;Xem chi tiết"/>
    <hyperlink ref="D417" location="'Chi tiết'!A1333" display="Kỳ vọng: Đã xác nhận&#10;1. Bị từ chối, không đọc được dữ liệu trường A.…&#10;Xem chi tiết"/>
    <hyperlink ref="C418" location="'Chi tiết'!A1334" display="Chuẩn bị: Đang chuẩn bị&#10;Kỳ vọng: Đã xác nhận&#10;Dữ liệu (trích): Đơn vị trường khác&#10;Thao tác (trích): 1. tài khoản của trường B mở URL/gửi request xem, lưu, xóa quy tắc với ID mục/quy tắc của trường A.…&#10;Xem chi tiết"/>
    <hyperlink ref="D418" location="'Chi tiết'!A1336" display="Kỳ vọng: Đã xác nhận&#10;1. Bị từ chối, không đọc được dữ liệu trường A.…&#10;Xem chi tiết"/>
    <hyperlink ref="C419" location="'Chi tiết'!A1337" display="Chuẩn bị: Đang chuẩn bị&#10;Kỳ vọng: Đã xác nhận&#10;Dữ liệu (trích): Đơn vị năm khác&#10;Thao tác (trích): 1. tài khoản của trường B mở URL/gửi request xem, lưu, xóa quy tắc với ID mục/quy tắc của trường A.…&#10;Xem chi tiết"/>
    <hyperlink ref="D419" location="'Chi tiết'!A1339" display="Kỳ vọng: Đã xác nhận&#10;1. Bị từ chối, không đọc được dữ liệu trường A.…&#10;Xem chi tiết"/>
    <hyperlink ref="B420" location="'Chi tiết'!A1340" display="Quyền thao tác&#10;Gọi trực tiếp request chạy tính toán hàng loạt khi không có quyền chạy&#10;Xem chi tiết"/>
    <hyperlink ref="C420" location="'Chi tiết'!A1341" display="Chuẩn bị: Đang chuẩn bị&#10;Kỳ vọng: Đã xác nhận&#10;Dữ liệu (trích): Toàn bộ thủ tục theo đúng thứ tự; các đối chứng cùng fixture…&#10;Thao tác (trích): Dùng phiên tài khoản sửa được mục nhưng không có quyền chạy hàng loạt gửi request chạy tính toán hàng loạt…&#10;Xem chi tiết"/>
    <hyperlink ref="C421" location="'Chi tiết'!A1343" display="Chuẩn bị: Đang chuẩn bị&#10;Kỳ vọng: Đã xác nhận&#10;Dữ liệu (trích): N101&#10;Thao tác (trích): Sửa request (bỏ kiểm tra JS) và gửi từng giá trị.&#10;Xem chi tiết"/>
    <hyperlink ref="C422" location="'Chi tiết'!A1345" display="Chuẩn bị: Đang chuẩn bị&#10;Kỳ vọng: Đã xác nhận&#10;Dữ liệu (trích): N âm&#10;Thao tác (trích): Sửa request (bỏ kiểm tra JS) và gửi từng giá trị.&#10;Xem chi tiết"/>
    <hyperlink ref="C423" location="'Chi tiết'!A1347" display="Chuẩn bị: Đang chuẩn bị&#10;Kỳ vọng: Đã xác nhận&#10;Dữ liệu (trích): Tỷ lệ 101&#10;Thao tác (trích): Sửa request (bỏ kiểm tra JS) và gửi từng giá trị.&#10;Xem chi tiết"/>
    <hyperlink ref="C424" location="'Chi tiết'!A1349" display="Chuẩn bị: Đang chuẩn bị&#10;Kỳ vọng: Đã xác nhận&#10;Dữ liệu (trích): Chia 0&#10;Thao tác (trích): Sửa request (bỏ kiểm tra JS) và gửi từng giá trị.&#10;Xem chi tiết"/>
    <hyperlink ref="C425" location="'Chi tiết'!A1351" display="Chuẩn bị: Đang chuẩn bị&#10;Kỳ vọng: Đã xác nhận&#10;Dữ liệu (trích): NaN&#10;Thao tác (trích): Sửa request (bỏ kiểm tra JS) và gửi từng giá trị.&#10;Xem chi tiết"/>
    <hyperlink ref="C426" location="'Chi tiết'!A1353" display="Chuẩn bị: Đang chuẩn bị&#10;Kỳ vọng: Đã xác nhận&#10;Dữ liệu (trích): Infinity&#10;Thao tác (trích): Sửa request (bỏ kiểm tra JS) và gửi từng giá trị.&#10;Xem chi tiết"/>
    <hyperlink ref="C427" location="'Chi tiết'!A1355" display="Chuẩn bị: Đang chuẩn bị&#10;Kỳ vọng: Đã xác nhận&#10;Dữ liệu (trích): 1e400&#10;Thao tác (trích): Sửa request (bỏ kiểm tra JS) và gửi từng giá trị.&#10;Xem chi tiết"/>
    <hyperlink ref="C428" location="'Chi tiết'!A1357" display="Chuẩn bị: Đang chuẩn bị&#10;Kỳ vọng: Đã xác nhận&#10;Dữ liệu (trích): N trống&#10;Thao tác (trích): Sửa request (bỏ kiểm tra JS) và gửi từng giá trị.&#10;Xem chi tiết"/>
    <hyperlink ref="C429" location="'Chi tiết'!A1359" display="Chuẩn bị: Đang chuẩn bị&#10;Kỳ vọng: Đã xác nhận&#10;Dữ liệu (trích): Phép toán mũ&#10;Thao tác (trích): Sửa request (bỏ kiểm tra JS) và gửi từng giá trị.&#10;Xem chi tiết"/>
    <hyperlink ref="C430" location="'Chi tiết'!A1361" display="Chuẩn bị: Đang chuẩn bị&#10;Kỳ vọng: Đã xác nhận&#10;Dữ liệu (trích): Hàm max&#10;Thao tác (trích): Sửa request (bỏ kiểm tra JS) và gửi từng giá trị.&#10;Xem chi tiết"/>
    <hyperlink ref="C431" location="'Chi tiết'!A1363" display="Chuẩn bị: Đang chuẩn bị&#10;Kỳ vọng: Đã xác nhận&#10;Dữ liệu (trích): Biểu thức tự do&#10;Thao tác (trích): Sửa request (bỏ kiểm tra JS) và gửi từng giá trị.&#10;Xem chi tiết"/>
    <hyperlink ref="C432" location="'Chi tiết'!A1365" display="Chuẩn bị: Đang chuẩn bị&#10;Kỳ vọng: Đã xác nhận&#10;Dữ liệu (trích): JSON null&#10;Thao tác (trích): Sửa request (bỏ kiểm tra JS) và gửi từng giá trị.&#10;Xem chi tiết"/>
    <hyperlink ref="C433" location="'Chi tiết'!A1367" display="Chuẩn bị: Đang chuẩn bị&#10;Kỳ vọng: Đã xác nhận&#10;Dữ liệu (trích): Chuỗi rỗng&#10;Thao tác (trích): Sửa request (bỏ kiểm tra JS) và gửi từng giá trị.&#10;Xem chi tiết"/>
    <hyperlink ref="C434" location="'Chi tiết'!A1369" display="Chuẩn bị: Đang chuẩn bị&#10;Kỳ vọng: Đã xác nhận&#10;Dữ liệu (trích): Object rỗng&#10;Thao tác (trích): Sửa request (bỏ kiểm tra JS) và gửi từng giá trị.&#10;Xem chi tiết"/>
    <hyperlink ref="C435" location="'Chi tiết'!A1371" display="Chuẩn bị: Đang chuẩn bị&#10;Kỳ vọng: Đã xác nhận&#10;Dữ liệu (trích): Khóa không biết&#10;Thao tác (trích): Sửa request (bỏ kiểm tra JS) và gửi từng giá trị.&#10;Xem chi tiết"/>
    <hyperlink ref="C436" location="'Chi tiết'!A1373" display="Chuẩn bị: Đang chuẩn bị&#10;Kỳ vọng: Đã xác nhận&#10;Dữ liệu (trích): Mảng rỗng&#10;Thao tác (trích): Sửa request (bỏ kiểm tra JS) và gửi từng giá trị.&#10;Xem chi tiết"/>
    <hyperlink ref="C437" location="'Chi tiết'!A1375" display="Chuẩn bị: Bị chặn&#10;Kỳ vọng: Đã xác nhận&#10;Dữ liệu (trích): Bước 2a chỉ sửa cờ đỏ của S03&#10;Thao tác (trích): 1. Đăng nhập tài khoản phụ trách đầu ra; chụp request/response hợp lệ và file Trích xuất thành tích（成績抽出）…&#10;Xem chi tiết"/>
    <hyperlink ref="D437" location="'Chi tiết'!A1378" display="Kỳ vọng: Đã xác nhận&#10;Ở các biến thể không lọc, server từ chối payload giả hoặc Excel vẫn cho S03=31, Không đỏ, không có `*`/màu đỏ; điểm 10, ngưỡng 50 và cờ giả không đổi kết luận server. Ở request…&#10;Xem chi tiết"/>
    <hyperlink ref="C438" location="'Chi tiết'!A1379" display="Chuẩn bị: Bị chặn&#10;Kỳ vọng: Đã xác nhận&#10;Dữ liệu (trích): Bước 2a chỉ sửa dấu trước thành * cho S03&#10;Thao tác (trích): 1. Đăng nhập tài khoản phụ trách đầu ra; chụp request/response hợp lệ và file Trích xuất thành tích（成績抽出）…&#10;Xem chi tiết"/>
    <hyperlink ref="D438" location="'Chi tiết'!A1382" display="Kỳ vọng: Đã xác nhận&#10;Ở các biến thể không lọc, server từ chối payload giả hoặc Excel vẫn cho S03=31, Không đỏ, không có `*`/màu đỏ; điểm 10, ngưỡng 50 và cờ giả không đổi kết luận server. Ở request…&#10;Xem chi tiết"/>
    <hyperlink ref="C439" location="'Chi tiết'!A1383" display="Chuẩn bị: Bị chặn&#10;Kỳ vọng: Đã xác nhận&#10;Dữ liệu (trích): Bước 2a chỉ sửa màu đỏ cho S03&#10;Thao tác (trích): 1. Đăng nhập tài khoản phụ trách đầu ra; chụp request/response hợp lệ và file Trích xuất thành tích（成績抽出）…&#10;Xem chi tiết"/>
    <hyperlink ref="D439" location="'Chi tiết'!A1386" display="Kỳ vọng: Đã xác nhận&#10;Ở các biến thể không lọc, server từ chối payload giả hoặc Excel vẫn cho S03=31, Không đỏ, không có `*`/màu đỏ; điểm 10, ngưỡng 50 và cờ giả không đổi kết luận server. Ở request…&#10;Xem chi tiết"/>
    <hyperlink ref="C440" location="'Chi tiết'!A1387" display="Chuẩn bị: Bị chặn&#10;Kỳ vọng: Đã xác nhận&#10;Dữ liệu (trích): Bước 2b chỉ sửa điểm thành 10&#10;Thao tác (trích): 1. Đăng nhập tài khoản phụ trách đầu ra; chụp request/response hợp lệ và file Trích xuất thành tích（成績抽出）…&#10;Xem chi tiết"/>
    <hyperlink ref="D440" location="'Chi tiết'!A1390" display="Kỳ vọng: Đã xác nhận&#10;Ở các biến thể không lọc, server từ chối payload giả hoặc Excel vẫn cho S03=31, Không đỏ, không có `*`/màu đỏ; điểm 10, ngưỡng 50 và cờ giả không đổi kết luận server. Ở request…&#10;Xem chi tiết"/>
    <hyperlink ref="C441" location="'Chi tiết'!A1391" display="Chuẩn bị: Bị chặn&#10;Kỳ vọng: Đã xác nhận&#10;Dữ liệu (trích): Bước 2c chỉ sửa ngưỡng thành 50&#10;Thao tác (trích): 1. Đăng nhập tài khoản phụ trách đầu ra; chụp request/response hợp lệ và file Trích xuất thành tích（成績抽出）…&#10;Xem chi tiết"/>
    <hyperlink ref="D441" location="'Chi tiết'!A1394" display="Kỳ vọng: Đã xác nhận&#10;Ở các biến thể không lọc, server từ chối payload giả hoặc Excel vẫn cho S03=31, Không đỏ, không có `*`/màu đỏ; điểm 10, ngưỡng 50 và cờ giả không đổi kết luận server. Ở request…&#10;Xem chi tiết"/>
    <hyperlink ref="C442" location="'Chi tiết'!A1395" display="Chuẩn bị: Bị chặn&#10;Kỳ vọng: Đã xác nhận&#10;Dữ liệu (trích): Bước 3 chèn S03 vào lượt có lọc&#10;Thao tác (trích): 1. Đăng nhập tài khoản phụ trách đầu ra; chụp request/response hợp lệ và file Trích xuất thành tích（成績抽出）…&#10;Xem chi tiết"/>
    <hyperlink ref="D442" location="'Chi tiết'!A1398" display="Kỳ vọng: Đã xác nhận&#10;Ở các biến thể không lọc, server từ chối payload giả hoặc Excel vẫn cho S03=31, Không đỏ, không có `*`/màu đỏ; điểm 10, ngưỡng 50 và cờ giả không đổi kết luận server. Ở request…&#10;Xem chi tiết"/>
    <hyperlink ref="C443" location="'Chi tiết'!A1399" display="Chuẩn bị: Bị chặn&#10;Kỳ vọng: Đã xác nhận&#10;Dữ liệu (trích): Bước 3 identity trường B ngoài quyền, giữ năm hợp lệ&#10;Thao tác (trích): 1. Đăng nhập tài khoản phụ trách đầu ra; chụp request/response hợp lệ và file Trích xuất thành tích（成績抽出）…&#10;Xem chi tiết"/>
    <hyperlink ref="D443" location="'Chi tiết'!A1402" display="Kỳ vọng: Đã xác nhận&#10;Ở các biến thể không lọc, server từ chối payload giả hoặc Excel vẫn cho S03=31, Không đỏ, không có `*`/màu đỏ; điểm 10, ngưỡng 50 và cờ giả không đổi kết luận server. Ở request…&#10;Xem chi tiết"/>
    <hyperlink ref="C444" location="'Chi tiết'!A1403" display="Chuẩn bị: Bị chặn&#10;Kỳ vọng: Đã xác nhận&#10;Dữ liệu (trích): Bước 3 identity năm ngoài quyền, giữ trường A&#10;Thao tác (trích): 1. Đăng nhập tài khoản phụ trách đầu ra; chụp request/response hợp lệ và file Trích xuất thành tích（成績抽出）…&#10;Xem chi tiết"/>
    <hyperlink ref="D444" location="'Chi tiết'!A1406" display="Kỳ vọng: Đã xác nhận&#10;Ở các biến thể không lọc, server từ chối payload giả hoặc Excel vẫn cho S03=31, Không đỏ, không có `*`/màu đỏ; điểm 10, ngưỡng 50 và cờ giả không đổi kết luận server. Ở request…&#10;Xem chi tiết"/>
    <hyperlink ref="C445" location="'Chi tiết'!A1407" display="Chuẩn bị: Đang chuẩn bị&#10;Kỳ vọng: Đã xác nhận&#10;Dữ liệu (trích): Bước 1 các nơi hiển thị tên&#10;Thao tác (trích): 1. Lưu quy tắc với tên trên; xem danh sách, form sửa, hộp xác nhận xóa, thông báo sau chạy.…&#10;Xem chi tiết"/>
    <hyperlink ref="C446" location="'Chi tiết'!A1409" display="Chuẩn bị: Đang chuẩn bị&#10;Kỳ vọng: Đã xác nhận&#10;Dữ liệu (trích): Bước 2 màn trích xuất và Excel&#10;Thao tác (trích): 1. Lưu quy tắc với tên trên; xem danh sách, form sửa, hộp xác nhận xóa, thông báo sau chạy.…&#10;Xem chi tiết"/>
    <hyperlink ref="C447" location="'Chi tiết'!A1411" display="Chuẩn bị: Đang chuẩn bị&#10;Kỳ vọng: Đã xác nhận&#10;Dữ liệu (trích): Bước 2 PDF phiếu&#10;Thao tác (trích): 1. Lưu quy tắc với tên trên; xem danh sách, form sửa, hộp xác nhận xóa, thông báo sau chạy.…&#10;Xem chi tiết"/>
    <hyperlink ref="C448" location="'Chi tiết'!A1413" display="Chuẩn bị: Đang chuẩn bị&#10;Kỳ vọng: Đã xác nhận&#10;Dữ liệu (trích): Bước 1–3 tài khoản học sinh&#10;Thao tác (trích): 1. Đăng nhập S01, xem màn.…&#10;Xem chi tiết"/>
    <hyperlink ref="C449" location="'Chi tiết'!A1415" display="Chuẩn bị: Đang chuẩn bị&#10;Kỳ vọng: Đã xác nhận&#10;Dữ liệu (trích): Bước 4–5 tài khoản phụ huynh&#10;Thao tác (trích): 1. Đăng nhập S01, xem màn.…&#10;Xem chi tiết"/>
    <hyperlink ref="C450" location="'Chi tiết'!A1417" display="Chuẩn bị: Đang chuẩn bị&#10;Kỳ vọng: Đã xác nhận&#10;Dữ liệu (trích): -1&#10;Thao tác (trích): Nhập từng giá trị, Lưu.&#10;Xem chi tiết"/>
    <hyperlink ref="C451" location="'Chi tiết'!A1419" display="Chuẩn bị: Đang chuẩn bị&#10;Kỳ vọng: Đã xác nhận&#10;Dữ liệu (trích): 0&#10;Thao tác (trích): Nhập từng giá trị, Lưu.&#10;Xem chi tiết"/>
    <hyperlink ref="C452" location="'Chi tiết'!A1421" display="Chuẩn bị: Đang chuẩn bị&#10;Kỳ vọng: Đã xác nhận&#10;Dữ liệu (trích): 100&#10;Thao tác (trích): Nhập từng giá trị, Lưu.&#10;Xem chi tiết"/>
    <hyperlink ref="C453" location="'Chi tiết'!A1423" display="Chuẩn bị: Đang chuẩn bị&#10;Kỳ vọng: Đã xác nhận&#10;Dữ liệu (trích): 101&#10;Thao tác (trích): Nhập từng giá trị, Lưu.&#10;Xem chi tiết"/>
    <hyperlink ref="C454" location="'Chi tiết'!A1425" display="Chuẩn bị: Đang chuẩn bị&#10;Kỳ vọng: Đã xác nhận&#10;Dữ liệu (trích): 30.5&#10;Thao tác (trích): Nhập từng giá trị, Lưu.&#10;Xem chi tiết"/>
    <hyperlink ref="C455" location="'Chi tiết'!A1427" display="Chuẩn bị: Đang chuẩn bị&#10;Kỳ vọng: Đã xác nhận&#10;Dữ liệu (trích): 30.5555&#10;Thao tác (trích): Nhập từng giá trị, Lưu.&#10;Xem chi tiết"/>
    <hyperlink ref="B456" location="'Chi tiết'!A1429" display="Thiết lập ngưỡng（基準設定）&#10;Xử lý phần lẻ: bắt buộc chọn cách làm tròn; p = 0 / 1 / 9 / 10; lần đầu p=1&#10;Xem chi tiết"/>
    <hyperlink ref="C456" location="'Chi tiết'!A1430" display="Chuẩn bị: Đang chuẩn bị&#10;Kỳ vọng: Đề xuất&#10;Dữ liệu (trích): Giá trị mặc định p=1&#10;Thao tác (trích): 1. Bật Xử lý phần lẻ（端数処理）: quan sát giá trị p mặc định.…&#10;Xem chi tiết"/>
    <hyperlink ref="B457" location="'Chi tiết'!A1432" display="Thiết lập ngưỡng（基準設定）&#10;Xử lý phần lẻ: bắt buộc chọn cách làm tròn; p = 0 / 1 / 9 / 10; lần đầu p=1&#10;Xem chi tiết"/>
    <hyperlink ref="C457" location="'Chi tiết'!A1433" display="Chuẩn bị: Đang chuẩn bị&#10;Kỳ vọng: Đề xuất&#10;Dữ liệu (trích): Thiếu phương thức&#10;Thao tác (trích): 1. Bật Xử lý phần lẻ（端数処理）: quan sát giá trị p mặc định.…&#10;Xem chi tiết"/>
    <hyperlink ref="B458" location="'Chi tiết'!A1435" display="Thiết lập ngưỡng（基準設定）&#10;Xử lý phần lẻ: bắt buộc chọn cách làm tròn; p = 0 / 1 / 9 / 10; lần đầu p=1&#10;Xem chi tiết"/>
    <hyperlink ref="C458" location="'Chi tiết'!A1436" display="Chuẩn bị: Đang chuẩn bị&#10;Kỳ vọng: Đề xuất&#10;Dữ liệu (trích): p=0&#10;Thao tác (trích): 1. Bật Xử lý phần lẻ（端数処理）: quan sát giá trị p mặc định.…&#10;Xem chi tiết"/>
    <hyperlink ref="B459" location="'Chi tiết'!A1438" display="Thiết lập ngưỡng（基準設定）&#10;Xử lý phần lẻ: bắt buộc chọn cách làm tròn; p = 0 / 1 / 9 / 10; lần đầu p=1&#10;Xem chi tiết"/>
    <hyperlink ref="C459" location="'Chi tiết'!A1439" display="Chuẩn bị: Đang chuẩn bị&#10;Kỳ vọng: Đề xuất&#10;Dữ liệu (trích): p=1&#10;Thao tác (trích): 1. Bật Xử lý phần lẻ（端数処理）: quan sát giá trị p mặc định.…&#10;Xem chi tiết"/>
    <hyperlink ref="B460" location="'Chi tiết'!A1441" display="Thiết lập ngưỡng（基準設定）&#10;Xử lý phần lẻ: bắt buộc chọn cách làm tròn; p = 0 / 1 / 9 / 10; lần đầu p=1&#10;Xem chi tiết"/>
    <hyperlink ref="C460" location="'Chi tiết'!A1442" display="Chuẩn bị: Đang chuẩn bị&#10;Kỳ vọng: Đề xuất&#10;Dữ liệu (trích): p=9&#10;Thao tác (trích): 1. Bật Xử lý phần lẻ（端数処理）: quan sát giá trị p mặc định.…&#10;Xem chi tiết"/>
    <hyperlink ref="B461" location="'Chi tiết'!A1444" display="Thiết lập ngưỡng（基準設定）&#10;Xử lý phần lẻ: bắt buộc chọn cách làm tròn; p = 0 / 1 / 9 / 10; lần đầu p=1&#10;Xem chi tiết"/>
    <hyperlink ref="C461" location="'Chi tiết'!A1445" display="Chuẩn bị: Đang chuẩn bị&#10;Kỳ vọng: Đề xuất&#10;Dữ liệu (trích): p=10&#10;Thao tác (trích): 1. Bật Xử lý phần lẻ（端数処理）: quan sát giá trị p mặc định.…&#10;Xem chi tiết"/>
    <hyperlink ref="C462" location="'Chi tiết'!A1447" display="Chuẩn bị: Đang chuẩn bị&#10;Kỳ vọng: Đã xác nhận&#10;Dữ liệu (trích): Dấu nhỏ hơn&#10;Thao tác (trích): Đăng ký 29, 30, 31; xét với `&lt;` rồi `≤`.&#10;Xem chi tiết"/>
    <hyperlink ref="C463" location="'Chi tiết'!A1449" display="Chuẩn bị: Đang chuẩn bị&#10;Kỳ vọng: Đã xác nhận&#10;Dữ liệu (trích): Dấu nhỏ hơn hoặc bằng&#10;Thao tác (trích): Đăng ký 29, 30, 31; xét với `&lt;` rồi `≤`.&#10;Xem chi tiết"/>
    <hyperlink ref="C464" location="'Chi tiết'!A1451" display="Chuẩn bị: Đang chuẩn bị&#10;Kỳ vọng: Đã xác nhận&#10;Dữ liệu (trích): Dấu nhỏ hơn&#10;Thao tác (trích): Đăng ký ba điểm; xét với `&lt;` rồi `≤`.&#10;Xem chi tiết"/>
    <hyperlink ref="C465" location="'Chi tiết'!A1453" display="Chuẩn bị: Đang chuẩn bị&#10;Kỳ vọng: Đã xác nhận&#10;Dữ liệu (trích): Dấu nhỏ hơn hoặc bằng&#10;Thao tác (trích): Đăng ký ba điểm; xét với `&lt;` rồi `≤`.&#10;Xem chi tiết"/>
    <hyperlink ref="C466" location="'Chi tiết'!A1455" display="Chuẩn bị: Đang chuẩn bị&#10;Kỳ vọng: Đã xác nhận&#10;Dữ liệu (trích): M45 không làm tròn&#10;Thao tác (trích): Với (a) và (b): xét với Không xử lý（しない）, xuống p1, gần nhất p1, lên p1.&#10;Xem chi tiết"/>
    <hyperlink ref="D466" location="'Chi tiết'!A1457" display="Kỳ vọng: Đã xác nhận&#10;(a) Không xử lý `T=13.5` → Đỏ; xuống `T=13` → Không đỏ; gần nhất `T=14` → Đỏ; lên `T=14` → Đỏ.…&#10;Xem chi tiết"/>
    <hyperlink ref="C467" location="'Chi tiết'!A1458" display="Chuẩn bị: Đang chuẩn bị&#10;Kỳ vọng: Đã xác nhận&#10;Dữ liệu (trích): M45 cắt xuống&#10;Thao tác (trích): Với (a) và (b): xét với Không xử lý（しない）, xuống p1, gần nhất p1, lên p1.&#10;Xem chi tiết"/>
    <hyperlink ref="D467" location="'Chi tiết'!A1460" display="Kỳ vọng: Đã xác nhận&#10;(a) Không xử lý `T=13.5` → Đỏ; xuống `T=13` → Không đỏ; gần nhất `T=14` → Đỏ; lên `T=14` → Đỏ.…&#10;Xem chi tiết"/>
    <hyperlink ref="C468" location="'Chi tiết'!A1461" display="Chuẩn bị: Đang chuẩn bị&#10;Kỳ vọng: Đã xác nhận&#10;Dữ liệu (trích): M45 làm tròn gần nhất&#10;Thao tác (trích): Với (a) và (b): xét với Không xử lý（しない）, xuống p1, gần nhất p1, lên p1.&#10;Xem chi tiết"/>
    <hyperlink ref="D468" location="'Chi tiết'!A1463" display="Kỳ vọng: Đã xác nhận&#10;(a) Không xử lý `T=13.5` → Đỏ; xuống `T=13` → Không đỏ; gần nhất `T=14` → Đỏ; lên `T=14` → Đỏ.…&#10;Xem chi tiết"/>
    <hyperlink ref="C469" location="'Chi tiết'!A1464" display="Chuẩn bị: Đang chuẩn bị&#10;Kỳ vọng: Đã xác nhận&#10;Dữ liệu (trích): M45 làm tròn lên&#10;Thao tác (trích): Với (a) và (b): xét với Không xử lý（しない）, xuống p1, gần nhất p1, lên p1.&#10;Xem chi tiết"/>
    <hyperlink ref="D469" location="'Chi tiết'!A1466" display="Kỳ vọng: Đã xác nhận&#10;(a) Không xử lý `T=13.5` → Đỏ; xuống `T=13` → Không đỏ; gần nhất `T=14` → Đỏ; lên `T=14` → Đỏ.…&#10;Xem chi tiết"/>
    <hyperlink ref="C470" location="'Chi tiết'!A1467" display="Chuẩn bị: Đang chuẩn bị&#10;Kỳ vọng: Đã xác nhận&#10;Dữ liệu (trích): M47 không làm tròn&#10;Thao tác (trích): Với (a) và (b): xét với Không xử lý（しない）, xuống p1, gần nhất p1, lên p1.&#10;Xem chi tiết"/>
    <hyperlink ref="D470" location="'Chi tiết'!A1469" display="Kỳ vọng: Đã xác nhận&#10;(a) Không xử lý `T=13.5` → Đỏ; xuống `T=13` → Không đỏ; gần nhất `T=14` → Đỏ; lên `T=14` → Đỏ.…&#10;Xem chi tiết"/>
    <hyperlink ref="C471" location="'Chi tiết'!A1470" display="Chuẩn bị: Đang chuẩn bị&#10;Kỳ vọng: Đã xác nhận&#10;Dữ liệu (trích): M47 cắt xuống&#10;Thao tác (trích): Với (a) và (b): xét với Không xử lý（しない）, xuống p1, gần nhất p1, lên p1.&#10;Xem chi tiết"/>
    <hyperlink ref="D471" location="'Chi tiết'!A1472" display="Kỳ vọng: Đã xác nhận&#10;(a) Không xử lý `T=13.5` → Đỏ; xuống `T=13` → Không đỏ; gần nhất `T=14` → Đỏ; lên `T=14` → Đỏ.…&#10;Xem chi tiết"/>
    <hyperlink ref="C472" location="'Chi tiết'!A1473" display="Chuẩn bị: Đang chuẩn bị&#10;Kỳ vọng: Đã xác nhận&#10;Dữ liệu (trích): M47 làm tròn gần nhất&#10;Thao tác (trích): Với (a) và (b): xét với Không xử lý（しない）, xuống p1, gần nhất p1, lên p1.&#10;Xem chi tiết"/>
    <hyperlink ref="D472" location="'Chi tiết'!A1475" display="Kỳ vọng: Đã xác nhận&#10;(a) Không xử lý `T=13.5` → Đỏ; xuống `T=13` → Không đỏ; gần nhất `T=14` → Đỏ; lên `T=14` → Đỏ.…&#10;Xem chi tiết"/>
    <hyperlink ref="C473" location="'Chi tiết'!A1476" display="Chuẩn bị: Đang chuẩn bị&#10;Kỳ vọng: Đã xác nhận&#10;Dữ liệu (trích): M47 làm tròn lên&#10;Thao tác (trích): Với (a) và (b): xét với Không xử lý（しない）, xuống p1, gần nhất p1, lên p1.&#10;Xem chi tiết"/>
    <hyperlink ref="D473" location="'Chi tiết'!A1478" display="Kỳ vọng: Đã xác nhận&#10;(a) Không xử lý `T=13.5` → Đỏ; xuống `T=13` → Không đỏ; gần nhất `T=14` → Đỏ; lên `T=14` → Đỏ.…&#10;Xem chi tiết"/>
    <hyperlink ref="C474" location="'Chi tiết'!A1479" display="Chuẩn bị: Đang chuẩn bị&#10;Kỳ vọng: Đã xác nhận&#10;Dữ liệu (trích): Không xử lý phần lẻ&#10;Thao tác (trích): Xét với Không xử lý, rồi xuống p1.&#10;Xem chi tiết"/>
    <hyperlink ref="C475" location="'Chi tiết'!A1481" display="Chuẩn bị: Đang chuẩn bị&#10;Kỳ vọng: Đã xác nhận&#10;Dữ liệu (trích): Cắt xuống&#10;Thao tác (trích): Xét với Không xử lý, rồi xuống p1.&#10;Xem chi tiết"/>
    <hyperlink ref="C476" location="'Chi tiết'!A1483" display="Chuẩn bị: Đang chuẩn bị&#10;Kỳ vọng: Đã xác nhận&#10;Dữ liệu (trích): N0 nhỏ hơn&#10;Thao tác (trích): Xét từng cấu hình với `&lt;` và `≤`.&#10;Xem chi tiết"/>
    <hyperlink ref="C477" location="'Chi tiết'!A1485" display="Chuẩn bị: Đang chuẩn bị&#10;Kỳ vọng: Đã xác nhận&#10;Dữ liệu (trích): N0 nhỏ hơn hoặc bằng&#10;Thao tác (trích): Xét từng cấu hình với `&lt;` và `≤`.&#10;Xem chi tiết"/>
    <hyperlink ref="C478" location="'Chi tiết'!A1487" display="Chuẩn bị: Đang chuẩn bị&#10;Kỳ vọng: Đã xác nhận&#10;Dữ liệu (trích): N100 nhỏ hơn&#10;Thao tác (trích): Xét từng cấu hình với `&lt;` và `≤`.&#10;Xem chi tiết"/>
    <hyperlink ref="C479" location="'Chi tiết'!A1489" display="Chuẩn bị: Đang chuẩn bị&#10;Kỳ vọng: Đã xác nhận&#10;Dữ liệu (trích): N100 nhỏ hơn hoặc bằng&#10;Thao tác (trích): Xét từng cấu hình với `&lt;` và `≤`.&#10;Xem chi tiết"/>
    <hyperlink ref="B480" location="'Chi tiết'!A1491" display="Thiết lập ngưỡng（基準設定）&#10;Tỷ lệ với M = 0, M &lt; 0 hoặc không xác định → Chưa xét được; cố định vẫn xét&#10;Xem chi tiết"/>
    <hyperlink ref="C480" location="'Chi tiết'!A1492" display="Chuẩn bị: Đang chuẩn bị&#10;Kỳ vọng: Đã xác nhận&#10;Dữ liệu (trích): Tỷ lệ M0&#10;Thao tác (trích): 1. Chỉ có quy tắc tỷ lệ 30% (30%): chạy lại với M=0, M=−10, M không xác định.…&#10;Xem chi tiết"/>
    <hyperlink ref="B481" location="'Chi tiết'!A1494" display="Thiết lập ngưỡng（基準設定）&#10;Tỷ lệ với M = 0, M &lt; 0 hoặc không xác định → Chưa xét được; cố định vẫn xét&#10;Xem chi tiết"/>
    <hyperlink ref="C481" location="'Chi tiết'!A1495" display="Chuẩn bị: Đang chuẩn bị&#10;Kỳ vọng: Đã xác nhận&#10;Dữ liệu (trích): Tỷ lệ M âm&#10;Thao tác (trích): 1. Chỉ có quy tắc tỷ lệ 30% (30%): chạy lại với M=0, M=−10, M không xác định.…&#10;Xem chi tiết"/>
    <hyperlink ref="B482" location="'Chi tiết'!A1497" display="Thiết lập ngưỡng（基準設定）&#10;Tỷ lệ với M = 0, M &lt; 0 hoặc không xác định → Chưa xét được; cố định vẫn xét&#10;Xem chi tiết"/>
    <hyperlink ref="C482" location="'Chi tiết'!A1498" display="Chuẩn bị: Đang chuẩn bị&#10;Kỳ vọng: Đã xác nhận&#10;Dữ liệu (trích): Tỷ lệ M không xác định&#10;Thao tác (trích): 1. Chỉ có quy tắc tỷ lệ 30% (30%): chạy lại với M=0, M=−10, M không xác định.…&#10;Xem chi tiết"/>
    <hyperlink ref="B483" location="'Chi tiết'!A1500" display="Thiết lập ngưỡng（基準設定）&#10;Tỷ lệ với M = 0, M &lt; 0 hoặc không xác định → Chưa xét được; cố định vẫn xét&#10;Xem chi tiết"/>
    <hyperlink ref="C483" location="'Chi tiết'!A1501" display="Chuẩn bị: Đang chuẩn bị&#10;Kỳ vọng: Đã xác nhận&#10;Dữ liệu (trích): Cố định với M0&#10;Thao tác (trích): 1. Chỉ có quy tắc tỷ lệ 30% (30%): chạy lại với M=0, M=−10, M không xác định.…&#10;Xem chi tiết"/>
    <hyperlink ref="C484" location="'Chi tiết'!A1503" display="Chuẩn bị: Đang chuẩn bị&#10;Kỳ vọng: Đã xác nhận&#10;Dữ liệu (trích): Lượt đầu theo các M hợp lệ&#10;Thao tác (trích): 1. Đăng ký các điểm, xem kết quả.…&#10;Xem chi tiết"/>
    <hyperlink ref="D484" location="'Chi tiết'!A1505" display="Kỳ vọng: Đã xác nhận&#10;1. S01 U1: `M=50`, `T=15` → Đỏ. S06 U1: `M=40`, `T=12` → Không đỏ. S06 U2: `M=100`, `T=30` → Đỏ.…&#10;Xem chi tiết"/>
    <hyperlink ref="C485" location="'Chi tiết'!A1506" display="Chuẩn bị: Đang chuẩn bị&#10;Kỳ vọng: Đã xác nhận&#10;Dữ liệu (trích): Không chọn định nghĩa&#10;Thao tác (trích): 1. Đăng ký các điểm, xem kết quả.…&#10;Xem chi tiết"/>
    <hyperlink ref="D485" location="'Chi tiết'!A1508" display="Kỳ vọng: Đã xác nhận&#10;1. S01 U1: `M=50`, `T=15` → Đỏ. S06 U1: `M=40`, `T=12` → Không đỏ. S06 U2: `M=100`, `T=30` → Đỏ.…&#10;Xem chi tiết"/>
    <hyperlink ref="C486" location="'Chi tiết'!A1509" display="Chuẩn bị: Đang chuẩn bị&#10;Kỳ vọng: Đã xác nhận&#10;Dữ liệu (trích): Bước 3, điểm học sinh cao nhất thực tế là 80 nhưng M vẫn 100;…&#10;Thao tác (trích): 1. Đăng ký các điểm, xem kết quả.…&#10;Xem chi tiết"/>
    <hyperlink ref="D486" location="'Chi tiết'!A1511" display="Kỳ vọng: Đã xác nhận&#10;1. S01 U1: `M=50`, `T=15` → Đỏ. S06 U1: `M=40`, `T=12` → Không đỏ. S06 U2: `M=100`, `T=30` → Đỏ.…&#10;Xem chi tiết"/>
    <hyperlink ref="C487" location="'Chi tiết'!A1512" display="Chuẩn bị: Đang chuẩn bị&#10;Kỳ vọng: Đã xác nhận&#10;Dữ liệu (trích): Toàn bộ thủ tục theo đúng thứ tự; các đối chứng cùng fixture…&#10;Thao tác (trích): Đăng ký S=20, xem kết quả.&#10;Xem chi tiết"/>
    <hyperlink ref="C488" location="'Chi tiết'!A1514" display="Chuẩn bị: Đang chuẩn bị&#10;Kỳ vọng: Đề xuất&#10;Dữ liệu (trích): Toàn bộ thủ tục theo đúng thứ tự; các đối chứng cùng fixture…&#10;Thao tác (trích): 1. Xem màn.…&#10;Xem chi tiết"/>
    <hyperlink ref="D488" location="'Chi tiết'!A1516" display="Kỳ vọng: Đề xuất&#10;Không có khối nguồn trung bình (đặc tả v2 mục 5.6 “Khi nào không cần nguồn?”); Xử lý phần lẻ có Không（しない）/Có（する）, mặc định Không; khi Có thì hiện ô vị trí chữ số và phương thức.…&#10;Xem chi tiết"/>
    <hyperlink ref="C489" location="'Chi tiết'!A1517" display="Chuẩn bị: Đang chuẩn bị&#10;Kỳ vọng: Đã xác nhận&#10;Dữ liệu (trích): Toàn bộ thủ tục theo đúng thứ tự; các đối chứng cùng fixture…&#10;Thao tác (trích): 1. SELECT `red_score_results` theo `school_id`, `year`, `evaluate_frame_item_id`, `group_id`, `student_id`,…&#10;Xem chi tiết"/>
    <hyperlink ref="D489" location="'Chi tiết'!A1519" display="Kỳ vọng: Đã xác nhận&#10;1–3. Mỗi ô (trường, năm, mục trên khung đánh giá — gồm kỳ/thời điểm, lớp, học sinh, đơn vị) có đúng một dòng hiện hành; U1/U2 của S06 là hai dòng; ô điểm thường có `tangen_id=0`.…&#10;Xem chi tiết"/>
    <hyperlink ref="C490" location="'Chi tiết'!A1520" display="Chuẩn bị: Đang chuẩn bị&#10;Kỳ vọng: Đã xác nhận&#10;Dữ liệu (trích): Toàn bộ thủ tục theo đúng thứ tự; các đối chứng cùng fixture…&#10;Thao tác (trích): 1. SELECT `judgment_status`, `is_red`, `red_score_setting_id`, `reason_code` của các ô.…&#10;Xem chi tiết"/>
    <hyperlink ref="D490" location="'Chi tiết'!A1522" display="Kỳ vọng: Đã xác nhận&#10;1. Sáu trạng thái phân biệt được, không gộp Chưa xét được với Không áp dụng hay Không đỏ. Việc dùng cột, mã số, `reason_code` hoặc `red_score_setting_id` cụ thể là phần thiết kế…&#10;Xem chi tiết"/>
    <hyperlink ref="C491" location="'Chi tiết'!A1523" display="Chuẩn bị: Đang chuẩn bị&#10;Kỳ vọng: Đã xác nhận&#10;Dữ liệu (trích): Toàn bộ thủ tục theo đúng thứ tự; các đối chứng cùng fixture…&#10;Thao tác (trích): 1. SELECT điểm trước.…&#10;Xem chi tiết"/>
    <hyperlink ref="B492" location="'Chi tiết'!A1525" display="Bảo toàn dữ liệu và cấu hình&#10;Cấu hình trình bày ở từng đầu ra lưu riêng, không làm đổi quy tắc/kết quả&#10;Xem chi tiết"/>
    <hyperlink ref="C492" location="'Chi tiết'!A1526" display="Chuẩn bị: Đang chuẩn bị&#10;Kỳ vọng: Đã xác nhận&#10;Dữ liệu (trích): Cấu hình trích xuất&#10;Thao tác (trích): 1. Đổi từng cấu hình đầu ra, lưu.…&#10;Xem chi tiết"/>
    <hyperlink ref="B493" location="'Chi tiết'!A1528" display="Bảo toàn dữ liệu và cấu hình&#10;Cấu hình trình bày ở từng đầu ra lưu riêng, không làm đổi quy tắc/kết quả&#10;Xem chi tiết"/>
    <hyperlink ref="C493" location="'Chi tiết'!A1529" display="Chuẩn bị: Đang chuẩn bị&#10;Kỳ vọng: Đã xác nhận&#10;Dữ liệu (trích): Cấu hình công khai&#10;Thao tác (trích): 1. Đổi từng cấu hình đầu ra, lưu.…&#10;Xem chi tiết"/>
    <hyperlink ref="B494" location="'Chi tiết'!A1531" display="Bảo toàn dữ liệu và cấu hình&#10;Cấu hình trình bày ở từng đầu ra lưu riêng, không làm đổi quy tắc/kết quả&#10;Xem chi tiết"/>
    <hyperlink ref="C494" location="'Chi tiết'!A1532" display="Chuẩn bị: Đang chuẩn bị&#10;Kỳ vọng: Đã xác nhận&#10;Dữ liệu (trích): Cấu hình phiếu điểm&#10;Thao tác (trích): 1. Đổi từng cấu hình đầu ra, lưu.…&#10;Xem chi tiết"/>
    <hyperlink ref="C495" location="'Chi tiết'!A1534" display="Chuẩn bị: Đang chuẩn bị&#10;Kỳ vọng: Đề xuất&#10;Dữ liệu (trích): Toàn bộ thủ tục theo đúng thứ tự; các đối chứng cùng fixture…&#10;Thao tác (trích): 1. SELECT `red_score_setting_id`, `reason_code`, `judgment_context`, `judged_at` của ô Đỏ (S01), ô Chưa xét…&#10;Xem chi tiết"/>
    <hyperlink ref="D495" location="'Chi tiết'!A1536" display="Kỳ vọng: Đề xuất&#10;1. Ô Đỏ: có quy tắc được chọn; `judgment_context` có `score`=&quot;29&quot;, `threshold` dạng tử/mẫu (30/1), `compare_type`=1, `sources` rỗng với quy tắc cố định. Ô Chưa xét được: có…&#10;Xem chi tiết"/>
    <hyperlink ref="C496" location="'Chi tiết'!A1537" display="Chuẩn bị: Đang chuẩn bị&#10;Kỳ vọng: Đã xác nhận&#10;Dữ liệu (trích): Toàn bộ thủ tục theo đúng thứ tự; các đối chứng cùng fixture…&#10;Thao tác (trích): 1. `SHOW CREATE TABLE` và `SHOW FULL COLUMNS` cho `red_score_settings`, `red_score_results`.…&#10;Xem chi tiết"/>
    <hyperlink ref="D496" location="'Chi tiết'!A1539" display="Kỳ vọng: Đã xác nhận&#10;1. Có phạm vi trường/năm, cột audit và comment theo quy tắc schema hiện hành. Đối chiếu thêm với thiết kế (PROPOSED): InnoDB, `utf8mb4`/`utf8mb4_general_ci`, không khai báo…&#10;Xem chi tiết"/>
    <hyperlink ref="B497" location="'Chi tiết'!A1540" display="Bảo toàn dữ liệu và cấu hình&#10;Lưu, đọc lại và sao chép hiệu ứng đỏ theo dòng mục của cấu hình công khai&#10;Xem chi tiết"/>
    <hyperlink ref="C497" location="'Chi tiết'!A1541" display="Chuẩn bị: Đang chuẩn bị&#10;Kỳ vọng: Đề xuất&#10;Dữ liệu (trích): Bước 1–3 đọc cấu hình cũ và sao chép&#10;Thao tác (trích): 1. SELECT `grade_publish_conf_id`, `year`, `evaluate_item_id`, `tangen_flg`, `red_score_display_type` của X,…&#10;Xem chi tiết"/>
    <hyperlink ref="D497" location="'Chi tiết'!A1543" display="Kỳ vọng: Đề xuất&#10;1. X: 1 (ngoặc) ở dòng mục số nguyên (M=100); Y: 2 (`*` trước); dòng thường/đơn vị tách theo `tangen_flg`. Không có cột hiệu ứng trong bảng kết quả của học sinh.…&#10;Xem chi tiết"/>
    <hyperlink ref="B498" location="'Chi tiết'!A1544" display="Bảo toàn dữ liệu và cấu hình&#10;Lưu, đọc lại và sao chép hiệu ứng đỏ theo dòng mục của cấu hình công khai&#10;Xem chi tiết"/>
    <hyperlink ref="C498" location="'Chi tiết'!A1545" display="Chuẩn bị: Đang chuẩn bị&#10;Kỳ vọng: Đề xuất&#10;Dữ liệu (trích): Bước 4 giá trị 4&#10;Thao tác (trích): 1. SELECT `grade_publish_conf_id`, `year`, `evaluate_item_id`, `tangen_flg`, `red_score_display_type` của X,…&#10;Xem chi tiết"/>
    <hyperlink ref="D498" location="'Chi tiết'!A1547" display="Kỳ vọng: Đề xuất&#10;1. X: 1 (ngoặc) ở dòng mục số nguyên (M=100); Y: 2 (`*` trước); dòng thường/đơn vị tách theo `tangen_flg`. Không có cột hiệu ứng trong bảng kết quả của học sinh.…&#10;Xem chi tiết"/>
    <hyperlink ref="B499" location="'Chi tiết'!A1548" display="Bảo toàn dữ liệu và cấu hình&#10;Lưu, đọc lại và sao chép hiệu ứng đỏ theo dòng mục của cấu hình công khai&#10;Xem chi tiết"/>
    <hyperlink ref="C499" location="'Chi tiết'!A1549" display="Chuẩn bị: Đang chuẩn bị&#10;Kỳ vọng: Đề xuất&#10;Dữ liệu (trích): Bước 4 ID trường B&#10;Thao tác (trích): 1. SELECT `grade_publish_conf_id`, `year`, `evaluate_item_id`, `tangen_flg`, `red_score_display_type` của X,…&#10;Xem chi tiết"/>
    <hyperlink ref="D499" location="'Chi tiết'!A1551" display="Kỳ vọng: Đề xuất&#10;1. X: 1 (ngoặc) ở dòng mục số nguyên (M=100); Y: 2 (`*` trước); dòng thường/đơn vị tách theo `tangen_flg`. Không có cột hiệu ứng trong bảng kết quả của học sinh.…&#10;Xem chi tiết"/>
    <hyperlink ref="B500" location="'Chi tiết'!A1552" display="Bảo toàn dữ liệu và cấu hình&#10;Phiên bản quy tắc, dòng điều khiển và thế hệ ô được cập nhật đúng sự kiện&#10;Xem chi tiết"/>
    <hyperlink ref="C500" location="'Chi tiết'!A1553" display="Chuẩn bị: Đang chuẩn bị&#10;Kỳ vọng: Đề xuất&#10;Dữ liệu (trích): Bước 1–2 fixture A, SELECT sau từng sự kiện&#10;Thao tác (trích): 1. SELECT `red_score_revision` của mục mục số nguyên (M=100) trên `grade_evaluate_frame_items`; SELECT…&#10;Xem chi tiết"/>
    <hyperlink ref="D500" location="'Chi tiết'!A1556" display="Kỳ vọng: Đề xuất&#10;1. Có giá trị ban đầu; `judged_version` của S01 bằng phiên bản của lần ghi hoàn tất.…&#10;Xem chi tiết"/>
    <hyperlink ref="B501" location="'Chi tiết'!A1557" display="Bảo toàn dữ liệu và cấu hình&#10;Phiên bản quy tắc, dòng điều khiển và thế hệ ô được cập nhật đúng sự kiện&#10;Xem chi tiết"/>
    <hyperlink ref="C501" location="'Chi tiết'!A1558" display="Chuẩn bị: Đang chuẩn bị&#10;Kỳ vọng: Đề xuất&#10;Dữ liệu (trích): Bước 1 và 3 fixture B độc lập&#10;Thao tác (trích): 1. SELECT `red_score_revision` của mục mục số nguyên (M=100) trên `grade_evaluate_frame_items`; SELECT…&#10;Xem chi tiết"/>
    <hyperlink ref="D501" location="'Chi tiết'!A1561" display="Kỳ vọng: Đề xuất&#10;1. Có giá trị ban đầu; `judged_version` của S01 bằng phiên bản của lần ghi hoàn tất.…&#10;Xem chi tiết"/>
    <hyperlink ref="B502" location="'Chi tiết'!A1562" display="Bảo toàn dữ liệu và cấu hình&#10;Phiên bản quy tắc, dòng điều khiển và thế hệ ô được cập nhật đúng sự kiện&#10;Xem chi tiết"/>
    <hyperlink ref="C502" location="'Chi tiết'!A1563" display="Chuẩn bị: Đang chuẩn bị&#10;Kỳ vọng: Đề xuất&#10;Dữ liệu (trích): Bước 1 và 4 fixture C độc lập&#10;Thao tác (trích): 1. SELECT `red_score_revision` của mục mục số nguyên (M=100) trên `grade_evaluate_frame_items`; SELECT…&#10;Xem chi tiết"/>
    <hyperlink ref="D502" location="'Chi tiết'!A1566" display="Kỳ vọng: Đề xuất&#10;1. Có giá trị ban đầu; `judged_version` của S01 bằng phiên bản của lần ghi hoàn tất.…&#10;Xem chi tiết"/>
    <hyperlink ref="B503" location="'Chi tiết'!A1567" display="Bảo toàn dữ liệu và cấu hình&#10;Phiên bản quy tắc, dòng điều khiển và thế hệ ô được cập nhật đúng sự kiện&#10;Xem chi tiết"/>
    <hyperlink ref="C503" location="'Chi tiết'!A1568" display="Chuẩn bị: Đang chuẩn bị&#10;Kỳ vọng: Đề xuất&#10;Dữ liệu (trích): Bước 1 và 5 fixture D độc lập&#10;Thao tác (trích): 1. SELECT `red_score_revision` của mục mục số nguyên (M=100) trên `grade_evaluate_frame_items`; SELECT…&#10;Xem chi tiết"/>
    <hyperlink ref="D503" location="'Chi tiết'!A1571" display="Kỳ vọng: Đề xuất&#10;1. Có giá trị ban đầu; `judged_version` của S01 bằng phiên bản của lần ghi hoàn tất.…&#10;Xem chi tiết"/>
    <hyperlink ref="C504" location="'Chi tiết'!A1572" display="Chuẩn bị: Đang chuẩn bị&#10;Kỳ vọng: Đã xác nhận&#10;Dữ liệu (trích): Toàn bộ thủ tục theo đúng thứ tự; các đối chứng cùng fixture…&#10;Thao tác (trích): 1. Xem báo cáo riêng trường trước và sau khi cấu hình/chạy rule mới.…&#10;Xem chi tiết"/>
    <hyperlink ref="B505" location="'Chi tiết'!A1574" display="Bảo toàn dữ liệu và cấu hình&#10;Sao chép cấu hình giữ riêng legacy và không sao chép kết quả cá nhân&#10;Xem chi tiết"/>
    <hyperlink ref="C505" location="'Chi tiết'!A1575" display="Chuẩn bị: Bị chặn&#10;Kỳ vọng: Đã xác nhận&#10;Dữ liệu (trích): Toàn bộ thủ tục theo đúng thứ tự; các đối chứng cùng fixture…&#10;Thao tác (trích): 1. Ghi snapshot trước thao tác: rule, mapping mục/môn/nhóm, legacy và kết quả riêng của S01 ở nguồn.…&#10;Xem chi tiết"/>
    <hyperlink ref="D505" location="'Chi tiết'!A1577" display="Kỳ vọng: Đã xác nhận&#10;Cấu hình `&lt;30` được ánh xạ theo identity đích. Ngưỡng legacy `red_score=25` có mapping hợp lệ cũng được sao chép theo đường legacy hiện hữu: nguồn và đích đều đọc ra 25 tại cấu…&#10;Xem chi tiết"/>
    <hyperlink ref="B506" location="'Chi tiết'!A1578" display="Bảo toàn dữ liệu và cấu hình&#10;Kế thừa năm mới không dùng bản chốt hoặc kết quả cá nhân của năm cũ&#10;Xem chi tiết"/>
    <hyperlink ref="C506" location="'Chi tiết'!A1579" display="Chuẩn bị: Bị chặn&#10;Kỳ vọng: Đã xác nhận&#10;Dữ liệu (trích): Toàn bộ thủ tục theo đúng thứ tự; các đối chứng cùng fixture…&#10;Thao tác (trích): 1. Chụp riêng rule mới, giá trị legacy 25 tại nguồn, snapshot và kết quả cá nhân S01 năm 2025; ghi đích chưa…&#10;Xem chi tiết"/>
    <hyperlink ref="D506" location="'Chi tiết'!A1582" display="Kỳ vọng: Đã xác nhận&#10;Rule mới `&lt;30` và ngưỡng legacy **25** được kế thừa đúng mapping: nguồn vẫn 25, đích đọc 25 ở cấu hình/báo cáo legacy riêng; không thành rule/fallback mới. Trước lần xét mới, đích…&#10;Xem chi tiết"/>
    <hyperlink ref="C507" location="'Chi tiết'!A1583" display="Chuẩn bị: Bị chặn&#10;Kỳ vọng: Đã xác nhận&#10;Dữ liệu (trích): Toàn bộ thủ tục theo đúng thứ tự; các đối chứng cùng fixture…&#10;Thao tác (trích): 1. Ghi file xuất thật, vị trí giá trị legacy 25, mapping nguồn→đích và sự vắng mặt của snapshot/kết quả cá…&#10;Xem chi tiết"/>
    <hyperlink ref="D507" location="'Chi tiết'!A1586" display="Kỳ vọng: Đã xác nhận&#10;Chỉ payload cấu hình có mapping hợp lệ được nhập: ngưỡng legacy nguồn 25 vẫn là 25, file chứa 25 và đích đọc ra **25** ở cấu hình/báo cáo legacy riêng; rule mới `&lt;30` giữ riêng,…&#10;Xem chi tiết"/>
    <hyperlink ref="C508" location="'Chi tiết'!A1587" display="Chuẩn bị: Bị chặn&#10;Kỳ vọng: Đã xác nhận&#10;Dữ liệu (trích): Toàn bộ thủ tục theo đúng thứ tự; các đối chứng cùng fixture…&#10;Thao tác (trích): 1. Chụp identity, rule mới, ngưỡng legacy 25 và kết quả cá nhân ô cũ; ghi ô đích chưa có các giá trị đó.…&#10;Xem chi tiết"/>
    <hyperlink ref="D508" location="'Chi tiết'!A1590" display="Kỳ vọng: Đã xác nhận&#10;Nguồn giữ ngưỡng legacy **25**; ô/khung mới có mapping hợp lệ cũng đọc **25** qua cấu hình/báo cáo legacy riêng, không thành rule/fallback mới. Ô mới **không** nhận snapshot/kết…&#10;Xem chi tiết"/>
    <hyperlink ref="C509" location="'Chi tiết'!A1591" display="Chuẩn bị: Bị chặn&#10;Kỳ vọng: Đã xác nhận&#10;Dữ liệu (trích): Toàn bộ thủ tục theo đúng thứ tự; các đối chứng cùng fixture…&#10;Thao tác (trích): 1. Ghi mapping kỳ/môn/mục/nhóm, identity nguồn/đích, giá trị legacy nguồn 25 và snapshot/kết quả cá nhân…&#10;Xem chi tiết"/>
    <hyperlink ref="D509" location="'Chi tiết'!A1593" display="Kỳ vọng: Đã xác nhận&#10;Đồng bộ cấu hình có mapping hợp lệ giữ ngưỡng legacy **25** ở nguồn và đưa **25** tới cấu hình/báo cáo legacy riêng của đích; không thành rule/fallback mới. Trước lần xét riêng,…&#10;Xem chi tiết"/>
    <hyperlink ref="C510" location="'Chi tiết'!A1594" display="Chuẩn bị: Đang chuẩn bị&#10;Kỳ vọng: Đã xác nhận&#10;Dữ liệu (trích): Toàn bộ thủ tục theo đúng thứ tự; các đối chứng cùng fixture…&#10;Thao tác (trích): 1. Thêm, sửa, xóa và chạy rule mới.…&#10;Xem chi tiết"/>
    <hyperlink ref="C511" location="'Chi tiết'!A1596" display="Chuẩn bị: Đang chuẩn bị&#10;Kỳ vọng: Đã xác nhận&#10;Dữ liệu (trích): Đường copy, fixture DATA-015&#10;Thao tác (trích): 1. Thực hiện từng đường copy, kế thừa năm, import/export và sync.…&#10;Xem chi tiết"/>
    <hyperlink ref="C512" location="'Chi tiết'!A1598" display="Chuẩn bị: Đang chuẩn bị&#10;Kỳ vọng: Đã xác nhận&#10;Dữ liệu (trích): Đường kế thừa năm, fixture DATA-016&#10;Thao tác (trích): 1. Thực hiện từng đường copy, kế thừa năm, import/export và sync.…&#10;Xem chi tiết"/>
    <hyperlink ref="C513" location="'Chi tiết'!A1600" display="Chuẩn bị: Đang chuẩn bị&#10;Kỳ vọng: Đã xác nhận&#10;Dữ liệu (trích): Đường xuất nhập, fixture DATA-017&#10;Thao tác (trích): 1. Thực hiện từng đường copy, kế thừa năm, import/export và sync.…&#10;Xem chi tiết"/>
    <hyperlink ref="C514" location="'Chi tiết'!A1602" display="Chuẩn bị: Đang chuẩn bị&#10;Kỳ vọng: Đã xác nhận&#10;Dữ liệu (trích): Đường đồng bộ, fixture DATA-019&#10;Thao tác (trích): 1. Thực hiện từng đường copy, kế thừa năm, import/export và sync.…&#10;Xem chi tiết"/>
    <hyperlink ref="B515" location="'Chi tiết'!A1604" display="Lỗi và cập nhật kết quả&#10;Màn Tổng hợp thành tích（成績集計）: nút xanh/cam và lần chạy trước&#10;Xem chi tiết"/>
    <hyperlink ref="C515" location="'Chi tiết'!A1605" display="Chuẩn bị: Đang chuẩn bị&#10;Kỳ vọng: Đã xác nhận&#10;Dữ liệu (trích): Toàn bộ thủ tục theo đúng thứ tự; các đối chứng cùng fixture…&#10;Thao tác (trích): Mở Tổng hợp thành tích（成績集計）.&#10;Xem chi tiết"/>
    <hyperlink ref="B516" location="'Chi tiết'!A1607" display="Lỗi và cập nhật kết quả&#10;Thông báo kết quả sau khi chạy: hoàn tất, chưa xét được, thất bại một phần&#10;Xem chi tiết"/>
    <hyperlink ref="C516" location="'Chi tiết'!A1608" display="Chuẩn bị: Đang chuẩn bị&#10;Kỳ vọng: Đề xuất&#10;Dữ liệu (trích): Thiếu nguồn&#10;Thao tác (trích): 1. Chạy nút cam khi thiếu nguồn.…&#10;Xem chi tiết"/>
    <hyperlink ref="D516" location="'Chi tiết'!A1610" display="Kỳ vọng: Đề xuất&#10;1. Thông báo hoàn tất nêu có mục chưa xét được, phạm vi và lý do, và kết quả trước không còn dùng.…&#10;Xem chi tiết"/>
    <hyperlink ref="B517" location="'Chi tiết'!A1611" display="Lỗi và cập nhật kết quả&#10;Thông báo kết quả sau khi chạy: hoàn tất, chưa xét được, thất bại một phần&#10;Xem chi tiết"/>
    <hyperlink ref="C517" location="'Chi tiết'!A1612" display="Chuẩn bị: Đang chuẩn bị&#10;Kỳ vọng: Đề xuất&#10;Dữ liệu (trích): Lỗi một phần&#10;Thao tác (trích): 1. Chạy nút cam khi thiếu nguồn.…&#10;Xem chi tiết"/>
    <hyperlink ref="D517" location="'Chi tiết'!A1614" display="Kỳ vọng: Đề xuất&#10;1. Thông báo hoàn tất nêu có mục chưa xét được, phạm vi và lý do, và kết quả trước không còn dùng.…&#10;Xem chi tiết"/>
    <hyperlink ref="C518" location="'Chi tiết'!A1615" display="Chuẩn bị: Đang chuẩn bị&#10;Kỳ vọng: Đã xác nhận&#10;Dữ liệu (trích): Trích xuất cả bảy trạng thái không lọc&#10;Thao tác (trích): 1. Chạy trích xuất có lọc đỏ và xuất Excel.…&#10;Xem chi tiết"/>
    <hyperlink ref="C519" location="'Chi tiết'!A1617" display="Chuẩn bị: Đang chuẩn bị&#10;Kỳ vọng: Đã xác nhận&#10;Dữ liệu (trích): Công khai cả bảy trạng thái&#10;Thao tác (trích): 1. Chạy trích xuất có lọc đỏ và xuất Excel.…&#10;Xem chi tiết"/>
    <hyperlink ref="C520" location="'Chi tiết'!A1619" display="Chuẩn bị: Đang chuẩn bị&#10;Kỳ vọng: Đã xác nhận&#10;Dữ liệu (trích): Phiếu điểm cả bảy trạng thái&#10;Thao tác (trích): 1. Chạy trích xuất có lọc đỏ và xuất Excel.…&#10;Xem chi tiết"/>
    <hyperlink ref="B521" location="'Chi tiết'!A1621" display="Lỗi và cập nhật kết quả&#10;Lỗi kỹ thuật khi lưu kết quả khác với Chưa xét được; không báo thành công giả&#10;Xem chi tiết"/>
    <hyperlink ref="C521" location="'Chi tiết'!A1622" display="Chuẩn bị: Bị chặn&#10;Kỳ vọng: Đã xác nhận&#10;Dữ liệu (trích): Nhánh direct-success-delete trong thủ tục và Expected của case;…&#10;Thao tác (trích): 1. Với `*-success-delete`, dùng ba bản reset riêng và xóa ô Toán lần lượt bằng nhập trực tiếp, Đăng ký thành…&#10;Xem chi tiết"/>
    <hyperlink ref="D521" location="'Chi tiết'!A1625" display="Kỳ vọng: Đã xác nhận&#10;1. Mỗi đường xóa thành công chỉ xóa điểm/kết quả Toán của identity đích; Ngữ văn vẫn Đỏ và S01 vẫn qua bộ lọc nhờ Ngữ văn. CSV phải ánh xạ đúng ô.…&#10;Xem chi tiết"/>
    <hyperlink ref="B522" location="'Chi tiết'!A1627" display="Lỗi và cập nhật kết quả&#10;Lỗi kỹ thuật khi lưu kết quả khác với Chưa xét được; không báo thành công giả&#10;Xem chi tiết"/>
    <hyperlink ref="C522" location="'Chi tiết'!A1628" display="Chuẩn bị: Bị chặn&#10;Kỳ vọng: Đã xác nhận&#10;Dữ liệu (trích): Nhánh csv-success-delete trong thủ tục và Expected của case;…&#10;Thao tác (trích): 1. Với `*-success-delete`, dùng ba bản reset riêng và xóa ô Toán lần lượt bằng nhập trực tiếp, Đăng ký thành…&#10;Xem chi tiết"/>
    <hyperlink ref="D522" location="'Chi tiết'!A1631" display="Kỳ vọng: Đã xác nhận&#10;1. Mỗi đường xóa thành công chỉ xóa điểm/kết quả Toán của identity đích; Ngữ văn vẫn Đỏ và S01 vẫn qua bộ lọc nhờ Ngữ văn. CSV phải ánh xạ đúng ô.…&#10;Xem chi tiết"/>
    <hyperlink ref="B523" location="'Chi tiết'!A1633" display="Lỗi và cập nhật kết quả&#10;Lỗi kỹ thuật khi lưu kết quả khác với Chưa xét được; không báo thành công giả&#10;Xem chi tiết"/>
    <hyperlink ref="C523" location="'Chi tiết'!A1634" display="Chuẩn bị: Bị chặn&#10;Kỳ vọng: Đã xác nhận&#10;Dữ liệu (trích): Nhánh linked-success-delete trong thủ tục và Expected của case;…&#10;Thao tác (trích): 1. Với `*-success-delete`, dùng ba bản reset riêng và xóa ô Toán lần lượt bằng nhập trực tiếp, Đăng ký thành…&#10;Xem chi tiết"/>
    <hyperlink ref="D523" location="'Chi tiết'!A1637" display="Kỳ vọng: Đã xác nhận&#10;1. Mỗi đường xóa thành công chỉ xóa điểm/kết quả Toán của identity đích; Ngữ văn vẫn Đỏ và S01 vẫn qua bộ lọc nhờ Ngữ văn. CSV phải ánh xạ đúng ô.…&#10;Xem chi tiết"/>
    <hyperlink ref="B524" location="'Chi tiết'!A1639" display="Lỗi và cập nhật kết quả&#10;Lỗi kỹ thuật khi lưu kết quả khác với Chưa xét được; không báo thành công giả&#10;Xem chi tiết"/>
    <hyperlink ref="C524" location="'Chi tiết'!A1640" display="Chuẩn bị: Bị chặn&#10;Kỳ vọng: Đã xác nhận&#10;Dữ liệu (trích): Nhánh direct-delete-save-failure trong thủ tục và Expected của…&#10;Thao tác (trích): 1. Với `*-success-delete`, dùng ba bản reset riêng và xóa ô Toán lần lượt bằng nhập trực tiếp, Đăng ký thành…&#10;Xem chi tiết"/>
    <hyperlink ref="D524" location="'Chi tiết'!A1643" display="Kỳ vọng: Đã xác nhận&#10;1. Mỗi đường xóa thành công chỉ xóa điểm/kết quả Toán của identity đích; Ngữ văn vẫn Đỏ và S01 vẫn qua bộ lọc nhờ Ngữ văn. CSV phải ánh xạ đúng ô.…&#10;Xem chi tiết"/>
    <hyperlink ref="B525" location="'Chi tiết'!A1645" display="Lỗi và cập nhật kết quả&#10;Lỗi kỹ thuật khi lưu kết quả khác với Chưa xét được; không báo thành công giả&#10;Xem chi tiết"/>
    <hyperlink ref="C525" location="'Chi tiết'!A1646" display="Chuẩn bị: Bị chặn&#10;Kỳ vọng: Đã xác nhận&#10;Dữ liệu (trích): Nhánh csv-delete-save-failure trong thủ tục và Expected của…&#10;Thao tác (trích): 1. Với `*-success-delete`, dùng ba bản reset riêng và xóa ô Toán lần lượt bằng nhập trực tiếp, Đăng ký thành…&#10;Xem chi tiết"/>
    <hyperlink ref="D525" location="'Chi tiết'!A1649" display="Kỳ vọng: Đã xác nhận&#10;1. Mỗi đường xóa thành công chỉ xóa điểm/kết quả Toán của identity đích; Ngữ văn vẫn Đỏ và S01 vẫn qua bộ lọc nhờ Ngữ văn. CSV phải ánh xạ đúng ô.…&#10;Xem chi tiết"/>
    <hyperlink ref="B526" location="'Chi tiết'!A1651" display="Lỗi và cập nhật kết quả&#10;Lỗi kỹ thuật khi lưu kết quả khác với Chưa xét được; không báo thành công giả&#10;Xem chi tiết"/>
    <hyperlink ref="C526" location="'Chi tiết'!A1652" display="Chuẩn bị: Bị chặn&#10;Kỳ vọng: Đã xác nhận&#10;Dữ liệu (trích): Nhánh linked-delete-save-failure trong thủ tục và Expected của…&#10;Thao tác (trích): 1. Với `*-success-delete`, dùng ba bản reset riêng và xóa ô Toán lần lượt bằng nhập trực tiếp, Đăng ký thành…&#10;Xem chi tiết"/>
    <hyperlink ref="D526" location="'Chi tiết'!A1655" display="Kỳ vọng: Đã xác nhận&#10;1. Mỗi đường xóa thành công chỉ xóa điểm/kết quả Toán của identity đích; Ngữ văn vẫn Đỏ và S01 vẫn qua bộ lọc nhờ Ngữ văn. CSV phải ánh xạ đúng ô.…&#10;Xem chi tiết"/>
    <hyperlink ref="B527" location="'Chi tiết'!A1657" display="Lỗi và cập nhật kết quả&#10;Lỗi kỹ thuật khi lưu kết quả khác với Chưa xét được; không báo thành công giả&#10;Xem chi tiết"/>
    <hyperlink ref="C527" location="'Chi tiết'!A1658" display="Chuẩn bị: Bị chặn&#10;Kỳ vọng: Đã xác nhận&#10;Dữ liệu (trích): Nhánh direct-delete-result-write-failure trong thủ tục và…&#10;Thao tác (trích): 1. Với `*-success-delete`, dùng ba bản reset riêng và xóa ô Toán lần lượt bằng nhập trực tiếp, Đăng ký thành…&#10;Xem chi tiết"/>
    <hyperlink ref="D527" location="'Chi tiết'!A1661" display="Kỳ vọng: Đã xác nhận&#10;1. Mỗi đường xóa thành công chỉ xóa điểm/kết quả Toán của identity đích; Ngữ văn vẫn Đỏ và S01 vẫn qua bộ lọc nhờ Ngữ văn. CSV phải ánh xạ đúng ô.…&#10;Xem chi tiết"/>
    <hyperlink ref="B528" location="'Chi tiết'!A1663" display="Lỗi và cập nhật kết quả&#10;Lỗi kỹ thuật khi lưu kết quả khác với Chưa xét được; không báo thành công giả&#10;Xem chi tiết"/>
    <hyperlink ref="C528" location="'Chi tiết'!A1664" display="Chuẩn bị: Bị chặn&#10;Kỳ vọng: Đã xác nhận&#10;Dữ liệu (trích): Nhánh csv-delete-result-write-failure trong thủ tục và Expected…&#10;Thao tác (trích): 1. Với `*-success-delete`, dùng ba bản reset riêng và xóa ô Toán lần lượt bằng nhập trực tiếp, Đăng ký thành…&#10;Xem chi tiết"/>
    <hyperlink ref="D528" location="'Chi tiết'!A1667" display="Kỳ vọng: Đã xác nhận&#10;1. Mỗi đường xóa thành công chỉ xóa điểm/kết quả Toán của identity đích; Ngữ văn vẫn Đỏ và S01 vẫn qua bộ lọc nhờ Ngữ văn. CSV phải ánh xạ đúng ô.…&#10;Xem chi tiết"/>
    <hyperlink ref="B529" location="'Chi tiết'!A1669" display="Lỗi và cập nhật kết quả&#10;Lỗi kỹ thuật khi lưu kết quả khác với Chưa xét được; không báo thành công giả&#10;Xem chi tiết"/>
    <hyperlink ref="C529" location="'Chi tiết'!A1670" display="Chuẩn bị: Bị chặn&#10;Kỳ vọng: Đã xác nhận&#10;Dữ liệu (trích): Nhánh linked-delete-result-write-failure trong thủ tục và…&#10;Thao tác (trích): 1. Với `*-success-delete`, dùng ba bản reset riêng và xóa ô Toán lần lượt bằng nhập trực tiếp, Đăng ký thành…&#10;Xem chi tiết"/>
    <hyperlink ref="D529" location="'Chi tiết'!A1673" display="Kỳ vọng: Đã xác nhận&#10;1. Mỗi đường xóa thành công chỉ xóa điểm/kết quả Toán của identity đích; Ngữ văn vẫn Đỏ và S01 vẫn qua bộ lọc nhờ Ngữ văn. CSV phải ánh xạ đúng ô.…&#10;Xem chi tiết"/>
    <hyperlink ref="B530" location="'Chi tiết'!A1675" display="Lỗi và cập nhật kết quả&#10;Lỗi kỹ thuật khi lưu kết quả khác với Chưa xét được; không báo thành công giả&#10;Xem chi tiết"/>
    <hyperlink ref="C530" location="'Chi tiết'!A1676" display="Chuẩn bị: Bị chặn&#10;Kỳ vọng: Đã xác nhận&#10;Dữ liệu (trích): Nhánh direct-edit-save-failure trong thủ tục và Expected của…&#10;Thao tác (trích): 1. Với `*-success-delete`, dùng ba bản reset riêng và xóa ô Toán lần lượt bằng nhập trực tiếp, Đăng ký thành…&#10;Xem chi tiết"/>
    <hyperlink ref="D530" location="'Chi tiết'!A1679" display="Kỳ vọng: Đã xác nhận&#10;1. Mỗi đường xóa thành công chỉ xóa điểm/kết quả Toán của identity đích; Ngữ văn vẫn Đỏ và S01 vẫn qua bộ lọc nhờ Ngữ văn. CSV phải ánh xạ đúng ô.…&#10;Xem chi tiết"/>
    <hyperlink ref="B531" location="'Chi tiết'!A1681" display="Lỗi và cập nhật kết quả&#10;Lỗi kỹ thuật khi lưu kết quả khác với Chưa xét được; không báo thành công giả&#10;Xem chi tiết"/>
    <hyperlink ref="C531" location="'Chi tiết'!A1682" display="Chuẩn bị: Bị chặn&#10;Kỳ vọng: Đã xác nhận&#10;Dữ liệu (trích): Nhánh csv-edit-save-failure trong thủ tục và Expected của case;…&#10;Thao tác (trích): 1. Với `*-success-delete`, dùng ba bản reset riêng và xóa ô Toán lần lượt bằng nhập trực tiếp, Đăng ký thành…&#10;Xem chi tiết"/>
    <hyperlink ref="D531" location="'Chi tiết'!A1685" display="Kỳ vọng: Đã xác nhận&#10;1. Mỗi đường xóa thành công chỉ xóa điểm/kết quả Toán của identity đích; Ngữ văn vẫn Đỏ và S01 vẫn qua bộ lọc nhờ Ngữ văn. CSV phải ánh xạ đúng ô.…&#10;Xem chi tiết"/>
    <hyperlink ref="B532" location="'Chi tiết'!A1687" display="Lỗi và cập nhật kết quả&#10;Lỗi kỹ thuật khi lưu kết quả khác với Chưa xét được; không báo thành công giả&#10;Xem chi tiết"/>
    <hyperlink ref="C532" location="'Chi tiết'!A1688" display="Chuẩn bị: Bị chặn&#10;Kỳ vọng: Đã xác nhận&#10;Dữ liệu (trích): Nhánh linked-edit-save-failure trong thủ tục và Expected của…&#10;Thao tác (trích): 1. Với `*-success-delete`, dùng ba bản reset riêng và xóa ô Toán lần lượt bằng nhập trực tiếp, Đăng ký thành…&#10;Xem chi tiết"/>
    <hyperlink ref="D532" location="'Chi tiết'!A1691" display="Kỳ vọng: Đã xác nhận&#10;1. Mỗi đường xóa thành công chỉ xóa điểm/kết quả Toán của identity đích; Ngữ văn vẫn Đỏ và S01 vẫn qua bộ lọc nhờ Ngữ văn. CSV phải ánh xạ đúng ô.…&#10;Xem chi tiết"/>
    <hyperlink ref="B533" location="'Chi tiết'!A1693" display="Lỗi và cập nhật kết quả&#10;Lỗi kỹ thuật khi lưu kết quả khác với Chưa xét được; không báo thành công giả&#10;Xem chi tiết"/>
    <hyperlink ref="C533" location="'Chi tiết'!A1694" display="Chuẩn bị: Bị chặn&#10;Kỳ vọng: Đã xác nhận&#10;Dữ liệu (trích): Nhánh direct-edit-result-write-failure trong thủ tục và Expected…&#10;Thao tác (trích): 1. Với `*-success-delete`, dùng ba bản reset riêng và xóa ô Toán lần lượt bằng nhập trực tiếp, Đăng ký thành…&#10;Xem chi tiết"/>
    <hyperlink ref="D533" location="'Chi tiết'!A1697" display="Kỳ vọng: Đã xác nhận&#10;1. Mỗi đường xóa thành công chỉ xóa điểm/kết quả Toán của identity đích; Ngữ văn vẫn Đỏ và S01 vẫn qua bộ lọc nhờ Ngữ văn. CSV phải ánh xạ đúng ô.…&#10;Xem chi tiết"/>
    <hyperlink ref="B534" location="'Chi tiết'!A1699" display="Lỗi và cập nhật kết quả&#10;Lỗi kỹ thuật khi lưu kết quả khác với Chưa xét được; không báo thành công giả&#10;Xem chi tiết"/>
    <hyperlink ref="C534" location="'Chi tiết'!A1700" display="Chuẩn bị: Bị chặn&#10;Kỳ vọng: Đã xác nhận&#10;Dữ liệu (trích): Nhánh csv-edit-result-write-failure trong thủ tục và Expected…&#10;Thao tác (trích): 1. Với `*-success-delete`, dùng ba bản reset riêng và xóa ô Toán lần lượt bằng nhập trực tiếp, Đăng ký thành…&#10;Xem chi tiết"/>
    <hyperlink ref="D534" location="'Chi tiết'!A1703" display="Kỳ vọng: Đã xác nhận&#10;1. Mỗi đường xóa thành công chỉ xóa điểm/kết quả Toán của identity đích; Ngữ văn vẫn Đỏ và S01 vẫn qua bộ lọc nhờ Ngữ văn. CSV phải ánh xạ đúng ô.…&#10;Xem chi tiết"/>
    <hyperlink ref="B535" location="'Chi tiết'!A1705" display="Lỗi và cập nhật kết quả&#10;Lỗi kỹ thuật khi lưu kết quả khác với Chưa xét được; không báo thành công giả&#10;Xem chi tiết"/>
    <hyperlink ref="C535" location="'Chi tiết'!A1706" display="Chuẩn bị: Bị chặn&#10;Kỳ vọng: Đã xác nhận&#10;Dữ liệu (trích): Nhánh linked-edit-result-write-failure trong thủ tục và Expected…&#10;Thao tác (trích): 1. Với `*-success-delete`, dùng ba bản reset riêng và xóa ô Toán lần lượt bằng nhập trực tiếp, Đăng ký thành…&#10;Xem chi tiết"/>
    <hyperlink ref="D535" location="'Chi tiết'!A1709" display="Kỳ vọng: Đã xác nhận&#10;1. Mỗi đường xóa thành công chỉ xóa điểm/kết quả Toán của identity đích; Ngữ văn vẫn Đỏ và S01 vẫn qua bộ lọc nhờ Ngữ văn. CSV phải ánh xạ đúng ô.…&#10;Xem chi tiết"/>
    <hyperlink ref="C536" location="'Chi tiết'!A1711" display="Chuẩn bị: Bị chặn&#10;Kỳ vọng: Đã xác nhận&#10;Dữ liệu (trích): Nhánh partial-G-A2-failure trong thủ tục và Expected của case;…&#10;Thao tác (trích): 1. Chạy nút cam cho khối.…&#10;Xem chi tiết"/>
    <hyperlink ref="D536" location="'Chi tiết'!A1713" display="Kỳ vọng: Đã xác nhận&#10;1–2. G-A1 cập nhật; G-A2 giữ trạng thái trước lượt. Thông báo cho biết phạm vi đã cập nhật, chưa cập nhật và cần chạy lại; không báo hoàn tất toàn bộ; không suy số lớp đã xử lý…&#10;Xem chi tiết"/>
    <hyperlink ref="C537" location="'Chi tiết'!A1714" display="Chuẩn bị: Bị chặn&#10;Kỳ vọng: Đã xác nhận&#10;Dữ liệu (trích): Nhánh retry-G-A2-only trong thủ tục và Expected của case; thực…&#10;Thao tác (trích): 1. Chạy nút cam cho khối.…&#10;Xem chi tiết"/>
    <hyperlink ref="D537" location="'Chi tiết'!A1716" display="Kỳ vọng: Đã xác nhận&#10;1–2. G-A1 cập nhật; G-A2 giữ trạng thái trước lượt. Thông báo cho biết phạm vi đã cập nhật, chưa cập nhật và cần chạy lại; không báo hoàn tất toàn bộ; không suy số lớp đã xử lý…&#10;Xem chi tiết"/>
    <hyperlink ref="C538" location="'Chi tiết'!A1717" display="Chuẩn bị: Bị chặn&#10;Kỳ vọng: Đã xác nhận&#10;Dữ liệu (trích): Nhánh concurrent-score-write trong thủ tục và Expected của case;…&#10;Thao tác (trích): 1. Chạy nút cam cho khối.…&#10;Xem chi tiết"/>
    <hyperlink ref="D538" location="'Chi tiết'!A1719" display="Kỳ vọng: Đã xác nhận&#10;1–2. G-A1 cập nhật; G-A2 giữ trạng thái trước lượt. Thông báo cho biết phạm vi đã cập nhật, chưa cập nhật và cần chạy lại; không báo hoàn tất toàn bộ; không suy số lớp đã xử lý…&#10;Xem chi tiết"/>
    <hyperlink ref="C539" location="'Chi tiết'!A1720" display="Chuẩn bị: Đang chuẩn bị&#10;Kỳ vọng: Đã xác nhận&#10;Dữ liệu (trích): Toàn bộ thủ tục theo đúng thứ tự; các đối chứng cùng fixture…&#10;Thao tác (trích): 1. Bấm Thực hiện tính toán tự động（自動算出実行）, đọc thông báo ngay khi request trả về.…&#10;Xem chi tiết"/>
    <hyperlink ref="D539" location="'Chi tiết'!A1722" display="Kỳ vọng: Đã xác nhận&#10;1. Nếu xử lý chạy nền: thông báo là đã nhận/xếp hàng, không phải đã hoàn tất; kết quả chưa đổi cho tới khi xử lý xong.…&#10;Xem chi tiết"/>
    <hyperlink ref="C540" location="'Chi tiết'!A1723" display="Chuẩn bị: Đang chuẩn bị&#10;Kỳ vọng: Đã xác nhận&#10;Dữ liệu (trích): Lỗi lưu theo ERR-002&#10;Thao tác (trích): Thu thập mọi thông báo lỗi hiển thị cho người dùng trong các case trên.&#10;Xem chi tiết"/>
    <hyperlink ref="C541" location="'Chi tiết'!A1725" display="Chuẩn bị: Đang chuẩn bị&#10;Kỳ vọng: Đã xác nhận&#10;Dữ liệu (trích): Lỗi batch theo ERR-003&#10;Thao tác (trích): Thu thập mọi thông báo lỗi hiển thị cho người dùng trong các case trên.&#10;Xem chi tiết"/>
    <hyperlink ref="C542" location="'Chi tiết'!A1727" display="Chuẩn bị: Đang chuẩn bị&#10;Kỳ vọng: Đã xác nhận&#10;Dữ liệu (trích): Lỗi quyền theo ERR-006&#10;Thao tác (trích): Thu thập mọi thông báo lỗi hiển thị cho người dùng trong các case trên.&#10;Xem chi tiết"/>
    <hyperlink ref="C543" location="'Chi tiết'!A1729" display="Chuẩn bị: Đang chuẩn bị&#10;Kỳ vọng: Đã xác nhận&#10;Dữ liệu (trích): Lỗi dữ liệu theo ERR-009&#10;Thao tác (trích): Thu thập mọi thông báo lỗi hiển thị cho người dùng trong các case trên.&#10;Xem chi tiết"/>
    <hyperlink ref="B544" location="'Chi tiết'!A1731" display="Lỗi và cập nhật kết quả&#10;Lượt cũ hoàn tất muộn không ghi đè kết quả của điểm/cấu hình mới hơn&#10;Xem chi tiết"/>
    <hyperlink ref="C544" location="'Chi tiết'!A1732" display="Chuẩn bị: Đang chuẩn bị&#10;Kỳ vọng: Đã xác nhận&#10;Dữ liệu (trích): Nhánh score-update trong thủ tục và Expected của case; thực hiện…&#10;Thao tác (trích): 1. Khi batch chưa xong, sửa S01 từ 29 thành 40 và lưu.…&#10;Xem chi tiết"/>
    <hyperlink ref="D544" location="'Chi tiết'!A1735" display="Kỳ vọng: Đã xác nhận&#10;1–2. S01 = 40 và Không đỏ; batch cũ không ghi lại kết quả Đỏ của điểm 29.…&#10;Xem chi tiết"/>
    <hyperlink ref="B545" location="'Chi tiết'!A1737" display="Lỗi và cập nhật kết quả&#10;Lượt cũ hoàn tất muộn không ghi đè kết quả của điểm/cấu hình mới hơn&#10;Xem chi tiết"/>
    <hyperlink ref="C545" location="'Chi tiết'!A1738" display="Chuẩn bị: Đang chuẩn bị&#10;Kỳ vọng: Đã xác nhận&#10;Dữ liệu (trích): Nhánh rule-update trong thủ tục và Expected của case; thực hiện…&#10;Thao tác (trích): 1. Khi batch chưa xong, sửa S01 từ 29 thành 40 và lưu.…&#10;Xem chi tiết"/>
    <hyperlink ref="D545" location="'Chi tiết'!A1741" display="Kỳ vọng: Đã xác nhận&#10;1–2. S01 = 40 và Không đỏ; batch cũ không ghi lại kết quả Đỏ của điểm 29.…&#10;Xem chi tiết"/>
    <hyperlink ref="B546" location="'Chi tiết'!A1743" display="Lỗi và cập nhật kết quả&#10;Lượt cũ hoàn tất muộn không ghi đè kết quả của điểm/cấu hình mới hơn&#10;Xem chi tiết"/>
    <hyperlink ref="C546" location="'Chi tiết'!A1744" display="Chuẩn bị: Đang chuẩn bị&#10;Kỳ vọng: Đã xác nhận&#10;Dữ liệu (trích): Nhánh aggregation-snapshot-update trong thủ tục và Expected của…&#10;Thao tác (trích): 1. Khi batch chưa xong, sửa S01 từ 29 thành 40 và lưu.…&#10;Xem chi tiết"/>
    <hyperlink ref="D546" location="'Chi tiết'!A1747" display="Kỳ vọng: Đã xác nhận&#10;1–2. S01 = 40 và Không đỏ; batch cũ không ghi lại kết quả Đỏ của điểm 29.…&#10;Xem chi tiết"/>
    <hyperlink ref="B547" location="'Chi tiết'!A1749" display="Lỗi và cập nhật kết quả&#10;Lượt cũ hoàn tất muộn không ghi đè kết quả của điểm/cấu hình mới hơn&#10;Xem chi tiết"/>
    <hyperlink ref="C547" location="'Chi tiết'!A1750" display="Chuẩn bị: Đang chuẩn bị&#10;Kỳ vọng: Đã xác nhận&#10;Dữ liệu (trích): Nhánh edit-away-and-back trong thủ tục và Expected của case;…&#10;Thao tác (trích): 1. Khi batch chưa xong, sửa S01 từ 29 thành 40 và lưu.…&#10;Xem chi tiết"/>
    <hyperlink ref="D547" location="'Chi tiết'!A1753" display="Kỳ vọng: Đã xác nhận&#10;1–2. S01 = 40 và Không đỏ; batch cũ không ghi lại kết quả Đỏ của điểm 29.…&#10;Xem chi tiết"/>
    <hyperlink ref="B548" location="'Chi tiết'!A1755" display="Lỗi và cập nhật kết quả&#10;Lượt cũ hoàn tất muộn không ghi đè kết quả của điểm/cấu hình mới hơn&#10;Xem chi tiết"/>
    <hyperlink ref="C548" location="'Chi tiết'!A1756" display="Chuẩn bị: Đang chuẩn bị&#10;Kỳ vọng: Đã xác nhận&#10;Dữ liệu (trích): Nhánh delete-and-recreate trong thủ tục và Expected của case;…&#10;Thao tác (trích): 1. Khi batch chưa xong, sửa S01 từ 29 thành 40 và lưu.…&#10;Xem chi tiết"/>
    <hyperlink ref="D548" location="'Chi tiết'!A1759" display="Kỳ vọng: Đã xác nhận&#10;1–2. S01 = 40 và Không đỏ; batch cũ không ghi lại kết quả Đỏ của điểm 29.…&#10;Xem chi tiết"/>
    <hyperlink ref="B549" location="'Chi tiết'!A1761" display="Lỗi và cập nhật kết quả&#10;Lượt cũ hoàn tất muộn không ghi đè kết quả của điểm/cấu hình mới hơn&#10;Xem chi tiết"/>
    <hyperlink ref="C549" location="'Chi tiết'!A1762" display="Chuẩn bị: Đang chuẩn bị&#10;Kỳ vọng: Đã xác nhận&#10;Dữ liệu (trích): Nhánh rule-update-without-score-write trong thủ tục và Expected…&#10;Thao tác (trích): 1. Khi batch chưa xong, sửa S01 từ 29 thành 40 và lưu.…&#10;Xem chi tiết"/>
    <hyperlink ref="D549" location="'Chi tiết'!A1765" display="Kỳ vọng: Đã xác nhận&#10;1–2. S01 = 40 và Không đỏ; batch cũ không ghi lại kết quả Đỏ của điểm 29.…&#10;Xem chi tiết"/>
    <hyperlink ref="B550" location="'Chi tiết'!A1767" display="Lỗi và cập nhật kết quả&#10;Hai lượt xét lần đầu đồng thời hoặc gửi lại thao tác hoàn tất chỉ tạo một kết…&#10;Xem chi tiết"/>
    <hyperlink ref="C550" location="'Chi tiết'!A1768" display="Chuẩn bị: Đang chuẩn bị&#10;Kỳ vọng: Đã xác nhận&#10;Dữ liệu (trích): Bước 1–2 hai lượt lần đầu&#10;Thao tác (trích): 1. Cùng lúc: giáo viên lưu điểm S01 = 29 trên Đăng ký thành tích（成績登録） và người có quyền bấm nút cam cho G-A.…&#10;Xem chi tiết"/>
    <hyperlink ref="B551" location="'Chi tiết'!A1770" display="Lỗi và cập nhật kết quả&#10;Hai lượt xét lần đầu đồng thời hoặc gửi lại thao tác hoàn tất chỉ tạo một kết…&#10;Xem chi tiết"/>
    <hyperlink ref="C551" location="'Chi tiết'!A1771" display="Chuẩn bị: Đang chuẩn bị&#10;Kỳ vọng: Đã xác nhận&#10;Dữ liệu (trích): Bước 3 gửi lại form sau baseline bước 1–2&#10;Thao tác (trích): 1. Cùng lúc: giáo viên lưu điểm S01 = 29 trên Đăng ký thành tích（成績登録） và người có quyền bấm nút cam cho G-A.…&#10;Xem chi tiết"/>
    <hyperlink ref="B552" location="'Chi tiết'!A1773" display="Lỗi và cập nhật kết quả&#10;Hai lượt xét lần đầu đồng thời hoặc gửi lại thao tác hoàn tất chỉ tạo một kết…&#10;Xem chi tiết"/>
    <hyperlink ref="C552" location="'Chi tiết'!A1774" display="Chuẩn bị: Đang chuẩn bị&#10;Kỳ vọng: Đã xác nhận&#10;Dữ liệu (trích): Bước 3 chạy lại job cùng lượt nếu có seam, không có seam thì…&#10;Thao tác (trích): 1. Cùng lúc: giáo viên lưu điểm S01 = 29 trên Đăng ký thành tích（成績登録） và người có quyền bấm nút cam cho G-A.…&#10;Xem chi tiết"/>
    <hyperlink ref="B553" location="'Chi tiết'!A1776" display="Lỗi và cập nhật kết quả&#10;Đăng ký lần đầu đồng thời hai mục khác nhau của cùng học sinh giữ đủ cả hai&#10;Xem chi tiết"/>
    <hyperlink ref="C553" location="'Chi tiết'!A1777" display="Chuẩn bị: Đang chuẩn bị&#10;Kỳ vọng: Đã xác nhận&#10;Dữ liệu (trích): Toàn bộ thủ tục theo đúng thứ tự; các đối chứng cùng fixture…&#10;Thao tác (trích): 1. Hai phiên cùng lúc: phiên 1 lưu S01 = 29 cho mục số nguyên (M=100); phiên 2 lưu S01 = 45 cho mục thứ hai.…&#10;Xem chi tiết"/>
    <hyperlink ref="C554" location="'Chi tiết'!A1779" display="Chuẩn bị: Đang chuẩn bị&#10;Kỳ vọng: Đã xác nhận&#10;Dữ liệu (trích): Toàn bộ thủ tục theo đúng thứ tự; các đối chứng cùng fixture…&#10;Thao tác (trích): 1. Mở màn Điều kiện áp dụng（適用条件設定）, xem các loại điều kiện.…&#10;Xem chi tiết"/>
    <hyperlink ref="B555" location="'Chi tiết'!A1781" display="Hồi quy luồng hiện có&#10;Điểm do tính tự động（自動計算） tạo ra không đổi khi có quy tắc đỏ&#10;Xem chi tiết"/>
    <hyperlink ref="C555" location="'Chi tiết'!A1782" display="Chuẩn bị: Đang chuẩn bị&#10;Kỳ vọng: Đã xác nhận&#10;Dữ liệu (trích): Toàn bộ thủ tục theo đúng thứ tự; các đối chứng cùng fixture…&#10;Thao tác (trích): 1. Chạy nút cam cho khối 1.…&#10;Xem chi tiết"/>
    <hyperlink ref="B556" location="'Chi tiết'!A1784" display="Hồi quy luồng hiện có&#10;Quy tắc đỏ không kế thừa hành vi &quot;không khớp thì ghi NULL&quot; của AutoRating&#10;Xem chi tiết"/>
    <hyperlink ref="C556" location="'Chi tiết'!A1785" display="Chuẩn bị: Đang chuẩn bị&#10;Kỳ vọng: Đã xác nhận&#10;Dữ liệu (trích): Toàn bộ thủ tục theo đúng thứ tự; các đối chứng cùng fixture…&#10;Thao tác (trích): 1. Đăng ký S07=20; chạy nút cam.…&#10;Xem chi tiết"/>
    <hyperlink ref="B557" location="'Chi tiết'!A1787" display="Hồi quy luồng hiện có&#10;Nút cam/nút xanh của trường đang dùng AutoRating hoạt động như trước&#10;Xem chi tiết"/>
    <hyperlink ref="C557" location="'Chi tiết'!A1788" display="Chuẩn bị: Đang chuẩn bị&#10;Kỳ vọng: Đã xác nhận&#10;Dữ liệu (trích): Nút cam&#10;Thao tác (trích): 1. Mở màn, chọn cùng phạm vi như baseline.…&#10;Xem chi tiết"/>
    <hyperlink ref="B558" location="'Chi tiết'!A1790" display="Hồi quy luồng hiện có&#10;Nút cam/nút xanh của trường đang dùng AutoRating hoạt động như trước&#10;Xem chi tiết"/>
    <hyperlink ref="C558" location="'Chi tiết'!A1791" display="Chuẩn bị: Đang chuẩn bị&#10;Kỳ vọng: Đã xác nhận&#10;Dữ liệu (trích): Nút xanh&#10;Thao tác (trích): 1. Mở màn, chọn cùng phạm vi như baseline.…&#10;Xem chi tiết"/>
    <hyperlink ref="B559" location="'Chi tiết'!A1793" display="Hồi quy luồng hiện có&#10;Kết quả tổng hợp thứ hạng（順位集計） không đổi khi có quy tắc đỏ đọc nguồn&#10;Xem chi tiết"/>
    <hyperlink ref="C559" location="'Chi tiết'!A1794" display="Chuẩn bị: Đang chuẩn bị&#10;Kỳ vọng: Đã xác nhận&#10;Dữ liệu (trích): Toàn bộ thủ tục theo đúng thứ tự; các đối chứng cùng fixture…&#10;Thao tác (trích): 1. Chạy nút xanh rồi nút cam cho khối 1.…&#10;Xem chi tiết"/>
    <hyperlink ref="C560" location="'Chi tiết'!A1796" display="Chuẩn bị: Đang chuẩn bị&#10;Kỳ vọng: Đã xác nhận&#10;Dữ liệu (trích): Đổi định nghĩa M&#10;Thao tác (trích): 1. Đổi định nghĩa M ở Thiết lập điểm tối đa（満点設定）, lưu, mở lại.…&#10;Xem chi tiết"/>
    <hyperlink ref="C561" location="'Chi tiết'!A1798" display="Chuẩn bị: Đang chuẩn bị&#10;Kỳ vọng: Đã xác nhận&#10;Dữ liệu (trích): Đổi Giá trị tối đa&#10;Thao tác (trích): 1. Đổi định nghĩa M ở Thiết lập điểm tối đa（満点設定）, lưu, mở lại.…&#10;Xem chi tiết"/>
    <hyperlink ref="C562" location="'Chi tiết'!A1800" display="Chuẩn bị: Đang chuẩn bị&#10;Kỳ vọng: Đã xác nhận&#10;Dữ liệu (trích): Lưu điểm tối đa hàng loạt&#10;Thao tác (trích): 1. Đổi định nghĩa M ở Thiết lập điểm tối đa（満点設定）, lưu, mở lại.…&#10;Xem chi tiết"/>
    <hyperlink ref="C563" location="'Chi tiết'!A1802" display="Chuẩn bị: Đang chuẩn bị&#10;Kỳ vọng: Đã xác nhận&#10;Dữ liệu (trích): Cỡ 10 học sinh&#10;Thao tác (trích): Chạy batch với từng cỡ dữ liệu; đếm truy vấn liên quan đến quy tắc/nguồn/kết quả đỏ.&#10;Xem chi tiết"/>
    <hyperlink ref="C564" location="'Chi tiết'!A1804" display="Chuẩn bị: Đang chuẩn bị&#10;Kỳ vọng: Đã xác nhận&#10;Dữ liệu (trích): Cỡ 100 học sinh, đối chiếu log cả hai cỡ&#10;Thao tác (trích): Chạy batch với từng cỡ dữ liệu; đếm truy vấn liên quan đến quy tắc/nguồn/kết quả đỏ.&#10;Xem chi tiết"/>
    <hyperlink ref="C565" location="'Chi tiết'!A1806" display="Chuẩn bị: Đang chuẩn bị&#10;Kỳ vọng: Đã xác nhận&#10;Dữ liệu (trích): Màn đăng ký NB, đủ bước 1–3&#10;Thao tác (trích): 1. Lưu điểm môn con qua đường ghi điểm “Màn lớp NB 成績登録 (đăng ký điểm)”, đường ghi điểm “CSV lớp NB”, đường…&#10;Xem chi tiết"/>
    <hyperlink ref="D565" location="'Chi tiết'!A1808" display="Kỳ vọng: Đã xác nhận&#10;1–2. Điểm môn chính, điểm quan điểm được sao chép và tín chỉ bằng baseline; thông báo và hành vi lỗi của từng đường như baseline.…&#10;Xem chi tiết"/>
    <hyperlink ref="C566" location="'Chi tiết'!A1809" display="Chuẩn bị: Đang chuẩn bị&#10;Kỳ vọng: Đã xác nhận&#10;Dữ liệu (trích): CSV lớp NB, đủ bước 1–3&#10;Thao tác (trích): 1. Lưu điểm môn con qua đường ghi điểm “Màn lớp NB 成績登録 (đăng ký điểm)”, đường ghi điểm “CSV lớp NB”, đường…&#10;Xem chi tiết"/>
    <hyperlink ref="D566" location="'Chi tiết'!A1811" display="Kỳ vọng: Đã xác nhận&#10;1–2. Điểm môn chính, điểm quan điểm được sao chép và tín chỉ bằng baseline; thông báo và hành vi lỗi của từng đường như baseline.…&#10;Xem chi tiết"/>
    <hyperlink ref="C567" location="'Chi tiết'!A1812" display="Chuẩn bị: Đang chuẩn bị&#10;Kỳ vọng: Đã xác nhận&#10;Dữ liệu (trích): CSV lớp chủ nhiệm hàng loạt, đủ bước 1–3&#10;Thao tác (trích): 1. Lưu điểm môn con qua đường ghi điểm “Màn lớp NB 成績登録 (đăng ký điểm)”, đường ghi điểm “CSV lớp NB”, đường…&#10;Xem chi tiết"/>
    <hyperlink ref="D567" location="'Chi tiết'!A1814" display="Kỳ vọng: Đã xác nhận&#10;1–2. Điểm môn chính, điểm quan điểm được sao chép và tín chỉ bằng baseline; thông báo và hành vi lỗi của từng đường như baseline.…&#10;Xem chi tiết"/>
    <hyperlink ref="B568" location="'Chi tiết'!A1815" display="Hồi quy luồng hiện có&#10;Thiết lập ô nhập（入力欄設定）: các hàng hiện có không bị ảnh hưởng&#10;Xem chi tiết"/>
    <hyperlink ref="C568" location="'Chi tiết'!A1816" display="Chuẩn bị: Đang chuẩn bị&#10;Kỳ vọng: Đã xác nhận&#10;Dữ liệu (trích): Toàn bộ thủ tục theo đúng thứ tự; các đối chứng cùng fixture…&#10;Thao tác (trích): 1. Mở màn, so bố cục với baseline.…&#10;Xem chi tiết"/>
    <hyperlink ref="C569" location="'Chi tiết'!A1818" display="Chuẩn bị: Đang chuẩn bị&#10;Kỳ vọng: Đã xác nhận&#10;Dữ liệu (trích): Toàn bộ thủ tục theo đúng thứ tự; các đối chứng cùng fixture…&#10;Thao tác (trích): 1. Thêm và chạy rule đỏ mới.…&#10;Xem chi tiết"/>
    <hyperlink ref="C570" location="'Chi tiết'!A1820" display="Chuẩn bị: Đang chuẩn bị&#10;Kỳ vọng: Đã xác nhận&#10;Dữ liệu (trích): Đường copy DATA-015&#10;Thao tác (trích): 1. Chuyển cấu hình qua copy/năm mới/import hoặc sync.…&#10;Xem chi tiết"/>
    <hyperlink ref="C571" location="'Chi tiết'!A1822" display="Chuẩn bị: Đang chuẩn bị&#10;Kỳ vọng: Đã xác nhận&#10;Dữ liệu (trích): Đường năm mới DATA-016&#10;Thao tác (trích): 1. Chuyển cấu hình qua copy/năm mới/import hoặc sync.…&#10;Xem chi tiết"/>
    <hyperlink ref="C572" location="'Chi tiết'!A1824" display="Chuẩn bị: Đang chuẩn bị&#10;Kỳ vọng: Đã xác nhận&#10;Dữ liệu (trích): Đường import DATA-017&#10;Thao tác (trích): 1. Chuyển cấu hình qua copy/năm mới/import hoặc sync.…&#10;Xem chi tiết"/>
    <hyperlink ref="C573" location="'Chi tiết'!A1826" display="Chuẩn bị: Đang chuẩn bị&#10;Kỳ vọng: Đã xác nhận&#10;Dữ liệu (trích): Đường sync DATA-019&#10;Thao tác (trích): 1. Chuyển cấu hình qua copy/năm mới/import hoặc sync.…&#10;Xem chi tiết"/>
  </hyperlinks>
  <printOptions horizontalCentered="0"/>
  <pageMargins left="0.7" right="0.7" top="0.75" bottom="0.75" header="0.3" footer="0.3"/>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82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04" customWidth="1" min="3" max="3"/>
  </cols>
  <sheetData>
    <row r="1" ht="32" customHeight="1">
      <c r="A1" s="23" t="inlineStr">
        <is>
          <t>Chi tiết</t>
        </is>
      </c>
    </row>
    <row r="2" ht="38" customHeight="1">
      <c r="A2" s="18" t="inlineStr">
        <is>
          <t>Từ ngữ trong nội dung nguồn: fixture = dữ liệu kiểm thử; seam = đường thực hiện/quan sát; oracle = căn cứ xác định kết quả; actual = kết quả thực tế.</t>
        </is>
      </c>
    </row>
    <row r="4" ht="32" customHeight="1">
      <c r="A4" s="15" t="inlineStr">
        <is>
          <t>Mã kiểm thử</t>
        </is>
      </c>
      <c r="B4" s="15" t="inlineStr">
        <is>
          <t>Nội dung</t>
        </is>
      </c>
      <c r="C4" s="15" t="inlineStr">
        <is>
          <t>Chi tiết</t>
        </is>
      </c>
    </row>
    <row r="5" ht="61" customHeight="1">
      <c r="A5" s="24">
        <f>HYPERLINK("#'Kiểm thử'!A"&amp;(MATCH("TC-RS-FUNC-001 / integer",'Kiểm thử'!$A$5:$A$573,0)+4),"TC-RS-FUNC-001 / integer")</f>
        <v/>
      </c>
      <c r="B5" s="18" t="inlineStr">
        <is>
          <t>Màn hình / chức năng</t>
        </is>
      </c>
      <c r="C5" s="18" t="inlineStr">
        <is>
          <t>Quản lý danh sách quy tắc đỏ của một mục — Thiết lập điểm đỏ（赤点設定）
Hàng Thiết lập điểm đỏ（赤点設定） xuất hiện trong Thiết lập ô nhập（入力欄設定） cho mục điểm số</t>
        </is>
      </c>
    </row>
    <row r="6" ht="299" customHeight="1">
      <c r="A6" s="24">
        <f>HYPERLINK("#'Kiểm thử'!A"&amp;(MATCH("TC-RS-FUNC-001 / integer",'Kiểm thử'!$A$5:$A$573,0)+4),"TC-RS-FUNC-001 / integer")</f>
        <v/>
      </c>
      <c r="B6" s="18" t="inlineStr">
        <is>
          <t>Điều kiện / thao tác</t>
        </is>
      </c>
      <c r="C6" s="18" t="inlineStr">
        <is>
          <t>Cấu hình: Đăng nhập tài khoản giáo viên có quyền sửa mục. Chưa có quy tắc đỏ cho mục số nguyên (M=100); mục số thập phân (M=100) có ít nhất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môi trường test (trường A, năm học 2026), tài khoản giáo viên có quyền sửa mục, mục số nguyên (M=100), mục số thập phân (M=100), mục điểm đơn vị (đơn vị U1 có M riêng 40)
Mục số nguyên
Thao tác: 1. Mở Thiết lập nhập điểm（成績入力設定）→ Thiết lập ô nhập（入力欄設定） của kỳ 1学期期末 (cuối kỳ học kỳ 1).
2. Tìm hàng Thiết lập điểm đỏ（赤点設定） ở bảng mục nhập.
3. Bấm link của hàng này ở cột mục số nguyên (M=100), mục số thập phân (M=100), mục điểm đơn vị (đơn vị U1 có M riêng 40).</t>
        </is>
      </c>
    </row>
    <row r="7" ht="214" customHeight="1">
      <c r="A7" s="24">
        <f>HYPERLINK("#'Kiểm thử'!A"&amp;(MATCH("TC-RS-FUNC-001 / integer",'Kiểm thử'!$A$5:$A$573,0)+4),"TC-RS-FUNC-001 / integer")</f>
        <v/>
      </c>
      <c r="B7" s="18" t="inlineStr">
        <is>
          <t>Điều kiện / thao tác</t>
        </is>
      </c>
      <c r="C7"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 ht="129" customHeight="1">
      <c r="A8" s="24">
        <f>HYPERLINK("#'Kiểm thử'!A"&amp;(MATCH("TC-RS-FUNC-001 / integer",'Kiểm thử'!$A$5:$A$573,0)+4),"TC-RS-FUNC-001 / integer")</f>
        <v/>
      </c>
      <c r="B8" s="18" t="inlineStr">
        <is>
          <t>Kết quả mong đợi</t>
        </is>
      </c>
      <c r="C8" s="18" t="inlineStr">
        <is>
          <t>1. Theo Figma MW, hàng Thiết lập điểm đỏ（赤点設定） được đặt giữa hàng Tính tự động（自動計算） và hàng Thiết lập ẩn mục nhập（入力項目の非表示設定）. Đây là oracle UI PROPOSED; nếu bố cục khác, ghi Notes để đối chiếu, không mở bug từ riêng vị trí.
2. Có thao tác mở thiết lập cho mục số nguyên, số thập phân và điểm đơn vị.
3. Bấm link chuyển sang màn danh sách Thiết lập điểm đỏ（赤点設定） của đúng mục.
Bảo toàn: Giữ điểm, cấu hình và đối tượng không đích theo expected; chỉ thay phần thủ tục yêu cầu, không tự đổi oracle hoặc mở rộng phạm vi.</t>
        </is>
      </c>
    </row>
    <row r="9" ht="61" customHeight="1">
      <c r="A9" s="24">
        <f>HYPERLINK("#'Kiểm thử'!A"&amp;(MATCH("TC-RS-FUNC-001 / decimal",'Kiểm thử'!$A$5:$A$573,0)+4),"TC-RS-FUNC-001 / decimal")</f>
        <v/>
      </c>
      <c r="B9" s="18" t="inlineStr">
        <is>
          <t>Màn hình / chức năng</t>
        </is>
      </c>
      <c r="C9" s="18" t="inlineStr">
        <is>
          <t>Quản lý danh sách quy tắc đỏ của một mục — Thiết lập điểm đỏ（赤点設定）
Hàng Thiết lập điểm đỏ（赤点設定） xuất hiện trong Thiết lập ô nhập（入力欄設定） cho mục điểm số</t>
        </is>
      </c>
    </row>
    <row r="10" ht="299" customHeight="1">
      <c r="A10" s="24">
        <f>HYPERLINK("#'Kiểm thử'!A"&amp;(MATCH("TC-RS-FUNC-001 / decimal",'Kiểm thử'!$A$5:$A$573,0)+4),"TC-RS-FUNC-001 / decimal")</f>
        <v/>
      </c>
      <c r="B10" s="18" t="inlineStr">
        <is>
          <t>Điều kiện / thao tác</t>
        </is>
      </c>
      <c r="C10" s="18" t="inlineStr">
        <is>
          <t>Cấu hình: Đăng nhập tài khoản giáo viên có quyền sửa mục. Chưa có quy tắc đỏ cho mục số nguyên (M=100); mục số thập phân (M=100) có ít nhất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môi trường test (trường A, năm học 2026), tài khoản giáo viên có quyền sửa mục, mục số nguyên (M=100), mục số thập phân (M=100), mục điểm đơn vị (đơn vị U1 có M riêng 40)
Mục thập phân
Thao tác: 1. Mở Thiết lập nhập điểm（成績入力設定）→ Thiết lập ô nhập（入力欄設定） của kỳ 1学期期末 (cuối kỳ học kỳ 1).
2. Tìm hàng Thiết lập điểm đỏ（赤点設定） ở bảng mục nhập.
3. Bấm link của hàng này ở cột mục số nguyên (M=100), mục số thập phân (M=100), mục điểm đơn vị (đơn vị U1 có M riêng 40).</t>
        </is>
      </c>
    </row>
    <row r="11" ht="214" customHeight="1">
      <c r="A11" s="24">
        <f>HYPERLINK("#'Kiểm thử'!A"&amp;(MATCH("TC-RS-FUNC-001 / decimal",'Kiểm thử'!$A$5:$A$573,0)+4),"TC-RS-FUNC-001 / decimal")</f>
        <v/>
      </c>
      <c r="B11" s="18" t="inlineStr">
        <is>
          <t>Điều kiện / thao tác</t>
        </is>
      </c>
      <c r="C11"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 ht="129" customHeight="1">
      <c r="A12" s="24">
        <f>HYPERLINK("#'Kiểm thử'!A"&amp;(MATCH("TC-RS-FUNC-001 / decimal",'Kiểm thử'!$A$5:$A$573,0)+4),"TC-RS-FUNC-001 / decimal")</f>
        <v/>
      </c>
      <c r="B12" s="18" t="inlineStr">
        <is>
          <t>Kết quả mong đợi</t>
        </is>
      </c>
      <c r="C12" s="18" t="inlineStr">
        <is>
          <t>1. Theo Figma MW, hàng Thiết lập điểm đỏ（赤点設定） được đặt giữa hàng Tính tự động（自動計算） và hàng Thiết lập ẩn mục nhập（入力項目の非表示設定）. Đây là oracle UI PROPOSED; nếu bố cục khác, ghi Notes để đối chiếu, không mở bug từ riêng vị trí.
2. Có thao tác mở thiết lập cho mục số nguyên, số thập phân và điểm đơn vị.
3. Bấm link chuyển sang màn danh sách Thiết lập điểm đỏ（赤点設定） của đúng mục.
Bảo toàn: Giữ điểm, cấu hình và đối tượng không đích theo expected; chỉ thay phần thủ tục yêu cầu, không tự đổi oracle hoặc mở rộng phạm vi.</t>
        </is>
      </c>
    </row>
    <row r="13" ht="61" customHeight="1">
      <c r="A13" s="24">
        <f>HYPERLINK("#'Kiểm thử'!A"&amp;(MATCH("TC-RS-FUNC-001 / unit",'Kiểm thử'!$A$5:$A$573,0)+4),"TC-RS-FUNC-001 / unit")</f>
        <v/>
      </c>
      <c r="B13" s="18" t="inlineStr">
        <is>
          <t>Màn hình / chức năng</t>
        </is>
      </c>
      <c r="C13" s="18" t="inlineStr">
        <is>
          <t>Quản lý danh sách quy tắc đỏ của một mục — Thiết lập điểm đỏ（赤点設定）
Hàng Thiết lập điểm đỏ（赤点設定） xuất hiện trong Thiết lập ô nhập（入力欄設定） cho mục điểm số</t>
        </is>
      </c>
    </row>
    <row r="14" ht="299" customHeight="1">
      <c r="A14" s="24">
        <f>HYPERLINK("#'Kiểm thử'!A"&amp;(MATCH("TC-RS-FUNC-001 / unit",'Kiểm thử'!$A$5:$A$573,0)+4),"TC-RS-FUNC-001 / unit")</f>
        <v/>
      </c>
      <c r="B14" s="18" t="inlineStr">
        <is>
          <t>Điều kiện / thao tác</t>
        </is>
      </c>
      <c r="C14" s="18" t="inlineStr">
        <is>
          <t>Cấu hình: Đăng nhập tài khoản giáo viên có quyền sửa mục. Chưa có quy tắc đỏ cho mục số nguyên (M=100); mục số thập phân (M=100) có ít nhất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môi trường test (trường A, năm học 2026), tài khoản giáo viên có quyền sửa mục, mục số nguyên (M=100), mục số thập phân (M=100), mục điểm đơn vị (đơn vị U1 có M riêng 40)
Mục đơn vị
Thao tác: 1. Mở Thiết lập nhập điểm（成績入力設定）→ Thiết lập ô nhập（入力欄設定） của kỳ 1学期期末 (cuối kỳ học kỳ 1).
2. Tìm hàng Thiết lập điểm đỏ（赤点設定） ở bảng mục nhập.
3. Bấm link của hàng này ở cột mục số nguyên (M=100), mục số thập phân (M=100), mục điểm đơn vị (đơn vị U1 có M riêng 40).</t>
        </is>
      </c>
    </row>
    <row r="15" ht="214" customHeight="1">
      <c r="A15" s="24">
        <f>HYPERLINK("#'Kiểm thử'!A"&amp;(MATCH("TC-RS-FUNC-001 / unit",'Kiểm thử'!$A$5:$A$573,0)+4),"TC-RS-FUNC-001 / unit")</f>
        <v/>
      </c>
      <c r="B15" s="18" t="inlineStr">
        <is>
          <t>Điều kiện / thao tác</t>
        </is>
      </c>
      <c r="C15"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 ht="129" customHeight="1">
      <c r="A16" s="24">
        <f>HYPERLINK("#'Kiểm thử'!A"&amp;(MATCH("TC-RS-FUNC-001 / unit",'Kiểm thử'!$A$5:$A$573,0)+4),"TC-RS-FUNC-001 / unit")</f>
        <v/>
      </c>
      <c r="B16" s="18" t="inlineStr">
        <is>
          <t>Kết quả mong đợi</t>
        </is>
      </c>
      <c r="C16" s="18" t="inlineStr">
        <is>
          <t>1. Theo Figma MW, hàng Thiết lập điểm đỏ（赤点設定） được đặt giữa hàng Tính tự động（自動計算） và hàng Thiết lập ẩn mục nhập（入力項目の非表示設定）. Đây là oracle UI PROPOSED; nếu bố cục khác, ghi Notes để đối chiếu, không mở bug từ riêng vị trí.
2. Có thao tác mở thiết lập cho mục số nguyên, số thập phân và điểm đơn vị.
3. Bấm link chuyển sang màn danh sách Thiết lập điểm đỏ（赤点設定） của đúng mục.
Bảo toàn: Giữ điểm, cấu hình và đối tượng không đích theo expected; chỉ thay phần thủ tục yêu cầu, không tự đổi oracle hoặc mở rộng phạm vi.</t>
        </is>
      </c>
    </row>
    <row r="17" ht="44" customHeight="1">
      <c r="A17" s="24">
        <f>HYPERLINK("#'Kiểm thử'!A"&amp;(MATCH("TC-RS-FUNC-002 / choice",'Kiểm thử'!$A$5:$A$573,0)+4),"TC-RS-FUNC-002 / choice")</f>
        <v/>
      </c>
      <c r="B17" s="18" t="inlineStr">
        <is>
          <t>Màn hình / chức năng</t>
        </is>
      </c>
      <c r="C17" s="18" t="inlineStr">
        <is>
          <t>Quản lý danh sách quy tắc đỏ của một mục — Thiết lập điểm đỏ（赤点設定）
Mục kiểu lựa chọn và Đạt/không đạt（合否） không có thao tác tạo quy tắc đỏ có hiệu lực</t>
        </is>
      </c>
    </row>
    <row r="18" ht="299" customHeight="1">
      <c r="A18" s="24">
        <f>HYPERLINK("#'Kiểm thử'!A"&amp;(MATCH("TC-RS-FUNC-002 / choice",'Kiểm thử'!$A$5:$A$573,0)+4),"TC-RS-FUNC-002 / choice")</f>
        <v/>
      </c>
      <c r="B18" s="18" t="inlineStr">
        <is>
          <t>Điều kiện / thao tác</t>
        </is>
      </c>
      <c r="C18" s="18" t="inlineStr">
        <is>
          <t xml:space="preserve">Cấu hình: Đăng nhập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kiểu lựa chọn A/B/C, mục Đạt/không đạt（合否）
Mục lựa chọn, gồm thử URL trực tiếp ở bước 3
Thao tác: 1. Mở Thiết lập ô nhập（入力欄設定）.
2. Xem hàng Thiết lập điểm đỏ（赤点設定） ở cột mục kiểu lựa chọn A/B/C, mục Đạt/không đạt（合否）.
3. Thử mở URL màn danh sách điểm đỏ của mục kiểu lựa chọn A/B/C bằng ID mục (nếu biết URL).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9" ht="146" customHeight="1">
      <c r="A19" s="24">
        <f>HYPERLINK("#'Kiểm thử'!A"&amp;(MATCH("TC-RS-FUNC-002 / choice",'Kiểm thử'!$A$5:$A$573,0)+4),"TC-RS-FUNC-002 / choice")</f>
        <v/>
      </c>
      <c r="B19" s="18" t="inlineStr">
        <is>
          <t>Điều kiện / thao tác</t>
        </is>
      </c>
      <c r="C19"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cần route/build URL hiện hành để kiểm trực tiếp endpoint; không coi việc chưa biết URL là READY.
TC-RS-FUNC-002: hoàn thiện đúng fixture/seam; giữ expected và chưa kết luận thực thi.</t>
        </is>
      </c>
    </row>
    <row r="20" ht="95" customHeight="1">
      <c r="A20" s="24">
        <f>HYPERLINK("#'Kiểm thử'!A"&amp;(MATCH("TC-RS-FUNC-002 / choice",'Kiểm thử'!$A$5:$A$573,0)+4),"TC-RS-FUNC-002 / choice")</f>
        <v/>
      </c>
      <c r="B20" s="18" t="inlineStr">
        <is>
          <t>Kết quả mong đợi</t>
        </is>
      </c>
      <c r="C20" s="18" t="inlineStr">
        <is>
          <t>1. Không có thao tác tạo quy tắc đỏ có hiệu lực cho hai mục này.
2. Nếu có endpoint truy cập trực tiếp, server vẫn từ chối tạo/lưu quy tắc cho mục không thuộc loại số; không dùng việc URL không hiển thị làm bằng chứng duy nhất.
Bảo toàn: Giữ điểm, cấu hình và đối tượng không đích theo expected; chỉ thay phần thủ tục yêu cầu, không tự đổi oracle hoặc mở rộng phạm vi.</t>
        </is>
      </c>
    </row>
    <row r="21" ht="44" customHeight="1">
      <c r="A21" s="24">
        <f>HYPERLINK("#'Kiểm thử'!A"&amp;(MATCH("TC-RS-FUNC-002 / passfail",'Kiểm thử'!$A$5:$A$573,0)+4),"TC-RS-FUNC-002 / passfail")</f>
        <v/>
      </c>
      <c r="B21" s="18" t="inlineStr">
        <is>
          <t>Màn hình / chức năng</t>
        </is>
      </c>
      <c r="C21" s="18" t="inlineStr">
        <is>
          <t>Quản lý danh sách quy tắc đỏ của một mục — Thiết lập điểm đỏ（赤点設定）
Mục kiểu lựa chọn và Đạt/không đạt（合否） không có thao tác tạo quy tắc đỏ có hiệu lực</t>
        </is>
      </c>
    </row>
    <row r="22" ht="299" customHeight="1">
      <c r="A22" s="24">
        <f>HYPERLINK("#'Kiểm thử'!A"&amp;(MATCH("TC-RS-FUNC-002 / passfail",'Kiểm thử'!$A$5:$A$573,0)+4),"TC-RS-FUNC-002 / passfail")</f>
        <v/>
      </c>
      <c r="B22" s="18" t="inlineStr">
        <is>
          <t>Điều kiện / thao tác</t>
        </is>
      </c>
      <c r="C22" s="18" t="inlineStr">
        <is>
          <t xml:space="preserve">Cấu hình: Đăng nhập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kiểu lựa chọn A/B/C, mục Đạt/không đạt（合否）
Mục Đạt/không đạt ở bước 1–2
Thao tác: 1. Mở Thiết lập ô nhập（入力欄設定）.
2. Xem hàng Thiết lập điểm đỏ（赤点設定） ở cột mục kiểu lựa chọn A/B/C, mục Đạt/không đạt（合否）.
3. Thử mở URL màn danh sách điểm đỏ của mục kiểu lựa chọn A/B/C bằng ID mục (nếu biết URL).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3" ht="146" customHeight="1">
      <c r="A23" s="24">
        <f>HYPERLINK("#'Kiểm thử'!A"&amp;(MATCH("TC-RS-FUNC-002 / passfail",'Kiểm thử'!$A$5:$A$573,0)+4),"TC-RS-FUNC-002 / passfail")</f>
        <v/>
      </c>
      <c r="B23" s="18" t="inlineStr">
        <is>
          <t>Điều kiện / thao tác</t>
        </is>
      </c>
      <c r="C23"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cần route/build URL hiện hành để kiểm trực tiếp endpoint; không coi việc chưa biết URL là READY.
TC-RS-FUNC-002: hoàn thiện đúng fixture/seam; giữ expected và chưa kết luận thực thi.</t>
        </is>
      </c>
    </row>
    <row r="24" ht="95" customHeight="1">
      <c r="A24" s="24">
        <f>HYPERLINK("#'Kiểm thử'!A"&amp;(MATCH("TC-RS-FUNC-002 / passfail",'Kiểm thử'!$A$5:$A$573,0)+4),"TC-RS-FUNC-002 / passfail")</f>
        <v/>
      </c>
      <c r="B24" s="18" t="inlineStr">
        <is>
          <t>Kết quả mong đợi</t>
        </is>
      </c>
      <c r="C24" s="18" t="inlineStr">
        <is>
          <t>1. Không có thao tác tạo quy tắc đỏ có hiệu lực cho hai mục này.
2. Nếu có endpoint truy cập trực tiếp, server vẫn từ chối tạo/lưu quy tắc cho mục không thuộc loại số; không dùng việc URL không hiển thị làm bằng chứng duy nhất.
Bảo toàn: Giữ điểm, cấu hình và đối tượng không đích theo expected; chỉ thay phần thủ tục yêu cầu, không tự đổi oracle hoặc mở rộng phạm vi.</t>
        </is>
      </c>
    </row>
    <row r="25" ht="44" customHeight="1">
      <c r="A25" s="24">
        <f>HYPERLINK("#'Kiểm thử'!A"&amp;(MATCH("TC-RS-FUNC-004 / Base",'Kiểm thử'!$A$5:$A$573,0)+4),"TC-RS-FUNC-004 / Base")</f>
        <v/>
      </c>
      <c r="B25" s="18" t="inlineStr">
        <is>
          <t>Màn hình / chức năng</t>
        </is>
      </c>
      <c r="C25" s="18" t="inlineStr">
        <is>
          <t>Quản lý danh sách quy tắc đỏ của một mục — Thiết lập điểm đỏ（赤点設定）
Thêm quy tắc qua Điều kiện áp dụng（適用条件） và Ngưỡng（基準設定） rồi quay lại danh sách</t>
        </is>
      </c>
    </row>
    <row r="26" ht="299" customHeight="1">
      <c r="A26" s="24">
        <f>HYPERLINK("#'Kiểm thử'!A"&amp;(MATCH("TC-RS-FUNC-004 / Base",'Kiểm thử'!$A$5:$A$573,0)+4),"TC-RS-FUNC-004 / Base")</f>
        <v/>
      </c>
      <c r="B26" s="18" t="inlineStr">
        <is>
          <t>Điều kiện / thao tác</t>
        </is>
      </c>
      <c r="C26" s="18" t="inlineStr">
        <is>
          <t>Cấu hình: mục số nguyên (M=100) đã có cặp quy tắc cùng áp dụng (dưới 20 và dưới 30) (2 quy tắc). Đăng nhập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cặp quy tắc cùng áp dụng (dưới 20 và dưới 30); quy tắc “Cố định 30” (dưới 30)
Toàn bộ thủ tục theo đúng thứ tự; các đối chứng cùng fixture được kiểm trong cùng lượt, không bỏ bước
Thao tác: 1. Ở danh sách, bấm Thêm thiết lập chi tiết（詳細設定の追加）.
2. Nhập Tên thiết lập（設定名称） "Cố định 30", chọn Toàn bộ đối tượng（全員が対象）, bấm Cập nhật（更新する）.
3. Mở Ngưỡng, chọn Điểm cố định（固定点数）, nhập 30, chọn Nhỏ hơn（未満）, bấm Cập nhật（更新</t>
        </is>
      </c>
    </row>
    <row r="27" ht="231" customHeight="1">
      <c r="A27" s="24">
        <f>HYPERLINK("#'Kiểm thử'!A"&amp;(MATCH("TC-RS-FUNC-004 / Base",'Kiểm thử'!$A$5:$A$573,0)+4),"TC-RS-FUNC-004 / Base")</f>
        <v/>
      </c>
      <c r="B27" s="18" t="inlineStr">
        <is>
          <t>Điều kiện / thao tác</t>
        </is>
      </c>
      <c r="C27" s="18" t="inlineStr">
        <is>
          <t>する）.
4. Xem danh sách.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8" ht="129" customHeight="1">
      <c r="A28" s="24">
        <f>HYPERLINK("#'Kiểm thử'!A"&amp;(MATCH("TC-RS-FUNC-004 / Base",'Kiểm thử'!$A$5:$A$573,0)+4),"TC-RS-FUNC-004 / Base")</f>
        <v/>
      </c>
      <c r="B28" s="18" t="inlineStr">
        <is>
          <t>Kết quả mong đợi</t>
        </is>
      </c>
      <c r="C28" s="18" t="inlineStr">
        <is>
          <t>1. Sau mỗi lần cập nhật, màn quay về danh sách.
2. Dòng mới hiện tên, tóm tắt điều kiện "toàn bộ" và ngưỡng "Điểm cố định: 30 điểm, Nhỏ hơn" đúng với dữ liệu đã lưu.
3. **PROPOSED (đặc tả v2 mục 4.4 “Lưu, đổi thứ tự và xóa”):** dòng mới nằm sau các quy tắc đã có.
Bảo toàn: Giữ điểm, cấu hình và đối tượng không đích theo expected; chỉ thay phần thủ tục yêu cầu, không tự đổi oracle hoặc mở rộng phạm vi.</t>
        </is>
      </c>
    </row>
    <row r="29" ht="44" customHeight="1">
      <c r="A29" s="24">
        <f>HYPERLINK("#'Kiểm thử'!A"&amp;(MATCH("TC-RS-FUNC-005 / Base",'Kiểm thử'!$A$5:$A$573,0)+4),"TC-RS-FUNC-005 / Base")</f>
        <v/>
      </c>
      <c r="B29" s="18" t="inlineStr">
        <is>
          <t>Màn hình / chức năng</t>
        </is>
      </c>
      <c r="C29" s="18" t="inlineStr">
        <is>
          <t>Quản lý danh sách quy tắc đỏ của một mục — Thiết lập điểm đỏ（赤点設定）
Nhiều quy tắc hiển thị theo ưu tiên; đổi thứ tự bằng ▲▼ được lưu</t>
        </is>
      </c>
    </row>
    <row r="30" ht="299" customHeight="1">
      <c r="A30" s="24">
        <f>HYPERLINK("#'Kiểm thử'!A"&amp;(MATCH("TC-RS-FUNC-005 / Base",'Kiểm thử'!$A$5:$A$573,0)+4),"TC-RS-FUNC-005 / Base")</f>
        <v/>
      </c>
      <c r="B30" s="18" t="inlineStr">
        <is>
          <t>Điều kiện / thao tác</t>
        </is>
      </c>
      <c r="C30" s="18" t="inlineStr">
        <is>
          <t>Cấu hình: mục số nguyên (M=100) có 3 quy tắc tên quy tắc 1, quy tắc 2, quy tắc 3 (tên tạm trong case) theo thứ tự.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cặp quy tắc cùng áp dụng (dưới 20 và dưới 30)
Toàn bộ thủ tục theo đúng thứ tự; các đối chứng cùng fixture được kiểm trong cùng lượt, không bỏ bước
Thao tác: 1. Bấm ▼ ở quy tắc 1.
2. Tải lại trang.
3. Bấm ▲ ở quy tắc 3.
4. Đăng xuất, đăng nhập lại, mở danh sách.</t>
        </is>
      </c>
    </row>
    <row r="31" ht="214" customHeight="1">
      <c r="A31" s="24">
        <f>HYPERLINK("#'Kiểm thử'!A"&amp;(MATCH("TC-RS-FUNC-005 / Base",'Kiểm thử'!$A$5:$A$573,0)+4),"TC-RS-FUNC-005 / Base")</f>
        <v/>
      </c>
      <c r="B31" s="18" t="inlineStr">
        <is>
          <t>Điều kiện / thao tác</t>
        </is>
      </c>
      <c r="C31"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2" ht="112" customHeight="1">
      <c r="A32" s="24">
        <f>HYPERLINK("#'Kiểm thử'!A"&amp;(MATCH("TC-RS-FUNC-005 / Base",'Kiểm thử'!$A$5:$A$573,0)+4),"TC-RS-FUNC-005 / Base")</f>
        <v/>
      </c>
      <c r="B32" s="18" t="inlineStr">
        <is>
          <t>Kết quả mong đợi</t>
        </is>
      </c>
      <c r="C32" s="18" t="inlineStr">
        <is>
          <t>1. Sau bước 1 thứ tự là quy tắc 2, quy tắc 1, quy tắc 3 và giữ nguyên sau khi tải lại.
2. Sau bước 3 thứ tự là quy tắc 2, quy tắc 3, quy tắc 1 và giữ nguyên khi mở lại.
3. Đổi thứ tự không làm thay kết quả đỏ hiện có (kiểm ở case “Lưu cấu hình không xét; kết quả trước giữ tới lần chạy lại”).
Bảo toàn: Giữ điểm, cấu hình và đối tượng không đích theo expected; chỉ thay phần thủ tục yêu cầu, không tự đổi oracle hoặc mở rộng phạm vi.</t>
        </is>
      </c>
    </row>
    <row r="33" ht="44" customHeight="1">
      <c r="A33" s="24">
        <f>HYPERLINK("#'Kiểm thử'!A"&amp;(MATCH("TC-RS-FUNC-006 / cancel",'Kiểm thử'!$A$5:$A$573,0)+4),"TC-RS-FUNC-006 / cancel")</f>
        <v/>
      </c>
      <c r="B33" s="18" t="inlineStr">
        <is>
          <t>Màn hình / chức năng</t>
        </is>
      </c>
      <c r="C33" s="18" t="inlineStr">
        <is>
          <t>Quản lý danh sách quy tắc đỏ của một mục — Thiết lập điểm đỏ（赤点設定）
Xóa một quy tắc có xác nhận; Hủy（キャンセル） giữ nguyên</t>
        </is>
      </c>
    </row>
    <row r="34" ht="299" customHeight="1">
      <c r="A34" s="24">
        <f>HYPERLINK("#'Kiểm thử'!A"&amp;(MATCH("TC-RS-FUNC-006 / cancel",'Kiểm thử'!$A$5:$A$573,0)+4),"TC-RS-FUNC-006 / cancel")</f>
        <v/>
      </c>
      <c r="B34" s="18" t="inlineStr">
        <is>
          <t>Điều kiện / thao tác</t>
        </is>
      </c>
      <c r="C34" s="18" t="inlineStr">
        <is>
          <t>Cấu hình: mục số nguyên (M=100) có 2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cặp quy tắc cùng áp dụng (dưới 20 và dưới 30)
Hủy xóa
Thao tác: 1. Bấm Xóa（削除） ở quy tắc thứ 2, chọn Hủy（キャンセル）.
2. Bấm Xóa（削除） lại, chọn Xóa（削除する）.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5" ht="129" customHeight="1">
      <c r="A35" s="24">
        <f>HYPERLINK("#'Kiểm thử'!A"&amp;(MATCH("TC-RS-FUNC-006 / cancel",'Kiểm thử'!$A$5:$A$573,0)+4),"TC-RS-FUNC-006 / cancel")</f>
        <v/>
      </c>
      <c r="B35" s="18" t="inlineStr">
        <is>
          <t>Điều kiện / thao tác</t>
        </is>
      </c>
      <c r="C3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6" ht="112" customHeight="1">
      <c r="A36" s="24">
        <f>HYPERLINK("#'Kiểm thử'!A"&amp;(MATCH("TC-RS-FUNC-006 / cancel",'Kiểm thử'!$A$5:$A$573,0)+4),"TC-RS-FUNC-006 / cancel")</f>
        <v/>
      </c>
      <c r="B36" s="18" t="inlineStr">
        <is>
          <t>Kết quả mong đợi</t>
        </is>
      </c>
      <c r="C36" s="18" t="inlineStr">
        <is>
          <t>1. Hộp xác nhận nêu thiết lập sẽ bị xóa và kết quả học sinh chỉ cập nhật ở lần xét tiếp theo.
2. Hủy: danh sách giữ 2 quy tắc.
3. Xóa: danh sách còn 1 quy tắc; kết quả đỏ hiện có không đổi cho tới lần xét tiếp theo (case “Xóa quy tắc cuối: giữ kết quả tới lần chạy lại; chạy lại → Không áp dụng”).
Bảo toàn: Giữ điểm, cấu hình và đối tượng không đích theo expected; chỉ thay phần thủ tục yêu cầu, không tự đổi oracle hoặc mở rộng phạm vi.</t>
        </is>
      </c>
    </row>
    <row r="37" ht="44" customHeight="1">
      <c r="A37" s="24">
        <f>HYPERLINK("#'Kiểm thử'!A"&amp;(MATCH("TC-RS-FUNC-006 / delete",'Kiểm thử'!$A$5:$A$573,0)+4),"TC-RS-FUNC-006 / delete")</f>
        <v/>
      </c>
      <c r="B37" s="18" t="inlineStr">
        <is>
          <t>Màn hình / chức năng</t>
        </is>
      </c>
      <c r="C37" s="18" t="inlineStr">
        <is>
          <t>Quản lý danh sách quy tắc đỏ của một mục — Thiết lập điểm đỏ（赤点設定）
Xóa một quy tắc có xác nhận; Hủy（キャンセル） giữ nguyên</t>
        </is>
      </c>
    </row>
    <row r="38" ht="299" customHeight="1">
      <c r="A38" s="24">
        <f>HYPERLINK("#'Kiểm thử'!A"&amp;(MATCH("TC-RS-FUNC-006 / delete",'Kiểm thử'!$A$5:$A$573,0)+4),"TC-RS-FUNC-006 / delete")</f>
        <v/>
      </c>
      <c r="B38" s="18" t="inlineStr">
        <is>
          <t>Điều kiện / thao tác</t>
        </is>
      </c>
      <c r="C38" s="18" t="inlineStr">
        <is>
          <t>Cấu hình: mục số nguyên (M=100) có 2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cặp quy tắc cùng áp dụng (dưới 20 và dưới 30)
Xác nhận xóa, dựng lại baseline trước lượt này
Thao tác: 1. Bấm Xóa（削除） ở quy tắc thứ 2, chọn Hủy（キャンセル）.
2. Bấm Xóa（削除） lại, chọn Xóa（削除する）.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9" ht="129" customHeight="1">
      <c r="A39" s="24">
        <f>HYPERLINK("#'Kiểm thử'!A"&amp;(MATCH("TC-RS-FUNC-006 / delete",'Kiểm thử'!$A$5:$A$573,0)+4),"TC-RS-FUNC-006 / delete")</f>
        <v/>
      </c>
      <c r="B39" s="18" t="inlineStr">
        <is>
          <t>Điều kiện / thao tác</t>
        </is>
      </c>
      <c r="C3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0" ht="112" customHeight="1">
      <c r="A40" s="24">
        <f>HYPERLINK("#'Kiểm thử'!A"&amp;(MATCH("TC-RS-FUNC-006 / delete",'Kiểm thử'!$A$5:$A$573,0)+4),"TC-RS-FUNC-006 / delete")</f>
        <v/>
      </c>
      <c r="B40" s="18" t="inlineStr">
        <is>
          <t>Kết quả mong đợi</t>
        </is>
      </c>
      <c r="C40" s="18" t="inlineStr">
        <is>
          <t>1. Hộp xác nhận nêu thiết lập sẽ bị xóa và kết quả học sinh chỉ cập nhật ở lần xét tiếp theo.
2. Hủy: danh sách giữ 2 quy tắc.
3. Xóa: danh sách còn 1 quy tắc; kết quả đỏ hiện có không đổi cho tới lần xét tiếp theo (case “Xóa quy tắc cuối: giữ kết quả tới lần chạy lại; chạy lại → Không áp dụng”).
Bảo toàn: Giữ điểm, cấu hình và đối tượng không đích theo expected; chỉ thay phần thủ tục yêu cầu, không tự đổi oracle hoặc mở rộng phạm vi.</t>
        </is>
      </c>
    </row>
    <row r="41" ht="44" customHeight="1">
      <c r="A41" s="24">
        <f>HYPERLINK("#'Kiểm thử'!A"&amp;(MATCH("TC-RS-FUNC-007 / back-threshold",'Kiểm thử'!$A$5:$A$573,0)+4),"TC-RS-FUNC-007 / back-threshold")</f>
        <v/>
      </c>
      <c r="B41" s="18" t="inlineStr">
        <is>
          <t>Màn hình / chức năng</t>
        </is>
      </c>
      <c r="C41" s="18" t="inlineStr">
        <is>
          <t>Quản lý danh sách quy tắc đỏ của một mục — Thiết lập điểm đỏ（赤点設定）
Quay lại（戻る）/hủy chỉnh sửa không lưu dữ liệu đang nhập</t>
        </is>
      </c>
    </row>
    <row r="42" ht="299" customHeight="1">
      <c r="A42" s="24">
        <f>HYPERLINK("#'Kiểm thử'!A"&amp;(MATCH("TC-RS-FUNC-007 / back-threshold",'Kiểm thử'!$A$5:$A$573,0)+4),"TC-RS-FUNC-007 / back-threshold")</f>
        <v/>
      </c>
      <c r="B42" s="18" t="inlineStr">
        <is>
          <t>Điều kiện / thao tác</t>
        </is>
      </c>
      <c r="C42" s="18" t="inlineStr">
        <is>
          <t>Cấu hình: mục số nguyên (M=100)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Quay lại từ màn ngưỡng
Thao tác: 1. Mở Ngưỡng của quy tắc “Cố định 30” (dưới 30), đổi 30 thành 35 và đổi sang Nhỏ hơn hoặc bằng（以下）.
2. Bấm Quay lại（戻る）.
3. Mở Điều kiện áp dụng, đổi tên, bấm Quay lại（戻る）.
4. Mở lại hai màn.
Khôi phục: Trước mỗi biến thể, dựng lại điều kiện/dữ liệu đầu của case bằng đường được phép; giữ các reset/fixture độc lập đã nêu trong thủ tục.</t>
        </is>
      </c>
    </row>
    <row r="43" ht="180" customHeight="1">
      <c r="A43" s="24">
        <f>HYPERLINK("#'Kiểm thử'!A"&amp;(MATCH("TC-RS-FUNC-007 / back-threshold",'Kiểm thử'!$A$5:$A$573,0)+4),"TC-RS-FUNC-007 / back-threshold")</f>
        <v/>
      </c>
      <c r="B43" s="18" t="inlineStr">
        <is>
          <t>Điều kiện / thao tác</t>
        </is>
      </c>
      <c r="C43"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4" ht="44" customHeight="1">
      <c r="A44" s="24">
        <f>HYPERLINK("#'Kiểm thử'!A"&amp;(MATCH("TC-RS-FUNC-007 / back-condition",'Kiểm thử'!$A$5:$A$573,0)+4),"TC-RS-FUNC-007 / back-condition")</f>
        <v/>
      </c>
      <c r="B44" s="18" t="inlineStr">
        <is>
          <t>Màn hình / chức năng</t>
        </is>
      </c>
      <c r="C44" s="18" t="inlineStr">
        <is>
          <t>Quản lý danh sách quy tắc đỏ của một mục — Thiết lập điểm đỏ（赤点設定）
Quay lại（戻る）/hủy chỉnh sửa không lưu dữ liệu đang nhập</t>
        </is>
      </c>
    </row>
    <row r="45" ht="299" customHeight="1">
      <c r="A45" s="24">
        <f>HYPERLINK("#'Kiểm thử'!A"&amp;(MATCH("TC-RS-FUNC-007 / back-condition",'Kiểm thử'!$A$5:$A$573,0)+4),"TC-RS-FUNC-007 / back-condition")</f>
        <v/>
      </c>
      <c r="B45" s="18" t="inlineStr">
        <is>
          <t>Điều kiện / thao tác</t>
        </is>
      </c>
      <c r="C45" s="18" t="inlineStr">
        <is>
          <t>Cấu hình: mục số nguyên (M=100)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Quay lại từ màn điều kiện
Thao tác: 1. Mở Ngưỡng của quy tắc “Cố định 30” (dưới 30), đổi 30 thành 35 và đổi sang Nhỏ hơn hoặc bằng（以下）.
2. Bấm Quay lại（戻る）.
3. Mở Điều kiện áp dụng, đổi tên, bấm Quay lại（戻る）.
4. Mở lại hai màn.
Khôi phục: Trước mỗi biến thể, dựng lại điều kiện/dữ liệu đầu của case bằng đường được phép; giữ các reset/fixture độc lập đã nêu trong thủ tục.</t>
        </is>
      </c>
    </row>
    <row r="46" ht="180" customHeight="1">
      <c r="A46" s="24">
        <f>HYPERLINK("#'Kiểm thử'!A"&amp;(MATCH("TC-RS-FUNC-007 / back-condition",'Kiểm thử'!$A$5:$A$573,0)+4),"TC-RS-FUNC-007 / back-condition")</f>
        <v/>
      </c>
      <c r="B46" s="18" t="inlineStr">
        <is>
          <t>Điều kiện / thao tác</t>
        </is>
      </c>
      <c r="C46"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7" ht="44" customHeight="1">
      <c r="A47" s="24">
        <f>HYPERLINK("#'Kiểm thử'!A"&amp;(MATCH("TC-RS-FUNC-014 / incomplete-excluded",'Kiểm thử'!$A$5:$A$573,0)+4),"TC-RS-FUNC-014 / incomplete-excluded")</f>
        <v/>
      </c>
      <c r="B47" s="18" t="inlineStr">
        <is>
          <t>Màn hình / chức năng</t>
        </is>
      </c>
      <c r="C47" s="18" t="inlineStr">
        <is>
          <t>Quản lý danh sách quy tắc đỏ của một mục — Thiết lập điểm đỏ（赤点設定）
Quy tắc mới chỉ có điều kiện, chưa có ngưỡng, không tham gia xét</t>
        </is>
      </c>
    </row>
    <row r="48" ht="299" customHeight="1">
      <c r="A48" s="24">
        <f>HYPERLINK("#'Kiểm thử'!A"&amp;(MATCH("TC-RS-FUNC-014 / incomplete-excluded",'Kiểm thử'!$A$5:$A$573,0)+4),"TC-RS-FUNC-014 / incomplete-excluded")</f>
        <v/>
      </c>
      <c r="B48" s="18" t="inlineStr">
        <is>
          <t>Điều kiện / thao tác</t>
        </is>
      </c>
      <c r="C48" s="18" t="inlineStr">
        <is>
          <t>Cấu hình: - Điều kiện chung: trường A/năm 2026, mục số nguyên TD-ITEM-01 (M=100), S01 có điểm 29; giáo viên có quyền sửa rule và chạy xét lại. Hai tab cùng phạm vi mục/kỳ. Mỗi biến thể có bản reset riêng, đúng hai rule Toàn bộ với dấu `&lt;`; ghi identity rule ưu tiên 1 và rule đối chứng ưu tiên 2. Phạm vi trích xuất chỉ gồm ô này để ô đỏ khác không ảnh hưởng bộ lọc.
- `incomplete-excluded`: rule ưu tiên 1 chỉ lưu điều kiện, chưa có ngưỡng; rule đối chứng ưu tiên 2 có T=30. Đây là fixture TD-RULE-13/TD-RULE-01.
- `complete-deleted-stale`: rule ưu tiên 1 hoàn chỉnh T=30, rule đối chứng ưu tiên 2 T=20; chạy baseline S01=29 → Đỏ theo rule ưu tiên 1.
- `incomplete-deleted-stale`: rule ưu tiên 1 chỉ có điều kiện, rule đối chứng ưu tiên 2 T=20; chạy baseline S01=29 → Không đỏ theo rule đối chứng. T=20 là cấu hình riêng của hai biến thể stale-form, không thay TD-RULE-01 dùng chung.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t>
        </is>
      </c>
    </row>
    <row r="49" ht="299" customHeight="1">
      <c r="A49" s="24">
        <f>HYPERLINK("#'Kiểm thử'!A"&amp;(MATCH("TC-RS-FUNC-014 / incomplete-excluded",'Kiểm thử'!$A$5:$A$573,0)+4),"TC-RS-FUNC-014 / incomplete-excluded")</f>
        <v/>
      </c>
      <c r="B49" s="18" t="inlineStr">
        <is>
          <t>Điều kiện / thao tác</t>
        </is>
      </c>
      <c r="C49" s="18" t="inlineStr">
        <is>
          <t>h giữ quyền riêng.
Dữ liệu: - Điều kiện chung: trường A/năm 2026, mục số nguyên TD-ITEM-01 (M=100), S01 có điểm 29; giáo viên có quyền sửa rule và chạy xét lại. Hai tab cùng phạm vi mục/kỳ. Mỗi biến thể có bản reset riêng, đúng hai rule Toàn bộ với dấu `&lt;`; ghi identity rule ưu tiên 1 và rule đối chứng ưu tiên 2. Phạm vi trích xuất chỉ gồm ô này để ô đỏ khác không ảnh hưởng bộ lọc.
- `incomplete-excluded`: rule ưu tiên 1 chỉ lưu điều kiện, chưa có ngưỡng; rule đối chứng ưu tiên 2 có T=30. Đây là fixture TD-RULE-13/TD-RULE-01.
- `complete-deleted-stale`: rule ưu tiên 1 hoàn chỉnh T=30, rule đối chứng ưu tiên 2 T=20; chạy baseline S01=29 → Đỏ theo rule ưu tiên 1.
- `incomplete-deleted-stale`: rule ưu tiên 1 chỉ có điều kiện, rule đối chứng ưu tiên 2 T=20; chạy baseline S01=29 → Không đỏ theo rule đối chứng. T=20 là cấu hình riêng của hai biến thể stale-form, không thay TD-RULE-01 dùng chung.
Nhánh incomplete-excluded trong thủ tục và Expected của case; thực hiện các bước chuẩn bị chung trước nhánh
Thao tác: 1. Với `incomplete-excluded`, dựng fixture riêng, xem dòng chưa hoàn chỉnh; đăng ký S01=29 và đọc kết quả, identity rule/ngưỡng đã dùng cùng đầu ra trích xuất.
2. Với `complete-deleted-stale`, reset và xác nhận baseline Đỏ/T=30. Mở form ngưỡng của rule ưu</t>
        </is>
      </c>
    </row>
    <row r="50" ht="299" customHeight="1">
      <c r="A50" s="24">
        <f>HYPERLINK("#'Kiểm thử'!A"&amp;(MATCH("TC-RS-FUNC-014 / incomplete-excluded",'Kiểm thử'!$A$5:$A$573,0)+4),"TC-RS-FUNC-014 / incomplete-excluded")</f>
        <v/>
      </c>
      <c r="B50" s="18" t="inlineStr">
        <is>
          <t>Điều kiện / thao tác</t>
        </is>
      </c>
      <c r="C50" s="18" t="inlineStr">
        <is>
          <t xml:space="preserve"> tiên 1 ở tab A. Xóa đúng rule đó ở tab B, rồi gửi lưu T=30 từ form cũ ở tab A. Reload danh sách và đọc trạng thái rule; trước khi chạy xét lại, đọc điểm/kết quả đã hoàn tất của S01.
3. Chạy xét lại thành công cho đúng ô của `complete-deleted-stale`; đọc identity rule/ngưỡng được chọn. Chạy trích xuất một lượt tắt lọc để thấy điểm và dấu, một lượt bật lọc đỏ để kiểm membership của S01.
4. Với `incomplete-deleted-stale`, reset và xác nhận baseline Không đỏ/T=20. Mở form ngưỡng của rule nhập dở ở tab A, nhập T=40 nhưng **chưa lưu**. Xóa đúng rule nhập dở ở tab B, rồi gửi T=40 từ form cũ ở tab A. Reload danh sách và đọc trạng thái rule.
5. Chạy xét lại thành công cho đúng ô của `incomplete-deleted-stale`; đọc identity rule/ngưỡng và thực hiện hai lượt trích xuất tắt/bật lọc như bước 3. Lưu bằng chứng riêng cho từng biến thể, không dùng kết quả của biến thể trước.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51" ht="129" customHeight="1">
      <c r="A51" s="24">
        <f>HYPERLINK("#'Kiểm thử'!A"&amp;(MATCH("TC-RS-FUNC-014 / incomplete-excluded",'Kiểm thử'!$A$5:$A$573,0)+4),"TC-RS-FUNC-014 / incomplete-excluded")</f>
        <v/>
      </c>
      <c r="B51" s="18" t="inlineStr">
        <is>
          <t>Điều kiện / thao tác</t>
        </is>
      </c>
      <c r="C51" s="18" t="inlineStr">
        <is>
          <t xml:space="preserve">
Chuẩn bị: Bị chặn
Chỉ là quan sát; kỳ vọng hoặc điều kiện kiểm chưa được xác nhận.
Khoảng trống: BLOCKED — cần xác minh form ngưỡng gửi từ tab cũ, đường chạy xét lại và reader cho identity rule/ngưỡng đã dùng; nếu chưa quan sát được rule được chọn thì không suy kết quả từ danh sách UI.
TC-RS-FUNC-014: hoàn thiện đúng fixture/seam; giữ expected và chưa kết luận thực thi.</t>
        </is>
      </c>
    </row>
    <row r="52" ht="265" customHeight="1">
      <c r="A52" s="24">
        <f>HYPERLINK("#'Kiểm thử'!A"&amp;(MATCH("TC-RS-FUNC-014 / incomplete-excluded",'Kiểm thử'!$A$5:$A$573,0)+4),"TC-RS-FUNC-014 / incomplete-excluded")</f>
        <v/>
      </c>
      <c r="B52" s="18" t="inlineStr">
        <is>
          <t>Kết quả mong đợi</t>
        </is>
      </c>
      <c r="C52" s="18" t="inlineStr">
        <is>
          <t>1. `incomplete-excluded`: dòng nhập dở hiện chưa thiết lập và cho mở ngưỡng; không tạo ngưỡng 0 ngầm. Bộ xét chọn đúng rule đối chứng T=30, S01=29 Đỏ; rule nhập dở không tham gia xét.
2. `complete-deleted-stale`: lưu form cũ không phục hồi rule đã xóa trong danh sách hoặc bộ xét. Trước lần xét lại, S01 vẫn giữ điểm 29 và kết quả Đỏ/T=30 đã hoàn tất. Sau lần xét lại, bộ xét chọn đúng identity rule đối chứng T=20 → **Không đỏ**; lượt tắt lọc hiện 29 không dấu đỏ, lượt bật lọc không có S01.
3. `incomplete-deleted-stale`: T=40 gửi từ form cũ không làm rule nhập dở đã xóa sống lại hoặc trở thành rule hoàn chỉnh. Sau lần xét lại, bộ xét vẫn chọn đúng rule đối chứng T=20 → **Không đỏ**, điểm 29 giữ nguyên; lượt tắt lọc không có dấu đỏ, lượt bật lọc không có S01. Nếu rule 40 bị phục hồi thì 29&lt;40 sẽ Đỏ, nên không được PASS trường hợp đó dù danh sách đã ẩn rule.
4. Rule đối chứng giữ nguyên cấu hình/identity ở cả hai biến thể stale-form. Nếu từ chối form cũ, thông báo an toàn; không áp đặt mã HTTP hoặc enum/schema chưa được xác nhận. Thiếu seam gửi form, chạy xét hoặc reader đáng tin thì ghi BLOCKED cho biến thể liên quan.
Bảo toàn: Giữ điểm, cấu hình và đối tượng không đích theo expected; chỉ thay phần thủ tục yêu cầu, không tự đổi oracle hoặc mở rộng phạm vi.</t>
        </is>
      </c>
    </row>
    <row r="53" ht="44" customHeight="1">
      <c r="A53" s="24">
        <f>HYPERLINK("#'Kiểm thử'!A"&amp;(MATCH("TC-RS-FUNC-014 / complete-deleted-stale",'Kiểm thử'!$A$5:$A$573,0)+4),"TC-RS-FUNC-014 / complete-deleted-stale")</f>
        <v/>
      </c>
      <c r="B53" s="18" t="inlineStr">
        <is>
          <t>Màn hình / chức năng</t>
        </is>
      </c>
      <c r="C53" s="18" t="inlineStr">
        <is>
          <t>Quản lý danh sách quy tắc đỏ của một mục — Thiết lập điểm đỏ（赤点設定）
Quy tắc mới chỉ có điều kiện, chưa có ngưỡng, không tham gia xét</t>
        </is>
      </c>
    </row>
    <row r="54" ht="299" customHeight="1">
      <c r="A54" s="24">
        <f>HYPERLINK("#'Kiểm thử'!A"&amp;(MATCH("TC-RS-FUNC-014 / complete-deleted-stale",'Kiểm thử'!$A$5:$A$573,0)+4),"TC-RS-FUNC-014 / complete-deleted-stale")</f>
        <v/>
      </c>
      <c r="B54" s="18" t="inlineStr">
        <is>
          <t>Điều kiện / thao tác</t>
        </is>
      </c>
      <c r="C54" s="18" t="inlineStr">
        <is>
          <t>Cấu hình: - Điều kiện chung: trường A/năm 2026, mục số nguyên TD-ITEM-01 (M=100), S01 có điểm 29; giáo viên có quyền sửa rule và chạy xét lại. Hai tab cùng phạm vi mục/kỳ. Mỗi biến thể có bản reset riêng, đúng hai rule Toàn bộ với dấu `&lt;`; ghi identity rule ưu tiên 1 và rule đối chứng ưu tiên 2. Phạm vi trích xuất chỉ gồm ô này để ô đỏ khác không ảnh hưởng bộ lọc.
- `incomplete-excluded`: rule ưu tiên 1 chỉ lưu điều kiện, chưa có ngưỡng; rule đối chứng ưu tiên 2 có T=30. Đây là fixture TD-RULE-13/TD-RULE-01.
- `complete-deleted-stale`: rule ưu tiên 1 hoàn chỉnh T=30, rule đối chứng ưu tiên 2 T=20; chạy baseline S01=29 → Đỏ theo rule ưu tiên 1.
- `incomplete-deleted-stale`: rule ưu tiên 1 chỉ có điều kiện, rule đối chứng ưu tiên 2 T=20; chạy baseline S01=29 → Không đỏ theo rule đối chứng. T=20 là cấu hình riêng của hai biến thể stale-form, không thay TD-RULE-01 dùng chung.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t>
        </is>
      </c>
    </row>
    <row r="55" ht="299" customHeight="1">
      <c r="A55" s="24">
        <f>HYPERLINK("#'Kiểm thử'!A"&amp;(MATCH("TC-RS-FUNC-014 / complete-deleted-stale",'Kiểm thử'!$A$5:$A$573,0)+4),"TC-RS-FUNC-014 / complete-deleted-stale")</f>
        <v/>
      </c>
      <c r="B55" s="18" t="inlineStr">
        <is>
          <t>Điều kiện / thao tác</t>
        </is>
      </c>
      <c r="C55" s="18" t="inlineStr">
        <is>
          <t>h giữ quyền riêng.
Dữ liệu: - Điều kiện chung: trường A/năm 2026, mục số nguyên TD-ITEM-01 (M=100), S01 có điểm 29; giáo viên có quyền sửa rule và chạy xét lại. Hai tab cùng phạm vi mục/kỳ. Mỗi biến thể có bản reset riêng, đúng hai rule Toàn bộ với dấu `&lt;`; ghi identity rule ưu tiên 1 và rule đối chứng ưu tiên 2. Phạm vi trích xuất chỉ gồm ô này để ô đỏ khác không ảnh hưởng bộ lọc.
- `incomplete-excluded`: rule ưu tiên 1 chỉ lưu điều kiện, chưa có ngưỡng; rule đối chứng ưu tiên 2 có T=30. Đây là fixture TD-RULE-13/TD-RULE-01.
- `complete-deleted-stale`: rule ưu tiên 1 hoàn chỉnh T=30, rule đối chứng ưu tiên 2 T=20; chạy baseline S01=29 → Đỏ theo rule ưu tiên 1.
- `incomplete-deleted-stale`: rule ưu tiên 1 chỉ có điều kiện, rule đối chứng ưu tiên 2 T=20; chạy baseline S01=29 → Không đỏ theo rule đối chứng. T=20 là cấu hình riêng của hai biến thể stale-form, không thay TD-RULE-01 dùng chung.
Nhánh complete-deleted-stale trong thủ tục và Expected của case; thực hiện các bước chuẩn bị chung trước nhánh
Thao tác: 1. Với `incomplete-excluded`, dựng fixture riêng, xem dòng chưa hoàn chỉnh; đăng ký S01=29 và đọc kết quả, identity rule/ngưỡng đã dùng cùng đầu ra trích xuất.
2. Với `complete-deleted-stale`, reset và xác nhận baseline Đỏ/T=30. Mở form ngưỡng của rule ưu</t>
        </is>
      </c>
    </row>
    <row r="56" ht="299" customHeight="1">
      <c r="A56" s="24">
        <f>HYPERLINK("#'Kiểm thử'!A"&amp;(MATCH("TC-RS-FUNC-014 / complete-deleted-stale",'Kiểm thử'!$A$5:$A$573,0)+4),"TC-RS-FUNC-014 / complete-deleted-stale")</f>
        <v/>
      </c>
      <c r="B56" s="18" t="inlineStr">
        <is>
          <t>Điều kiện / thao tác</t>
        </is>
      </c>
      <c r="C56" s="18" t="inlineStr">
        <is>
          <t xml:space="preserve"> tiên 1 ở tab A. Xóa đúng rule đó ở tab B, rồi gửi lưu T=30 từ form cũ ở tab A. Reload danh sách và đọc trạng thái rule; trước khi chạy xét lại, đọc điểm/kết quả đã hoàn tất của S01.
3. Chạy xét lại thành công cho đúng ô của `complete-deleted-stale`; đọc identity rule/ngưỡng được chọn. Chạy trích xuất một lượt tắt lọc để thấy điểm và dấu, một lượt bật lọc đỏ để kiểm membership của S01.
4. Với `incomplete-deleted-stale`, reset và xác nhận baseline Không đỏ/T=20. Mở form ngưỡng của rule nhập dở ở tab A, nhập T=40 nhưng **chưa lưu**. Xóa đúng rule nhập dở ở tab B, rồi gửi T=40 từ form cũ ở tab A. Reload danh sách và đọc trạng thái rule.
5. Chạy xét lại thành công cho đúng ô của `incomplete-deleted-stale`; đọc identity rule/ngưỡng và thực hiện hai lượt trích xuất tắt/bật lọc như bước 3. Lưu bằng chứng riêng cho từng biến thể, không dùng kết quả của biến thể trước.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57" ht="129" customHeight="1">
      <c r="A57" s="24">
        <f>HYPERLINK("#'Kiểm thử'!A"&amp;(MATCH("TC-RS-FUNC-014 / complete-deleted-stale",'Kiểm thử'!$A$5:$A$573,0)+4),"TC-RS-FUNC-014 / complete-deleted-stale")</f>
        <v/>
      </c>
      <c r="B57" s="18" t="inlineStr">
        <is>
          <t>Điều kiện / thao tác</t>
        </is>
      </c>
      <c r="C57" s="18" t="inlineStr">
        <is>
          <t xml:space="preserve">
Chuẩn bị: Bị chặn
Chỉ là quan sát; kỳ vọng hoặc điều kiện kiểm chưa được xác nhận.
Khoảng trống: BLOCKED — cần xác minh form ngưỡng gửi từ tab cũ, đường chạy xét lại và reader cho identity rule/ngưỡng đã dùng; nếu chưa quan sát được rule được chọn thì không suy kết quả từ danh sách UI.
TC-RS-FUNC-014: hoàn thiện đúng fixture/seam; giữ expected và chưa kết luận thực thi.</t>
        </is>
      </c>
    </row>
    <row r="58" ht="265" customHeight="1">
      <c r="A58" s="24">
        <f>HYPERLINK("#'Kiểm thử'!A"&amp;(MATCH("TC-RS-FUNC-014 / complete-deleted-stale",'Kiểm thử'!$A$5:$A$573,0)+4),"TC-RS-FUNC-014 / complete-deleted-stale")</f>
        <v/>
      </c>
      <c r="B58" s="18" t="inlineStr">
        <is>
          <t>Kết quả mong đợi</t>
        </is>
      </c>
      <c r="C58" s="18" t="inlineStr">
        <is>
          <t>1. `incomplete-excluded`: dòng nhập dở hiện chưa thiết lập và cho mở ngưỡng; không tạo ngưỡng 0 ngầm. Bộ xét chọn đúng rule đối chứng T=30, S01=29 Đỏ; rule nhập dở không tham gia xét.
2. `complete-deleted-stale`: lưu form cũ không phục hồi rule đã xóa trong danh sách hoặc bộ xét. Trước lần xét lại, S01 vẫn giữ điểm 29 và kết quả Đỏ/T=30 đã hoàn tất. Sau lần xét lại, bộ xét chọn đúng identity rule đối chứng T=20 → **Không đỏ**; lượt tắt lọc hiện 29 không dấu đỏ, lượt bật lọc không có S01.
3. `incomplete-deleted-stale`: T=40 gửi từ form cũ không làm rule nhập dở đã xóa sống lại hoặc trở thành rule hoàn chỉnh. Sau lần xét lại, bộ xét vẫn chọn đúng rule đối chứng T=20 → **Không đỏ**, điểm 29 giữ nguyên; lượt tắt lọc không có dấu đỏ, lượt bật lọc không có S01. Nếu rule 40 bị phục hồi thì 29&lt;40 sẽ Đỏ, nên không được PASS trường hợp đó dù danh sách đã ẩn rule.
4. Rule đối chứng giữ nguyên cấu hình/identity ở cả hai biến thể stale-form. Nếu từ chối form cũ, thông báo an toàn; không áp đặt mã HTTP hoặc enum/schema chưa được xác nhận. Thiếu seam gửi form, chạy xét hoặc reader đáng tin thì ghi BLOCKED cho biến thể liên quan.
Bảo toàn: Giữ điểm, cấu hình và đối tượng không đích theo expected; chỉ thay phần thủ tục yêu cầu, không tự đổi oracle hoặc mở rộng phạm vi.</t>
        </is>
      </c>
    </row>
    <row r="59" ht="61" customHeight="1">
      <c r="A59" s="24">
        <f>HYPERLINK("#'Kiểm thử'!A"&amp;(MATCH("TC-RS-FUNC-014 / incomplete-deleted-stale",'Kiểm thử'!$A$5:$A$573,0)+4),"TC-RS-FUNC-014 / incomplete-deleted-stale")</f>
        <v/>
      </c>
      <c r="B59" s="18" t="inlineStr">
        <is>
          <t>Màn hình / chức năng</t>
        </is>
      </c>
      <c r="C59" s="18" t="inlineStr">
        <is>
          <t>Quản lý danh sách quy tắc đỏ của một mục — Thiết lập điểm đỏ（赤点設定）
Quy tắc mới chỉ có điều kiện, chưa có ngưỡng, không tham gia xét</t>
        </is>
      </c>
    </row>
    <row r="60" ht="299" customHeight="1">
      <c r="A60" s="24">
        <f>HYPERLINK("#'Kiểm thử'!A"&amp;(MATCH("TC-RS-FUNC-014 / incomplete-deleted-stale",'Kiểm thử'!$A$5:$A$573,0)+4),"TC-RS-FUNC-014 / incomplete-deleted-stale")</f>
        <v/>
      </c>
      <c r="B60" s="18" t="inlineStr">
        <is>
          <t>Điều kiện / thao tác</t>
        </is>
      </c>
      <c r="C60" s="18" t="inlineStr">
        <is>
          <t>Cấu hình: - Điều kiện chung: trường A/năm 2026, mục số nguyên TD-ITEM-01 (M=100), S01 có điểm 29; giáo viên có quyền sửa rule và chạy xét lại. Hai tab cùng phạm vi mục/kỳ. Mỗi biến thể có bản reset riêng, đúng hai rule Toàn bộ với dấu `&lt;`; ghi identity rule ưu tiên 1 và rule đối chứng ưu tiên 2. Phạm vi trích xuất chỉ gồm ô này để ô đỏ khác không ảnh hưởng bộ lọc.
- `incomplete-excluded`: rule ưu tiên 1 chỉ lưu điều kiện, chưa có ngưỡng; rule đối chứng ưu tiên 2 có T=30. Đây là fixture TD-RULE-13/TD-RULE-01.
- `complete-deleted-stale`: rule ưu tiên 1 hoàn chỉnh T=30, rule đối chứng ưu tiên 2 T=20; chạy baseline S01=29 → Đỏ theo rule ưu tiên 1.
- `incomplete-deleted-stale`: rule ưu tiên 1 chỉ có điều kiện, rule đối chứng ưu tiên 2 T=20; chạy baseline S01=29 → Không đỏ theo rule đối chứng. T=20 là cấu hình riêng của hai biến thể stale-form, không thay TD-RULE-01 dùng chung.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t>
        </is>
      </c>
    </row>
    <row r="61" ht="299" customHeight="1">
      <c r="A61" s="24">
        <f>HYPERLINK("#'Kiểm thử'!A"&amp;(MATCH("TC-RS-FUNC-014 / incomplete-deleted-stale",'Kiểm thử'!$A$5:$A$573,0)+4),"TC-RS-FUNC-014 / incomplete-deleted-stale")</f>
        <v/>
      </c>
      <c r="B61" s="18" t="inlineStr">
        <is>
          <t>Điều kiện / thao tác</t>
        </is>
      </c>
      <c r="C61" s="18" t="inlineStr">
        <is>
          <t>h giữ quyền riêng.
Dữ liệu: - Điều kiện chung: trường A/năm 2026, mục số nguyên TD-ITEM-01 (M=100), S01 có điểm 29; giáo viên có quyền sửa rule và chạy xét lại. Hai tab cùng phạm vi mục/kỳ. Mỗi biến thể có bản reset riêng, đúng hai rule Toàn bộ với dấu `&lt;`; ghi identity rule ưu tiên 1 và rule đối chứng ưu tiên 2. Phạm vi trích xuất chỉ gồm ô này để ô đỏ khác không ảnh hưởng bộ lọc.
- `incomplete-excluded`: rule ưu tiên 1 chỉ lưu điều kiện, chưa có ngưỡng; rule đối chứng ưu tiên 2 có T=30. Đây là fixture TD-RULE-13/TD-RULE-01.
- `complete-deleted-stale`: rule ưu tiên 1 hoàn chỉnh T=30, rule đối chứng ưu tiên 2 T=20; chạy baseline S01=29 → Đỏ theo rule ưu tiên 1.
- `incomplete-deleted-stale`: rule ưu tiên 1 chỉ có điều kiện, rule đối chứng ưu tiên 2 T=20; chạy baseline S01=29 → Không đỏ theo rule đối chứng. T=20 là cấu hình riêng của hai biến thể stale-form, không thay TD-RULE-01 dùng chung.
Nhánh incomplete-deleted-stale trong thủ tục và Expected của case; thực hiện các bước chuẩn bị chung trước nhánh
Thao tác: 1. Với `incomplete-excluded`, dựng fixture riêng, xem dòng chưa hoàn chỉnh; đăng ký S01=29 và đọc kết quả, identity rule/ngưỡng đã dùng cùng đầu ra trích xuất.
2. Với `complete-deleted-stale`, reset và xác nhận baseline Đỏ/T=30. Mở form ngưỡng của rule ưu</t>
        </is>
      </c>
    </row>
    <row r="62" ht="299" customHeight="1">
      <c r="A62" s="24">
        <f>HYPERLINK("#'Kiểm thử'!A"&amp;(MATCH("TC-RS-FUNC-014 / incomplete-deleted-stale",'Kiểm thử'!$A$5:$A$573,0)+4),"TC-RS-FUNC-014 / incomplete-deleted-stale")</f>
        <v/>
      </c>
      <c r="B62" s="18" t="inlineStr">
        <is>
          <t>Điều kiện / thao tác</t>
        </is>
      </c>
      <c r="C62" s="18" t="inlineStr">
        <is>
          <t xml:space="preserve"> tiên 1 ở tab A. Xóa đúng rule đó ở tab B, rồi gửi lưu T=30 từ form cũ ở tab A. Reload danh sách và đọc trạng thái rule; trước khi chạy xét lại, đọc điểm/kết quả đã hoàn tất của S01.
3. Chạy xét lại thành công cho đúng ô của `complete-deleted-stale`; đọc identity rule/ngưỡng được chọn. Chạy trích xuất một lượt tắt lọc để thấy điểm và dấu, một lượt bật lọc đỏ để kiểm membership của S01.
4. Với `incomplete-deleted-stale`, reset và xác nhận baseline Không đỏ/T=20. Mở form ngưỡng của rule nhập dở ở tab A, nhập T=40 nhưng **chưa lưu**. Xóa đúng rule nhập dở ở tab B, rồi gửi T=40 từ form cũ ở tab A. Reload danh sách và đọc trạng thái rule.
5. Chạy xét lại thành công cho đúng ô của `incomplete-deleted-stale`; đọc identity rule/ngưỡng và thực hiện hai lượt trích xuất tắt/bật lọc như bước 3. Lưu bằng chứng riêng cho từng biến thể, không dùng kết quả của biến thể trước.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63" ht="129" customHeight="1">
      <c r="A63" s="24">
        <f>HYPERLINK("#'Kiểm thử'!A"&amp;(MATCH("TC-RS-FUNC-014 / incomplete-deleted-stale",'Kiểm thử'!$A$5:$A$573,0)+4),"TC-RS-FUNC-014 / incomplete-deleted-stale")</f>
        <v/>
      </c>
      <c r="B63" s="18" t="inlineStr">
        <is>
          <t>Điều kiện / thao tác</t>
        </is>
      </c>
      <c r="C63" s="18" t="inlineStr">
        <is>
          <t xml:space="preserve">
Chuẩn bị: Bị chặn
Chỉ là quan sát; kỳ vọng hoặc điều kiện kiểm chưa được xác nhận.
Khoảng trống: BLOCKED — cần xác minh form ngưỡng gửi từ tab cũ, đường chạy xét lại và reader cho identity rule/ngưỡng đã dùng; nếu chưa quan sát được rule được chọn thì không suy kết quả từ danh sách UI.
TC-RS-FUNC-014: hoàn thiện đúng fixture/seam; giữ expected và chưa kết luận thực thi.</t>
        </is>
      </c>
    </row>
    <row r="64" ht="265" customHeight="1">
      <c r="A64" s="24">
        <f>HYPERLINK("#'Kiểm thử'!A"&amp;(MATCH("TC-RS-FUNC-014 / incomplete-deleted-stale",'Kiểm thử'!$A$5:$A$573,0)+4),"TC-RS-FUNC-014 / incomplete-deleted-stale")</f>
        <v/>
      </c>
      <c r="B64" s="18" t="inlineStr">
        <is>
          <t>Kết quả mong đợi</t>
        </is>
      </c>
      <c r="C64" s="18" t="inlineStr">
        <is>
          <t>1. `incomplete-excluded`: dòng nhập dở hiện chưa thiết lập và cho mở ngưỡng; không tạo ngưỡng 0 ngầm. Bộ xét chọn đúng rule đối chứng T=30, S01=29 Đỏ; rule nhập dở không tham gia xét.
2. `complete-deleted-stale`: lưu form cũ không phục hồi rule đã xóa trong danh sách hoặc bộ xét. Trước lần xét lại, S01 vẫn giữ điểm 29 và kết quả Đỏ/T=30 đã hoàn tất. Sau lần xét lại, bộ xét chọn đúng identity rule đối chứng T=20 → **Không đỏ**; lượt tắt lọc hiện 29 không dấu đỏ, lượt bật lọc không có S01.
3. `incomplete-deleted-stale`: T=40 gửi từ form cũ không làm rule nhập dở đã xóa sống lại hoặc trở thành rule hoàn chỉnh. Sau lần xét lại, bộ xét vẫn chọn đúng rule đối chứng T=20 → **Không đỏ**, điểm 29 giữ nguyên; lượt tắt lọc không có dấu đỏ, lượt bật lọc không có S01. Nếu rule 40 bị phục hồi thì 29&lt;40 sẽ Đỏ, nên không được PASS trường hợp đó dù danh sách đã ẩn rule.
4. Rule đối chứng giữ nguyên cấu hình/identity ở cả hai biến thể stale-form. Nếu từ chối form cũ, thông báo an toàn; không áp đặt mã HTTP hoặc enum/schema chưa được xác nhận. Thiếu seam gửi form, chạy xét hoặc reader đáng tin thì ghi BLOCKED cho biến thể liên quan.
Bảo toàn: Giữ điểm, cấu hình và đối tượng không đích theo expected; chỉ thay phần thủ tục yêu cầu, không tự đổi oracle hoặc mở rộng phạm vi.</t>
        </is>
      </c>
    </row>
    <row r="65" ht="44" customHeight="1">
      <c r="A65" s="24">
        <f>HYPERLINK("#'Kiểm thử'!A"&amp;(MATCH("TC-RS-FUNC-033 / Base",'Kiểm thử'!$A$5:$A$573,0)+4),"TC-RS-FUNC-033 / Base")</f>
        <v/>
      </c>
      <c r="B65" s="18" t="inlineStr">
        <is>
          <t>Màn hình / chức năng</t>
        </is>
      </c>
      <c r="C65" s="18" t="inlineStr">
        <is>
          <t>Quản lý danh sách quy tắc đỏ của một mục — Thiết lập điểm đỏ（赤点設定）
Đổi tên quy tắc: giữ liên kết, thứ tự và kết quả</t>
        </is>
      </c>
    </row>
    <row r="66" ht="299" customHeight="1">
      <c r="A66" s="24">
        <f>HYPERLINK("#'Kiểm thử'!A"&amp;(MATCH("TC-RS-FUNC-033 / Base",'Kiểm thử'!$A$5:$A$573,0)+4),"TC-RS-FUNC-033 / Base")</f>
        <v/>
      </c>
      <c r="B66" s="18" t="inlineStr">
        <is>
          <t>Điều kiện / thao tác</t>
        </is>
      </c>
      <c r="C66" s="18" t="inlineStr">
        <is>
          <t>Cấu hình: quy tắc “Cố định 30” (dưới 30) đã xét: S01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 (điểm 29)
Toàn bộ thủ tục theo đúng thứ tự; các đối chứng cùng fixture được kiểm trong cùng lượt, không bỏ bước
Thao tác: 1. Đổi tên quy tắc “Cố định 30” (dưới 30) từ "Cố định 30" thành "Ngưỡng học kỳ 1", Lưu.
2. Xem danh sách và ba đầu ra.
3. Chạy lại bằng đăng ký điểm S01=29.
Khôi phục: Trước mỗi biến thể, dựng lại điều kiện/dữ liệu đầu của case bằng đường được phép; giữ các reset/fixture độc lập đã nêu trong thủ tục.</t>
        </is>
      </c>
    </row>
    <row r="67" ht="180" customHeight="1">
      <c r="A67" s="24">
        <f>HYPERLINK("#'Kiểm thử'!A"&amp;(MATCH("TC-RS-FUNC-033 / Base",'Kiểm thử'!$A$5:$A$573,0)+4),"TC-RS-FUNC-033 / Base")</f>
        <v/>
      </c>
      <c r="B67" s="18" t="inlineStr">
        <is>
          <t>Điều kiện / thao tác</t>
        </is>
      </c>
      <c r="C67"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8" ht="112" customHeight="1">
      <c r="A68" s="24">
        <f>HYPERLINK("#'Kiểm thử'!A"&amp;(MATCH("TC-RS-FUNC-033 / Base",'Kiểm thử'!$A$5:$A$573,0)+4),"TC-RS-FUNC-033 / Base")</f>
        <v/>
      </c>
      <c r="B68" s="18" t="inlineStr">
        <is>
          <t>Kết quả mong đợi</t>
        </is>
      </c>
      <c r="C68" s="18" t="inlineStr">
        <is>
          <t>1–2. Danh sách hiện tên mới ở cùng vị trí ưu tiên, tóm tắt không đổi; S01 vẫn Đỏ ở ba đầu ra.
3. S01 Đỏ; quy tắc được chọn vẫn là quy tắc đã đổi tên (không tạo quy tắc mới, không mất liên kết).
Bảo toàn: Giữ điểm, cấu hình và đối tượng không đích theo expected; chỉ thay phần thủ tục yêu cầu, không tự đổi oracle hoặc mở rộng phạm vi.</t>
        </is>
      </c>
    </row>
    <row r="69" ht="299" customHeight="1">
      <c r="A69" s="24">
        <f>HYPERLINK("#'Kiểm thử'!A"&amp;(MATCH("TC-RS-VAL-014 / empty",'Kiểm thử'!$A$5:$A$573,0)+4),"TC-RS-VAL-014 / empty")</f>
        <v/>
      </c>
      <c r="B69" s="18" t="inlineStr">
        <is>
          <t>Điều kiện / thao tác</t>
        </is>
      </c>
      <c r="C69" s="18" t="inlineStr">
        <is>
          <t>Cấu hình: Màn thêm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trống; tên chỉ khoảng trắng; 255 ký tự; 256 ký tự; 255 ký tự có thêm khoảng trắng ở đầu và cuối; hai quy tắc cùng tên
Tên trống
Thao tác: 1. Nhập từng giá trị, Lưu, mở lại.
2. Tạo quy tắc thứ hai trùng tên quy tắc thứ nhất,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70" ht="129" customHeight="1">
      <c r="A70" s="24">
        <f>HYPERLINK("#'Kiểm thử'!A"&amp;(MATCH("TC-RS-VAL-014 / empty",'Kiểm thử'!$A$5:$A$573,0)+4),"TC-RS-VAL-014 / empty")</f>
        <v/>
      </c>
      <c r="B70" s="18" t="inlineStr">
        <is>
          <t>Điều kiện / thao tác</t>
        </is>
      </c>
      <c r="C70"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1" ht="112" customHeight="1">
      <c r="A71" s="24">
        <f>HYPERLINK("#'Kiểm thử'!A"&amp;(MATCH("TC-RS-VAL-014 / empty",'Kiểm thử'!$A$5:$A$573,0)+4),"TC-RS-VAL-014 / empty")</f>
        <v/>
      </c>
      <c r="B71" s="18" t="inlineStr">
        <is>
          <t>Kết quả mong đợi</t>
        </is>
      </c>
      <c r="C71" s="18"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
2. Lưu được; hai dòng riêng theo ưu tiên.
Bảo toàn: Giữ điểm, cấu hình và đối tượng không đích theo expected; chỉ thay phần thủ tục yêu cầu, không tự đổi oracle hoặc mở rộng phạm vi.</t>
        </is>
      </c>
    </row>
    <row r="72" ht="299" customHeight="1">
      <c r="A72" s="24">
        <f>HYPERLINK("#'Kiểm thử'!A"&amp;(MATCH("TC-RS-VAL-014 / space",'Kiểm thử'!$A$5:$A$573,0)+4),"TC-RS-VAL-014 / space")</f>
        <v/>
      </c>
      <c r="B72" s="18" t="inlineStr">
        <is>
          <t>Điều kiện / thao tác</t>
        </is>
      </c>
      <c r="C72" s="18" t="inlineStr">
        <is>
          <t>Cấu hình: Màn thêm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trống; tên chỉ khoảng trắng; 255 ký tự; 256 ký tự; 255 ký tự có thêm khoảng trắng ở đầu và cuối; hai quy tắc cùng tên
Chỉ khoảng trắng
Thao tác: 1. Nhập từng giá trị, Lưu, mở lại.
2. Tạo quy tắc thứ hai trùng tên quy tắc thứ nhất,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73" ht="129" customHeight="1">
      <c r="A73" s="24">
        <f>HYPERLINK("#'Kiểm thử'!A"&amp;(MATCH("TC-RS-VAL-014 / space",'Kiểm thử'!$A$5:$A$573,0)+4),"TC-RS-VAL-014 / space")</f>
        <v/>
      </c>
      <c r="B73" s="18" t="inlineStr">
        <is>
          <t>Điều kiện / thao tác</t>
        </is>
      </c>
      <c r="C73"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4" ht="112" customHeight="1">
      <c r="A74" s="24">
        <f>HYPERLINK("#'Kiểm thử'!A"&amp;(MATCH("TC-RS-VAL-014 / space",'Kiểm thử'!$A$5:$A$573,0)+4),"TC-RS-VAL-014 / space")</f>
        <v/>
      </c>
      <c r="B74" s="18" t="inlineStr">
        <is>
          <t>Kết quả mong đợi</t>
        </is>
      </c>
      <c r="C74" s="18"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
2. Lưu được; hai dòng riêng theo ưu tiên.
Bảo toàn: Giữ điểm, cấu hình và đối tượng không đích theo expected; chỉ thay phần thủ tục yêu cầu, không tự đổi oracle hoặc mở rộng phạm vi.</t>
        </is>
      </c>
    </row>
    <row r="75" ht="299" customHeight="1">
      <c r="A75" s="24">
        <f>HYPERLINK("#'Kiểm thử'!A"&amp;(MATCH("TC-RS-VAL-014 / len255",'Kiểm thử'!$A$5:$A$573,0)+4),"TC-RS-VAL-014 / len255")</f>
        <v/>
      </c>
      <c r="B75" s="18" t="inlineStr">
        <is>
          <t>Điều kiện / thao tác</t>
        </is>
      </c>
      <c r="C75" s="18" t="inlineStr">
        <is>
          <t>Cấu hình: Màn thêm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trống; tên chỉ khoảng trắng; 255 ký tự; 256 ký tự; 255 ký tự có thêm khoảng trắng ở đầu và cuối; hai quy tắc cùng tên
255 ký tự
Thao tác: 1. Nhập từng giá trị, Lưu, mở lại.
2. Tạo quy tắc thứ hai trùng tên quy tắc thứ nhất,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76" ht="129" customHeight="1">
      <c r="A76" s="24">
        <f>HYPERLINK("#'Kiểm thử'!A"&amp;(MATCH("TC-RS-VAL-014 / len255",'Kiểm thử'!$A$5:$A$573,0)+4),"TC-RS-VAL-014 / len255")</f>
        <v/>
      </c>
      <c r="B76" s="18" t="inlineStr">
        <is>
          <t>Điều kiện / thao tác</t>
        </is>
      </c>
      <c r="C76"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7" ht="112" customHeight="1">
      <c r="A77" s="24">
        <f>HYPERLINK("#'Kiểm thử'!A"&amp;(MATCH("TC-RS-VAL-014 / len255",'Kiểm thử'!$A$5:$A$573,0)+4),"TC-RS-VAL-014 / len255")</f>
        <v/>
      </c>
      <c r="B77" s="18" t="inlineStr">
        <is>
          <t>Kết quả mong đợi</t>
        </is>
      </c>
      <c r="C77" s="18"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
2. Lưu được; hai dòng riêng theo ưu tiên.
Bảo toàn: Giữ điểm, cấu hình và đối tượng không đích theo expected; chỉ thay phần thủ tục yêu cầu, không tự đổi oracle hoặc mở rộng phạm vi.</t>
        </is>
      </c>
    </row>
    <row r="78" ht="299" customHeight="1">
      <c r="A78" s="24">
        <f>HYPERLINK("#'Kiểm thử'!A"&amp;(MATCH("TC-RS-VAL-014 / len256",'Kiểm thử'!$A$5:$A$573,0)+4),"TC-RS-VAL-014 / len256")</f>
        <v/>
      </c>
      <c r="B78" s="18" t="inlineStr">
        <is>
          <t>Điều kiện / thao tác</t>
        </is>
      </c>
      <c r="C78" s="18" t="inlineStr">
        <is>
          <t>Cấu hình: Màn thêm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trống; tên chỉ khoảng trắng; 255 ký tự; 256 ký tự; 255 ký tự có thêm khoảng trắng ở đầu và cuối; hai quy tắc cùng tên
256 ký tự
Thao tác: 1. Nhập từng giá trị, Lưu, mở lại.
2. Tạo quy tắc thứ hai trùng tên quy tắc thứ nhất,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79" ht="129" customHeight="1">
      <c r="A79" s="24">
        <f>HYPERLINK("#'Kiểm thử'!A"&amp;(MATCH("TC-RS-VAL-014 / len256",'Kiểm thử'!$A$5:$A$573,0)+4),"TC-RS-VAL-014 / len256")</f>
        <v/>
      </c>
      <c r="B79" s="18" t="inlineStr">
        <is>
          <t>Điều kiện / thao tác</t>
        </is>
      </c>
      <c r="C79"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0" ht="112" customHeight="1">
      <c r="A80" s="24">
        <f>HYPERLINK("#'Kiểm thử'!A"&amp;(MATCH("TC-RS-VAL-014 / len256",'Kiểm thử'!$A$5:$A$573,0)+4),"TC-RS-VAL-014 / len256")</f>
        <v/>
      </c>
      <c r="B80" s="18" t="inlineStr">
        <is>
          <t>Kết quả mong đợi</t>
        </is>
      </c>
      <c r="C80" s="18"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
2. Lưu được; hai dòng riêng theo ưu tiên.
Bảo toàn: Giữ điểm, cấu hình và đối tượng không đích theo expected; chỉ thay phần thủ tục yêu cầu, không tự đổi oracle hoặc mở rộng phạm vi.</t>
        </is>
      </c>
    </row>
    <row r="81" ht="299" customHeight="1">
      <c r="A81" s="24">
        <f>HYPERLINK("#'Kiểm thử'!A"&amp;(MATCH("TC-RS-VAL-014 / padded255",'Kiểm thử'!$A$5:$A$573,0)+4),"TC-RS-VAL-014 / padded255")</f>
        <v/>
      </c>
      <c r="B81" s="18" t="inlineStr">
        <is>
          <t>Điều kiện / thao tác</t>
        </is>
      </c>
      <c r="C81" s="18" t="inlineStr">
        <is>
          <t>Cấu hình: Màn thêm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trống; tên chỉ khoảng trắng; 255 ký tự; 256 ký tự; 255 ký tự có thêm khoảng trắng ở đầu và cuối; hai quy tắc cùng tên
255 ký tự kèm khoảng trắng
Thao tác: 1. Nhập từng giá trị, Lưu, mở lại.
2. Tạo quy tắc thứ hai trùng tên quy tắc thứ nhất,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82" ht="129" customHeight="1">
      <c r="A82" s="24">
        <f>HYPERLINK("#'Kiểm thử'!A"&amp;(MATCH("TC-RS-VAL-014 / padded255",'Kiểm thử'!$A$5:$A$573,0)+4),"TC-RS-VAL-014 / padded255")</f>
        <v/>
      </c>
      <c r="B82" s="18" t="inlineStr">
        <is>
          <t>Điều kiện / thao tác</t>
        </is>
      </c>
      <c r="C82"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3" ht="112" customHeight="1">
      <c r="A83" s="24">
        <f>HYPERLINK("#'Kiểm thử'!A"&amp;(MATCH("TC-RS-VAL-014 / padded255",'Kiểm thử'!$A$5:$A$573,0)+4),"TC-RS-VAL-014 / padded255")</f>
        <v/>
      </c>
      <c r="B83" s="18" t="inlineStr">
        <is>
          <t>Kết quả mong đợi</t>
        </is>
      </c>
      <c r="C83" s="18"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
2. Lưu được; hai dòng riêng theo ưu tiên.
Bảo toàn: Giữ điểm, cấu hình và đối tượng không đích theo expected; chỉ thay phần thủ tục yêu cầu, không tự đổi oracle hoặc mở rộng phạm vi.</t>
        </is>
      </c>
    </row>
    <row r="84" ht="299" customHeight="1">
      <c r="A84" s="24">
        <f>HYPERLINK("#'Kiểm thử'!A"&amp;(MATCH("TC-RS-VAL-014 / duplicate",'Kiểm thử'!$A$5:$A$573,0)+4),"TC-RS-VAL-014 / duplicate")</f>
        <v/>
      </c>
      <c r="B84" s="18" t="inlineStr">
        <is>
          <t>Điều kiện / thao tác</t>
        </is>
      </c>
      <c r="C84" s="18" t="inlineStr">
        <is>
          <t>Cấu hình: Màn thêm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trống; tên chỉ khoảng trắng; 255 ký tự; 256 ký tự; 255 ký tự có thêm khoảng trắng ở đầu và cuối; hai quy tắc cùng tên
Trùng tên
Thao tác: 1. Nhập từng giá trị, Lưu, mở lại.
2. Tạo quy tắc thứ hai trùng tên quy tắc thứ nhất,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85" ht="129" customHeight="1">
      <c r="A85" s="24">
        <f>HYPERLINK("#'Kiểm thử'!A"&amp;(MATCH("TC-RS-VAL-014 / duplicate",'Kiểm thử'!$A$5:$A$573,0)+4),"TC-RS-VAL-014 / duplicate")</f>
        <v/>
      </c>
      <c r="B85" s="18" t="inlineStr">
        <is>
          <t>Điều kiện / thao tác</t>
        </is>
      </c>
      <c r="C85"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6" ht="112" customHeight="1">
      <c r="A86" s="24">
        <f>HYPERLINK("#'Kiểm thử'!A"&amp;(MATCH("TC-RS-VAL-014 / duplicate",'Kiểm thử'!$A$5:$A$573,0)+4),"TC-RS-VAL-014 / duplicate")</f>
        <v/>
      </c>
      <c r="B86" s="18" t="inlineStr">
        <is>
          <t>Kết quả mong đợi</t>
        </is>
      </c>
      <c r="C86" s="18"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
2. Lưu được; hai dòng riêng theo ưu tiên.
Bảo toàn: Giữ điểm, cấu hình và đối tượng không đích theo expected; chỉ thay phần thủ tục yêu cầu, không tự đổi oracle hoặc mở rộng phạm vi.</t>
        </is>
      </c>
    </row>
    <row r="87" ht="44" customHeight="1">
      <c r="A87" s="24">
        <f>HYPERLINK("#'Kiểm thử'!A"&amp;(MATCH("TC-RS-VAL-016 / Base",'Kiểm thử'!$A$5:$A$573,0)+4),"TC-RS-VAL-016 / Base")</f>
        <v/>
      </c>
      <c r="B87" s="18" t="inlineStr">
        <is>
          <t>Màn hình / chức năng</t>
        </is>
      </c>
      <c r="C87" s="18" t="inlineStr">
        <is>
          <t>Quản lý danh sách quy tắc đỏ của một mục — Thiết lập điểm đỏ（赤点設定）
Lỗi khi lưu không làm mất cấu hình/kết quả đã lưu</t>
        </is>
      </c>
    </row>
    <row r="88" ht="299" customHeight="1">
      <c r="A88" s="24">
        <f>HYPERLINK("#'Kiểm thử'!A"&amp;(MATCH("TC-RS-VAL-016 / Base",'Kiểm thử'!$A$5:$A$573,0)+4),"TC-RS-VAL-016 / Base")</f>
        <v/>
      </c>
      <c r="B88" s="18" t="inlineStr">
        <is>
          <t>Điều kiện / thao tác</t>
        </is>
      </c>
      <c r="C88" s="18" t="inlineStr">
        <is>
          <t>Cấu hình: quy tắc “Cố định 30” (dưới 30) đã lưu; S01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N = 101
Toàn bộ thủ tục theo đúng thứ tự; các đối chứng cùng fixture được kiểm trong cùng lượt, không bỏ bước
Thao tác: 1. Mở quy tắc “Cố định 30” (dưới 30), đổi N=101, Lưu (lỗi).
2. Quay lại danh sách, xem ba đầu 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89" ht="129" customHeight="1">
      <c r="A89" s="24">
        <f>HYPERLINK("#'Kiểm thử'!A"&amp;(MATCH("TC-RS-VAL-016 / Base",'Kiểm thử'!$A$5:$A$573,0)+4),"TC-RS-VAL-016 / Base")</f>
        <v/>
      </c>
      <c r="B89" s="18" t="inlineStr">
        <is>
          <t>Điều kiện / thao tác</t>
        </is>
      </c>
      <c r="C89"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0" ht="44" customHeight="1">
      <c r="A90" s="24">
        <f>HYPERLINK("#'Kiểm thử'!A"&amp;(MATCH("TC-RS-DATA-001 / fixed",'Kiểm thử'!$A$5:$A$573,0)+4),"TC-RS-DATA-001 / fixed")</f>
        <v/>
      </c>
      <c r="B90" s="18" t="inlineStr">
        <is>
          <t>Màn hình / chức năng</t>
        </is>
      </c>
      <c r="C90" s="18" t="inlineStr">
        <is>
          <t>Quản lý danh sách quy tắc đỏ của một mục — Thiết lập điểm đỏ（赤点設定）
Cấu hình lưu và mở lại đầy đủ, không cắt/làm tròn âm thầm</t>
        </is>
      </c>
    </row>
    <row r="91" ht="299" customHeight="1">
      <c r="A91" s="24">
        <f>HYPERLINK("#'Kiểm thử'!A"&amp;(MATCH("TC-RS-DATA-001 / fixed",'Kiểm thử'!$A$5:$A$573,0)+4),"TC-RS-DATA-001 / fixed")</f>
        <v/>
      </c>
      <c r="B91" s="18" t="inlineStr">
        <is>
          <t>Điều kiện / thao tác</t>
        </is>
      </c>
      <c r="C91" s="18" t="inlineStr">
        <is>
          <t>Cấu hình: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“Cố định 30” (dưới 30) với N=29.5; quy tắc tỷ lệ 30% làm tròn xuống; quy tắc công thức hai dòng (trung bình ÷ 2 × 0.8); quy tắc có bộ lọc kết hợp (khối 1 hoặc 2, nhóm Nâng cao)
Cố định 29.5
Thao tác: 1. Lưu từng quy tắc.
2. Tải lại trang, mở từng quy tắc.
3. SELECT cấu hình (khi có schema).
Khôi phục: Trước mỗi biến thể, dựng lại điều kiện/dữ liệu đầu của case bằng đường được phép; giữ các reset/fixture độc lập đã nêu trong thủ tục.</t>
        </is>
      </c>
    </row>
    <row r="92" ht="180" customHeight="1">
      <c r="A92" s="24">
        <f>HYPERLINK("#'Kiểm thử'!A"&amp;(MATCH("TC-RS-DATA-001 / fixed",'Kiểm thử'!$A$5:$A$573,0)+4),"TC-RS-DATA-001 / fixed")</f>
        <v/>
      </c>
      <c r="B92" s="18" t="inlineStr">
        <is>
          <t>Điều kiện / thao tác</t>
        </is>
      </c>
      <c r="C92"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3" ht="44" customHeight="1">
      <c r="A93" s="24">
        <f>HYPERLINK("#'Kiểm thử'!A"&amp;(MATCH("TC-RS-DATA-001 / ratio",'Kiểm thử'!$A$5:$A$573,0)+4),"TC-RS-DATA-001 / ratio")</f>
        <v/>
      </c>
      <c r="B93" s="18" t="inlineStr">
        <is>
          <t>Màn hình / chức năng</t>
        </is>
      </c>
      <c r="C93" s="18" t="inlineStr">
        <is>
          <t>Quản lý danh sách quy tắc đỏ của một mục — Thiết lập điểm đỏ（赤点設定）
Cấu hình lưu và mở lại đầy đủ, không cắt/làm tròn âm thầm</t>
        </is>
      </c>
    </row>
    <row r="94" ht="299" customHeight="1">
      <c r="A94" s="24">
        <f>HYPERLINK("#'Kiểm thử'!A"&amp;(MATCH("TC-RS-DATA-001 / ratio",'Kiểm thử'!$A$5:$A$573,0)+4),"TC-RS-DATA-001 / ratio")</f>
        <v/>
      </c>
      <c r="B94" s="18" t="inlineStr">
        <is>
          <t>Điều kiện / thao tác</t>
        </is>
      </c>
      <c r="C94" s="18" t="inlineStr">
        <is>
          <t>Cấu hình: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“Cố định 30” (dưới 30) với N=29.5; quy tắc tỷ lệ 30% làm tròn xuống; quy tắc công thức hai dòng (trung bình ÷ 2 × 0.8); quy tắc có bộ lọc kết hợp (khối 1 hoặc 2, nhóm Nâng cao)
Tỷ lệ 30 phần trăm cắt xuống
Thao tác: 1. Lưu từng quy tắc.
2. Tải lại trang, mở từng quy tắc.
3. SELECT cấu hình (khi có schema).
Khôi phục: Trước mỗi biến thể, dựng lại điều kiện/dữ liệu đầu của case bằng đường được phép; giữ các reset/fixture độc lập đã nêu trong thủ tục.</t>
        </is>
      </c>
    </row>
    <row r="95" ht="180" customHeight="1">
      <c r="A95" s="24">
        <f>HYPERLINK("#'Kiểm thử'!A"&amp;(MATCH("TC-RS-DATA-001 / ratio",'Kiểm thử'!$A$5:$A$573,0)+4),"TC-RS-DATA-001 / ratio")</f>
        <v/>
      </c>
      <c r="B95" s="18" t="inlineStr">
        <is>
          <t>Điều kiện / thao tác</t>
        </is>
      </c>
      <c r="C95"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6" ht="44" customHeight="1">
      <c r="A96" s="24">
        <f>HYPERLINK("#'Kiểm thử'!A"&amp;(MATCH("TC-RS-DATA-001 / formula",'Kiểm thử'!$A$5:$A$573,0)+4),"TC-RS-DATA-001 / formula")</f>
        <v/>
      </c>
      <c r="B96" s="18" t="inlineStr">
        <is>
          <t>Màn hình / chức năng</t>
        </is>
      </c>
      <c r="C96" s="18" t="inlineStr">
        <is>
          <t>Quản lý danh sách quy tắc đỏ của một mục — Thiết lập điểm đỏ（赤点設定）
Cấu hình lưu và mở lại đầy đủ, không cắt/làm tròn âm thầm</t>
        </is>
      </c>
    </row>
    <row r="97" ht="299" customHeight="1">
      <c r="A97" s="24">
        <f>HYPERLINK("#'Kiểm thử'!A"&amp;(MATCH("TC-RS-DATA-001 / formula",'Kiểm thử'!$A$5:$A$573,0)+4),"TC-RS-DATA-001 / formula")</f>
        <v/>
      </c>
      <c r="B97" s="18" t="inlineStr">
        <is>
          <t>Điều kiện / thao tác</t>
        </is>
      </c>
      <c r="C97" s="18" t="inlineStr">
        <is>
          <t>Cấu hình: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“Cố định 30” (dưới 30) với N=29.5; quy tắc tỷ lệ 30% làm tròn xuống; quy tắc công thức hai dòng (trung bình ÷ 2 × 0.8); quy tắc có bộ lọc kết hợp (khối 1 hoặc 2, nhóm Nâng cao)
Công thức hai dòng
Thao tác: 1. Lưu từng quy tắc.
2. Tải lại trang, mở từng quy tắc.
3. SELECT cấu hình (khi có schema).
Khôi phục: Trước mỗi biến thể, dựng lại điều kiện/dữ liệu đầu của case bằng đường được phép; giữ các reset/fixture độc lập đã nêu trong thủ tục.</t>
        </is>
      </c>
    </row>
    <row r="98" ht="180" customHeight="1">
      <c r="A98" s="24">
        <f>HYPERLINK("#'Kiểm thử'!A"&amp;(MATCH("TC-RS-DATA-001 / formula",'Kiểm thử'!$A$5:$A$573,0)+4),"TC-RS-DATA-001 / formula")</f>
        <v/>
      </c>
      <c r="B98" s="18" t="inlineStr">
        <is>
          <t>Điều kiện / thao tác</t>
        </is>
      </c>
      <c r="C98"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9" ht="44" customHeight="1">
      <c r="A99" s="24">
        <f>HYPERLINK("#'Kiểm thử'!A"&amp;(MATCH("TC-RS-DATA-001 / filter",'Kiểm thử'!$A$5:$A$573,0)+4),"TC-RS-DATA-001 / filter")</f>
        <v/>
      </c>
      <c r="B99" s="18" t="inlineStr">
        <is>
          <t>Màn hình / chức năng</t>
        </is>
      </c>
      <c r="C99" s="18" t="inlineStr">
        <is>
          <t>Quản lý danh sách quy tắc đỏ của một mục — Thiết lập điểm đỏ（赤点設定）
Cấu hình lưu và mở lại đầy đủ, không cắt/làm tròn âm thầm</t>
        </is>
      </c>
    </row>
    <row r="100" ht="299" customHeight="1">
      <c r="A100" s="24">
        <f>HYPERLINK("#'Kiểm thử'!A"&amp;(MATCH("TC-RS-DATA-001 / filter",'Kiểm thử'!$A$5:$A$573,0)+4),"TC-RS-DATA-001 / filter")</f>
        <v/>
      </c>
      <c r="B100" s="18" t="inlineStr">
        <is>
          <t>Điều kiện / thao tác</t>
        </is>
      </c>
      <c r="C100" s="18" t="inlineStr">
        <is>
          <t>Cấu hình: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“Cố định 30” (dưới 30) với N=29.5; quy tắc tỷ lệ 30% làm tròn xuống; quy tắc công thức hai dòng (trung bình ÷ 2 × 0.8); quy tắc có bộ lọc kết hợp (khối 1 hoặc 2, nhóm Nâng cao)
Bộ lọc kết hợp
Thao tác: 1. Lưu từng quy tắc.
2. Tải lại trang, mở từng quy tắc.
3. SELECT cấu hình (khi có schema).
Khôi phục: Trước mỗi biến thể, dựng lại điều kiện/dữ liệu đầu của case bằng đường được phép; giữ các reset/fixture độc lập đã nêu trong thủ tục.</t>
        </is>
      </c>
    </row>
    <row r="101" ht="180" customHeight="1">
      <c r="A101" s="24">
        <f>HYPERLINK("#'Kiểm thử'!A"&amp;(MATCH("TC-RS-DATA-001 / filter",'Kiểm thử'!$A$5:$A$573,0)+4),"TC-RS-DATA-001 / filter")</f>
        <v/>
      </c>
      <c r="B101" s="18" t="inlineStr">
        <is>
          <t>Điều kiện / thao tác</t>
        </is>
      </c>
      <c r="C101"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2" ht="44" customHeight="1">
      <c r="A102" s="24">
        <f>HYPERLINK("#'Kiểm thử'!A"&amp;(MATCH("TC-RS-DATA-004 / Base",'Kiểm thử'!$A$5:$A$573,0)+4),"TC-RS-DATA-004 / Base")</f>
        <v/>
      </c>
      <c r="B102" s="18" t="inlineStr">
        <is>
          <t>Màn hình / chức năng</t>
        </is>
      </c>
      <c r="C102" s="18" t="inlineStr">
        <is>
          <t>Quản lý danh sách quy tắc đỏ của một mục — Thiết lập điểm đỏ（赤点設定）
Xóa quy tắc không xóa dây chuyền kết quả hay điểm</t>
        </is>
      </c>
    </row>
    <row r="103" ht="299" customHeight="1">
      <c r="A103" s="24">
        <f>HYPERLINK("#'Kiểm thử'!A"&amp;(MATCH("TC-RS-DATA-004 / Base",'Kiểm thử'!$A$5:$A$573,0)+4),"TC-RS-DATA-004 / Base")</f>
        <v/>
      </c>
      <c r="B103" s="18" t="inlineStr">
        <is>
          <t>Điều kiện / thao tác</t>
        </is>
      </c>
      <c r="C103" s="18" t="inlineStr">
        <is>
          <t>Cấu hình: quy tắc “Cố định 30” (dưới 30); S01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 (điểm 29)
Toàn bộ thủ tục theo đúng thứ tự; các đối chứng cùng fixture được kiểm trong cùng lượt, không bỏ bước
Thao tác: 1. Xóa quy tắc “Cố định 30” (dưới 30).
2. SELECT kết quả và điểm của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04" ht="129" customHeight="1">
      <c r="A104" s="24">
        <f>HYPERLINK("#'Kiểm thử'!A"&amp;(MATCH("TC-RS-DATA-004 / Base",'Kiểm thử'!$A$5:$A$573,0)+4),"TC-RS-DATA-004 / Base")</f>
        <v/>
      </c>
      <c r="B104" s="18" t="inlineStr">
        <is>
          <t>Điều kiện / thao tác</t>
        </is>
      </c>
      <c r="C104"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5" ht="44" customHeight="1">
      <c r="A105" s="24">
        <f>HYPERLINK("#'Kiểm thử'!A"&amp;(MATCH("TC-RS-UI-001 / Base",'Kiểm thử'!$A$5:$A$573,0)+4),"TC-RS-UI-001 / Base")</f>
        <v/>
      </c>
      <c r="B105" s="18" t="inlineStr">
        <is>
          <t>Màn hình / chức năng</t>
        </is>
      </c>
      <c r="C105" s="18" t="inlineStr">
        <is>
          <t>Quản lý danh sách quy tắc đỏ của một mục — Thiết lập điểm đỏ（赤点設定）
Nhãn trạng thái ở hàng Thiết lập điểm đỏ（赤点設定） trong Thiết lập ô nhập（入力欄設定）</t>
        </is>
      </c>
    </row>
    <row r="106" ht="299" customHeight="1">
      <c r="A106" s="24">
        <f>HYPERLINK("#'Kiểm thử'!A"&amp;(MATCH("TC-RS-UI-001 / Base",'Kiểm thử'!$A$5:$A$573,0)+4),"TC-RS-UI-001 / Base")</f>
        <v/>
      </c>
      <c r="B106" s="18" t="inlineStr">
        <is>
          <t>Điều kiện / thao tác</t>
        </is>
      </c>
      <c r="C106" s="18" t="inlineStr">
        <is>
          <t xml:space="preserve">Cấu hình: mục số nguyên (M=100) chưa có quy tắc; mục số thập phân (M=100) có quy tắc; mục kiểu lựa chọn A/B/C là mục lựa chọn.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thập phân (M=100), mục kiểu lựa chọn A/B/C
Toàn bộ thủ tục theo đúng thứ tự; các đối chứng cùng fixture được kiểm trong cùng lượt, không bỏ bước
Thao tác: 1. Mở Thiết lập ô nhập（入力欄設定）.
2. Ghi lại nhãn/ký hiệu ở hàng Thiết lập điểm đỏ（赤点設定） cho từng cột mục.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07" ht="146" customHeight="1">
      <c r="A107" s="24">
        <f>HYPERLINK("#'Kiểm thử'!A"&amp;(MATCH("TC-RS-UI-001 / Base",'Kiểm thử'!$A$5:$A$573,0)+4),"TC-RS-UI-001 / Base")</f>
        <v/>
      </c>
      <c r="B107" s="18" t="inlineStr">
        <is>
          <t>Điều kiện / thao tác</t>
        </is>
      </c>
      <c r="C107" s="18" t="inlineStr">
        <is>
          <t>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8" ht="129" customHeight="1">
      <c r="A108" s="24">
        <f>HYPERLINK("#'Kiểm thử'!A"&amp;(MATCH("TC-RS-UI-001 / Base",'Kiểm thử'!$A$5:$A$573,0)+4),"TC-RS-UI-001 / Base")</f>
        <v/>
      </c>
      <c r="B108" s="18" t="inlineStr">
        <is>
          <t>Kết quả mong đợi</t>
        </is>
      </c>
      <c r="C108" s="18" t="inlineStr">
        <is>
          <t>Mục chưa có quy tắc và mục đã có quy tắc được phân biệt được; mục lựa chọn không có thao tác mở thiết lập (đặc tả v2 mục 4.1 “Điểm vào và trạng thái trống”).
Nhãn cụ thể theo Figma (PROPOSED): [設定する] (thiết lập) / 編集 (sửa) + 設定済み (đã thiết lập) / —.
Bảo toàn: Giữ điểm, cấu hình và đối tượng không đích theo expected; chỉ thay phần thủ tục yêu cầu, không tự đổi oracle hoặc mở rộng phạm vi.</t>
        </is>
      </c>
    </row>
    <row r="109" ht="44" customHeight="1">
      <c r="A109" s="24">
        <f>HYPERLINK("#'Kiểm thử'!A"&amp;(MATCH("TC-RS-UI-002 / Base",'Kiểm thử'!$A$5:$A$573,0)+4),"TC-RS-UI-002 / Base")</f>
        <v/>
      </c>
      <c r="B109" s="18" t="inlineStr">
        <is>
          <t>Màn hình / chức năng</t>
        </is>
      </c>
      <c r="C109" s="18" t="inlineStr">
        <is>
          <t>Quản lý danh sách quy tắc đỏ của một mục — Thiết lập điểm đỏ（赤点設定）
Cấu trúc màn danh sách Thiết lập điểm đỏ（赤点設定）</t>
        </is>
      </c>
    </row>
    <row r="110" ht="299" customHeight="1">
      <c r="A110" s="24">
        <f>HYPERLINK("#'Kiểm thử'!A"&amp;(MATCH("TC-RS-UI-002 / Base",'Kiểm thử'!$A$5:$A$573,0)+4),"TC-RS-UI-002 / Base")</f>
        <v/>
      </c>
      <c r="B110" s="18" t="inlineStr">
        <is>
          <t>Điều kiện / thao tác</t>
        </is>
      </c>
      <c r="C110" s="18" t="inlineStr">
        <is>
          <t>Cấu hình: mục số nguyên (M=100) có cặp quy tắc phân nhánh theo trung bình 60 (2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cặp quy tắc phân nhánh theo trung bình 60
Toàn bộ thủ tục theo đúng thứ tự; các đối chứng cùng fixture được kiểm trong cùng lượt, không bỏ bước
Thao tác: 1. Mở Thiết lập nhập điểm（成績入力設定） (URL ở đường dẫn các màn liên quan) → Thiết lập ô nhập（入力欄設定） của kỳ Cuối kỳ học kỳ 1（1学期期末）.
2. Ở hàng Thiết lập điểm đỏ（赤点設定） của cột mục số nguyên (M=100), bấm nút mở thiết lập (Figma: 編集 (sửa)).
3. Trên màn danh sách, đối chiếu lần lượt các mục a–g ở Expected Result.
Khôi phục: Trước mỗi biến thể, dựng lại điều kiện/dữ liệu đầu của case bằng đường được phép; gi</t>
        </is>
      </c>
    </row>
    <row r="111" ht="180" customHeight="1">
      <c r="A111" s="24">
        <f>HYPERLINK("#'Kiểm thử'!A"&amp;(MATCH("TC-RS-UI-002 / Base",'Kiểm thử'!$A$5:$A$573,0)+4),"TC-RS-UI-002 / Base")</f>
        <v/>
      </c>
      <c r="B111" s="18" t="inlineStr">
        <is>
          <t>Điều kiện / thao tác</t>
        </is>
      </c>
      <c r="C111"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2" ht="299" customHeight="1">
      <c r="A112" s="24">
        <f>HYPERLINK("#'Kiểm thử'!A"&amp;(MATCH("TC-RS-UI-002 / Base",'Kiểm thử'!$A$5:$A$573,0)+4),"TC-RS-UI-002 / Base")</f>
        <v/>
      </c>
      <c r="B112" s="18" t="inlineStr">
        <is>
          <t>Kết quả mong đợi</t>
        </is>
      </c>
      <c r="C112" s="18" t="inlineStr">
        <is>
          <t>a. Breadcrumb: Thiết lập bảng thành tích（成績帳票設定） - Thiết lập thành tích（成績設定） - Thiết lập nhập điểm（成績入力設定） - Thiết lập điểm đỏ（赤点設定）.
b. Link Quay lại Thiết lập nhập điểm（[成績入力設定へ戻る]）.
c. Khối Giải thích bổ sung（※補足説明※） thu gọn/mở được.
d. Nút Thêm thiết lập chi tiết（詳細設定の追加）.
e. Bảng có các cột Tên thiết lập（設定名称）; Điều kiện áp dụng（適用条件） kèm Sửa（[編集]）; Ngưỡng đỏ（赤点の基準） kèm Sửa（[編集]）; Xóa（削除）; Ưu tiên（優先順位） ▲▼; có 2 dòng theo cặp quy tắc phân nhánh theo trung bình 60.
f. Câu 「上から順に適用条件を確認し、最初に一致した設定を使用します。」 (kiểm điều kiện từ trên xuống, dùng thiết lập khớp đầu tiên).
g. Câu cuối trang 「設定を変更した場合は、成績登録または成績集計の自動算出を再実行してください</t>
        </is>
      </c>
    </row>
    <row r="113" ht="61" customHeight="1">
      <c r="A113" s="24">
        <f>HYPERLINK("#'Kiểm thử'!A"&amp;(MATCH("TC-RS-UI-002 / Base",'Kiểm thử'!$A$5:$A$573,0)+4),"TC-RS-UI-002 / Base")</f>
        <v/>
      </c>
      <c r="B113" s="18" t="inlineStr">
        <is>
          <t>Kết quả mong đợi</t>
        </is>
      </c>
      <c r="C113" s="18" t="inlineStr">
        <is>
          <t>。」 (đổi thiết lập thì chạy lại đăng ký điểm hoặc tính tự động).
Bảo toàn: Giữ điểm, cấu hình và đối tượng không đích theo expected; chỉ thay phần thủ tục yêu cầu, không tự đổi oracle hoặc mở rộng phạm vi.</t>
        </is>
      </c>
    </row>
    <row r="114" ht="299" customHeight="1">
      <c r="A114" s="24">
        <f>HYPERLINK("#'Kiểm thử'!A"&amp;(MATCH("TC-RS-UI-003 / Base",'Kiểm thử'!$A$5:$A$573,0)+4),"TC-RS-UI-003 / Base")</f>
        <v/>
      </c>
      <c r="B114" s="18" t="inlineStr">
        <is>
          <t>Điều kiện / thao tác</t>
        </is>
      </c>
      <c r="C114" s="18" t="inlineStr">
        <is>
          <t>Cấu hình: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Toàn bộ thủ tục theo đúng thứ tự; các đối chứng cùng fixture được kiểm trong cùng lượt, không bỏ bước
Thao tác: Mở màn danh sách của mục số thập phân (M=100), đọc tiêu đề.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5" ht="129" customHeight="1">
      <c r="A115" s="24">
        <f>HYPERLINK("#'Kiểm thử'!A"&amp;(MATCH("TC-RS-UI-003 / Base",'Kiểm thử'!$A$5:$A$573,0)+4),"TC-RS-UI-003 / Base")</f>
        <v/>
      </c>
      <c r="B115" s="18" t="inlineStr">
        <is>
          <t>Điều kiện / thao tác</t>
        </is>
      </c>
      <c r="C11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6" ht="146" customHeight="1">
      <c r="A116" s="24">
        <f>HYPERLINK("#'Kiểm thử'!A"&amp;(MATCH("TC-RS-UI-003 / Base",'Kiểm thử'!$A$5:$A$573,0)+4),"TC-RS-UI-003 / Base")</f>
        <v/>
      </c>
      <c r="B116" s="18" t="inlineStr">
        <is>
          <t>Kết quả mong đợi</t>
        </is>
      </c>
      <c r="C116" s="18" t="inlineStr">
        <is>
          <t>Theo tiêu chí nghiệm thu “Lưu và mở lại nhiều thiết lập”: màn danh sách thể hiện kỳ Cuối kỳ học kỳ 1（1学期期末）, tên mục, kiểu nhập Nhập số – thập phân（数値入力・小数） và Thiết lập điểm đỏ（赤点設定）.
Định dạng tiêu đề theo Figma (PROPOSED): 「1学期期末 ／ 評点（数値入力・小数） の赤点設定」; lệch thì ghi Notes, không FAIL.
Bảo toàn: Giữ điểm, cấu hình và đối tượng không đích theo expected; chỉ thay phần thủ tục yêu cầu, không tự đổi oracle hoặc mở rộng phạm vi.</t>
        </is>
      </c>
    </row>
    <row r="117" ht="44" customHeight="1">
      <c r="A117" s="24">
        <f>HYPERLINK("#'Kiểm thử'!A"&amp;(MATCH("TC-RS-UI-004 / Base",'Kiểm thử'!$A$5:$A$573,0)+4),"TC-RS-UI-004 / Base")</f>
        <v/>
      </c>
      <c r="B117" s="18" t="inlineStr">
        <is>
          <t>Màn hình / chức năng</t>
        </is>
      </c>
      <c r="C117" s="18" t="inlineStr">
        <is>
          <t>Quản lý danh sách quy tắc đỏ của một mục — Thiết lập điểm đỏ（赤点設定）
Tóm tắt điều kiện và ngưỡng trên từng dòng danh sách</t>
        </is>
      </c>
    </row>
    <row r="118" ht="299" customHeight="1">
      <c r="A118" s="24">
        <f>HYPERLINK("#'Kiểm thử'!A"&amp;(MATCH("TC-RS-UI-004 / Base",'Kiểm thử'!$A$5:$A$573,0)+4),"TC-RS-UI-004 / Base")</f>
        <v/>
      </c>
      <c r="B118" s="18" t="inlineStr">
        <is>
          <t>Điều kiện / thao tác</t>
        </is>
      </c>
      <c r="C118" s="18" t="inlineStr">
        <is>
          <t xml:space="preserve">Cấu hình: mục số nguyên (M=100) có cặp quy tắc phân nhánh theo trung bình 60 và một quy tắc công thức hai dòng (trung bình ÷ 2 × 0.8).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công thức hai dòng (trung bình ÷ 2 × 0.8), cặp quy tắc phân nhánh theo trung bình 60
Toàn bộ thủ tục theo đúng thứ tự; các đối chứng cùng fixture được kiểm trong cùng lượt, không bỏ bước
Thao tác: Xem cột Điều kiện áp dụng（適用条件） và Ngưỡng đỏ（赤点の基準） của từng dòng.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19" ht="146" customHeight="1">
      <c r="A119" s="24">
        <f>HYPERLINK("#'Kiểm thử'!A"&amp;(MATCH("TC-RS-UI-004 / Base",'Kiểm thử'!$A$5:$A$573,0)+4),"TC-RS-UI-004 / Base")</f>
        <v/>
      </c>
      <c r="B119" s="18" t="inlineStr">
        <is>
          <t>Điều kiện / thao tác</t>
        </is>
      </c>
      <c r="C119" s="18" t="inlineStr">
        <is>
          <t>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0" ht="299" customHeight="1">
      <c r="A120" s="24">
        <f>HYPERLINK("#'Kiểm thử'!A"&amp;(MATCH("TC-RS-UI-005 / Base",'Kiểm thử'!$A$5:$A$573,0)+4),"TC-RS-UI-005 / Base")</f>
        <v/>
      </c>
      <c r="B120" s="18" t="inlineStr">
        <is>
          <t>Điều kiện / thao tác</t>
        </is>
      </c>
      <c r="C120" s="18" t="inlineStr">
        <is>
          <t>Cấu hình: mục số nguyên (M=100) không có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Toàn bộ thủ tục theo đúng thứ tự; các đối chứng cùng fixture được kiểm trong cùng lượt, không bỏ bước
Thao tác: Mở danh sách.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1" ht="129" customHeight="1">
      <c r="A121" s="24">
        <f>HYPERLINK("#'Kiểm thử'!A"&amp;(MATCH("TC-RS-UI-005 / Base",'Kiểm thử'!$A$5:$A$573,0)+4),"TC-RS-UI-005 / Base")</f>
        <v/>
      </c>
      <c r="B121" s="18" t="inlineStr">
        <is>
          <t>Điều kiện / thao tác</t>
        </is>
      </c>
      <c r="C121"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2" ht="299" customHeight="1">
      <c r="A122" s="24">
        <f>HYPERLINK("#'Kiểm thử'!A"&amp;(MATCH("TC-RS-UI-006 / Base",'Kiểm thử'!$A$5:$A$573,0)+4),"TC-RS-UI-006 / Base")</f>
        <v/>
      </c>
      <c r="B122" s="18" t="inlineStr">
        <is>
          <t>Điều kiện / thao tác</t>
        </is>
      </c>
      <c r="C122" s="18" t="inlineStr">
        <is>
          <t>Cấu hình: mục số nguyên (M=100) chỉ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Toàn bộ thủ tục theo đúng thứ tự; các đối chứng cùng fixture được kiểm trong cùng lượt, không bỏ bước
Thao tác: Bấm Xóa（削除） ở dòng duy nhất.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3" ht="129" customHeight="1">
      <c r="A123" s="24">
        <f>HYPERLINK("#'Kiểm thử'!A"&amp;(MATCH("TC-RS-UI-006 / Base",'Kiểm thử'!$A$5:$A$573,0)+4),"TC-RS-UI-006 / Base")</f>
        <v/>
      </c>
      <c r="B123" s="18" t="inlineStr">
        <is>
          <t>Điều kiện / thao tác</t>
        </is>
      </c>
      <c r="C123"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4" ht="44" customHeight="1">
      <c r="A124" s="24">
        <f>HYPERLINK("#'Kiểm thử'!A"&amp;(MATCH("TC-RS-UI-007 / incomplete-row",'Kiểm thử'!$A$5:$A$573,0)+4),"TC-RS-UI-007 / incomplete-row")</f>
        <v/>
      </c>
      <c r="B124" s="18" t="inlineStr">
        <is>
          <t>Màn hình / chức năng</t>
        </is>
      </c>
      <c r="C124" s="18" t="inlineStr">
        <is>
          <t>Quản lý danh sách quy tắc đỏ của một mục — Thiết lập điểm đỏ（赤点設定）
Dòng quy tắc mới chỉ có điều kiện, chưa có ngưỡng</t>
        </is>
      </c>
    </row>
    <row r="125" ht="299" customHeight="1">
      <c r="A125" s="24">
        <f>HYPERLINK("#'Kiểm thử'!A"&amp;(MATCH("TC-RS-UI-007 / incomplete-row",'Kiểm thử'!$A$5:$A$573,0)+4),"TC-RS-UI-007 / incomplete-row")</f>
        <v/>
      </c>
      <c r="B125" s="18" t="inlineStr">
        <is>
          <t>Điều kiện / thao tác</t>
        </is>
      </c>
      <c r="C125" s="18" t="inlineStr">
        <is>
          <t>Cấu hình: trường A/năm 2026, mục số nguyên TD-ITEM-01 (M=100), S01=29; giáo viên có quyền sửa và chạy xét. Rule ưu tiên 1 chỉ lưu điều kiện Toàn bộ, chưa có ngưỡng; rule đối chứng ưu tiên 2 Toàn bộ, T=20, dấu `&lt;`. Ghi identity hai rule và dựng lại fixture trước mỗi biến thể; baseline sau xét là Không đỏ theo rule đối chứng. Cách biểu diễn enum/schema vẫn là PROPOSED.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form ngưỡng ở tab A sẽ nhập T=40 nhưng chưa lưu; tab B dùng để xóa rule nhập dở. Phạm vi trích xuất chỉ có ô S01=29 này. Đây là fixture của `FUNC-014/incomplete-deleted-stale`, không thay ngưỡng 30 dùng chung.
Nhánh incomplete-row trong thủ tục và Expected của case; thực hiện các bước chuẩn bị chung trước nhánh
Thao tác: 1. Với `incomplete-row`, quay về danh sách, xem dòng nhập dở và thao tác mở thiết lập</t>
        </is>
      </c>
    </row>
    <row r="126" ht="299" customHeight="1">
      <c r="A126" s="24">
        <f>HYPERLINK("#'Kiểm thử'!A"&amp;(MATCH("TC-RS-UI-007 / incomplete-row",'Kiểm thử'!$A$5:$A$573,0)+4),"TC-RS-UI-007 / incomplete-row")</f>
        <v/>
      </c>
      <c r="B126" s="18" t="inlineStr">
        <is>
          <t>Điều kiện / thao tác</t>
        </is>
      </c>
      <c r="C126" s="18" t="inlineStr">
        <is>
          <t xml:space="preserve"> ngưỡng; chạy xét và đọc rule đối chứng T=20 đã dùng cho S01.
2. Với `incomplete-deleted-stale`, reset fixture và xác nhận baseline Không đỏ/T=20. Mở form ngưỡng của rule nhập dở ở tab A, nhập T=40 nhưng chưa lưu; xóa rule đó ở tab B rồi gửi lưu tab A. Reload danh sách và đọc trạng thái rule.
3. Chạy xét lại thành công; đọc identity rule/ngưỡng đã dùng và trích xuất S01 một lượt tắt lọc, một lượt bật lọc đỏ. Ghi kết quả riêng cho hai biến thể.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cần xác minh form ngưỡng cũ và đường chạy/đọc kết quả cho fixture bên dưới; không coi việc dòng biến mất khỏi danh sách là bằng chứng bộ xét đã loại rule.
TC-RS-UI-007: hoàn thiện đúng fixture/seam; giữ expected và chưa kết luận thực thi.</t>
        </is>
      </c>
    </row>
    <row r="127" ht="180" customHeight="1">
      <c r="A127" s="24">
        <f>HYPERLINK("#'Kiểm thử'!A"&amp;(MATCH("TC-RS-UI-007 / incomplete-row",'Kiểm thử'!$A$5:$A$573,0)+4),"TC-RS-UI-007 / incomplete-row")</f>
        <v/>
      </c>
      <c r="B127" s="18" t="inlineStr">
        <is>
          <t>Kết quả mong đợi</t>
        </is>
      </c>
      <c r="C127" s="18" t="inlineStr">
        <is>
          <t>1. `incomplete-row`: dòng hiển thị chưa có ngưỡng, có link mở thiết lập ngưỡng và câu báo không dùng để xét. Bộ xét chọn rule đối chứng T=20, S01=29 Không đỏ; không tạo ngưỡng 0 ngầm.
2. `incomplete-deleted-stale`: dòng đã xóa không xuất hiện lại; gửi T=40 từ form cũ không phục hồi rule trong bộ xét. Sau lần xét lại, identity rule đối chứng và T=20 giữ đúng, S01=29 **Không đỏ**. Lượt tắt lọc hiện 29 không dấu đỏ; lượt bật lọc không có S01. Nếu rule 40 bị phục hồi thì 29&lt;40 sẽ Đỏ và biến thể phải FAIL.
3. Schema/enum là cách hiện thực đề xuất. Nếu chưa xác minh được form cũ, đường chạy xét hoặc reader rule/ngưỡng thì giữ biến thể BLOCKED, không suy PASS chỉ từ danh sách.
Bảo toàn: Giữ điểm, cấu hình và đối tượng không đích theo expected; chỉ thay phần thủ tục yêu cầu, không tự đổi oracle hoặc mở rộng phạm vi.</t>
        </is>
      </c>
    </row>
    <row r="128" ht="44" customHeight="1">
      <c r="A128" s="24">
        <f>HYPERLINK("#'Kiểm thử'!A"&amp;(MATCH("TC-RS-UI-007 / incomplete-deleted-stale",'Kiểm thử'!$A$5:$A$573,0)+4),"TC-RS-UI-007 / incomplete-deleted-stale")</f>
        <v/>
      </c>
      <c r="B128" s="18" t="inlineStr">
        <is>
          <t>Màn hình / chức năng</t>
        </is>
      </c>
      <c r="C128" s="18" t="inlineStr">
        <is>
          <t>Quản lý danh sách quy tắc đỏ của một mục — Thiết lập điểm đỏ（赤点設定）
Dòng quy tắc mới chỉ có điều kiện, chưa có ngưỡng</t>
        </is>
      </c>
    </row>
    <row r="129" ht="299" customHeight="1">
      <c r="A129" s="24">
        <f>HYPERLINK("#'Kiểm thử'!A"&amp;(MATCH("TC-RS-UI-007 / incomplete-deleted-stale",'Kiểm thử'!$A$5:$A$573,0)+4),"TC-RS-UI-007 / incomplete-deleted-stale")</f>
        <v/>
      </c>
      <c r="B129" s="18" t="inlineStr">
        <is>
          <t>Điều kiện / thao tác</t>
        </is>
      </c>
      <c r="C129" s="18" t="inlineStr">
        <is>
          <t>Cấu hình: trường A/năm 2026, mục số nguyên TD-ITEM-01 (M=100), S01=29; giáo viên có quyền sửa và chạy xét. Rule ưu tiên 1 chỉ lưu điều kiện Toàn bộ, chưa có ngưỡng; rule đối chứng ưu tiên 2 Toàn bộ, T=20, dấu `&lt;`. Ghi identity hai rule và dựng lại fixture trước mỗi biến thể; baseline sau xét là Không đỏ theo rule đối chứng. Cách biểu diễn enum/schema vẫn là PROPOSED.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form ngưỡng ở tab A sẽ nhập T=40 nhưng chưa lưu; tab B dùng để xóa rule nhập dở. Phạm vi trích xuất chỉ có ô S01=29 này. Đây là fixture của `FUNC-014/incomplete-deleted-stale`, không thay ngưỡng 30 dùng chung.
Nhánh incomplete-deleted-stale trong thủ tục và Expected của case; thực hiện các bước chuẩn bị chung trước nhánh
Thao tác: 1. Với `incomplete-row`, quay về danh sách, xem dòng nhập dở và thao tác mở thiết lập</t>
        </is>
      </c>
    </row>
    <row r="130" ht="299" customHeight="1">
      <c r="A130" s="24">
        <f>HYPERLINK("#'Kiểm thử'!A"&amp;(MATCH("TC-RS-UI-007 / incomplete-deleted-stale",'Kiểm thử'!$A$5:$A$573,0)+4),"TC-RS-UI-007 / incomplete-deleted-stale")</f>
        <v/>
      </c>
      <c r="B130" s="18" t="inlineStr">
        <is>
          <t>Điều kiện / thao tác</t>
        </is>
      </c>
      <c r="C130" s="18" t="inlineStr">
        <is>
          <t xml:space="preserve"> ngưỡng; chạy xét và đọc rule đối chứng T=20 đã dùng cho S01.
2. Với `incomplete-deleted-stale`, reset fixture và xác nhận baseline Không đỏ/T=20. Mở form ngưỡng của rule nhập dở ở tab A, nhập T=40 nhưng chưa lưu; xóa rule đó ở tab B rồi gửi lưu tab A. Reload danh sách và đọc trạng thái rule.
3. Chạy xét lại thành công; đọc identity rule/ngưỡng đã dùng và trích xuất S01 một lượt tắt lọc, một lượt bật lọc đỏ. Ghi kết quả riêng cho hai biến thể.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cần xác minh form ngưỡng cũ và đường chạy/đọc kết quả cho fixture bên dưới; không coi việc dòng biến mất khỏi danh sách là bằng chứng bộ xét đã loại rule.
TC-RS-UI-007: hoàn thiện đúng fixture/seam; giữ expected và chưa kết luận thực thi.</t>
        </is>
      </c>
    </row>
    <row r="131" ht="180" customHeight="1">
      <c r="A131" s="24">
        <f>HYPERLINK("#'Kiểm thử'!A"&amp;(MATCH("TC-RS-UI-007 / incomplete-deleted-stale",'Kiểm thử'!$A$5:$A$573,0)+4),"TC-RS-UI-007 / incomplete-deleted-stale")</f>
        <v/>
      </c>
      <c r="B131" s="18" t="inlineStr">
        <is>
          <t>Kết quả mong đợi</t>
        </is>
      </c>
      <c r="C131" s="18" t="inlineStr">
        <is>
          <t>1. `incomplete-row`: dòng hiển thị chưa có ngưỡng, có link mở thiết lập ngưỡng và câu báo không dùng để xét. Bộ xét chọn rule đối chứng T=20, S01=29 Không đỏ; không tạo ngưỡng 0 ngầm.
2. `incomplete-deleted-stale`: dòng đã xóa không xuất hiện lại; gửi T=40 từ form cũ không phục hồi rule trong bộ xét. Sau lần xét lại, identity rule đối chứng và T=20 giữ đúng, S01=29 **Không đỏ**. Lượt tắt lọc hiện 29 không dấu đỏ; lượt bật lọc không có S01. Nếu rule 40 bị phục hồi thì 29&lt;40 sẽ Đỏ và biến thể phải FAIL.
3. Schema/enum là cách hiện thực đề xuất. Nếu chưa xác minh được form cũ, đường chạy xét hoặc reader rule/ngưỡng thì giữ biến thể BLOCKED, không suy PASS chỉ từ danh sách.
Bảo toàn: Giữ điểm, cấu hình và đối tượng không đích theo expected; chỉ thay phần thủ tục yêu cầu, không tự đổi oracle hoặc mở rộng phạm vi.</t>
        </is>
      </c>
    </row>
    <row r="132" ht="44" customHeight="1">
      <c r="A132" s="24">
        <f>HYPERLINK("#'Kiểm thử'!A"&amp;(MATCH("TC-RS-FUNC-003 / Base",'Kiểm thử'!$A$5:$A$573,0)+4),"TC-RS-FUNC-003 / Base")</f>
        <v/>
      </c>
      <c r="B132" s="18" t="inlineStr">
        <is>
          <t>Màn hình / chức năng</t>
        </is>
      </c>
      <c r="C132" s="18" t="inlineStr">
        <is>
          <t>Quản lý danh sách quy tắc đỏ của một mục — Thiết lập điểm đỏ（赤点設定）
Danh sách trống không tự dựng rule từ cấu hình legacy</t>
        </is>
      </c>
    </row>
    <row r="133" ht="299" customHeight="1">
      <c r="A133" s="24">
        <f>HYPERLINK("#'Kiểm thử'!A"&amp;(MATCH("TC-RS-FUNC-003 / Base",'Kiểm thử'!$A$5:$A$573,0)+4),"TC-RS-FUNC-003 / Base")</f>
        <v/>
      </c>
      <c r="B133" s="18" t="inlineStr">
        <is>
          <t>Điều kiện / thao tác</t>
        </is>
      </c>
      <c r="C133" s="18" t="inlineStr">
        <is>
          <t>Cấu hình: - Mục chưa có rule mới nhưng có giá trị legacy và kết quả legacy đã lưu.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Mục chưa có rule mới nhưng có giá trị legacy và kết quả legacy đã lưu.
Toàn bộ thủ tục theo đúng thứ tự; các đối chứng cùng fixture được kiểm trong cùng lượt, không bỏ bước
Thao tác: 1. Mở danh sách rule đỏ trống.
2. Chạy xét hoặc mở đầu 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34" ht="129" customHeight="1">
      <c r="A134" s="24">
        <f>HYPERLINK("#'Kiểm thử'!A"&amp;(MATCH("TC-RS-FUNC-003 / Base",'Kiểm thử'!$A$5:$A$573,0)+4),"TC-RS-FUNC-003 / Base")</f>
        <v/>
      </c>
      <c r="B134" s="18" t="inlineStr">
        <is>
          <t>Điều kiện / thao tác</t>
        </is>
      </c>
      <c r="C134"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5" ht="44" customHeight="1">
      <c r="A135" s="24">
        <f>HYPERLINK("#'Kiểm thử'!A"&amp;(MATCH("TC-RS-FUNC-008 / all",'Kiểm thử'!$A$5:$A$573,0)+4),"TC-RS-FUNC-008 / all")</f>
        <v/>
      </c>
      <c r="B135" s="18" t="inlineStr">
        <is>
          <t>Màn hình / chức năng</t>
        </is>
      </c>
      <c r="C135" s="18" t="inlineStr">
        <is>
          <t>Điều kiện áp dụng — Điều kiện áp dụng（適用条件）
Điều kiện áp dụng: Toàn bộ đối tượng hoặc giới hạn bằng bộ lọc kế thừa từ tính tự động</t>
        </is>
      </c>
    </row>
    <row r="136" ht="299" customHeight="1">
      <c r="A136" s="24">
        <f>HYPERLINK("#'Kiểm thử'!A"&amp;(MATCH("TC-RS-FUNC-008 / all",'Kiểm thử'!$A$5:$A$573,0)+4),"TC-RS-FUNC-008 / all")</f>
        <v/>
      </c>
      <c r="B136" s="18" t="inlineStr">
        <is>
          <t>Điều kiện / thao tác</t>
        </is>
      </c>
      <c r="C136" s="18" t="inlineStr">
        <is>
          <t>Cấu hình: Đăng nhập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các lớp học phần G-A, G-B, G-C, quy tắc có bộ lọc kết hợp (khối 1 hoặc 2, nhóm Nâng cao)
Toàn bộ đối tượng
Thao tác: 1. Mở Điều kiện áp dụng của một quy tắc mới.
2. Chọn Toàn bộ đối tượng（全員が対象）, lưu, mở lại.
3. Chọn Giới hạn bằng bộ lọc（特定条件で絞り込む）, bấm Thêm điều kiện lọc（絞り込み条件を追加）, liệt kê các loại lọc có trong danh sách.
4. Cấu hình như quy tắc có bộ lọc kết hợp (khối 1 hoặc 2, nhóm Nâng cao), lưu, mở lại.
Khôi phục: Trước mỗi biến thể, dựng lại điều kiện/dữ liệu đầu của case bằng đường được phép; gi</t>
        </is>
      </c>
    </row>
    <row r="137" ht="180" customHeight="1">
      <c r="A137" s="24">
        <f>HYPERLINK("#'Kiểm thử'!A"&amp;(MATCH("TC-RS-FUNC-008 / all",'Kiểm thử'!$A$5:$A$573,0)+4),"TC-RS-FUNC-008 / all")</f>
        <v/>
      </c>
      <c r="B137" s="18" t="inlineStr">
        <is>
          <t>Điều kiện / thao tác</t>
        </is>
      </c>
      <c r="C137"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8" ht="163" customHeight="1">
      <c r="A138" s="24">
        <f>HYPERLINK("#'Kiểm thử'!A"&amp;(MATCH("TC-RS-FUNC-008 / all",'Kiểm thử'!$A$5:$A$573,0)+4),"TC-RS-FUNC-008 / all")</f>
        <v/>
      </c>
      <c r="B138" s="18" t="inlineStr">
        <is>
          <t>Kết quả mong đợi</t>
        </is>
      </c>
      <c r="C138" s="18" t="inlineStr">
        <is>
          <t>1. Hai lựa chọn đối tượng lưu và mở lại đúng.
2. Có các bộ lọc Môn/phân môn（教科・科目）, Khối（学年）, lớp/nhóm và các điều kiện lựa chọn đang được hỗ trợ (đặc tả v2 mục 5.1 “Đối tượng áp dụng”). Danh sách đề xuất (PROPOSED, thiết kế DB v2 mục 3.2 “`apply_condition`”): khối (`hr_grade`), môn (`subject`), phân môn (`sub_subject`), lớp học phần (`group`), lớp chủ nhiệm (`homeroom`), nhóm tổng hợp (`calc_group`), mã lựa chọn của mục (`choice`).
3. Không có trình soạn AND/OR lồng nhau.
Bảo toàn: Giữ điểm, cấu hình và đối tượng không đích theo expected; chỉ thay phần thủ tục yêu cầu, không tự đổi oracle hoặc mở rộng phạm vi.</t>
        </is>
      </c>
    </row>
    <row r="139" ht="44" customHeight="1">
      <c r="A139" s="24">
        <f>HYPERLINK("#'Kiểm thử'!A"&amp;(MATCH("TC-RS-FUNC-008 / filter",'Kiểm thử'!$A$5:$A$573,0)+4),"TC-RS-FUNC-008 / filter")</f>
        <v/>
      </c>
      <c r="B139" s="18" t="inlineStr">
        <is>
          <t>Màn hình / chức năng</t>
        </is>
      </c>
      <c r="C139" s="18" t="inlineStr">
        <is>
          <t>Điều kiện áp dụng — Điều kiện áp dụng（適用条件）
Điều kiện áp dụng: Toàn bộ đối tượng hoặc giới hạn bằng bộ lọc kế thừa từ tính tự động</t>
        </is>
      </c>
    </row>
    <row r="140" ht="299" customHeight="1">
      <c r="A140" s="24">
        <f>HYPERLINK("#'Kiểm thử'!A"&amp;(MATCH("TC-RS-FUNC-008 / filter",'Kiểm thử'!$A$5:$A$573,0)+4),"TC-RS-FUNC-008 / filter")</f>
        <v/>
      </c>
      <c r="B140" s="18" t="inlineStr">
        <is>
          <t>Điều kiện / thao tác</t>
        </is>
      </c>
      <c r="C140" s="18" t="inlineStr">
        <is>
          <t>Cấu hình: Đăng nhập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các lớp học phần G-A, G-B, G-C, quy tắc có bộ lọc kết hợp (khối 1 hoặc 2, nhóm Nâng cao)
Giới hạn bằng bộ lọc
Thao tác: 1. Mở Điều kiện áp dụng của một quy tắc mới.
2. Chọn Toàn bộ đối tượng（全員が対象）, lưu, mở lại.
3. Chọn Giới hạn bằng bộ lọc（特定条件で絞り込む）, bấm Thêm điều kiện lọc（絞り込み条件を追加）, liệt kê các loại lọc có trong danh sách.
4. Cấu hình như quy tắc có bộ lọc kết hợp (khối 1 hoặc 2, nhóm Nâng cao), lưu, mở lại.
Khôi phục: Trước mỗi biến thể, dựng lại điều kiện/dữ liệu đầu của case bằng đường được phép; gi</t>
        </is>
      </c>
    </row>
    <row r="141" ht="180" customHeight="1">
      <c r="A141" s="24">
        <f>HYPERLINK("#'Kiểm thử'!A"&amp;(MATCH("TC-RS-FUNC-008 / filter",'Kiểm thử'!$A$5:$A$573,0)+4),"TC-RS-FUNC-008 / filter")</f>
        <v/>
      </c>
      <c r="B141" s="18" t="inlineStr">
        <is>
          <t>Điều kiện / thao tác</t>
        </is>
      </c>
      <c r="C141"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2" ht="163" customHeight="1">
      <c r="A142" s="24">
        <f>HYPERLINK("#'Kiểm thử'!A"&amp;(MATCH("TC-RS-FUNC-008 / filter",'Kiểm thử'!$A$5:$A$573,0)+4),"TC-RS-FUNC-008 / filter")</f>
        <v/>
      </c>
      <c r="B142" s="18" t="inlineStr">
        <is>
          <t>Kết quả mong đợi</t>
        </is>
      </c>
      <c r="C142" s="18" t="inlineStr">
        <is>
          <t>1. Hai lựa chọn đối tượng lưu và mở lại đúng.
2. Có các bộ lọc Môn/phân môn（教科・科目）, Khối（学年）, lớp/nhóm và các điều kiện lựa chọn đang được hỗ trợ (đặc tả v2 mục 5.1 “Đối tượng áp dụng”). Danh sách đề xuất (PROPOSED, thiết kế DB v2 mục 3.2 “`apply_condition`”): khối (`hr_grade`), môn (`subject`), phân môn (`sub_subject`), lớp học phần (`group`), lớp chủ nhiệm (`homeroom`), nhóm tổng hợp (`calc_group`), mã lựa chọn của mục (`choice`).
3. Không có trình soạn AND/OR lồng nhau.
Bảo toàn: Giữ điểm, cấu hình và đối tượng không đích theo expected; chỉ thay phần thủ tục yêu cầu, không tự đổi oracle hoặc mở rộng phạm vi.</t>
        </is>
      </c>
    </row>
    <row r="143" ht="44" customHeight="1">
      <c r="A143" s="24">
        <f>HYPERLINK("#'Kiểm thử'!A"&amp;(MATCH("TC-RS-FUNC-009 / below60",'Kiểm thử'!$A$5:$A$573,0)+4),"TC-RS-FUNC-009 / below60")</f>
        <v/>
      </c>
      <c r="B143" s="18" t="inlineStr">
        <is>
          <t>Màn hình / chức năng</t>
        </is>
      </c>
      <c r="C143" s="18" t="inlineStr">
        <is>
          <t>Điều kiện áp dụng — Điều kiện áp dụng（適用条件）
Điều kiện phân nhánh theo Trung bình（平均点） được lưu cùng bộ nguồn</t>
        </is>
      </c>
    </row>
    <row r="144" ht="299" customHeight="1">
      <c r="A144" s="24">
        <f>HYPERLINK("#'Kiểm thử'!A"&amp;(MATCH("TC-RS-FUNC-009 / below60",'Kiểm thử'!$A$5:$A$573,0)+4),"TC-RS-FUNC-009 / below60")</f>
        <v/>
      </c>
      <c r="B144" s="18" t="inlineStr">
        <is>
          <t>Điều kiện / thao tác</t>
        </is>
      </c>
      <c r="C144" s="18" t="inlineStr">
        <is>
          <t>Cấu hình: Đăng nhập tài khoản giáo viên có quyền sửa mục. Có nguồn tổng hợp mặc định.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cặp quy tắc phân nhánh theo trung bình 60, bản tổng hợp mới nhất chưa chốt (trung bình 62)
Điều kiện dưới 60
Thao tác: 1. Tạo quy tắc "Trung bình dưới 60": thêm bộ lọc Môn（教科・科目）= Toán（数学） và điều kiện Trung bình（平均点）.
2. Chọn Thời kỳ tổng hợp（集計対象時期）= 1学期期末 (cuối kỳ học kỳ 1), Thiết lập tổng hợp thứ hạng（順位集計設定）= 評点集計 (tổng hợp điểm đánh giá), Nhóm học sinh được tổng hợp — 集計対象（母集団）= ホームルーム (lớp chủ nhiệm; file Figma cũ ghi HR毎).
3. Nhập mốc 60, dấu Nhỏ hơn（未満）, lưu.</t>
        </is>
      </c>
    </row>
    <row r="145" ht="248" customHeight="1">
      <c r="A145" s="24">
        <f>HYPERLINK("#'Kiểm thử'!A"&amp;(MATCH("TC-RS-FUNC-009 / below60",'Kiểm thử'!$A$5:$A$573,0)+4),"TC-RS-FUNC-009 / below60")</f>
        <v/>
      </c>
      <c r="B145" s="18" t="inlineStr">
        <is>
          <t>Điều kiện / thao tác</t>
        </is>
      </c>
      <c r="C145" s="18" t="inlineStr">
        <is>
          <t xml:space="preserve">
4. Tạo quy tắc thứ hai với mốc 60, dấu Từ mức này trở lên（以上）.
5. Mở lại cả hai.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6" ht="112" customHeight="1">
      <c r="A146" s="24">
        <f>HYPERLINK("#'Kiểm thử'!A"&amp;(MATCH("TC-RS-FUNC-009 / below60",'Kiểm thử'!$A$5:$A$573,0)+4),"TC-RS-FUNC-009 / below60")</f>
        <v/>
      </c>
      <c r="B146" s="18" t="inlineStr">
        <is>
          <t>Kết quả mong đợi</t>
        </is>
      </c>
      <c r="C146" s="18" t="inlineStr">
        <is>
          <t>1. Cả hai quy tắc lưu được, là hai dòng riêng trong danh sách (không phải một form hai nhánh).
2. Mở lại giữ đủ bộ nguồn, mốc, dấu.
3. Không có lựa chọn Kết quả tổng hợp dùng để tham chiếu（参照する集計結果） (đặc tả v2 mục 3 “Bản đồ màn hình và luồng thao tác”, mục 5.5 “Chọn bản nguồn”).
Bảo toàn: Giữ điểm, cấu hình và đối tượng không đích theo expected; chỉ thay phần thủ tục yêu cầu, không tự đổi oracle hoặc mở rộng phạm vi.</t>
        </is>
      </c>
    </row>
    <row r="147" ht="44" customHeight="1">
      <c r="A147" s="24">
        <f>HYPERLINK("#'Kiểm thử'!A"&amp;(MATCH("TC-RS-FUNC-009 / from60",'Kiểm thử'!$A$5:$A$573,0)+4),"TC-RS-FUNC-009 / from60")</f>
        <v/>
      </c>
      <c r="B147" s="18" t="inlineStr">
        <is>
          <t>Màn hình / chức năng</t>
        </is>
      </c>
      <c r="C147" s="18" t="inlineStr">
        <is>
          <t>Điều kiện áp dụng — Điều kiện áp dụng（適用条件）
Điều kiện phân nhánh theo Trung bình（平均点） được lưu cùng bộ nguồn</t>
        </is>
      </c>
    </row>
    <row r="148" ht="299" customHeight="1">
      <c r="A148" s="24">
        <f>HYPERLINK("#'Kiểm thử'!A"&amp;(MATCH("TC-RS-FUNC-009 / from60",'Kiểm thử'!$A$5:$A$573,0)+4),"TC-RS-FUNC-009 / from60")</f>
        <v/>
      </c>
      <c r="B148" s="18" t="inlineStr">
        <is>
          <t>Điều kiện / thao tác</t>
        </is>
      </c>
      <c r="C148" s="18" t="inlineStr">
        <is>
          <t>Cấu hình: Đăng nhập tài khoản giáo viên có quyền sửa mục. Có nguồn tổng hợp mặc định.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cặp quy tắc phân nhánh theo trung bình 60, bản tổng hợp mới nhất chưa chốt (trung bình 62)
Điều kiện từ 60
Thao tác: 1. Tạo quy tắc "Trung bình dưới 60": thêm bộ lọc Môn（教科・科目）= Toán（数学） và điều kiện Trung bình（平均点）.
2. Chọn Thời kỳ tổng hợp（集計対象時期）= 1学期期末 (cuối kỳ học kỳ 1), Thiết lập tổng hợp thứ hạng（順位集計設定）= 評点集計 (tổng hợp điểm đánh giá), Nhóm học sinh được tổng hợp — 集計対象（母集団）= ホームルーム (lớp chủ nhiệm; file Figma cũ ghi HR毎).
3. Nhập mốc 60, dấu Nhỏ hơn（未満）, lưu.</t>
        </is>
      </c>
    </row>
    <row r="149" ht="248" customHeight="1">
      <c r="A149" s="24">
        <f>HYPERLINK("#'Kiểm thử'!A"&amp;(MATCH("TC-RS-FUNC-009 / from60",'Kiểm thử'!$A$5:$A$573,0)+4),"TC-RS-FUNC-009 / from60")</f>
        <v/>
      </c>
      <c r="B149" s="18" t="inlineStr">
        <is>
          <t>Điều kiện / thao tác</t>
        </is>
      </c>
      <c r="C149" s="18" t="inlineStr">
        <is>
          <t xml:space="preserve">
4. Tạo quy tắc thứ hai với mốc 60, dấu Từ mức này trở lên（以上）.
5. Mở lại cả hai.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0" ht="112" customHeight="1">
      <c r="A150" s="24">
        <f>HYPERLINK("#'Kiểm thử'!A"&amp;(MATCH("TC-RS-FUNC-009 / from60",'Kiểm thử'!$A$5:$A$573,0)+4),"TC-RS-FUNC-009 / from60")</f>
        <v/>
      </c>
      <c r="B150" s="18" t="inlineStr">
        <is>
          <t>Kết quả mong đợi</t>
        </is>
      </c>
      <c r="C150" s="18" t="inlineStr">
        <is>
          <t>1. Cả hai quy tắc lưu được, là hai dòng riêng trong danh sách (không phải một form hai nhánh).
2. Mở lại giữ đủ bộ nguồn, mốc, dấu.
3. Không có lựa chọn Kết quả tổng hợp dùng để tham chiếu（参照する集計結果） (đặc tả v2 mục 3 “Bản đồ màn hình và luồng thao tác”, mục 5.5 “Chọn bản nguồn”).
Bảo toàn: Giữ điểm, cấu hình và đối tượng không đích theo expected; chỉ thay phần thủ tục yêu cầu, không tự đổi oracle hoặc mở rộng phạm vi.</t>
        </is>
      </c>
    </row>
    <row r="151" ht="44" customHeight="1">
      <c r="A151" s="24">
        <f>HYPERLINK("#'Kiểm thử'!A"&amp;(MATCH("TC-RS-FUNC-010 / Base",'Kiểm thử'!$A$5:$A$573,0)+4),"TC-RS-FUNC-010 / Base")</f>
        <v/>
      </c>
      <c r="B151" s="18" t="inlineStr">
        <is>
          <t>Màn hình / chức năng</t>
        </is>
      </c>
      <c r="C151" s="18" t="inlineStr">
        <is>
          <t>Điều kiện áp dụng — Điều kiện áp dụng（適用条件）
Điều kiện Tỷ lệ điểm của nhóm（集団の得点率） được lưu cùng bộ nguồn</t>
        </is>
      </c>
    </row>
    <row r="152" ht="299" customHeight="1">
      <c r="A152" s="24">
        <f>HYPERLINK("#'Kiểm thử'!A"&amp;(MATCH("TC-RS-FUNC-010 / Base",'Kiểm thử'!$A$5:$A$573,0)+4),"TC-RS-FUNC-010 / Base")</f>
        <v/>
      </c>
      <c r="B152" s="18" t="inlineStr">
        <is>
          <t>Điều kiện / thao tác</t>
        </is>
      </c>
      <c r="C152" s="18" t="inlineStr">
        <is>
          <t xml:space="preserve">Cấu hình: Đăng nhập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theo tỷ lệ điểm của nhóm từ 65%
Toàn bộ thủ tục theo đúng thứ tự; các đối chứng cùng fixture được kiểm trong cùng lượt, không bỏ bước
Thao tác: 1. Tạo quy tắc với điều kiện Tỷ lệ điểm của nhóm（集団の得点率）, nguồn mặc định, mốc 65, dấu Từ mức này trở lên（以上）.
2.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53" ht="146" customHeight="1">
      <c r="A153" s="24">
        <f>HYPERLINK("#'Kiểm thử'!A"&amp;(MATCH("TC-RS-FUNC-010 / Base",'Kiểm thử'!$A$5:$A$573,0)+4),"TC-RS-FUNC-010 / Base")</f>
        <v/>
      </c>
      <c r="B153" s="18" t="inlineStr">
        <is>
          <t>Điều kiện / thao tác</t>
        </is>
      </c>
      <c r="C15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4" ht="299" customHeight="1">
      <c r="A154" s="24">
        <f>HYPERLINK("#'Kiểm thử'!A"&amp;(MATCH("TC-RS-BR-004 / Base",'Kiểm thử'!$A$5:$A$573,0)+4),"TC-RS-BR-004 / Base")</f>
        <v/>
      </c>
      <c r="B154" s="18" t="inlineStr">
        <is>
          <t>Điều kiện / thao tác</t>
        </is>
      </c>
      <c r="C154" s="18" t="inlineStr">
        <is>
          <t>Cấu hình: mục số nguyên (M=100) chỉ có quy tắc có bộ lọc kết hợp (khối 1 hoặc 2, nhóm Nâng cao). Bốn học sinh: P1 khối 1 + Nâng cao; P2 khối 2 + Nâng cao; P3 khối 3 + Nâng cao; P4 khối 1, không Nâng cao. Mỗi người điểm 20.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có bộ lọc kết hợp (khối 1 hoặc 2, nhóm Nâng cao)
Toàn bộ thủ tục theo đúng thứ tự; các đối chứng cùng fixture được kiểm trong cùng lượt, không bỏ bước
Thao tác: 1. Đăng ký điểm 20 cho P1–P4.
2. Xem kết quả.
Khôi phục: Trước mỗi biến thể, dựng lại điều kiện/dữ liệu đầu của case bằng đường được phép; giữ các reset/fixture độc lập đã nêu trong thủ tục.</t>
        </is>
      </c>
    </row>
    <row r="155" ht="180" customHeight="1">
      <c r="A155" s="24">
        <f>HYPERLINK("#'Kiểm thử'!A"&amp;(MATCH("TC-RS-BR-004 / Base",'Kiểm thử'!$A$5:$A$573,0)+4),"TC-RS-BR-004 / Base")</f>
        <v/>
      </c>
      <c r="B155" s="18" t="inlineStr">
        <is>
          <t>Điều kiện / thao tác</t>
        </is>
      </c>
      <c r="C155"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6" ht="299" customHeight="1">
      <c r="A156" s="24">
        <f>HYPERLINK("#'Kiểm thử'!A"&amp;(MATCH("TC-RS-BR-041 / A-P9",'Kiểm thử'!$A$5:$A$573,0)+4),"TC-RS-BR-041 / A-P9")</f>
        <v/>
      </c>
      <c r="B156" s="18" t="inlineStr">
        <is>
          <t>Điều kiện / thao tác</t>
        </is>
      </c>
      <c r="C15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57" ht="299" customHeight="1">
      <c r="A157" s="24">
        <f>HYPERLINK("#'Kiểm thử'!A"&amp;(MATCH("TC-RS-BR-041 / A-P9",'Kiểm thử'!$A$5:$A$573,0)+4),"TC-RS-BR-041 / A-P9")</f>
        <v/>
      </c>
      <c r="B157" s="18" t="inlineStr">
        <is>
          <t>Điều kiện / thao tác</t>
        </is>
      </c>
      <c r="C157" s="18" t="inlineStr">
        <is>
          <t xml:space="preserve"> A=60 và S không có điểm. P17/P18-A/P19 dùng rule ưu tiên thấp hơn `T=30`, `S=25` để phát hiện fallback. Không gộp thiếu A với thiếu điểm S và không tái sử dụng fixture giữa các lượt.
Nhánh A-P9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58" ht="129" customHeight="1">
      <c r="A158" s="24">
        <f>HYPERLINK("#'Kiểm thử'!A"&amp;(MATCH("TC-RS-BR-041 / A-P9",'Kiểm thử'!$A$5:$A$573,0)+4),"TC-RS-BR-041 / A-P9")</f>
        <v/>
      </c>
      <c r="B158" s="18" t="inlineStr">
        <is>
          <t>Điều kiện / thao tác</t>
        </is>
      </c>
      <c r="C158"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59" ht="299" customHeight="1">
      <c r="A159" s="24">
        <f>HYPERLINK("#'Kiểm thử'!A"&amp;(MATCH("TC-RS-BR-041 / A-P9",'Kiểm thử'!$A$5:$A$573,0)+4),"TC-RS-BR-041 / A-P9")</f>
        <v/>
      </c>
      <c r="B159" s="18" t="inlineStr">
        <is>
          <t>Kết quả mong đợi</t>
        </is>
      </c>
      <c r="C15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160" ht="61" customHeight="1">
      <c r="A160" s="24">
        <f>HYPERLINK("#'Kiểm thử'!A"&amp;(MATCH("TC-RS-BR-041 / A-P9",'Kiểm thử'!$A$5:$A$573,0)+4),"TC-RS-BR-041 / A-P9")</f>
        <v/>
      </c>
      <c r="B160" s="18" t="inlineStr">
        <is>
          <t>Kết quả mong đợi</t>
        </is>
      </c>
      <c r="C160" s="18" t="inlineStr">
        <is>
          <t xml:space="preserve">
Bảo toàn: Giữ điểm, cấu hình và đối tượng không đích theo expected; chỉ thay phần thủ tục yêu cầu, không tự đổi oracle hoặc mở rộng phạm vi.</t>
        </is>
      </c>
    </row>
    <row r="161" ht="299" customHeight="1">
      <c r="A161" s="24">
        <f>HYPERLINK("#'Kiểm thử'!A"&amp;(MATCH("TC-RS-BR-041 / A-P10",'Kiểm thử'!$A$5:$A$573,0)+4),"TC-RS-BR-041 / A-P10")</f>
        <v/>
      </c>
      <c r="B161" s="18" t="inlineStr">
        <is>
          <t>Điều kiện / thao tác</t>
        </is>
      </c>
      <c r="C16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62" ht="299" customHeight="1">
      <c r="A162" s="24">
        <f>HYPERLINK("#'Kiểm thử'!A"&amp;(MATCH("TC-RS-BR-041 / A-P10",'Kiểm thử'!$A$5:$A$573,0)+4),"TC-RS-BR-041 / A-P10")</f>
        <v/>
      </c>
      <c r="B162" s="18" t="inlineStr">
        <is>
          <t>Điều kiện / thao tác</t>
        </is>
      </c>
      <c r="C162" s="18" t="inlineStr">
        <is>
          <t xml:space="preserve"> A=60 và S không có điểm. P17/P18-A/P19 dùng rule ưu tiên thấp hơn `T=30`, `S=25` để phát hiện fallback. Không gộp thiếu A với thiếu điểm S và không tái sử dụng fixture giữa các lượt.
Nhánh A-P10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63" ht="129" customHeight="1">
      <c r="A163" s="24">
        <f>HYPERLINK("#'Kiểm thử'!A"&amp;(MATCH("TC-RS-BR-041 / A-P10",'Kiểm thử'!$A$5:$A$573,0)+4),"TC-RS-BR-041 / A-P10")</f>
        <v/>
      </c>
      <c r="B163" s="18" t="inlineStr">
        <is>
          <t>Điều kiện / thao tác</t>
        </is>
      </c>
      <c r="C163"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64" ht="299" customHeight="1">
      <c r="A164" s="24">
        <f>HYPERLINK("#'Kiểm thử'!A"&amp;(MATCH("TC-RS-BR-041 / A-P10",'Kiểm thử'!$A$5:$A$573,0)+4),"TC-RS-BR-041 / A-P10")</f>
        <v/>
      </c>
      <c r="B164" s="18" t="inlineStr">
        <is>
          <t>Kết quả mong đợi</t>
        </is>
      </c>
      <c r="C16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165" ht="61" customHeight="1">
      <c r="A165" s="24">
        <f>HYPERLINK("#'Kiểm thử'!A"&amp;(MATCH("TC-RS-BR-041 / A-P10",'Kiểm thử'!$A$5:$A$573,0)+4),"TC-RS-BR-041 / A-P10")</f>
        <v/>
      </c>
      <c r="B165" s="18" t="inlineStr">
        <is>
          <t>Kết quả mong đợi</t>
        </is>
      </c>
      <c r="C165" s="18" t="inlineStr">
        <is>
          <t xml:space="preserve">
Bảo toàn: Giữ điểm, cấu hình và đối tượng không đích theo expected; chỉ thay phần thủ tục yêu cầu, không tự đổi oracle hoặc mở rộng phạm vi.</t>
        </is>
      </c>
    </row>
    <row r="166" ht="299" customHeight="1">
      <c r="A166" s="24">
        <f>HYPERLINK("#'Kiểm thử'!A"&amp;(MATCH("TC-RS-BR-041 / A-P11",'Kiểm thử'!$A$5:$A$573,0)+4),"TC-RS-BR-041 / A-P11")</f>
        <v/>
      </c>
      <c r="B166" s="18" t="inlineStr">
        <is>
          <t>Điều kiện / thao tác</t>
        </is>
      </c>
      <c r="C16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67" ht="299" customHeight="1">
      <c r="A167" s="24">
        <f>HYPERLINK("#'Kiểm thử'!A"&amp;(MATCH("TC-RS-BR-041 / A-P11",'Kiểm thử'!$A$5:$A$573,0)+4),"TC-RS-BR-041 / A-P11")</f>
        <v/>
      </c>
      <c r="B167" s="18" t="inlineStr">
        <is>
          <t>Điều kiện / thao tác</t>
        </is>
      </c>
      <c r="C167" s="18" t="inlineStr">
        <is>
          <t xml:space="preserve"> A=60 và S không có điểm. P17/P18-A/P19 dùng rule ưu tiên thấp hơn `T=30`, `S=25` để phát hiện fallback. Không gộp thiếu A với thiếu điểm S và không tái sử dụng fixture giữa các lượt.
Nhánh A-P11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68" ht="129" customHeight="1">
      <c r="A168" s="24">
        <f>HYPERLINK("#'Kiểm thử'!A"&amp;(MATCH("TC-RS-BR-041 / A-P11",'Kiểm thử'!$A$5:$A$573,0)+4),"TC-RS-BR-041 / A-P11")</f>
        <v/>
      </c>
      <c r="B168" s="18" t="inlineStr">
        <is>
          <t>Điều kiện / thao tác</t>
        </is>
      </c>
      <c r="C168"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69" ht="299" customHeight="1">
      <c r="A169" s="24">
        <f>HYPERLINK("#'Kiểm thử'!A"&amp;(MATCH("TC-RS-BR-041 / A-P11",'Kiểm thử'!$A$5:$A$573,0)+4),"TC-RS-BR-041 / A-P11")</f>
        <v/>
      </c>
      <c r="B169" s="18" t="inlineStr">
        <is>
          <t>Kết quả mong đợi</t>
        </is>
      </c>
      <c r="C16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170" ht="61" customHeight="1">
      <c r="A170" s="24">
        <f>HYPERLINK("#'Kiểm thử'!A"&amp;(MATCH("TC-RS-BR-041 / A-P11",'Kiểm thử'!$A$5:$A$573,0)+4),"TC-RS-BR-041 / A-P11")</f>
        <v/>
      </c>
      <c r="B170" s="18" t="inlineStr">
        <is>
          <t>Kết quả mong đợi</t>
        </is>
      </c>
      <c r="C170" s="18" t="inlineStr">
        <is>
          <t xml:space="preserve">
Bảo toàn: Giữ điểm, cấu hình và đối tượng không đích theo expected; chỉ thay phần thủ tục yêu cầu, không tự đổi oracle hoặc mở rộng phạm vi.</t>
        </is>
      </c>
    </row>
    <row r="171" ht="299" customHeight="1">
      <c r="A171" s="24">
        <f>HYPERLINK("#'Kiểm thử'!A"&amp;(MATCH("TC-RS-BR-041 / A-P12",'Kiểm thử'!$A$5:$A$573,0)+4),"TC-RS-BR-041 / A-P12")</f>
        <v/>
      </c>
      <c r="B171" s="18" t="inlineStr">
        <is>
          <t>Điều kiện / thao tác</t>
        </is>
      </c>
      <c r="C17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72" ht="299" customHeight="1">
      <c r="A172" s="24">
        <f>HYPERLINK("#'Kiểm thử'!A"&amp;(MATCH("TC-RS-BR-041 / A-P12",'Kiểm thử'!$A$5:$A$573,0)+4),"TC-RS-BR-041 / A-P12")</f>
        <v/>
      </c>
      <c r="B172" s="18" t="inlineStr">
        <is>
          <t>Điều kiện / thao tác</t>
        </is>
      </c>
      <c r="C172" s="18" t="inlineStr">
        <is>
          <t xml:space="preserve"> A=60 và S không có điểm. P17/P18-A/P19 dùng rule ưu tiên thấp hơn `T=30`, `S=25` để phát hiện fallback. Không gộp thiếu A với thiếu điểm S và không tái sử dụng fixture giữa các lượt.
Nhánh A-P12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73" ht="129" customHeight="1">
      <c r="A173" s="24">
        <f>HYPERLINK("#'Kiểm thử'!A"&amp;(MATCH("TC-RS-BR-041 / A-P12",'Kiểm thử'!$A$5:$A$573,0)+4),"TC-RS-BR-041 / A-P12")</f>
        <v/>
      </c>
      <c r="B173" s="18" t="inlineStr">
        <is>
          <t>Điều kiện / thao tác</t>
        </is>
      </c>
      <c r="C173"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74" ht="299" customHeight="1">
      <c r="A174" s="24">
        <f>HYPERLINK("#'Kiểm thử'!A"&amp;(MATCH("TC-RS-BR-041 / A-P12",'Kiểm thử'!$A$5:$A$573,0)+4),"TC-RS-BR-041 / A-P12")</f>
        <v/>
      </c>
      <c r="B174" s="18" t="inlineStr">
        <is>
          <t>Kết quả mong đợi</t>
        </is>
      </c>
      <c r="C17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175" ht="61" customHeight="1">
      <c r="A175" s="24">
        <f>HYPERLINK("#'Kiểm thử'!A"&amp;(MATCH("TC-RS-BR-041 / A-P12",'Kiểm thử'!$A$5:$A$573,0)+4),"TC-RS-BR-041 / A-P12")</f>
        <v/>
      </c>
      <c r="B175" s="18" t="inlineStr">
        <is>
          <t>Kết quả mong đợi</t>
        </is>
      </c>
      <c r="C175" s="18" t="inlineStr">
        <is>
          <t xml:space="preserve">
Bảo toàn: Giữ điểm, cấu hình và đối tượng không đích theo expected; chỉ thay phần thủ tục yêu cầu, không tự đổi oracle hoặc mở rộng phạm vi.</t>
        </is>
      </c>
    </row>
    <row r="176" ht="299" customHeight="1">
      <c r="A176" s="24">
        <f>HYPERLINK("#'Kiểm thử'!A"&amp;(MATCH("TC-RS-BR-041 / A-P13",'Kiểm thử'!$A$5:$A$573,0)+4),"TC-RS-BR-041 / A-P13")</f>
        <v/>
      </c>
      <c r="B176" s="18" t="inlineStr">
        <is>
          <t>Điều kiện / thao tác</t>
        </is>
      </c>
      <c r="C17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77" ht="299" customHeight="1">
      <c r="A177" s="24">
        <f>HYPERLINK("#'Kiểm thử'!A"&amp;(MATCH("TC-RS-BR-041 / A-P13",'Kiểm thử'!$A$5:$A$573,0)+4),"TC-RS-BR-041 / A-P13")</f>
        <v/>
      </c>
      <c r="B177" s="18" t="inlineStr">
        <is>
          <t>Điều kiện / thao tác</t>
        </is>
      </c>
      <c r="C177" s="18" t="inlineStr">
        <is>
          <t xml:space="preserve"> A=60 và S không có điểm. P17/P18-A/P19 dùng rule ưu tiên thấp hơn `T=30`, `S=25` để phát hiện fallback. Không gộp thiếu A với thiếu điểm S và không tái sử dụng fixture giữa các lượt.
Nhánh A-P13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78" ht="129" customHeight="1">
      <c r="A178" s="24">
        <f>HYPERLINK("#'Kiểm thử'!A"&amp;(MATCH("TC-RS-BR-041 / A-P13",'Kiểm thử'!$A$5:$A$573,0)+4),"TC-RS-BR-041 / A-P13")</f>
        <v/>
      </c>
      <c r="B178" s="18" t="inlineStr">
        <is>
          <t>Điều kiện / thao tác</t>
        </is>
      </c>
      <c r="C178"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79" ht="299" customHeight="1">
      <c r="A179" s="24">
        <f>HYPERLINK("#'Kiểm thử'!A"&amp;(MATCH("TC-RS-BR-041 / A-P13",'Kiểm thử'!$A$5:$A$573,0)+4),"TC-RS-BR-041 / A-P13")</f>
        <v/>
      </c>
      <c r="B179" s="18" t="inlineStr">
        <is>
          <t>Kết quả mong đợi</t>
        </is>
      </c>
      <c r="C17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180" ht="61" customHeight="1">
      <c r="A180" s="24">
        <f>HYPERLINK("#'Kiểm thử'!A"&amp;(MATCH("TC-RS-BR-041 / A-P13",'Kiểm thử'!$A$5:$A$573,0)+4),"TC-RS-BR-041 / A-P13")</f>
        <v/>
      </c>
      <c r="B180" s="18" t="inlineStr">
        <is>
          <t>Kết quả mong đợi</t>
        </is>
      </c>
      <c r="C180" s="18" t="inlineStr">
        <is>
          <t xml:space="preserve">
Bảo toàn: Giữ điểm, cấu hình và đối tượng không đích theo expected; chỉ thay phần thủ tục yêu cầu, không tự đổi oracle hoặc mở rộng phạm vi.</t>
        </is>
      </c>
    </row>
    <row r="181" ht="299" customHeight="1">
      <c r="A181" s="24">
        <f>HYPERLINK("#'Kiểm thử'!A"&amp;(MATCH("TC-RS-BR-041 / A-P14",'Kiểm thử'!$A$5:$A$573,0)+4),"TC-RS-BR-041 / A-P14")</f>
        <v/>
      </c>
      <c r="B181" s="18" t="inlineStr">
        <is>
          <t>Điều kiện / thao tác</t>
        </is>
      </c>
      <c r="C18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82" ht="299" customHeight="1">
      <c r="A182" s="24">
        <f>HYPERLINK("#'Kiểm thử'!A"&amp;(MATCH("TC-RS-BR-041 / A-P14",'Kiểm thử'!$A$5:$A$573,0)+4),"TC-RS-BR-041 / A-P14")</f>
        <v/>
      </c>
      <c r="B182" s="18" t="inlineStr">
        <is>
          <t>Điều kiện / thao tác</t>
        </is>
      </c>
      <c r="C182" s="18" t="inlineStr">
        <is>
          <t xml:space="preserve"> A=60 và S không có điểm. P17/P18-A/P19 dùng rule ưu tiên thấp hơn `T=30`, `S=25` để phát hiện fallback. Không gộp thiếu A với thiếu điểm S và không tái sử dụng fixture giữa các lượt.
Nhánh A-P14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83" ht="129" customHeight="1">
      <c r="A183" s="24">
        <f>HYPERLINK("#'Kiểm thử'!A"&amp;(MATCH("TC-RS-BR-041 / A-P14",'Kiểm thử'!$A$5:$A$573,0)+4),"TC-RS-BR-041 / A-P14")</f>
        <v/>
      </c>
      <c r="B183" s="18" t="inlineStr">
        <is>
          <t>Điều kiện / thao tác</t>
        </is>
      </c>
      <c r="C183"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84" ht="299" customHeight="1">
      <c r="A184" s="24">
        <f>HYPERLINK("#'Kiểm thử'!A"&amp;(MATCH("TC-RS-BR-041 / A-P14",'Kiểm thử'!$A$5:$A$573,0)+4),"TC-RS-BR-041 / A-P14")</f>
        <v/>
      </c>
      <c r="B184" s="18" t="inlineStr">
        <is>
          <t>Kết quả mong đợi</t>
        </is>
      </c>
      <c r="C18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185" ht="61" customHeight="1">
      <c r="A185" s="24">
        <f>HYPERLINK("#'Kiểm thử'!A"&amp;(MATCH("TC-RS-BR-041 / A-P14",'Kiểm thử'!$A$5:$A$573,0)+4),"TC-RS-BR-041 / A-P14")</f>
        <v/>
      </c>
      <c r="B185" s="18" t="inlineStr">
        <is>
          <t>Kết quả mong đợi</t>
        </is>
      </c>
      <c r="C185" s="18" t="inlineStr">
        <is>
          <t xml:space="preserve">
Bảo toàn: Giữ điểm, cấu hình và đối tượng không đích theo expected; chỉ thay phần thủ tục yêu cầu, không tự đổi oracle hoặc mở rộng phạm vi.</t>
        </is>
      </c>
    </row>
    <row r="186" ht="299" customHeight="1">
      <c r="A186" s="24">
        <f>HYPERLINK("#'Kiểm thử'!A"&amp;(MATCH("TC-RS-BR-041 / A-P15",'Kiểm thử'!$A$5:$A$573,0)+4),"TC-RS-BR-041 / A-P15")</f>
        <v/>
      </c>
      <c r="B186" s="18" t="inlineStr">
        <is>
          <t>Điều kiện / thao tác</t>
        </is>
      </c>
      <c r="C18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87" ht="299" customHeight="1">
      <c r="A187" s="24">
        <f>HYPERLINK("#'Kiểm thử'!A"&amp;(MATCH("TC-RS-BR-041 / A-P15",'Kiểm thử'!$A$5:$A$573,0)+4),"TC-RS-BR-041 / A-P15")</f>
        <v/>
      </c>
      <c r="B187" s="18" t="inlineStr">
        <is>
          <t>Điều kiện / thao tác</t>
        </is>
      </c>
      <c r="C187" s="18" t="inlineStr">
        <is>
          <t xml:space="preserve"> A=60 và S không có điểm. P17/P18-A/P19 dùng rule ưu tiên thấp hơn `T=30`, `S=25` để phát hiện fallback. Không gộp thiếu A với thiếu điểm S và không tái sử dụng fixture giữa các lượt.
Nhánh A-P15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88" ht="129" customHeight="1">
      <c r="A188" s="24">
        <f>HYPERLINK("#'Kiểm thử'!A"&amp;(MATCH("TC-RS-BR-041 / A-P15",'Kiểm thử'!$A$5:$A$573,0)+4),"TC-RS-BR-041 / A-P15")</f>
        <v/>
      </c>
      <c r="B188" s="18" t="inlineStr">
        <is>
          <t>Điều kiện / thao tác</t>
        </is>
      </c>
      <c r="C188"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89" ht="299" customHeight="1">
      <c r="A189" s="24">
        <f>HYPERLINK("#'Kiểm thử'!A"&amp;(MATCH("TC-RS-BR-041 / A-P15",'Kiểm thử'!$A$5:$A$573,0)+4),"TC-RS-BR-041 / A-P15")</f>
        <v/>
      </c>
      <c r="B189" s="18" t="inlineStr">
        <is>
          <t>Kết quả mong đợi</t>
        </is>
      </c>
      <c r="C18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190" ht="61" customHeight="1">
      <c r="A190" s="24">
        <f>HYPERLINK("#'Kiểm thử'!A"&amp;(MATCH("TC-RS-BR-041 / A-P15",'Kiểm thử'!$A$5:$A$573,0)+4),"TC-RS-BR-041 / A-P15")</f>
        <v/>
      </c>
      <c r="B190" s="18" t="inlineStr">
        <is>
          <t>Kết quả mong đợi</t>
        </is>
      </c>
      <c r="C190" s="18" t="inlineStr">
        <is>
          <t xml:space="preserve">
Bảo toàn: Giữ điểm, cấu hình và đối tượng không đích theo expected; chỉ thay phần thủ tục yêu cầu, không tự đổi oracle hoặc mở rộng phạm vi.</t>
        </is>
      </c>
    </row>
    <row r="191" ht="299" customHeight="1">
      <c r="A191" s="24">
        <f>HYPERLINK("#'Kiểm thử'!A"&amp;(MATCH("TC-RS-BR-041 / A-P16",'Kiểm thử'!$A$5:$A$573,0)+4),"TC-RS-BR-041 / A-P16")</f>
        <v/>
      </c>
      <c r="B191" s="18" t="inlineStr">
        <is>
          <t>Điều kiện / thao tác</t>
        </is>
      </c>
      <c r="C19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92" ht="299" customHeight="1">
      <c r="A192" s="24">
        <f>HYPERLINK("#'Kiểm thử'!A"&amp;(MATCH("TC-RS-BR-041 / A-P16",'Kiểm thử'!$A$5:$A$573,0)+4),"TC-RS-BR-041 / A-P16")</f>
        <v/>
      </c>
      <c r="B192" s="18" t="inlineStr">
        <is>
          <t>Điều kiện / thao tác</t>
        </is>
      </c>
      <c r="C192" s="18" t="inlineStr">
        <is>
          <t xml:space="preserve"> A=60 và S không có điểm. P17/P18-A/P19 dùng rule ưu tiên thấp hơn `T=30`, `S=25` để phát hiện fallback. Không gộp thiếu A với thiếu điểm S và không tái sử dụng fixture giữa các lượt.
Nhánh A-P16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93" ht="129" customHeight="1">
      <c r="A193" s="24">
        <f>HYPERLINK("#'Kiểm thử'!A"&amp;(MATCH("TC-RS-BR-041 / A-P16",'Kiểm thử'!$A$5:$A$573,0)+4),"TC-RS-BR-041 / A-P16")</f>
        <v/>
      </c>
      <c r="B193" s="18" t="inlineStr">
        <is>
          <t>Điều kiện / thao tác</t>
        </is>
      </c>
      <c r="C193"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94" ht="299" customHeight="1">
      <c r="A194" s="24">
        <f>HYPERLINK("#'Kiểm thử'!A"&amp;(MATCH("TC-RS-BR-041 / A-P16",'Kiểm thử'!$A$5:$A$573,0)+4),"TC-RS-BR-041 / A-P16")</f>
        <v/>
      </c>
      <c r="B194" s="18" t="inlineStr">
        <is>
          <t>Kết quả mong đợi</t>
        </is>
      </c>
      <c r="C19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195" ht="61" customHeight="1">
      <c r="A195" s="24">
        <f>HYPERLINK("#'Kiểm thử'!A"&amp;(MATCH("TC-RS-BR-041 / A-P16",'Kiểm thử'!$A$5:$A$573,0)+4),"TC-RS-BR-041 / A-P16")</f>
        <v/>
      </c>
      <c r="B195" s="18" t="inlineStr">
        <is>
          <t>Kết quả mong đợi</t>
        </is>
      </c>
      <c r="C195" s="18" t="inlineStr">
        <is>
          <t xml:space="preserve">
Bảo toàn: Giữ điểm, cấu hình và đối tượng không đích theo expected; chỉ thay phần thủ tục yêu cầu, không tự đổi oracle hoặc mở rộng phạm vi.</t>
        </is>
      </c>
    </row>
    <row r="196" ht="299" customHeight="1">
      <c r="A196" s="24">
        <f>HYPERLINK("#'Kiểm thử'!A"&amp;(MATCH("TC-RS-BR-041 / RR-60",'Kiểm thử'!$A$5:$A$573,0)+4),"TC-RS-BR-041 / RR-60")</f>
        <v/>
      </c>
      <c r="B196" s="18" t="inlineStr">
        <is>
          <t>Điều kiện / thao tác</t>
        </is>
      </c>
      <c r="C19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197" ht="299" customHeight="1">
      <c r="A197" s="24">
        <f>HYPERLINK("#'Kiểm thử'!A"&amp;(MATCH("TC-RS-BR-041 / RR-60",'Kiểm thử'!$A$5:$A$573,0)+4),"TC-RS-BR-041 / RR-60")</f>
        <v/>
      </c>
      <c r="B197" s="18" t="inlineStr">
        <is>
          <t>Điều kiện / thao tác</t>
        </is>
      </c>
      <c r="C197" s="18" t="inlineStr">
        <is>
          <t xml:space="preserve"> A=60 và S không có điểm. P17/P18-A/P19 dùng rule ưu tiên thấp hơn `T=30`, `S=25` để phát hiện fallback. Không gộp thiếu A với thiếu điểm S và không tái sử dụng fixture giữa các lượt.
Nhánh RR-60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98" ht="129" customHeight="1">
      <c r="A198" s="24">
        <f>HYPERLINK("#'Kiểm thử'!A"&amp;(MATCH("TC-RS-BR-041 / RR-60",'Kiểm thử'!$A$5:$A$573,0)+4),"TC-RS-BR-041 / RR-60")</f>
        <v/>
      </c>
      <c r="B198" s="18" t="inlineStr">
        <is>
          <t>Điều kiện / thao tác</t>
        </is>
      </c>
      <c r="C198"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199" ht="299" customHeight="1">
      <c r="A199" s="24">
        <f>HYPERLINK("#'Kiểm thử'!A"&amp;(MATCH("TC-RS-BR-041 / RR-60",'Kiểm thử'!$A$5:$A$573,0)+4),"TC-RS-BR-041 / RR-60")</f>
        <v/>
      </c>
      <c r="B199" s="18" t="inlineStr">
        <is>
          <t>Kết quả mong đợi</t>
        </is>
      </c>
      <c r="C19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00" ht="61" customHeight="1">
      <c r="A200" s="24">
        <f>HYPERLINK("#'Kiểm thử'!A"&amp;(MATCH("TC-RS-BR-041 / RR-60",'Kiểm thử'!$A$5:$A$573,0)+4),"TC-RS-BR-041 / RR-60")</f>
        <v/>
      </c>
      <c r="B200" s="18" t="inlineStr">
        <is>
          <t>Kết quả mong đợi</t>
        </is>
      </c>
      <c r="C200" s="18" t="inlineStr">
        <is>
          <t xml:space="preserve">
Bảo toàn: Giữ điểm, cấu hình và đối tượng không đích theo expected; chỉ thay phần thủ tục yêu cầu, không tự đổi oracle hoặc mở rộng phạm vi.</t>
        </is>
      </c>
    </row>
    <row r="201" ht="299" customHeight="1">
      <c r="A201" s="24">
        <f>HYPERLINK("#'Kiểm thử'!A"&amp;(MATCH("TC-RS-BR-041 / RR-49.9",'Kiểm thử'!$A$5:$A$573,0)+4),"TC-RS-BR-041 / RR-49.9")</f>
        <v/>
      </c>
      <c r="B201" s="18" t="inlineStr">
        <is>
          <t>Điều kiện / thao tác</t>
        </is>
      </c>
      <c r="C20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02" ht="299" customHeight="1">
      <c r="A202" s="24">
        <f>HYPERLINK("#'Kiểm thử'!A"&amp;(MATCH("TC-RS-BR-041 / RR-49.9",'Kiểm thử'!$A$5:$A$573,0)+4),"TC-RS-BR-041 / RR-49.9")</f>
        <v/>
      </c>
      <c r="B202" s="18" t="inlineStr">
        <is>
          <t>Điều kiện / thao tác</t>
        </is>
      </c>
      <c r="C202" s="18" t="inlineStr">
        <is>
          <t xml:space="preserve"> A=60 và S không có điểm. P17/P18-A/P19 dùng rule ưu tiên thấp hơn `T=30`, `S=25` để phát hiện fallback. Không gộp thiếu A với thiếu điểm S và không tái sử dụng fixture giữa các lượt.
Nhánh RR-49.9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203" ht="129" customHeight="1">
      <c r="A203" s="24">
        <f>HYPERLINK("#'Kiểm thử'!A"&amp;(MATCH("TC-RS-BR-041 / RR-49.9",'Kiểm thử'!$A$5:$A$573,0)+4),"TC-RS-BR-041 / RR-49.9")</f>
        <v/>
      </c>
      <c r="B203" s="18" t="inlineStr">
        <is>
          <t>Điều kiện / thao tác</t>
        </is>
      </c>
      <c r="C203"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04" ht="299" customHeight="1">
      <c r="A204" s="24">
        <f>HYPERLINK("#'Kiểm thử'!A"&amp;(MATCH("TC-RS-BR-041 / RR-49.9",'Kiểm thử'!$A$5:$A$573,0)+4),"TC-RS-BR-041 / RR-49.9")</f>
        <v/>
      </c>
      <c r="B204" s="18" t="inlineStr">
        <is>
          <t>Kết quả mong đợi</t>
        </is>
      </c>
      <c r="C20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05" ht="61" customHeight="1">
      <c r="A205" s="24">
        <f>HYPERLINK("#'Kiểm thử'!A"&amp;(MATCH("TC-RS-BR-041 / RR-49.9",'Kiểm thử'!$A$5:$A$573,0)+4),"TC-RS-BR-041 / RR-49.9")</f>
        <v/>
      </c>
      <c r="B205" s="18" t="inlineStr">
        <is>
          <t>Kết quả mong đợi</t>
        </is>
      </c>
      <c r="C205" s="18" t="inlineStr">
        <is>
          <t xml:space="preserve">
Bảo toàn: Giữ điểm, cấu hình và đối tượng không đích theo expected; chỉ thay phần thủ tục yêu cầu, không tự đổi oracle hoặc mở rộng phạm vi.</t>
        </is>
      </c>
    </row>
    <row r="206" ht="299" customHeight="1">
      <c r="A206" s="24">
        <f>HYPERLINK("#'Kiểm thử'!A"&amp;(MATCH("TC-RS-BR-041 / RR-70",'Kiểm thử'!$A$5:$A$573,0)+4),"TC-RS-BR-041 / RR-70")</f>
        <v/>
      </c>
      <c r="B206" s="18" t="inlineStr">
        <is>
          <t>Điều kiện / thao tác</t>
        </is>
      </c>
      <c r="C20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07" ht="299" customHeight="1">
      <c r="A207" s="24">
        <f>HYPERLINK("#'Kiểm thử'!A"&amp;(MATCH("TC-RS-BR-041 / RR-70",'Kiểm thử'!$A$5:$A$573,0)+4),"TC-RS-BR-041 / RR-70")</f>
        <v/>
      </c>
      <c r="B207" s="18" t="inlineStr">
        <is>
          <t>Điều kiện / thao tác</t>
        </is>
      </c>
      <c r="C207" s="18" t="inlineStr">
        <is>
          <t xml:space="preserve"> A=60 và S không có điểm. P17/P18-A/P19 dùng rule ưu tiên thấp hơn `T=30`, `S=25` để phát hiện fallback. Không gộp thiếu A với thiếu điểm S và không tái sử dụng fixture giữa các lượt.
Nhánh RR-70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208" ht="129" customHeight="1">
      <c r="A208" s="24">
        <f>HYPERLINK("#'Kiểm thử'!A"&amp;(MATCH("TC-RS-BR-041 / RR-70",'Kiểm thử'!$A$5:$A$573,0)+4),"TC-RS-BR-041 / RR-70")</f>
        <v/>
      </c>
      <c r="B208" s="18" t="inlineStr">
        <is>
          <t>Điều kiện / thao tác</t>
        </is>
      </c>
      <c r="C208" s="18" t="inlineStr">
        <is>
          <t>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09" ht="299" customHeight="1">
      <c r="A209" s="24">
        <f>HYPERLINK("#'Kiểm thử'!A"&amp;(MATCH("TC-RS-BR-041 / RR-70",'Kiểm thử'!$A$5:$A$573,0)+4),"TC-RS-BR-041 / RR-70")</f>
        <v/>
      </c>
      <c r="B209" s="18" t="inlineStr">
        <is>
          <t>Kết quả mong đợi</t>
        </is>
      </c>
      <c r="C20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10" ht="61" customHeight="1">
      <c r="A210" s="24">
        <f>HYPERLINK("#'Kiểm thử'!A"&amp;(MATCH("TC-RS-BR-041 / RR-70",'Kiểm thử'!$A$5:$A$573,0)+4),"TC-RS-BR-041 / RR-70")</f>
        <v/>
      </c>
      <c r="B210" s="18" t="inlineStr">
        <is>
          <t>Kết quả mong đợi</t>
        </is>
      </c>
      <c r="C210" s="18" t="inlineStr">
        <is>
          <t xml:space="preserve">
Bảo toàn: Giữ điểm, cấu hình và đối tượng không đích theo expected; chỉ thay phần thủ tục yêu cầu, không tự đổi oracle hoặc mở rộng phạm vi.</t>
        </is>
      </c>
    </row>
    <row r="211" ht="299" customHeight="1">
      <c r="A211" s="24">
        <f>HYPERLINK("#'Kiểm thử'!A"&amp;(MATCH("TC-RS-BR-041 / AR-60-60",'Kiểm thử'!$A$5:$A$573,0)+4),"TC-RS-BR-041 / AR-60-60")</f>
        <v/>
      </c>
      <c r="B211" s="18" t="inlineStr">
        <is>
          <t>Điều kiện / thao tác</t>
        </is>
      </c>
      <c r="C21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12" ht="299" customHeight="1">
      <c r="A212" s="24">
        <f>HYPERLINK("#'Kiểm thử'!A"&amp;(MATCH("TC-RS-BR-041 / AR-60-60",'Kiểm thử'!$A$5:$A$573,0)+4),"TC-RS-BR-041 / AR-60-60")</f>
        <v/>
      </c>
      <c r="B212" s="18" t="inlineStr">
        <is>
          <t>Điều kiện / thao tác</t>
        </is>
      </c>
      <c r="C212" s="18" t="inlineStr">
        <is>
          <t xml:space="preserve"> A=60 và S không có điểm. P17/P18-A/P19 dùng rule ưu tiên thấp hơn `T=30`, `S=25` để phát hiện fallback. Không gộp thiếu A với thiếu điểm S và không tái sử dụng fixture giữa các lượt.
Nhánh AR-60-60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13" ht="146" customHeight="1">
      <c r="A213" s="24">
        <f>HYPERLINK("#'Kiểm thử'!A"&amp;(MATCH("TC-RS-BR-041 / AR-60-60",'Kiểm thử'!$A$5:$A$573,0)+4),"TC-RS-BR-041 / AR-60-60")</f>
        <v/>
      </c>
      <c r="B213" s="18" t="inlineStr">
        <is>
          <t>Điều kiện / thao tác</t>
        </is>
      </c>
      <c r="C213"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14" ht="299" customHeight="1">
      <c r="A214" s="24">
        <f>HYPERLINK("#'Kiểm thử'!A"&amp;(MATCH("TC-RS-BR-041 / AR-60-60",'Kiểm thử'!$A$5:$A$573,0)+4),"TC-RS-BR-041 / AR-60-60")</f>
        <v/>
      </c>
      <c r="B214" s="18" t="inlineStr">
        <is>
          <t>Kết quả mong đợi</t>
        </is>
      </c>
      <c r="C21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15" ht="61" customHeight="1">
      <c r="A215" s="24">
        <f>HYPERLINK("#'Kiểm thử'!A"&amp;(MATCH("TC-RS-BR-041 / AR-60-60",'Kiểm thử'!$A$5:$A$573,0)+4),"TC-RS-BR-041 / AR-60-60")</f>
        <v/>
      </c>
      <c r="B215" s="18" t="inlineStr">
        <is>
          <t>Kết quả mong đợi</t>
        </is>
      </c>
      <c r="C215" s="18" t="inlineStr">
        <is>
          <t xml:space="preserve">
Bảo toàn: Giữ điểm, cấu hình và đối tượng không đích theo expected; chỉ thay phần thủ tục yêu cầu, không tự đổi oracle hoặc mở rộng phạm vi.</t>
        </is>
      </c>
    </row>
    <row r="216" ht="299" customHeight="1">
      <c r="A216" s="24">
        <f>HYPERLINK("#'Kiểm thử'!A"&amp;(MATCH("TC-RS-BR-041 / AR-40-60",'Kiểm thử'!$A$5:$A$573,0)+4),"TC-RS-BR-041 / AR-40-60")</f>
        <v/>
      </c>
      <c r="B216" s="18" t="inlineStr">
        <is>
          <t>Điều kiện / thao tác</t>
        </is>
      </c>
      <c r="C21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17" ht="299" customHeight="1">
      <c r="A217" s="24">
        <f>HYPERLINK("#'Kiểm thử'!A"&amp;(MATCH("TC-RS-BR-041 / AR-40-60",'Kiểm thử'!$A$5:$A$573,0)+4),"TC-RS-BR-041 / AR-40-60")</f>
        <v/>
      </c>
      <c r="B217" s="18" t="inlineStr">
        <is>
          <t>Điều kiện / thao tác</t>
        </is>
      </c>
      <c r="C217" s="18" t="inlineStr">
        <is>
          <t xml:space="preserve"> A=60 và S không có điểm. P17/P18-A/P19 dùng rule ưu tiên thấp hơn `T=30`, `S=25` để phát hiện fallback. Không gộp thiếu A với thiếu điểm S và không tái sử dụng fixture giữa các lượt.
Nhánh AR-40-60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18" ht="146" customHeight="1">
      <c r="A218" s="24">
        <f>HYPERLINK("#'Kiểm thử'!A"&amp;(MATCH("TC-RS-BR-041 / AR-40-60",'Kiểm thử'!$A$5:$A$573,0)+4),"TC-RS-BR-041 / AR-40-60")</f>
        <v/>
      </c>
      <c r="B218" s="18" t="inlineStr">
        <is>
          <t>Điều kiện / thao tác</t>
        </is>
      </c>
      <c r="C218"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19" ht="299" customHeight="1">
      <c r="A219" s="24">
        <f>HYPERLINK("#'Kiểm thử'!A"&amp;(MATCH("TC-RS-BR-041 / AR-40-60",'Kiểm thử'!$A$5:$A$573,0)+4),"TC-RS-BR-041 / AR-40-60")</f>
        <v/>
      </c>
      <c r="B219" s="18" t="inlineStr">
        <is>
          <t>Kết quả mong đợi</t>
        </is>
      </c>
      <c r="C21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20" ht="61" customHeight="1">
      <c r="A220" s="24">
        <f>HYPERLINK("#'Kiểm thử'!A"&amp;(MATCH("TC-RS-BR-041 / AR-40-60",'Kiểm thử'!$A$5:$A$573,0)+4),"TC-RS-BR-041 / AR-40-60")</f>
        <v/>
      </c>
      <c r="B220" s="18" t="inlineStr">
        <is>
          <t>Kết quả mong đợi</t>
        </is>
      </c>
      <c r="C220" s="18" t="inlineStr">
        <is>
          <t xml:space="preserve">
Bảo toàn: Giữ điểm, cấu hình và đối tượng không đích theo expected; chỉ thay phần thủ tục yêu cầu, không tự đổi oracle hoặc mở rộng phạm vi.</t>
        </is>
      </c>
    </row>
    <row r="221" ht="299" customHeight="1">
      <c r="A221" s="24">
        <f>HYPERLINK("#'Kiểm thử'!A"&amp;(MATCH("TC-RS-BR-041 / AR-60-40",'Kiểm thử'!$A$5:$A$573,0)+4),"TC-RS-BR-041 / AR-60-40")</f>
        <v/>
      </c>
      <c r="B221" s="18" t="inlineStr">
        <is>
          <t>Điều kiện / thao tác</t>
        </is>
      </c>
      <c r="C22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22" ht="299" customHeight="1">
      <c r="A222" s="24">
        <f>HYPERLINK("#'Kiểm thử'!A"&amp;(MATCH("TC-RS-BR-041 / AR-60-40",'Kiểm thử'!$A$5:$A$573,0)+4),"TC-RS-BR-041 / AR-60-40")</f>
        <v/>
      </c>
      <c r="B222" s="18" t="inlineStr">
        <is>
          <t>Điều kiện / thao tác</t>
        </is>
      </c>
      <c r="C222" s="18" t="inlineStr">
        <is>
          <t xml:space="preserve"> A=60 và S không có điểm. P17/P18-A/P19 dùng rule ưu tiên thấp hơn `T=30`, `S=25` để phát hiện fallback. Không gộp thiếu A với thiếu điểm S và không tái sử dụng fixture giữa các lượt.
Nhánh AR-60-40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23" ht="146" customHeight="1">
      <c r="A223" s="24">
        <f>HYPERLINK("#'Kiểm thử'!A"&amp;(MATCH("TC-RS-BR-041 / AR-60-40",'Kiểm thử'!$A$5:$A$573,0)+4),"TC-RS-BR-041 / AR-60-40")</f>
        <v/>
      </c>
      <c r="B223" s="18" t="inlineStr">
        <is>
          <t>Điều kiện / thao tác</t>
        </is>
      </c>
      <c r="C223"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24" ht="299" customHeight="1">
      <c r="A224" s="24">
        <f>HYPERLINK("#'Kiểm thử'!A"&amp;(MATCH("TC-RS-BR-041 / AR-60-40",'Kiểm thử'!$A$5:$A$573,0)+4),"TC-RS-BR-041 / AR-60-40")</f>
        <v/>
      </c>
      <c r="B224" s="18" t="inlineStr">
        <is>
          <t>Kết quả mong đợi</t>
        </is>
      </c>
      <c r="C22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25" ht="61" customHeight="1">
      <c r="A225" s="24">
        <f>HYPERLINK("#'Kiểm thử'!A"&amp;(MATCH("TC-RS-BR-041 / AR-60-40",'Kiểm thử'!$A$5:$A$573,0)+4),"TC-RS-BR-041 / AR-60-40")</f>
        <v/>
      </c>
      <c r="B225" s="18" t="inlineStr">
        <is>
          <t>Kết quả mong đợi</t>
        </is>
      </c>
      <c r="C225" s="18" t="inlineStr">
        <is>
          <t xml:space="preserve">
Bảo toàn: Giữ điểm, cấu hình và đối tượng không đích theo expected; chỉ thay phần thủ tục yêu cầu, không tự đổi oracle hoặc mở rộng phạm vi.</t>
        </is>
      </c>
    </row>
    <row r="226" ht="299" customHeight="1">
      <c r="A226" s="24">
        <f>HYPERLINK("#'Kiểm thử'!A"&amp;(MATCH("TC-RS-BR-041 / FILTER-POS",'Kiểm thử'!$A$5:$A$573,0)+4),"TC-RS-BR-041 / FILTER-POS")</f>
        <v/>
      </c>
      <c r="B226" s="18" t="inlineStr">
        <is>
          <t>Điều kiện / thao tác</t>
        </is>
      </c>
      <c r="C22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27" ht="299" customHeight="1">
      <c r="A227" s="24">
        <f>HYPERLINK("#'Kiểm thử'!A"&amp;(MATCH("TC-RS-BR-041 / FILTER-POS",'Kiểm thử'!$A$5:$A$573,0)+4),"TC-RS-BR-041 / FILTER-POS")</f>
        <v/>
      </c>
      <c r="B227" s="18" t="inlineStr">
        <is>
          <t>Điều kiện / thao tác</t>
        </is>
      </c>
      <c r="C227" s="18" t="inlineStr">
        <is>
          <t xml:space="preserve"> A=60 và S không có điểm. P17/P18-A/P19 dùng rule ưu tiên thấp hơn `T=30`, `S=25` để phát hiện fallback. Không gộp thiếu A với thiếu điểm S và không tái sử dụng fixture giữa các lượt.
Nhánh FILTER-POS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28" ht="146" customHeight="1">
      <c r="A228" s="24">
        <f>HYPERLINK("#'Kiểm thử'!A"&amp;(MATCH("TC-RS-BR-041 / FILTER-POS",'Kiểm thử'!$A$5:$A$573,0)+4),"TC-RS-BR-041 / FILTER-POS")</f>
        <v/>
      </c>
      <c r="B228" s="18" t="inlineStr">
        <is>
          <t>Điều kiện / thao tác</t>
        </is>
      </c>
      <c r="C228"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29" ht="299" customHeight="1">
      <c r="A229" s="24">
        <f>HYPERLINK("#'Kiểm thử'!A"&amp;(MATCH("TC-RS-BR-041 / FILTER-POS",'Kiểm thử'!$A$5:$A$573,0)+4),"TC-RS-BR-041 / FILTER-POS")</f>
        <v/>
      </c>
      <c r="B229" s="18" t="inlineStr">
        <is>
          <t>Kết quả mong đợi</t>
        </is>
      </c>
      <c r="C22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30" ht="61" customHeight="1">
      <c r="A230" s="24">
        <f>HYPERLINK("#'Kiểm thử'!A"&amp;(MATCH("TC-RS-BR-041 / FILTER-POS",'Kiểm thử'!$A$5:$A$573,0)+4),"TC-RS-BR-041 / FILTER-POS")</f>
        <v/>
      </c>
      <c r="B230" s="18" t="inlineStr">
        <is>
          <t>Kết quả mong đợi</t>
        </is>
      </c>
      <c r="C230" s="18" t="inlineStr">
        <is>
          <t xml:space="preserve">
Bảo toàn: Giữ điểm, cấu hình và đối tượng không đích theo expected; chỉ thay phần thủ tục yêu cầu, không tự đổi oracle hoặc mở rộng phạm vi.</t>
        </is>
      </c>
    </row>
    <row r="231" ht="299" customHeight="1">
      <c r="A231" s="24">
        <f>HYPERLINK("#'Kiểm thử'!A"&amp;(MATCH("TC-RS-BR-041 / FILTER-GRADE-NEG",'Kiểm thử'!$A$5:$A$573,0)+4),"TC-RS-BR-041 / FILTER-GRADE-NEG")</f>
        <v/>
      </c>
      <c r="B231" s="18" t="inlineStr">
        <is>
          <t>Điều kiện / thao tác</t>
        </is>
      </c>
      <c r="C23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32" ht="299" customHeight="1">
      <c r="A232" s="24">
        <f>HYPERLINK("#'Kiểm thử'!A"&amp;(MATCH("TC-RS-BR-041 / FILTER-GRADE-NEG",'Kiểm thử'!$A$5:$A$573,0)+4),"TC-RS-BR-041 / FILTER-GRADE-NEG")</f>
        <v/>
      </c>
      <c r="B232" s="18" t="inlineStr">
        <is>
          <t>Điều kiện / thao tác</t>
        </is>
      </c>
      <c r="C232" s="18" t="inlineStr">
        <is>
          <t xml:space="preserve"> A=60 và S không có điểm. P17/P18-A/P19 dùng rule ưu tiên thấp hơn `T=30`, `S=25` để phát hiện fallback. Không gộp thiếu A với thiếu điểm S và không tái sử dụng fixture giữa các lượt.
Nhánh FILTER-GRADE-NEG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33" ht="146" customHeight="1">
      <c r="A233" s="24">
        <f>HYPERLINK("#'Kiểm thử'!A"&amp;(MATCH("TC-RS-BR-041 / FILTER-GRADE-NEG",'Kiểm thử'!$A$5:$A$573,0)+4),"TC-RS-BR-041 / FILTER-GRADE-NEG")</f>
        <v/>
      </c>
      <c r="B233" s="18" t="inlineStr">
        <is>
          <t>Điều kiện / thao tác</t>
        </is>
      </c>
      <c r="C233"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34" ht="299" customHeight="1">
      <c r="A234" s="24">
        <f>HYPERLINK("#'Kiểm thử'!A"&amp;(MATCH("TC-RS-BR-041 / FILTER-GRADE-NEG",'Kiểm thử'!$A$5:$A$573,0)+4),"TC-RS-BR-041 / FILTER-GRADE-NEG")</f>
        <v/>
      </c>
      <c r="B234" s="18" t="inlineStr">
        <is>
          <t>Kết quả mong đợi</t>
        </is>
      </c>
      <c r="C23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35" ht="61" customHeight="1">
      <c r="A235" s="24">
        <f>HYPERLINK("#'Kiểm thử'!A"&amp;(MATCH("TC-RS-BR-041 / FILTER-GRADE-NEG",'Kiểm thử'!$A$5:$A$573,0)+4),"TC-RS-BR-041 / FILTER-GRADE-NEG")</f>
        <v/>
      </c>
      <c r="B235" s="18" t="inlineStr">
        <is>
          <t>Kết quả mong đợi</t>
        </is>
      </c>
      <c r="C235" s="18" t="inlineStr">
        <is>
          <t xml:space="preserve">
Bảo toàn: Giữ điểm, cấu hình và đối tượng không đích theo expected; chỉ thay phần thủ tục yêu cầu, không tự đổi oracle hoặc mở rộng phạm vi.</t>
        </is>
      </c>
    </row>
    <row r="236" ht="299" customHeight="1">
      <c r="A236" s="24">
        <f>HYPERLINK("#'Kiểm thử'!A"&amp;(MATCH("TC-RS-BR-041 / FILTER-GROUP-NEG",'Kiểm thử'!$A$5:$A$573,0)+4),"TC-RS-BR-041 / FILTER-GROUP-NEG")</f>
        <v/>
      </c>
      <c r="B236" s="18" t="inlineStr">
        <is>
          <t>Điều kiện / thao tác</t>
        </is>
      </c>
      <c r="C23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37" ht="299" customHeight="1">
      <c r="A237" s="24">
        <f>HYPERLINK("#'Kiểm thử'!A"&amp;(MATCH("TC-RS-BR-041 / FILTER-GROUP-NEG",'Kiểm thử'!$A$5:$A$573,0)+4),"TC-RS-BR-041 / FILTER-GROUP-NEG")</f>
        <v/>
      </c>
      <c r="B237" s="18" t="inlineStr">
        <is>
          <t>Điều kiện / thao tác</t>
        </is>
      </c>
      <c r="C237" s="18" t="inlineStr">
        <is>
          <t xml:space="preserve"> A=60 và S không có điểm. P17/P18-A/P19 dùng rule ưu tiên thấp hơn `T=30`, `S=25` để phát hiện fallback. Không gộp thiếu A với thiếu điểm S và không tái sử dụng fixture giữa các lượt.
Nhánh FILTER-GROUP-NEG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38" ht="146" customHeight="1">
      <c r="A238" s="24">
        <f>HYPERLINK("#'Kiểm thử'!A"&amp;(MATCH("TC-RS-BR-041 / FILTER-GROUP-NEG",'Kiểm thử'!$A$5:$A$573,0)+4),"TC-RS-BR-041 / FILTER-GROUP-NEG")</f>
        <v/>
      </c>
      <c r="B238" s="18" t="inlineStr">
        <is>
          <t>Điều kiện / thao tác</t>
        </is>
      </c>
      <c r="C238"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39" ht="299" customHeight="1">
      <c r="A239" s="24">
        <f>HYPERLINK("#'Kiểm thử'!A"&amp;(MATCH("TC-RS-BR-041 / FILTER-GROUP-NEG",'Kiểm thử'!$A$5:$A$573,0)+4),"TC-RS-BR-041 / FILTER-GROUP-NEG")</f>
        <v/>
      </c>
      <c r="B239" s="18" t="inlineStr">
        <is>
          <t>Kết quả mong đợi</t>
        </is>
      </c>
      <c r="C23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40" ht="61" customHeight="1">
      <c r="A240" s="24">
        <f>HYPERLINK("#'Kiểm thử'!A"&amp;(MATCH("TC-RS-BR-041 / FILTER-GROUP-NEG",'Kiểm thử'!$A$5:$A$573,0)+4),"TC-RS-BR-041 / FILTER-GROUP-NEG")</f>
        <v/>
      </c>
      <c r="B240" s="18" t="inlineStr">
        <is>
          <t>Kết quả mong đợi</t>
        </is>
      </c>
      <c r="C240" s="18" t="inlineStr">
        <is>
          <t xml:space="preserve">
Bảo toàn: Giữ điểm, cấu hình và đối tượng không đích theo expected; chỉ thay phần thủ tục yêu cầu, không tự đổi oracle hoặc mở rộng phạm vi.</t>
        </is>
      </c>
    </row>
    <row r="241" ht="299" customHeight="1">
      <c r="A241" s="24">
        <f>HYPERLINK("#'Kiểm thử'!A"&amp;(MATCH("TC-RS-BR-041 / P17-A-NAN",'Kiểm thử'!$A$5:$A$573,0)+4),"TC-RS-BR-041 / P17-A-NAN")</f>
        <v/>
      </c>
      <c r="B241" s="18" t="inlineStr">
        <is>
          <t>Điều kiện / thao tác</t>
        </is>
      </c>
      <c r="C24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42" ht="299" customHeight="1">
      <c r="A242" s="24">
        <f>HYPERLINK("#'Kiểm thử'!A"&amp;(MATCH("TC-RS-BR-041 / P17-A-NAN",'Kiểm thử'!$A$5:$A$573,0)+4),"TC-RS-BR-041 / P17-A-NAN")</f>
        <v/>
      </c>
      <c r="B242" s="18" t="inlineStr">
        <is>
          <t>Điều kiện / thao tác</t>
        </is>
      </c>
      <c r="C242" s="18" t="inlineStr">
        <is>
          <t xml:space="preserve"> A=60 và S không có điểm. P17/P18-A/P19 dùng rule ưu tiên thấp hơn `T=30`, `S=25` để phát hiện fallback. Không gộp thiếu A với thiếu điểm S và không tái sử dụng fixture giữa các lượt.
Nhánh P17-A-NAN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43" ht="146" customHeight="1">
      <c r="A243" s="24">
        <f>HYPERLINK("#'Kiểm thử'!A"&amp;(MATCH("TC-RS-BR-041 / P17-A-NAN",'Kiểm thử'!$A$5:$A$573,0)+4),"TC-RS-BR-041 / P17-A-NAN")</f>
        <v/>
      </c>
      <c r="B243" s="18" t="inlineStr">
        <is>
          <t>Điều kiện / thao tác</t>
        </is>
      </c>
      <c r="C243"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44" ht="299" customHeight="1">
      <c r="A244" s="24">
        <f>HYPERLINK("#'Kiểm thử'!A"&amp;(MATCH("TC-RS-BR-041 / P17-A-NAN",'Kiểm thử'!$A$5:$A$573,0)+4),"TC-RS-BR-041 / P17-A-NAN")</f>
        <v/>
      </c>
      <c r="B244" s="18" t="inlineStr">
        <is>
          <t>Kết quả mong đợi</t>
        </is>
      </c>
      <c r="C24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45" ht="61" customHeight="1">
      <c r="A245" s="24">
        <f>HYPERLINK("#'Kiểm thử'!A"&amp;(MATCH("TC-RS-BR-041 / P17-A-NAN",'Kiểm thử'!$A$5:$A$573,0)+4),"TC-RS-BR-041 / P17-A-NAN")</f>
        <v/>
      </c>
      <c r="B245" s="18" t="inlineStr">
        <is>
          <t>Kết quả mong đợi</t>
        </is>
      </c>
      <c r="C245" s="18" t="inlineStr">
        <is>
          <t xml:space="preserve">
Bảo toàn: Giữ điểm, cấu hình và đối tượng không đích theo expected; chỉ thay phần thủ tục yêu cầu, không tự đổi oracle hoặc mở rộng phạm vi.</t>
        </is>
      </c>
    </row>
    <row r="246" ht="299" customHeight="1">
      <c r="A246" s="24">
        <f>HYPERLINK("#'Kiểm thử'!A"&amp;(MATCH("TC-RS-BR-041 / P19-A-INFINITY",'Kiểm thử'!$A$5:$A$573,0)+4),"TC-RS-BR-041 / P19-A-INFINITY")</f>
        <v/>
      </c>
      <c r="B246" s="18" t="inlineStr">
        <is>
          <t>Điều kiện / thao tác</t>
        </is>
      </c>
      <c r="C24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47" ht="299" customHeight="1">
      <c r="A247" s="24">
        <f>HYPERLINK("#'Kiểm thử'!A"&amp;(MATCH("TC-RS-BR-041 / P19-A-INFINITY",'Kiểm thử'!$A$5:$A$573,0)+4),"TC-RS-BR-041 / P19-A-INFINITY")</f>
        <v/>
      </c>
      <c r="B247" s="18" t="inlineStr">
        <is>
          <t>Điều kiện / thao tác</t>
        </is>
      </c>
      <c r="C247" s="18" t="inlineStr">
        <is>
          <t xml:space="preserve"> A=60 và S không có điểm. P17/P18-A/P19 dùng rule ưu tiên thấp hơn `T=30`, `S=25` để phát hiện fallback. Không gộp thiếu A với thiếu điểm S và không tái sử dụng fixture giữa các lượt.
Nhánh P19-A-INFINITY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48" ht="146" customHeight="1">
      <c r="A248" s="24">
        <f>HYPERLINK("#'Kiểm thử'!A"&amp;(MATCH("TC-RS-BR-041 / P19-A-INFINITY",'Kiểm thử'!$A$5:$A$573,0)+4),"TC-RS-BR-041 / P19-A-INFINITY")</f>
        <v/>
      </c>
      <c r="B248" s="18" t="inlineStr">
        <is>
          <t>Điều kiện / thao tác</t>
        </is>
      </c>
      <c r="C248"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49" ht="299" customHeight="1">
      <c r="A249" s="24">
        <f>HYPERLINK("#'Kiểm thử'!A"&amp;(MATCH("TC-RS-BR-041 / P19-A-INFINITY",'Kiểm thử'!$A$5:$A$573,0)+4),"TC-RS-BR-041 / P19-A-INFINITY")</f>
        <v/>
      </c>
      <c r="B249" s="18" t="inlineStr">
        <is>
          <t>Kết quả mong đợi</t>
        </is>
      </c>
      <c r="C24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50" ht="61" customHeight="1">
      <c r="A250" s="24">
        <f>HYPERLINK("#'Kiểm thử'!A"&amp;(MATCH("TC-RS-BR-041 / P19-A-INFINITY",'Kiểm thử'!$A$5:$A$573,0)+4),"TC-RS-BR-041 / P19-A-INFINITY")</f>
        <v/>
      </c>
      <c r="B250" s="18" t="inlineStr">
        <is>
          <t>Kết quả mong đợi</t>
        </is>
      </c>
      <c r="C250" s="18" t="inlineStr">
        <is>
          <t xml:space="preserve">
Bảo toàn: Giữ điểm, cấu hình và đối tượng không đích theo expected; chỉ thay phần thủ tục yêu cầu, không tự đổi oracle hoặc mở rộng phạm vi.</t>
        </is>
      </c>
    </row>
    <row r="251" ht="299" customHeight="1">
      <c r="A251" s="24">
        <f>HYPERLINK("#'Kiểm thử'!A"&amp;(MATCH("TC-RS-BR-041 / P18-A-EMPTY",'Kiểm thử'!$A$5:$A$573,0)+4),"TC-RS-BR-041 / P18-A-EMPTY")</f>
        <v/>
      </c>
      <c r="B251" s="18" t="inlineStr">
        <is>
          <t>Điều kiện / thao tác</t>
        </is>
      </c>
      <c r="C25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52" ht="299" customHeight="1">
      <c r="A252" s="24">
        <f>HYPERLINK("#'Kiểm thử'!A"&amp;(MATCH("TC-RS-BR-041 / P18-A-EMPTY",'Kiểm thử'!$A$5:$A$573,0)+4),"TC-RS-BR-041 / P18-A-EMPTY")</f>
        <v/>
      </c>
      <c r="B252" s="18" t="inlineStr">
        <is>
          <t>Điều kiện / thao tác</t>
        </is>
      </c>
      <c r="C252" s="18" t="inlineStr">
        <is>
          <t xml:space="preserve"> A=60 và S không có điểm. P17/P18-A/P19 dùng rule ưu tiên thấp hơn `T=30`, `S=25` để phát hiện fallback. Không gộp thiếu A với thiếu điểm S và không tái sử dụng fixture giữa các lượt.
Nhánh P18-A-EMPTY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53" ht="146" customHeight="1">
      <c r="A253" s="24">
        <f>HYPERLINK("#'Kiểm thử'!A"&amp;(MATCH("TC-RS-BR-041 / P18-A-EMPTY",'Kiểm thử'!$A$5:$A$573,0)+4),"TC-RS-BR-041 / P18-A-EMPTY")</f>
        <v/>
      </c>
      <c r="B253" s="18" t="inlineStr">
        <is>
          <t>Điều kiện / thao tác</t>
        </is>
      </c>
      <c r="C253"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54" ht="299" customHeight="1">
      <c r="A254" s="24">
        <f>HYPERLINK("#'Kiểm thử'!A"&amp;(MATCH("TC-RS-BR-041 / P18-A-EMPTY",'Kiểm thử'!$A$5:$A$573,0)+4),"TC-RS-BR-041 / P18-A-EMPTY")</f>
        <v/>
      </c>
      <c r="B254" s="18" t="inlineStr">
        <is>
          <t>Kết quả mong đợi</t>
        </is>
      </c>
      <c r="C25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55" ht="61" customHeight="1">
      <c r="A255" s="24">
        <f>HYPERLINK("#'Kiểm thử'!A"&amp;(MATCH("TC-RS-BR-041 / P18-A-EMPTY",'Kiểm thử'!$A$5:$A$573,0)+4),"TC-RS-BR-041 / P18-A-EMPTY")</f>
        <v/>
      </c>
      <c r="B255" s="18" t="inlineStr">
        <is>
          <t>Kết quả mong đợi</t>
        </is>
      </c>
      <c r="C255" s="18" t="inlineStr">
        <is>
          <t xml:space="preserve">
Bảo toàn: Giữ điểm, cấu hình và đối tượng không đích theo expected; chỉ thay phần thủ tục yêu cầu, không tự đổi oracle hoặc mở rộng phạm vi.</t>
        </is>
      </c>
    </row>
    <row r="256" ht="299" customHeight="1">
      <c r="A256" s="24">
        <f>HYPERLINK("#'Kiểm thử'!A"&amp;(MATCH("TC-RS-BR-041 / P18-S-EMPTY",'Kiểm thử'!$A$5:$A$573,0)+4),"TC-RS-BR-041 / P18-S-EMPTY")</f>
        <v/>
      </c>
      <c r="B256" s="18" t="inlineStr">
        <is>
          <t>Điều kiện / thao tác</t>
        </is>
      </c>
      <c r="C256"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57" ht="299" customHeight="1">
      <c r="A257" s="24">
        <f>HYPERLINK("#'Kiểm thử'!A"&amp;(MATCH("TC-RS-BR-041 / P18-S-EMPTY",'Kiểm thử'!$A$5:$A$573,0)+4),"TC-RS-BR-041 / P18-S-EMPTY")</f>
        <v/>
      </c>
      <c r="B257" s="18" t="inlineStr">
        <is>
          <t>Điều kiện / thao tác</t>
        </is>
      </c>
      <c r="C257" s="18" t="inlineStr">
        <is>
          <t xml:space="preserve"> A=60 và S không có điểm. P17/P18-A/P19 dùng rule ưu tiên thấp hơn `T=30`, `S=25` để phát hiện fallback. Không gộp thiếu A với thiếu điểm S và không tái sử dụng fixture giữa các lượt.
Nhánh P18-S-EMPTY trong thủ tục và Expected của case; thực hiện các bước chuẩn bị chung trước nhánh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58" ht="146" customHeight="1">
      <c r="A258" s="24">
        <f>HYPERLINK("#'Kiểm thử'!A"&amp;(MATCH("TC-RS-BR-041 / P18-S-EMPTY",'Kiểm thử'!$A$5:$A$573,0)+4),"TC-RS-BR-041 / P18-S-EMPTY")</f>
        <v/>
      </c>
      <c r="B258" s="18" t="inlineStr">
        <is>
          <t>Điều kiện / thao tác</t>
        </is>
      </c>
      <c r="C258"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59" ht="299" customHeight="1">
      <c r="A259" s="24">
        <f>HYPERLINK("#'Kiểm thử'!A"&amp;(MATCH("TC-RS-BR-041 / P18-S-EMPTY",'Kiểm thử'!$A$5:$A$573,0)+4),"TC-RS-BR-041 / P18-S-EMPTY")</f>
        <v/>
      </c>
      <c r="B259" s="18" t="inlineStr">
        <is>
          <t>Kết quả mong đợi</t>
        </is>
      </c>
      <c r="C259"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60" ht="61" customHeight="1">
      <c r="A260" s="24">
        <f>HYPERLINK("#'Kiểm thử'!A"&amp;(MATCH("TC-RS-BR-041 / P18-S-EMPTY",'Kiểm thử'!$A$5:$A$573,0)+4),"TC-RS-BR-041 / P18-S-EMPTY")</f>
        <v/>
      </c>
      <c r="B260" s="18" t="inlineStr">
        <is>
          <t>Kết quả mong đợi</t>
        </is>
      </c>
      <c r="C260" s="18" t="inlineStr">
        <is>
          <t xml:space="preserve">
Bảo toàn: Giữ điểm, cấu hình và đối tượng không đích theo expected; chỉ thay phần thủ tục yêu cầu, không tự đổi oracle hoặc mở rộng phạm vi.</t>
        </is>
      </c>
    </row>
    <row r="261" ht="299" customHeight="1">
      <c r="A261" s="24">
        <f>HYPERLINK("#'Kiểm thử'!A"&amp;(MATCH("TC-RS-BR-041 / reopen-summary",'Kiểm thử'!$A$5:$A$573,0)+4),"TC-RS-BR-041 / reopen-summary")</f>
        <v/>
      </c>
      <c r="B261" s="18" t="inlineStr">
        <is>
          <t>Điều kiện / thao tác</t>
        </is>
      </c>
      <c r="C261" s="18" t="inlineStr">
        <is>
          <t>Cấu hình: mỗi biến thể chỉ thay một nhóm điều kiện, cùng rule và cùng đối tượng áp dụng; ngưỡng cố định `T=70`, dấu `&lt;`, P1 có `S=60` và thuộc phạm vi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t>
        </is>
      </c>
    </row>
    <row r="262" ht="299" customHeight="1">
      <c r="A262" s="24">
        <f>HYPERLINK("#'Kiểm thử'!A"&amp;(MATCH("TC-RS-BR-041 / reopen-summary",'Kiểm thử'!$A$5:$A$573,0)+4),"TC-RS-BR-041 / reopen-summary")</f>
        <v/>
      </c>
      <c r="B262" s="18" t="inlineStr">
        <is>
          <t>Điều kiện / thao tác</t>
        </is>
      </c>
      <c r="C262" s="18" t="inlineStr">
        <is>
          <t xml:space="preserve"> A=60 và S không có điểm. P17/P18-A/P19 dùng rule ưu tiên thấp hơn `T=30`, `S=25` để phát hiện fallback. Không gộp thiếu A với thiếu điểm S và không tái sử dụng fixture giữa các lượt.
Bước 5 sau từng cấu hình ở bước 1–4, giữ source và phép AND khi mở lại; positive A+A đã nằm ở A-P10/P11/P14/P15, không tạo lượt AA-POS không có fixture riêng
Thao tác: 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63" ht="146" customHeight="1">
      <c r="A263" s="24">
        <f>HYPERLINK("#'Kiểm thử'!A"&amp;(MATCH("TC-RS-BR-041 / reopen-summary",'Kiểm thử'!$A$5:$A$573,0)+4),"TC-RS-BR-041 / reopen-summary")</f>
        <v/>
      </c>
      <c r="B263" s="18" t="inlineStr">
        <is>
          <t>Điều kiện / thao tác</t>
        </is>
      </c>
      <c r="C263"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snapshot/reader cho A (P9–P16), R, A+R và membership bộ lọc chưa được provision/quan sát; chỉ PASS biến thể có mapping và evidence reader đúng fixture.
TC-RS-BR-041: hoàn thiện đúng fixture/seam; giữ expected và chưa kết luận thực thi.</t>
        </is>
      </c>
    </row>
    <row r="264" ht="299" customHeight="1">
      <c r="A264" s="24">
        <f>HYPERLINK("#'Kiểm thử'!A"&amp;(MATCH("TC-RS-BR-041 / reopen-summary",'Kiểm thử'!$A$5:$A$573,0)+4),"TC-RS-BR-041 / reopen-summary")</f>
        <v/>
      </c>
      <c r="B264" s="18" t="inlineStr">
        <is>
          <t>Kết quả mong đợi</t>
        </is>
      </c>
      <c r="C264" s="18"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265" ht="61" customHeight="1">
      <c r="A265" s="24">
        <f>HYPERLINK("#'Kiểm thử'!A"&amp;(MATCH("TC-RS-BR-041 / reopen-summary",'Kiểm thử'!$A$5:$A$573,0)+4),"TC-RS-BR-041 / reopen-summary")</f>
        <v/>
      </c>
      <c r="B265" s="18" t="inlineStr">
        <is>
          <t>Kết quả mong đợi</t>
        </is>
      </c>
      <c r="C265" s="18" t="inlineStr">
        <is>
          <t xml:space="preserve">
Bảo toàn: Giữ điểm, cấu hình và đối tượng không đích theo expected; chỉ thay phần thủ tục yêu cầu, không tự đổi oracle hoặc mở rộng phạm vi.</t>
        </is>
      </c>
    </row>
    <row r="266" ht="44" customHeight="1">
      <c r="A266" s="24">
        <f>HYPERLINK("#'Kiểm thử'!A"&amp;(MATCH("TC-RS-BR-005 / Base",'Kiểm thử'!$A$5:$A$573,0)+4),"TC-RS-BR-005 / Base")</f>
        <v/>
      </c>
      <c r="B266" s="18" t="inlineStr">
        <is>
          <t>Màn hình / chức năng</t>
        </is>
      </c>
      <c r="C266" s="18" t="inlineStr">
        <is>
          <t>Điều kiện áp dụng — Điều kiện áp dụng（適用条件）
Toàn bộ đối tượng（全員が対象） không vượt phạm vi mục, trường, năm</t>
        </is>
      </c>
    </row>
    <row r="267" ht="299" customHeight="1">
      <c r="A267" s="24">
        <f>HYPERLINK("#'Kiểm thử'!A"&amp;(MATCH("TC-RS-BR-005 / Base",'Kiểm thử'!$A$5:$A$573,0)+4),"TC-RS-BR-005 / Base")</f>
        <v/>
      </c>
      <c r="B267" s="18" t="inlineStr">
        <is>
          <t>Điều kiện / thao tác</t>
        </is>
      </c>
      <c r="C267" s="18" t="inlineStr">
        <is>
          <t>Cấu hình: mục số nguyên (M=100) có quy tắc “Cố định 30” (dưới 30) (Toàn bộ). Trường B (trường B (trường khác)) có học sinh điểm 10 ở mục tương tự. Mục mục số thập phân (M=100) (không có quy tắc) có S09=29.5.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thập phân (M=100); quy tắc “Cố định 30” (dưới 30), trường B (trường khác), học sinh S09 (mục số thập phân 29.5)
Toàn bộ thủ tục theo đúng thứ tự; các đối chứng cùng fixture được kiểm trong cùng lượt, không bỏ bước
Thao tác: 1. Chạy xét hàng loạt cho trường A.
2. Xem kết quả S09 ở mục số thập phân (M=100) và dữ liệu trường B.
Khôi phục: Trước mỗi biến thể, dựng lại điều kiện/dữ liệu đầu của case bằng đường được phép; gi</t>
        </is>
      </c>
    </row>
    <row r="268" ht="180" customHeight="1">
      <c r="A268" s="24">
        <f>HYPERLINK("#'Kiểm thử'!A"&amp;(MATCH("TC-RS-BR-005 / Base",'Kiểm thử'!$A$5:$A$573,0)+4),"TC-RS-BR-005 / Base")</f>
        <v/>
      </c>
      <c r="B268" s="18" t="inlineStr">
        <is>
          <t>Điều kiện / thao tác</t>
        </is>
      </c>
      <c r="C268"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69" ht="44" customHeight="1">
      <c r="A269" s="24">
        <f>HYPERLINK("#'Kiểm thử'!A"&amp;(MATCH("TC-RS-BR-029 / Base",'Kiểm thử'!$A$5:$A$573,0)+4),"TC-RS-BR-029 / Base")</f>
        <v/>
      </c>
      <c r="B269" s="18" t="inlineStr">
        <is>
          <t>Màn hình / chức năng</t>
        </is>
      </c>
      <c r="C269" s="18" t="inlineStr">
        <is>
          <t>Điều kiện áp dụng — Điều kiện áp dụng（適用条件）
Mục lựa chọn không được xét, nhưng bộ lọc theo lựa chọn vẫn dùng để chọn đối tượng</t>
        </is>
      </c>
    </row>
    <row r="270" ht="299" customHeight="1">
      <c r="A270" s="24">
        <f>HYPERLINK("#'Kiểm thử'!A"&amp;(MATCH("TC-RS-BR-029 / Base",'Kiểm thử'!$A$5:$A$573,0)+4),"TC-RS-BR-029 / Base")</f>
        <v/>
      </c>
      <c r="B270" s="18" t="inlineStr">
        <is>
          <t>Điều kiện / thao tác</t>
        </is>
      </c>
      <c r="C270" s="18" t="inlineStr">
        <is>
          <t xml:space="preserve">Cấu hình: mục kiểu lựa chọn A/B/C (A/B/C) có giá trị cho S01 = B, S02 = A.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kiểu lựa chọn A/B/C, quy tắc “Cố định 30” (dưới 30)
Toàn bộ thủ tục theo đúng thứ tự; các đối chứng cùng fixture được kiểm trong cùng lượt, không bỏ bước
Thao tác: 1. Tạo quy tắc cho mục số nguyên (M=100) với bộ lọc theo lựa chọn（選択肢型） mục kiểu lựa chọn A/B/C = B, cố định 30 `&lt;`.
2. Đăng ký S01=29, S02=29.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271" ht="146" customHeight="1">
      <c r="A271" s="24">
        <f>HYPERLINK("#'Kiểm thử'!A"&amp;(MATCH("TC-RS-BR-029 / Base",'Kiểm thử'!$A$5:$A$573,0)+4),"TC-RS-BR-029 / Base")</f>
        <v/>
      </c>
      <c r="B271" s="18" t="inlineStr">
        <is>
          <t>Điều kiện / thao tác</t>
        </is>
      </c>
      <c r="C271"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72" ht="299" customHeight="1">
      <c r="A272" s="24">
        <f>HYPERLINK("#'Kiểm thử'!A"&amp;(MATCH("TC-RS-BR-035 / Base",'Kiểm thử'!$A$5:$A$573,0)+4),"TC-RS-BR-035 / Base")</f>
        <v/>
      </c>
      <c r="B272" s="18" t="inlineStr">
        <is>
          <t>Điều kiện / thao tác</t>
        </is>
      </c>
      <c r="C272" s="18" t="inlineStr">
        <is>
          <t>Cấu hình: Hai loại nhóm tổng hợp: K1 = Nhóm thành tích（成績グループ） có mục Nâng cao; K2 = một loại nhóm tổng hợp khác có mục X. P5 chỉ thuộc Nâng cao; P6 chỉ thuộc X; P7 thuộc cả Nâng cao và X; P8 không thuộc cả hai. Cả bốn học khối 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lọc theo nhóm tổng hợp thuộc hai loại nhóm; S = 20 cho P5–P8
Toàn bộ thủ tục theo đúng thứ tự; các đối chứng cùng fixture được kiểm trong cùng lượt, không bỏ bước
Thao tác: 1. Đăng ký điểm 20 cho P5–P8.
2. Xem kết quả.
3. Mở lại quy tắc.
Khôi phục: Trước mỗi biến thể, dựng lại điều kiện/dữ liệu đầu của case bằng đường được phép; gi</t>
        </is>
      </c>
    </row>
    <row r="273" ht="180" customHeight="1">
      <c r="A273" s="24">
        <f>HYPERLINK("#'Kiểm thử'!A"&amp;(MATCH("TC-RS-BR-035 / Base",'Kiểm thử'!$A$5:$A$573,0)+4),"TC-RS-BR-035 / Base")</f>
        <v/>
      </c>
      <c r="B273" s="18" t="inlineStr">
        <is>
          <t>Điều kiện / thao tác</t>
        </is>
      </c>
      <c r="C273"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74" ht="299" customHeight="1">
      <c r="A274" s="24">
        <f>HYPERLINK("#'Kiểm thử'!A"&amp;(MATCH("TC-RS-VAL-015 / Base",'Kiểm thử'!$A$5:$A$573,0)+4),"TC-RS-VAL-015 / Base")</f>
        <v/>
      </c>
      <c r="B274" s="18" t="inlineStr">
        <is>
          <t>Điều kiện / thao tác</t>
        </is>
      </c>
      <c r="C274" s="18" t="inlineStr">
        <is>
          <t>Cấu hình: Màn thêm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Giới hạn bằng bộ lọc（特定条件で絞り込む）, không chọn giá trị
Toàn bộ thủ tục theo đúng thứ tự; các đối chứng cùng fixture được kiểm trong cùng lượt, không bỏ bước
Thao tác: Chọn giới hạn bằng bộ lọc, không chọn điều kiện,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275" ht="129" customHeight="1">
      <c r="A275" s="24">
        <f>HYPERLINK("#'Kiểm thử'!A"&amp;(MATCH("TC-RS-VAL-015 / Base",'Kiểm thử'!$A$5:$A$573,0)+4),"TC-RS-VAL-015 / Base")</f>
        <v/>
      </c>
      <c r="B275" s="18" t="inlineStr">
        <is>
          <t>Điều kiện / thao tác</t>
        </is>
      </c>
      <c r="C275"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76" ht="299" customHeight="1">
      <c r="A276" s="24">
        <f>HYPERLINK("#'Kiểm thử'!A"&amp;(MATCH("TC-RS-VAL-022 / avg-empty",'Kiểm thử'!$A$5:$A$573,0)+4),"TC-RS-VAL-022 / avg-empty")</f>
        <v/>
      </c>
      <c r="B276" s="18" t="inlineStr">
        <is>
          <t>Điều kiện / thao tác</t>
        </is>
      </c>
      <c r="C276"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Trung bình trống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277" ht="112" customHeight="1">
      <c r="A277" s="24">
        <f>HYPERLINK("#'Kiểm thử'!A"&amp;(MATCH("TC-RS-VAL-022 / avg-empty",'Kiểm thử'!$A$5:$A$573,0)+4),"TC-RS-VAL-022 / avg-empty")</f>
        <v/>
      </c>
      <c r="B277" s="18" t="inlineStr">
        <is>
          <t>Điều kiện / thao tác</t>
        </is>
      </c>
      <c r="C277"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78" ht="95" customHeight="1">
      <c r="A278" s="24">
        <f>HYPERLINK("#'Kiểm thử'!A"&amp;(MATCH("TC-RS-VAL-022 / avg-empty",'Kiểm thử'!$A$5:$A$573,0)+4),"TC-RS-VAL-022 / avg-empty")</f>
        <v/>
      </c>
      <c r="B278" s="18" t="inlineStr">
        <is>
          <t>Kết quả mong đợi</t>
        </is>
      </c>
      <c r="C278"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279" ht="299" customHeight="1">
      <c r="A279" s="24">
        <f>HYPERLINK("#'Kiểm thử'!A"&amp;(MATCH("TC-RS-VAL-022 / avg-negative",'Kiểm thử'!$A$5:$A$573,0)+4),"TC-RS-VAL-022 / avg-negative")</f>
        <v/>
      </c>
      <c r="B279" s="18" t="inlineStr">
        <is>
          <t>Điều kiện / thao tác</t>
        </is>
      </c>
      <c r="C279"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Trung bình -1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280" ht="112" customHeight="1">
      <c r="A280" s="24">
        <f>HYPERLINK("#'Kiểm thử'!A"&amp;(MATCH("TC-RS-VAL-022 / avg-negative",'Kiểm thử'!$A$5:$A$573,0)+4),"TC-RS-VAL-022 / avg-negative")</f>
        <v/>
      </c>
      <c r="B280" s="18" t="inlineStr">
        <is>
          <t>Điều kiện / thao tác</t>
        </is>
      </c>
      <c r="C28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81" ht="95" customHeight="1">
      <c r="A281" s="24">
        <f>HYPERLINK("#'Kiểm thử'!A"&amp;(MATCH("TC-RS-VAL-022 / avg-negative",'Kiểm thử'!$A$5:$A$573,0)+4),"TC-RS-VAL-022 / avg-negative")</f>
        <v/>
      </c>
      <c r="B281" s="18" t="inlineStr">
        <is>
          <t>Kết quả mong đợi</t>
        </is>
      </c>
      <c r="C281"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282" ht="299" customHeight="1">
      <c r="A282" s="24">
        <f>HYPERLINK("#'Kiểm thử'!A"&amp;(MATCH("TC-RS-VAL-022 / avg101",'Kiểm thử'!$A$5:$A$573,0)+4),"TC-RS-VAL-022 / avg101")</f>
        <v/>
      </c>
      <c r="B282" s="18" t="inlineStr">
        <is>
          <t>Điều kiện / thao tác</t>
        </is>
      </c>
      <c r="C282"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Trung bình 101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283" ht="112" customHeight="1">
      <c r="A283" s="24">
        <f>HYPERLINK("#'Kiểm thử'!A"&amp;(MATCH("TC-RS-VAL-022 / avg101",'Kiểm thử'!$A$5:$A$573,0)+4),"TC-RS-VAL-022 / avg101")</f>
        <v/>
      </c>
      <c r="B283" s="18" t="inlineStr">
        <is>
          <t>Điều kiện / thao tác</t>
        </is>
      </c>
      <c r="C283"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84" ht="95" customHeight="1">
      <c r="A284" s="24">
        <f>HYPERLINK("#'Kiểm thử'!A"&amp;(MATCH("TC-RS-VAL-022 / avg101",'Kiểm thử'!$A$5:$A$573,0)+4),"TC-RS-VAL-022 / avg101")</f>
        <v/>
      </c>
      <c r="B284" s="18" t="inlineStr">
        <is>
          <t>Kết quả mong đợi</t>
        </is>
      </c>
      <c r="C284"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285" ht="299" customHeight="1">
      <c r="A285" s="24">
        <f>HYPERLINK("#'Kiểm thử'!A"&amp;(MATCH("TC-RS-VAL-022 / avg605",'Kiểm thử'!$A$5:$A$573,0)+4),"TC-RS-VAL-022 / avg605")</f>
        <v/>
      </c>
      <c r="B285" s="18" t="inlineStr">
        <is>
          <t>Điều kiện / thao tác</t>
        </is>
      </c>
      <c r="C285"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Trung bình 60.5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286" ht="112" customHeight="1">
      <c r="A286" s="24">
        <f>HYPERLINK("#'Kiểm thử'!A"&amp;(MATCH("TC-RS-VAL-022 / avg605",'Kiểm thử'!$A$5:$A$573,0)+4),"TC-RS-VAL-022 / avg605")</f>
        <v/>
      </c>
      <c r="B286" s="18" t="inlineStr">
        <is>
          <t>Điều kiện / thao tác</t>
        </is>
      </c>
      <c r="C286"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87" ht="95" customHeight="1">
      <c r="A287" s="24">
        <f>HYPERLINK("#'Kiểm thử'!A"&amp;(MATCH("TC-RS-VAL-022 / avg605",'Kiểm thử'!$A$5:$A$573,0)+4),"TC-RS-VAL-022 / avg605")</f>
        <v/>
      </c>
      <c r="B287" s="18" t="inlineStr">
        <is>
          <t>Kết quả mong đợi</t>
        </is>
      </c>
      <c r="C287"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288" ht="299" customHeight="1">
      <c r="A288" s="24">
        <f>HYPERLINK("#'Kiểm thử'!A"&amp;(MATCH("TC-RS-VAL-022 / avg-long",'Kiểm thử'!$A$5:$A$573,0)+4),"TC-RS-VAL-022 / avg-long")</f>
        <v/>
      </c>
      <c r="B288" s="18" t="inlineStr">
        <is>
          <t>Điều kiện / thao tác</t>
        </is>
      </c>
      <c r="C288"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Trung bình 60.123456789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289" ht="112" customHeight="1">
      <c r="A289" s="24">
        <f>HYPERLINK("#'Kiểm thử'!A"&amp;(MATCH("TC-RS-VAL-022 / avg-long",'Kiểm thử'!$A$5:$A$573,0)+4),"TC-RS-VAL-022 / avg-long")</f>
        <v/>
      </c>
      <c r="B289" s="18" t="inlineStr">
        <is>
          <t>Điều kiện / thao tác</t>
        </is>
      </c>
      <c r="C289"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90" ht="95" customHeight="1">
      <c r="A290" s="24">
        <f>HYPERLINK("#'Kiểm thử'!A"&amp;(MATCH("TC-RS-VAL-022 / avg-long",'Kiểm thử'!$A$5:$A$573,0)+4),"TC-RS-VAL-022 / avg-long")</f>
        <v/>
      </c>
      <c r="B290" s="18" t="inlineStr">
        <is>
          <t>Kết quả mong đợi</t>
        </is>
      </c>
      <c r="C290"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291" ht="299" customHeight="1">
      <c r="A291" s="24">
        <f>HYPERLINK("#'Kiểm thử'!A"&amp;(MATCH("TC-RS-VAL-022 / ratio-negative",'Kiểm thử'!$A$5:$A$573,0)+4),"TC-RS-VAL-022 / ratio-negative")</f>
        <v/>
      </c>
      <c r="B291" s="18" t="inlineStr">
        <is>
          <t>Điều kiện / thao tác</t>
        </is>
      </c>
      <c r="C291"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Tỷ lệ -1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292" ht="112" customHeight="1">
      <c r="A292" s="24">
        <f>HYPERLINK("#'Kiểm thử'!A"&amp;(MATCH("TC-RS-VAL-022 / ratio-negative",'Kiểm thử'!$A$5:$A$573,0)+4),"TC-RS-VAL-022 / ratio-negative")</f>
        <v/>
      </c>
      <c r="B292" s="18" t="inlineStr">
        <is>
          <t>Điều kiện / thao tác</t>
        </is>
      </c>
      <c r="C292"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93" ht="95" customHeight="1">
      <c r="A293" s="24">
        <f>HYPERLINK("#'Kiểm thử'!A"&amp;(MATCH("TC-RS-VAL-022 / ratio-negative",'Kiểm thử'!$A$5:$A$573,0)+4),"TC-RS-VAL-022 / ratio-negative")</f>
        <v/>
      </c>
      <c r="B293" s="18" t="inlineStr">
        <is>
          <t>Kết quả mong đợi</t>
        </is>
      </c>
      <c r="C293"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294" ht="299" customHeight="1">
      <c r="A294" s="24">
        <f>HYPERLINK("#'Kiểm thử'!A"&amp;(MATCH("TC-RS-VAL-022 / ratio0",'Kiểm thử'!$A$5:$A$573,0)+4),"TC-RS-VAL-022 / ratio0")</f>
        <v/>
      </c>
      <c r="B294" s="18" t="inlineStr">
        <is>
          <t>Điều kiện / thao tác</t>
        </is>
      </c>
      <c r="C294"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Tỷ lệ 0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295" ht="112" customHeight="1">
      <c r="A295" s="24">
        <f>HYPERLINK("#'Kiểm thử'!A"&amp;(MATCH("TC-RS-VAL-022 / ratio0",'Kiểm thử'!$A$5:$A$573,0)+4),"TC-RS-VAL-022 / ratio0")</f>
        <v/>
      </c>
      <c r="B295" s="18" t="inlineStr">
        <is>
          <t>Điều kiện / thao tác</t>
        </is>
      </c>
      <c r="C295"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96" ht="95" customHeight="1">
      <c r="A296" s="24">
        <f>HYPERLINK("#'Kiểm thử'!A"&amp;(MATCH("TC-RS-VAL-022 / ratio0",'Kiểm thử'!$A$5:$A$573,0)+4),"TC-RS-VAL-022 / ratio0")</f>
        <v/>
      </c>
      <c r="B296" s="18" t="inlineStr">
        <is>
          <t>Kết quả mong đợi</t>
        </is>
      </c>
      <c r="C296"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297" ht="299" customHeight="1">
      <c r="A297" s="24">
        <f>HYPERLINK("#'Kiểm thử'!A"&amp;(MATCH("TC-RS-VAL-022 / ratio100",'Kiểm thử'!$A$5:$A$573,0)+4),"TC-RS-VAL-022 / ratio100")</f>
        <v/>
      </c>
      <c r="B297" s="18" t="inlineStr">
        <is>
          <t>Điều kiện / thao tác</t>
        </is>
      </c>
      <c r="C297"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Tỷ lệ 100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298" ht="112" customHeight="1">
      <c r="A298" s="24">
        <f>HYPERLINK("#'Kiểm thử'!A"&amp;(MATCH("TC-RS-VAL-022 / ratio100",'Kiểm thử'!$A$5:$A$573,0)+4),"TC-RS-VAL-022 / ratio100")</f>
        <v/>
      </c>
      <c r="B298" s="18" t="inlineStr">
        <is>
          <t>Điều kiện / thao tác</t>
        </is>
      </c>
      <c r="C29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299" ht="95" customHeight="1">
      <c r="A299" s="24">
        <f>HYPERLINK("#'Kiểm thử'!A"&amp;(MATCH("TC-RS-VAL-022 / ratio100",'Kiểm thử'!$A$5:$A$573,0)+4),"TC-RS-VAL-022 / ratio100")</f>
        <v/>
      </c>
      <c r="B299" s="18" t="inlineStr">
        <is>
          <t>Kết quả mong đợi</t>
        </is>
      </c>
      <c r="C299"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300" ht="299" customHeight="1">
      <c r="A300" s="24">
        <f>HYPERLINK("#'Kiểm thử'!A"&amp;(MATCH("TC-RS-VAL-022 / ratio101",'Kiểm thử'!$A$5:$A$573,0)+4),"TC-RS-VAL-022 / ratio101")</f>
        <v/>
      </c>
      <c r="B300" s="18" t="inlineStr">
        <is>
          <t>Điều kiện / thao tác</t>
        </is>
      </c>
      <c r="C300" s="18" t="inlineStr">
        <is>
          <t>Cấu hình: Màn thêm quy tắc có điều kiện.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Trung bình: trống, −1, 101, 60.5, 60.123456789; tỷ lệ nhóm: −1, 0, 100, 101
Tỷ lệ 101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301" ht="112" customHeight="1">
      <c r="A301" s="24">
        <f>HYPERLINK("#'Kiểm thử'!A"&amp;(MATCH("TC-RS-VAL-022 / ratio101",'Kiểm thử'!$A$5:$A$573,0)+4),"TC-RS-VAL-022 / ratio101")</f>
        <v/>
      </c>
      <c r="B301" s="18" t="inlineStr">
        <is>
          <t>Điều kiện / thao tác</t>
        </is>
      </c>
      <c r="C301"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02" ht="95" customHeight="1">
      <c r="A302" s="24">
        <f>HYPERLINK("#'Kiểm thử'!A"&amp;(MATCH("TC-RS-VAL-022 / ratio101",'Kiểm thử'!$A$5:$A$573,0)+4),"TC-RS-VAL-022 / ratio101")</f>
        <v/>
      </c>
      <c r="B302" s="18" t="inlineStr">
        <is>
          <t>Kết quả mong đợi</t>
        </is>
      </c>
      <c r="C302" s="1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
Bảo toàn: Giữ điểm, cấu hình và đối tượng không đích theo expected; chỉ thay phần thủ tục yêu cầu, không tự đổi oracle hoặc mở rộng phạm vi.</t>
        </is>
      </c>
    </row>
    <row r="303" ht="44" customHeight="1">
      <c r="A303" s="24">
        <f>HYPERLINK("#'Kiểm thử'!A"&amp;(MATCH("TC-RS-UI-008 / Base",'Kiểm thử'!$A$5:$A$573,0)+4),"TC-RS-UI-008 / Base")</f>
        <v/>
      </c>
      <c r="B303" s="18" t="inlineStr">
        <is>
          <t>Màn hình / chức năng</t>
        </is>
      </c>
      <c r="C303" s="18" t="inlineStr">
        <is>
          <t>Điều kiện áp dụng — Điều kiện áp dụng（適用条件）
Màn Điều kiện áp dụng（適用条件設定）: bố cục và chuyển Toàn bộ/Bộ lọc</t>
        </is>
      </c>
    </row>
    <row r="304" ht="299" customHeight="1">
      <c r="A304" s="24">
        <f>HYPERLINK("#'Kiểm thử'!A"&amp;(MATCH("TC-RS-UI-008 / Base",'Kiểm thử'!$A$5:$A$573,0)+4),"TC-RS-UI-008 / Base")</f>
        <v/>
      </c>
      <c r="B304" s="18" t="inlineStr">
        <is>
          <t>Điều kiện / thao tác</t>
        </is>
      </c>
      <c r="C304" s="18" t="inlineStr">
        <is>
          <t>Cấu hình: Mở thêm quy tắc cho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Toàn bộ thủ tục theo đúng thứ tự; các đối chứng cùng fixture được kiểm trong cùng lượt, không bỏ bước
Thao tác: 1. Đối chiếu bố cục và đọc nguyên văn hướng dẫn điều kiện.
2. Chọn Toàn bộ đối tượng（全員が対象）.
3. Chọn Giới hạn bằng bộ lọc（特定条件で絞り込む）, thêm hai điều kiện cùng loại và hai điều kiện khác loại.
Khôi phục: Trước mỗi biến thể, dựng lại điều kiện/dữ liệu đầu của case bằng đường được phép; giữ các reset/fixture độc lập đã nêu trong thủ tục.</t>
        </is>
      </c>
    </row>
    <row r="305" ht="180" customHeight="1">
      <c r="A305" s="24">
        <f>HYPERLINK("#'Kiểm thử'!A"&amp;(MATCH("TC-RS-UI-008 / Base",'Kiểm thử'!$A$5:$A$573,0)+4),"TC-RS-UI-008 / Base")</f>
        <v/>
      </c>
      <c r="B305" s="18" t="inlineStr">
        <is>
          <t>Điều kiện / thao tác</t>
        </is>
      </c>
      <c r="C305"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06" ht="146" customHeight="1">
      <c r="A306" s="24">
        <f>HYPERLINK("#'Kiểm thử'!A"&amp;(MATCH("TC-RS-UI-008 / Base",'Kiểm thử'!$A$5:$A$573,0)+4),"TC-RS-UI-008 / Base")</f>
        <v/>
      </c>
      <c r="B306" s="18" t="inlineStr">
        <is>
          <t>Kết quả mong đợi</t>
        </is>
      </c>
      <c r="C306" s="18" t="inlineStr">
        <is>
          <t>1. Có các phần tử như Source.
2. Không hiện vùng Điều kiện lọc（絞り込み条件）.
3. Hiện vùng lọc, thêm được điều kiện và câu 「※同じ種類の条件はいずれか1つ、種類が違う条件はすべて満たす生徒が対象となります。」 (cùng loại chỉ cần thỏa một điều kiện, khác loại phải thỏa tất cả). Hướng dẫn phải phân biệt OR trong cùng loại bộ lọc với AND giữa các loại điều kiện; không dùng câu này để thay thế phép AND giữa các điều kiện nguồn A/R trong cùng rule.
Bảo toàn: Giữ điểm, cấu hình và đối tượng không đích theo expected; chỉ thay phần thủ tục yêu cầu, không tự đổi oracle hoặc mở rộng phạm vi.</t>
        </is>
      </c>
    </row>
    <row r="307" ht="61" customHeight="1">
      <c r="A307" s="24">
        <f>HYPERLINK("#'Kiểm thử'!A"&amp;(MATCH("TC-RS-UI-009 / Base",'Kiểm thử'!$A$5:$A$573,0)+4),"TC-RS-UI-009 / Base")</f>
        <v/>
      </c>
      <c r="B307" s="18" t="inlineStr">
        <is>
          <t>Màn hình / chức năng</t>
        </is>
      </c>
      <c r="C307" s="18" t="inlineStr">
        <is>
          <t>Điều kiện áp dụng — Điều kiện áp dụng（適用条件）
Khối điều kiện Trung bình（平均点） và nguồn tham chiếu, không có ô chọn "kết quả tổng hợp dùng để tham chiếu"</t>
        </is>
      </c>
    </row>
    <row r="308" ht="299" customHeight="1">
      <c r="A308" s="24">
        <f>HYPERLINK("#'Kiểm thử'!A"&amp;(MATCH("TC-RS-UI-009 / Base",'Kiểm thử'!$A$5:$A$573,0)+4),"TC-RS-UI-009 / Base")</f>
        <v/>
      </c>
      <c r="B308" s="18" t="inlineStr">
        <is>
          <t>Điều kiện / thao tác</t>
        </is>
      </c>
      <c r="C308" s="18" t="inlineStr">
        <is>
          <t>Cấu hình: Màn Điều kiện áp dụng, Giới hạn bằng bộ lọc.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Toàn bộ thủ tục theo đúng thứ tự; các đối chứng cùng fixture được kiểm trong cùng lượt, không bỏ bước
Thao tác: Thêm điều kiện Trung bình（平均点）, xem các ô.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09" ht="129" customHeight="1">
      <c r="A309" s="24">
        <f>HYPERLINK("#'Kiểm thử'!A"&amp;(MATCH("TC-RS-UI-009 / Base",'Kiểm thử'!$A$5:$A$573,0)+4),"TC-RS-UI-009 / Base")</f>
        <v/>
      </c>
      <c r="B309" s="18" t="inlineStr">
        <is>
          <t>Điều kiện / thao tác</t>
        </is>
      </c>
      <c r="C30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10" ht="112" customHeight="1">
      <c r="A310" s="24">
        <f>HYPERLINK("#'Kiểm thử'!A"&amp;(MATCH("TC-RS-UI-009 / Base",'Kiểm thử'!$A$5:$A$573,0)+4),"TC-RS-UI-009 / Base")</f>
        <v/>
      </c>
      <c r="B310" s="18" t="inlineStr">
        <is>
          <t>Kết quả mong đợi</t>
        </is>
      </c>
      <c r="C310" s="18" t="inlineStr">
        <is>
          <t>CONFIRMED: có ba ô nguồn (thời kỳ, thiết lập tổng hợp thứ hạng, nhóm tham chiếu); **không** có ô chọn kết quả tổng hợp cụ thể/bản chốt.
PROPOSED: câu mục tham chiếu, bố cục ô mốc + đơn vị 点 (điểm) + dấu.
Bảo toàn: Giữ điểm, cấu hình và đối tượng không đích theo expected; chỉ thay phần thủ tục yêu cầu, không tự đổi oracle hoặc mở rộng phạm vi.</t>
        </is>
      </c>
    </row>
    <row r="311" ht="299" customHeight="1">
      <c r="A311" s="24">
        <f>HYPERLINK("#'Kiểm thử'!A"&amp;(MATCH("TC-RS-UI-010 / Base",'Kiểm thử'!$A$5:$A$573,0)+4),"TC-RS-UI-010 / Base")</f>
        <v/>
      </c>
      <c r="B311" s="18" t="inlineStr">
        <is>
          <t>Điều kiện / thao tác</t>
        </is>
      </c>
      <c r="C311" s="18" t="inlineStr">
        <is>
          <t>Cấu hình: Màn Điều kiện áp dụng.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Toàn bộ thủ tục theo đúng thứ tự; các đối chứng cùng fixture được kiểm trong cùng lượt, không bỏ bước
Thao tác: Thêm điều kiện Tỷ lệ điểm của nhóm（集団の得点率）.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12" ht="129" customHeight="1">
      <c r="A312" s="24">
        <f>HYPERLINK("#'Kiểm thử'!A"&amp;(MATCH("TC-RS-UI-010 / Base",'Kiểm thử'!$A$5:$A$573,0)+4),"TC-RS-UI-010 / Base")</f>
        <v/>
      </c>
      <c r="B312" s="18" t="inlineStr">
        <is>
          <t>Điều kiện / thao tác</t>
        </is>
      </c>
      <c r="C312"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13" ht="299" customHeight="1">
      <c r="A313" s="24">
        <f>HYPERLINK("#'Kiểm thử'!A"&amp;(MATCH("TC-RS-FUNC-011 / fixed",'Kiểm thử'!$A$5:$A$573,0)+4),"TC-RS-FUNC-011 / fixed")</f>
        <v/>
      </c>
      <c r="B313" s="18" t="inlineStr">
        <is>
          <t>Điều kiện / thao tác</t>
        </is>
      </c>
      <c r="C313" s="18" t="inlineStr">
        <is>
          <t>Cấu hình: Mở Ngưỡng của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Chọn cố định
Thao tác: 1. Chọn Điểm cố định（固定点数）.
2. Chọn Tỷ lệ điểm tối đa（得点率）.
3. Chọn Công thức（計算式）.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14" ht="129" customHeight="1">
      <c r="A314" s="24">
        <f>HYPERLINK("#'Kiểm thử'!A"&amp;(MATCH("TC-RS-FUNC-011 / fixed",'Kiểm thử'!$A$5:$A$573,0)+4),"TC-RS-FUNC-011 / fixed")</f>
        <v/>
      </c>
      <c r="B314" s="18" t="inlineStr">
        <is>
          <t>Điều kiện / thao tác</t>
        </is>
      </c>
      <c r="C314"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15" ht="95" customHeight="1">
      <c r="A315" s="24">
        <f>HYPERLINK("#'Kiểm thử'!A"&amp;(MATCH("TC-RS-FUNC-011 / fixed",'Kiểm thử'!$A$5:$A$573,0)+4),"TC-RS-FUNC-011 / fixed")</f>
        <v/>
      </c>
      <c r="B315" s="18" t="inlineStr">
        <is>
          <t>Kết quả mong đợi</t>
        </is>
      </c>
      <c r="C315" s="18" t="inlineStr">
        <is>
          <t>1. Cố định: có ô ngưỡng và dấu so sánh; không có vùng nguồn trung bình, không có xử lý phần lẻ.
2. Tỷ lệ: có ô %, xử lý phần lẻ, dấu so sánh; không có vùng nguồn trung bình.
3. Công thức: có vùng nguồn trung bình, bảng dòng công thức, dấu so sánh.
Bảo toàn: Giữ điểm, cấu hình và đối tượng không đích theo expected; chỉ thay phần thủ tục yêu cầu, không tự đổi oracle hoặc mở rộng phạm vi.</t>
        </is>
      </c>
    </row>
    <row r="316" ht="299" customHeight="1">
      <c r="A316" s="24">
        <f>HYPERLINK("#'Kiểm thử'!A"&amp;(MATCH("TC-RS-FUNC-011 / ratio",'Kiểm thử'!$A$5:$A$573,0)+4),"TC-RS-FUNC-011 / ratio")</f>
        <v/>
      </c>
      <c r="B316" s="18" t="inlineStr">
        <is>
          <t>Điều kiện / thao tác</t>
        </is>
      </c>
      <c r="C316" s="18" t="inlineStr">
        <is>
          <t>Cấu hình: Mở Ngưỡng của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Chọn tỷ lệ
Thao tác: 1. Chọn Điểm cố định（固定点数）.
2. Chọn Tỷ lệ điểm tối đa（得点率）.
3. Chọn Công thức（計算式）.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17" ht="129" customHeight="1">
      <c r="A317" s="24">
        <f>HYPERLINK("#'Kiểm thử'!A"&amp;(MATCH("TC-RS-FUNC-011 / ratio",'Kiểm thử'!$A$5:$A$573,0)+4),"TC-RS-FUNC-011 / ratio")</f>
        <v/>
      </c>
      <c r="B317" s="18" t="inlineStr">
        <is>
          <t>Điều kiện / thao tác</t>
        </is>
      </c>
      <c r="C317"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18" ht="95" customHeight="1">
      <c r="A318" s="24">
        <f>HYPERLINK("#'Kiểm thử'!A"&amp;(MATCH("TC-RS-FUNC-011 / ratio",'Kiểm thử'!$A$5:$A$573,0)+4),"TC-RS-FUNC-011 / ratio")</f>
        <v/>
      </c>
      <c r="B318" s="18" t="inlineStr">
        <is>
          <t>Kết quả mong đợi</t>
        </is>
      </c>
      <c r="C318" s="18" t="inlineStr">
        <is>
          <t>1. Cố định: có ô ngưỡng và dấu so sánh; không có vùng nguồn trung bình, không có xử lý phần lẻ.
2. Tỷ lệ: có ô %, xử lý phần lẻ, dấu so sánh; không có vùng nguồn trung bình.
3. Công thức: có vùng nguồn trung bình, bảng dòng công thức, dấu so sánh.
Bảo toàn: Giữ điểm, cấu hình và đối tượng không đích theo expected; chỉ thay phần thủ tục yêu cầu, không tự đổi oracle hoặc mở rộng phạm vi.</t>
        </is>
      </c>
    </row>
    <row r="319" ht="299" customHeight="1">
      <c r="A319" s="24">
        <f>HYPERLINK("#'Kiểm thử'!A"&amp;(MATCH("TC-RS-FUNC-011 / formula",'Kiểm thử'!$A$5:$A$573,0)+4),"TC-RS-FUNC-011 / formula")</f>
        <v/>
      </c>
      <c r="B319" s="18" t="inlineStr">
        <is>
          <t>Điều kiện / thao tác</t>
        </is>
      </c>
      <c r="C319" s="18" t="inlineStr">
        <is>
          <t>Cấu hình: Mở Ngưỡng của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Chọn công thức
Thao tác: 1. Chọn Điểm cố định（固定点数）.
2. Chọn Tỷ lệ điểm tối đa（得点率）.
3. Chọn Công thức（計算式）.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20" ht="129" customHeight="1">
      <c r="A320" s="24">
        <f>HYPERLINK("#'Kiểm thử'!A"&amp;(MATCH("TC-RS-FUNC-011 / formula",'Kiểm thử'!$A$5:$A$573,0)+4),"TC-RS-FUNC-011 / formula")</f>
        <v/>
      </c>
      <c r="B320" s="18" t="inlineStr">
        <is>
          <t>Điều kiện / thao tác</t>
        </is>
      </c>
      <c r="C320"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21" ht="95" customHeight="1">
      <c r="A321" s="24">
        <f>HYPERLINK("#'Kiểm thử'!A"&amp;(MATCH("TC-RS-FUNC-011 / formula",'Kiểm thử'!$A$5:$A$573,0)+4),"TC-RS-FUNC-011 / formula")</f>
        <v/>
      </c>
      <c r="B321" s="18" t="inlineStr">
        <is>
          <t>Kết quả mong đợi</t>
        </is>
      </c>
      <c r="C321" s="18" t="inlineStr">
        <is>
          <t>1. Cố định: có ô ngưỡng và dấu so sánh; không có vùng nguồn trung bình, không có xử lý phần lẻ.
2. Tỷ lệ: có ô %, xử lý phần lẻ, dấu so sánh; không có vùng nguồn trung bình.
3. Công thức: có vùng nguồn trung bình, bảng dòng công thức, dấu so sánh.
Bảo toàn: Giữ điểm, cấu hình và đối tượng không đích theo expected; chỉ thay phần thủ tục yêu cầu, không tự đổi oracle hoặc mở rộng phạm vi.</t>
        </is>
      </c>
    </row>
    <row r="322" ht="44" customHeight="1">
      <c r="A322" s="24">
        <f>HYPERLINK("#'Kiểm thử'!A"&amp;(MATCH("TC-RS-FUNC-013 / lt",'Kiểm thử'!$A$5:$A$573,0)+4),"TC-RS-FUNC-013 / lt")</f>
        <v/>
      </c>
      <c r="B322" s="18" t="inlineStr">
        <is>
          <t>Màn hình / chức năng</t>
        </is>
      </c>
      <c r="C322" s="18" t="inlineStr">
        <is>
          <t>Ngưỡng điểm cố định — Thiết lập ngưỡng（基準設定）
Dấu so sánh Nhỏ hơn（未満）/Nhỏ hơn hoặc bằng（以下） được lưu và hiển thị</t>
        </is>
      </c>
    </row>
    <row r="323" ht="299" customHeight="1">
      <c r="A323" s="24">
        <f>HYPERLINK("#'Kiểm thử'!A"&amp;(MATCH("TC-RS-FUNC-013 / lt",'Kiểm thử'!$A$5:$A$573,0)+4),"TC-RS-FUNC-013 / lt")</f>
        <v/>
      </c>
      <c r="B323" s="18" t="inlineStr">
        <is>
          <t>Điều kiện / thao tác</t>
        </is>
      </c>
      <c r="C323" s="18" t="inlineStr">
        <is>
          <t>Cấu hình: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quy tắc cố định 30 với Nhỏ hơn hoặc bằng（以下）
Dấu nhỏ hơn
Thao tác: 1. Đổi dấu của quy tắc “Cố định 30” (dưới 30) sang Nhỏ hơn hoặc bằng（以下）, lưu, mở lại.
2. Đổi lại Nhỏ hơn（未満）,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24" ht="129" customHeight="1">
      <c r="A324" s="24">
        <f>HYPERLINK("#'Kiểm thử'!A"&amp;(MATCH("TC-RS-FUNC-013 / lt",'Kiểm thử'!$A$5:$A$573,0)+4),"TC-RS-FUNC-013 / lt")</f>
        <v/>
      </c>
      <c r="B324" s="18" t="inlineStr">
        <is>
          <t>Điều kiện / thao tác</t>
        </is>
      </c>
      <c r="C324"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25" ht="44" customHeight="1">
      <c r="A325" s="24">
        <f>HYPERLINK("#'Kiểm thử'!A"&amp;(MATCH("TC-RS-FUNC-013 / le",'Kiểm thử'!$A$5:$A$573,0)+4),"TC-RS-FUNC-013 / le")</f>
        <v/>
      </c>
      <c r="B325" s="18" t="inlineStr">
        <is>
          <t>Màn hình / chức năng</t>
        </is>
      </c>
      <c r="C325" s="18" t="inlineStr">
        <is>
          <t>Ngưỡng điểm cố định — Thiết lập ngưỡng（基準設定）
Dấu so sánh Nhỏ hơn（未満）/Nhỏ hơn hoặc bằng（以下） được lưu và hiển thị</t>
        </is>
      </c>
    </row>
    <row r="326" ht="299" customHeight="1">
      <c r="A326" s="24">
        <f>HYPERLINK("#'Kiểm thử'!A"&amp;(MATCH("TC-RS-FUNC-013 / le",'Kiểm thử'!$A$5:$A$573,0)+4),"TC-RS-FUNC-013 / le")</f>
        <v/>
      </c>
      <c r="B326" s="18" t="inlineStr">
        <is>
          <t>Điều kiện / thao tác</t>
        </is>
      </c>
      <c r="C326" s="18" t="inlineStr">
        <is>
          <t>Cấu hình: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quy tắc cố định 30 với Nhỏ hơn hoặc bằng（以下）
Dấu nhỏ hơn hoặc bằng
Thao tác: 1. Đổi dấu của quy tắc “Cố định 30” (dưới 30) sang Nhỏ hơn hoặc bằng（以下）, lưu, mở lại.
2. Đổi lại Nhỏ hơn（未満）,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27" ht="129" customHeight="1">
      <c r="A327" s="24">
        <f>HYPERLINK("#'Kiểm thử'!A"&amp;(MATCH("TC-RS-FUNC-013 / le",'Kiểm thử'!$A$5:$A$573,0)+4),"TC-RS-FUNC-013 / le")</f>
        <v/>
      </c>
      <c r="B327" s="18" t="inlineStr">
        <is>
          <t>Điều kiện / thao tác</t>
        </is>
      </c>
      <c r="C327"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28" ht="299" customHeight="1">
      <c r="A328" s="24">
        <f>HYPERLINK("#'Kiểm thử'!A"&amp;(MATCH("TC-RS-VAL-001 / negative",'Kiểm thử'!$A$5:$A$573,0)+4),"TC-RS-VAL-001 / negative")</f>
        <v/>
      </c>
      <c r="B328" s="18" t="inlineStr">
        <is>
          <t>Điều kiện / thao tác</t>
        </is>
      </c>
      <c r="C328" s="18" t="inlineStr">
        <is>
          <t>Cấu hình: mục số nguyên (M=100) (M=100 cho mọi đối tượng), Toàn bộ đối tượng.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N=-1
Thao tác: Lần lượt nhập Điểm cố định（固定点数）= −1, 0, 100, 101 và bấm Cập nhật（更新する）.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29" ht="112" customHeight="1">
      <c r="A329" s="24">
        <f>HYPERLINK("#'Kiểm thử'!A"&amp;(MATCH("TC-RS-VAL-001 / negative",'Kiểm thử'!$A$5:$A$573,0)+4),"TC-RS-VAL-001 / negative")</f>
        <v/>
      </c>
      <c r="B329" s="18" t="inlineStr">
        <is>
          <t>Điều kiện / thao tác</t>
        </is>
      </c>
      <c r="C329"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30" ht="299" customHeight="1">
      <c r="A330" s="24">
        <f>HYPERLINK("#'Kiểm thử'!A"&amp;(MATCH("TC-RS-VAL-001 / zero",'Kiểm thử'!$A$5:$A$573,0)+4),"TC-RS-VAL-001 / zero")</f>
        <v/>
      </c>
      <c r="B330" s="18" t="inlineStr">
        <is>
          <t>Điều kiện / thao tác</t>
        </is>
      </c>
      <c r="C330" s="18" t="inlineStr">
        <is>
          <t>Cấu hình: mục số nguyên (M=100) (M=100 cho mọi đối tượng), Toàn bộ đối tượng.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N=0
Thao tác: Lần lượt nhập Điểm cố định（固定点数）= −1, 0, 100, 101 và bấm Cập nhật（更新する）.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31" ht="112" customHeight="1">
      <c r="A331" s="24">
        <f>HYPERLINK("#'Kiểm thử'!A"&amp;(MATCH("TC-RS-VAL-001 / zero",'Kiểm thử'!$A$5:$A$573,0)+4),"TC-RS-VAL-001 / zero")</f>
        <v/>
      </c>
      <c r="B331" s="18" t="inlineStr">
        <is>
          <t>Điều kiện / thao tác</t>
        </is>
      </c>
      <c r="C331"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32" ht="299" customHeight="1">
      <c r="A332" s="24">
        <f>HYPERLINK("#'Kiểm thử'!A"&amp;(MATCH("TC-RS-VAL-001 / maximum",'Kiểm thử'!$A$5:$A$573,0)+4),"TC-RS-VAL-001 / maximum")</f>
        <v/>
      </c>
      <c r="B332" s="18" t="inlineStr">
        <is>
          <t>Điều kiện / thao tác</t>
        </is>
      </c>
      <c r="C332" s="18" t="inlineStr">
        <is>
          <t>Cấu hình: mục số nguyên (M=100) (M=100 cho mọi đối tượng), Toàn bộ đối tượng.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N=100
Thao tác: Lần lượt nhập Điểm cố định（固定点数）= −1, 0, 100, 101 và bấm Cập nhật（更新する）.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33" ht="112" customHeight="1">
      <c r="A333" s="24">
        <f>HYPERLINK("#'Kiểm thử'!A"&amp;(MATCH("TC-RS-VAL-001 / maximum",'Kiểm thử'!$A$5:$A$573,0)+4),"TC-RS-VAL-001 / maximum")</f>
        <v/>
      </c>
      <c r="B333" s="18" t="inlineStr">
        <is>
          <t>Điều kiện / thao tác</t>
        </is>
      </c>
      <c r="C333"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34" ht="299" customHeight="1">
      <c r="A334" s="24">
        <f>HYPERLINK("#'Kiểm thử'!A"&amp;(MATCH("TC-RS-VAL-001 / above",'Kiểm thử'!$A$5:$A$573,0)+4),"TC-RS-VAL-001 / above")</f>
        <v/>
      </c>
      <c r="B334" s="18" t="inlineStr">
        <is>
          <t>Điều kiện / thao tác</t>
        </is>
      </c>
      <c r="C334" s="18" t="inlineStr">
        <is>
          <t>Cấu hình: mục số nguyên (M=100) (M=100 cho mọi đối tượng), Toàn bộ đối tượng.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N=101
Thao tác: Lần lượt nhập Điểm cố định（固定点数）= −1, 0, 100, 101 và bấm Cập nhật（更新する）.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35" ht="112" customHeight="1">
      <c r="A335" s="24">
        <f>HYPERLINK("#'Kiểm thử'!A"&amp;(MATCH("TC-RS-VAL-001 / above",'Kiểm thử'!$A$5:$A$573,0)+4),"TC-RS-VAL-001 / above")</f>
        <v/>
      </c>
      <c r="B335" s="18" t="inlineStr">
        <is>
          <t>Điều kiện / thao tác</t>
        </is>
      </c>
      <c r="C335"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36" ht="299" customHeight="1">
      <c r="A336" s="24">
        <f>HYPERLINK("#'Kiểm thử'!A"&amp;(MATCH("TC-RS-VAL-002 / all30",'Kiểm thử'!$A$5:$A$573,0)+4),"TC-RS-VAL-002 / all30")</f>
        <v/>
      </c>
      <c r="B336" s="18" t="inlineStr">
        <is>
          <t>Điều kiện / thao tác</t>
        </is>
      </c>
      <c r="C336" s="18" t="inlineStr">
        <is>
          <t>Cấu hình: mục có M khác nhau theo lớp (G-A M=20, G-B M=100) (G-A M=20, G-B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khác nhau theo lớp (G-A M=20, G-B M=100); N = 30, 20
Toàn bộ N=30
Thao tác: 1. Toàn bộ đối tượng, N=30, Lưu.
2. Toàn bộ đối tượng, N=20, Lưu.
3. Lọc chỉ lớp G-B, N=30,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37" ht="129" customHeight="1">
      <c r="A337" s="24">
        <f>HYPERLINK("#'Kiểm thử'!A"&amp;(MATCH("TC-RS-VAL-002 / all30",'Kiểm thử'!$A$5:$A$573,0)+4),"TC-RS-VAL-002 / all30")</f>
        <v/>
      </c>
      <c r="B337" s="18" t="inlineStr">
        <is>
          <t>Điều kiện / thao tác</t>
        </is>
      </c>
      <c r="C337"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38" ht="299" customHeight="1">
      <c r="A338" s="24">
        <f>HYPERLINK("#'Kiểm thử'!A"&amp;(MATCH("TC-RS-VAL-002 / all20",'Kiểm thử'!$A$5:$A$573,0)+4),"TC-RS-VAL-002 / all20")</f>
        <v/>
      </c>
      <c r="B338" s="18" t="inlineStr">
        <is>
          <t>Điều kiện / thao tác</t>
        </is>
      </c>
      <c r="C338" s="18" t="inlineStr">
        <is>
          <t>Cấu hình: mục có M khác nhau theo lớp (G-A M=20, G-B M=100) (G-A M=20, G-B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khác nhau theo lớp (G-A M=20, G-B M=100); N = 30, 20
Toàn bộ N=20
Thao tác: 1. Toàn bộ đối tượng, N=30, Lưu.
2. Toàn bộ đối tượng, N=20, Lưu.
3. Lọc chỉ lớp G-B, N=30,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39" ht="129" customHeight="1">
      <c r="A339" s="24">
        <f>HYPERLINK("#'Kiểm thử'!A"&amp;(MATCH("TC-RS-VAL-002 / all20",'Kiểm thử'!$A$5:$A$573,0)+4),"TC-RS-VAL-002 / all20")</f>
        <v/>
      </c>
      <c r="B339" s="18" t="inlineStr">
        <is>
          <t>Điều kiện / thao tác</t>
        </is>
      </c>
      <c r="C339"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40" ht="299" customHeight="1">
      <c r="A340" s="24">
        <f>HYPERLINK("#'Kiểm thử'!A"&amp;(MATCH("TC-RS-VAL-002 / gb30",'Kiểm thử'!$A$5:$A$573,0)+4),"TC-RS-VAL-002 / gb30")</f>
        <v/>
      </c>
      <c r="B340" s="18" t="inlineStr">
        <is>
          <t>Điều kiện / thao tác</t>
        </is>
      </c>
      <c r="C340" s="18" t="inlineStr">
        <is>
          <t>Cấu hình: mục có M khác nhau theo lớp (G-A M=20, G-B M=100) (G-A M=20, G-B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khác nhau theo lớp (G-A M=20, G-B M=100); N = 30, 20
Chỉ G-B N=30
Thao tác: 1. Toàn bộ đối tượng, N=30, Lưu.
2. Toàn bộ đối tượng, N=20, Lưu.
3. Lọc chỉ lớp G-B, N=30,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41" ht="129" customHeight="1">
      <c r="A341" s="24">
        <f>HYPERLINK("#'Kiểm thử'!A"&amp;(MATCH("TC-RS-VAL-002 / gb30",'Kiểm thử'!$A$5:$A$573,0)+4),"TC-RS-VAL-002 / gb30")</f>
        <v/>
      </c>
      <c r="B341" s="18" t="inlineStr">
        <is>
          <t>Điều kiện / thao tác</t>
        </is>
      </c>
      <c r="C341"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42" ht="44" customHeight="1">
      <c r="A342" s="24">
        <f>HYPERLINK("#'Kiểm thử'!A"&amp;(MATCH("TC-RS-VAL-003 / Base",'Kiểm thử'!$A$5:$A$573,0)+4),"TC-RS-VAL-003 / Base")</f>
        <v/>
      </c>
      <c r="B342" s="18" t="inlineStr">
        <is>
          <t>Màn hình / chức năng</t>
        </is>
      </c>
      <c r="C342" s="18" t="inlineStr">
        <is>
          <t>Ngưỡng điểm cố định — Thiết lập ngưỡng（基準設定）
Mở rộng phạm vi sau khi lưu: kiểm lại ngưỡng cố định với M của đối tượng mới</t>
        </is>
      </c>
    </row>
    <row r="343" ht="299" customHeight="1">
      <c r="A343" s="24">
        <f>HYPERLINK("#'Kiểm thử'!A"&amp;(MATCH("TC-RS-VAL-003 / Base",'Kiểm thử'!$A$5:$A$573,0)+4),"TC-RS-VAL-003 / Base")</f>
        <v/>
      </c>
      <c r="B343" s="18" t="inlineStr">
        <is>
          <t>Điều kiện / thao tác</t>
        </is>
      </c>
      <c r="C343" s="18" t="inlineStr">
        <is>
          <t>Cấu hình: mục có M khác nhau theo lớp (G-A M=20, G-B M=100); quy tắc lọc chỉ G-B, cố định 30 đã lưu.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khác nhau theo lớp (G-A M=20, G-B M=100)
Toàn bộ thủ tục theo đúng thứ tự; các đối chứng cùng fixture được kiểm trong cùng lượt, không bỏ bước
Thao tác: Sửa bộ lọc thành G-A hoặc G-B (giữ N=30),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344" ht="129" customHeight="1">
      <c r="A344" s="24">
        <f>HYPERLINK("#'Kiểm thử'!A"&amp;(MATCH("TC-RS-VAL-003 / Base",'Kiểm thử'!$A$5:$A$573,0)+4),"TC-RS-VAL-003 / Base")</f>
        <v/>
      </c>
      <c r="B344" s="18" t="inlineStr">
        <is>
          <t>Điều kiện / thao tác</t>
        </is>
      </c>
      <c r="C344"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45" ht="299" customHeight="1">
      <c r="A345" s="24">
        <f>HYPERLINK("#'Kiểm thử'!A"&amp;(MATCH("TC-RS-VAL-004 / fixed-empty",'Kiểm thử'!$A$5:$A$573,0)+4),"TC-RS-VAL-004 / fixed-empty")</f>
        <v/>
      </c>
      <c r="B345" s="18" t="inlineStr">
        <is>
          <t>Điều kiện / thao tác</t>
        </is>
      </c>
      <c r="C345" s="18" t="inlineStr">
        <is>
          <t>Cấu hình: Màn 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Giá trị: trống, `abc`, `3O` (chữ O), `３０` (số toàn khổ)
Cố định với trống
Thao tác: Với loại Điểm cố định（固定点数） rồi Tỷ lệ điểm tối đa（得点率）: nhập từng giá trị,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46" ht="129" customHeight="1">
      <c r="A346" s="24">
        <f>HYPERLINK("#'Kiểm thử'!A"&amp;(MATCH("TC-RS-VAL-004 / fixed-empty",'Kiểm thử'!$A$5:$A$573,0)+4),"TC-RS-VAL-004 / fixed-empty")</f>
        <v/>
      </c>
      <c r="B346" s="18" t="inlineStr">
        <is>
          <t>Điều kiện / thao tác</t>
        </is>
      </c>
      <c r="C346"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47" ht="299" customHeight="1">
      <c r="A347" s="24">
        <f>HYPERLINK("#'Kiểm thử'!A"&amp;(MATCH("TC-RS-VAL-004 / fixed-abc",'Kiểm thử'!$A$5:$A$573,0)+4),"TC-RS-VAL-004 / fixed-abc")</f>
        <v/>
      </c>
      <c r="B347" s="18" t="inlineStr">
        <is>
          <t>Điều kiện / thao tác</t>
        </is>
      </c>
      <c r="C347" s="18" t="inlineStr">
        <is>
          <t>Cấu hình: Màn 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Giá trị: trống, `abc`, `3O` (chữ O), `３０` (số toàn khổ)
Cố định với abc
Thao tác: Với loại Điểm cố định（固定点数） rồi Tỷ lệ điểm tối đa（得点率）: nhập từng giá trị,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48" ht="129" customHeight="1">
      <c r="A348" s="24">
        <f>HYPERLINK("#'Kiểm thử'!A"&amp;(MATCH("TC-RS-VAL-004 / fixed-abc",'Kiểm thử'!$A$5:$A$573,0)+4),"TC-RS-VAL-004 / fixed-abc")</f>
        <v/>
      </c>
      <c r="B348" s="18" t="inlineStr">
        <is>
          <t>Điều kiện / thao tác</t>
        </is>
      </c>
      <c r="C348"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49" ht="299" customHeight="1">
      <c r="A349" s="24">
        <f>HYPERLINK("#'Kiểm thử'!A"&amp;(MATCH("TC-RS-VAL-004 / fixed-3O",'Kiểm thử'!$A$5:$A$573,0)+4),"TC-RS-VAL-004 / fixed-3O")</f>
        <v/>
      </c>
      <c r="B349" s="18" t="inlineStr">
        <is>
          <t>Điều kiện / thao tác</t>
        </is>
      </c>
      <c r="C349" s="18" t="inlineStr">
        <is>
          <t>Cấu hình: Màn 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Giá trị: trống, `abc`, `3O` (chữ O), `３０` (số toàn khổ)
Cố định với 3O
Thao tác: Với loại Điểm cố định（固定点数） rồi Tỷ lệ điểm tối đa（得点率）: nhập từng giá trị,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50" ht="129" customHeight="1">
      <c r="A350" s="24">
        <f>HYPERLINK("#'Kiểm thử'!A"&amp;(MATCH("TC-RS-VAL-004 / fixed-3O",'Kiểm thử'!$A$5:$A$573,0)+4),"TC-RS-VAL-004 / fixed-3O")</f>
        <v/>
      </c>
      <c r="B350" s="18" t="inlineStr">
        <is>
          <t>Điều kiện / thao tác</t>
        </is>
      </c>
      <c r="C350"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51" ht="299" customHeight="1">
      <c r="A351" s="24">
        <f>HYPERLINK("#'Kiểm thử'!A"&amp;(MATCH("TC-RS-VAL-004 / fixed-fullwidth",'Kiểm thử'!$A$5:$A$573,0)+4),"TC-RS-VAL-004 / fixed-fullwidth")</f>
        <v/>
      </c>
      <c r="B351" s="18" t="inlineStr">
        <is>
          <t>Điều kiện / thao tác</t>
        </is>
      </c>
      <c r="C351" s="18" t="inlineStr">
        <is>
          <t>Cấu hình: Màn 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Giá trị: trống, `abc`, `3O` (chữ O), `３０` (số toàn khổ)
Cố định với chữ số toàn chiều rộng, phần TBD giữ BLOCKED
Thao tác: Với loại Điểm cố định（固定点数） rồi Tỷ lệ điểm tối đa（得点率）: nhập từng giá trị,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52" ht="129" customHeight="1">
      <c r="A352" s="24">
        <f>HYPERLINK("#'Kiểm thử'!A"&amp;(MATCH("TC-RS-VAL-004 / fixed-fullwidth",'Kiểm thử'!$A$5:$A$573,0)+4),"TC-RS-VAL-004 / fixed-fullwidth")</f>
        <v/>
      </c>
      <c r="B352" s="18" t="inlineStr">
        <is>
          <t>Điều kiện / thao tác</t>
        </is>
      </c>
      <c r="C352"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53" ht="299" customHeight="1">
      <c r="A353" s="24">
        <f>HYPERLINK("#'Kiểm thử'!A"&amp;(MATCH("TC-RS-VAL-004 / ratio-empty",'Kiểm thử'!$A$5:$A$573,0)+4),"TC-RS-VAL-004 / ratio-empty")</f>
        <v/>
      </c>
      <c r="B353" s="18" t="inlineStr">
        <is>
          <t>Điều kiện / thao tác</t>
        </is>
      </c>
      <c r="C353" s="18" t="inlineStr">
        <is>
          <t>Cấu hình: Màn 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Giá trị: trống, `abc`, `3O` (chữ O), `３０` (số toàn khổ)
Tỷ lệ với trống
Thao tác: Với loại Điểm cố định（固定点数） rồi Tỷ lệ điểm tối đa（得点率）: nhập từng giá trị,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54" ht="129" customHeight="1">
      <c r="A354" s="24">
        <f>HYPERLINK("#'Kiểm thử'!A"&amp;(MATCH("TC-RS-VAL-004 / ratio-empty",'Kiểm thử'!$A$5:$A$573,0)+4),"TC-RS-VAL-004 / ratio-empty")</f>
        <v/>
      </c>
      <c r="B354" s="18" t="inlineStr">
        <is>
          <t>Điều kiện / thao tác</t>
        </is>
      </c>
      <c r="C354"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55" ht="299" customHeight="1">
      <c r="A355" s="24">
        <f>HYPERLINK("#'Kiểm thử'!A"&amp;(MATCH("TC-RS-VAL-004 / ratio-abc",'Kiểm thử'!$A$5:$A$573,0)+4),"TC-RS-VAL-004 / ratio-abc")</f>
        <v/>
      </c>
      <c r="B355" s="18" t="inlineStr">
        <is>
          <t>Điều kiện / thao tác</t>
        </is>
      </c>
      <c r="C355" s="18" t="inlineStr">
        <is>
          <t>Cấu hình: Màn 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Giá trị: trống, `abc`, `3O` (chữ O), `３０` (số toàn khổ)
Tỷ lệ với abc
Thao tác: Với loại Điểm cố định（固定点数） rồi Tỷ lệ điểm tối đa（得点率）: nhập từng giá trị,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56" ht="129" customHeight="1">
      <c r="A356" s="24">
        <f>HYPERLINK("#'Kiểm thử'!A"&amp;(MATCH("TC-RS-VAL-004 / ratio-abc",'Kiểm thử'!$A$5:$A$573,0)+4),"TC-RS-VAL-004 / ratio-abc")</f>
        <v/>
      </c>
      <c r="B356" s="18" t="inlineStr">
        <is>
          <t>Điều kiện / thao tác</t>
        </is>
      </c>
      <c r="C356"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57" ht="299" customHeight="1">
      <c r="A357" s="24">
        <f>HYPERLINK("#'Kiểm thử'!A"&amp;(MATCH("TC-RS-VAL-004 / ratio-3O",'Kiểm thử'!$A$5:$A$573,0)+4),"TC-RS-VAL-004 / ratio-3O")</f>
        <v/>
      </c>
      <c r="B357" s="18" t="inlineStr">
        <is>
          <t>Điều kiện / thao tác</t>
        </is>
      </c>
      <c r="C357" s="18" t="inlineStr">
        <is>
          <t>Cấu hình: Màn 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Giá trị: trống, `abc`, `3O` (chữ O), `３０` (số toàn khổ)
Tỷ lệ với 3O
Thao tác: Với loại Điểm cố định（固定点数） rồi Tỷ lệ điểm tối đa（得点率）: nhập từng giá trị,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58" ht="129" customHeight="1">
      <c r="A358" s="24">
        <f>HYPERLINK("#'Kiểm thử'!A"&amp;(MATCH("TC-RS-VAL-004 / ratio-3O",'Kiểm thử'!$A$5:$A$573,0)+4),"TC-RS-VAL-004 / ratio-3O")</f>
        <v/>
      </c>
      <c r="B358" s="18" t="inlineStr">
        <is>
          <t>Điều kiện / thao tác</t>
        </is>
      </c>
      <c r="C358"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59" ht="299" customHeight="1">
      <c r="A359" s="24">
        <f>HYPERLINK("#'Kiểm thử'!A"&amp;(MATCH("TC-RS-VAL-004 / ratio-fullwidth",'Kiểm thử'!$A$5:$A$573,0)+4),"TC-RS-VAL-004 / ratio-fullwidth")</f>
        <v/>
      </c>
      <c r="B359" s="18" t="inlineStr">
        <is>
          <t>Điều kiện / thao tác</t>
        </is>
      </c>
      <c r="C359" s="18" t="inlineStr">
        <is>
          <t>Cấu hình: Màn 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Giá trị: trống, `abc`, `3O` (chữ O), `３０` (số toàn khổ)
Tỷ lệ với chữ số toàn chiều rộng, phần TBD giữ BLOCKED
Thao tác: Với loại Điểm cố định（固定点数） rồi Tỷ lệ điểm tối đa（得点率）: nhập từng giá trị,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60" ht="129" customHeight="1">
      <c r="A360" s="24">
        <f>HYPERLINK("#'Kiểm thử'!A"&amp;(MATCH("TC-RS-VAL-004 / ratio-fullwidth",'Kiểm thử'!$A$5:$A$573,0)+4),"TC-RS-VAL-004 / ratio-fullwidth")</f>
        <v/>
      </c>
      <c r="B360" s="18" t="inlineStr">
        <is>
          <t>Điều kiện / thao tác</t>
        </is>
      </c>
      <c r="C360"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61" ht="299" customHeight="1">
      <c r="A361" s="24">
        <f>HYPERLINK("#'Kiểm thử'!A"&amp;(MATCH("TC-RS-VAL-005 / d1",'Kiểm thử'!$A$5:$A$573,0)+4),"TC-RS-VAL-005 / d1")</f>
        <v/>
      </c>
      <c r="B361" s="18" t="inlineStr">
        <is>
          <t>Điều kiện / thao tác</t>
        </is>
      </c>
      <c r="C361" s="18" t="inlineStr">
        <is>
          <t>Cấu hình: mục số thập phân (M=100) (thập phân).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N = 29.5, 29.55, 29.555, 29.5555
29.5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362" ht="112" customHeight="1">
      <c r="A362" s="24">
        <f>HYPERLINK("#'Kiểm thử'!A"&amp;(MATCH("TC-RS-VAL-005 / d1",'Kiểm thử'!$A$5:$A$573,0)+4),"TC-RS-VAL-005 / d1")</f>
        <v/>
      </c>
      <c r="B362" s="18" t="inlineStr">
        <is>
          <t>Điều kiện / thao tác</t>
        </is>
      </c>
      <c r="C362"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63" ht="95" customHeight="1">
      <c r="A363" s="24">
        <f>HYPERLINK("#'Kiểm thử'!A"&amp;(MATCH("TC-RS-VAL-005 / d1",'Kiểm thử'!$A$5:$A$573,0)+4),"TC-RS-VAL-005 / d1")</f>
        <v/>
      </c>
      <c r="B363" s="18" t="inlineStr">
        <is>
          <t>Kết quả mong đợi</t>
        </is>
      </c>
      <c r="C363" s="18" t="inlineStr">
        <is>
          <t>Đề xuất (thiết kế DB v2 mục 4.2 “Xử lý phần lẻ và miền lưu trữ”): 29.5, 29.55, 29.555 lưu và mở lại đúng; 29.5555 bị từ chối, không tự cắt/làm tròn. Tối thiểu (CONFIRMED, đặc tả v2 mục 6.8 “Yêu cầu độ chính xác”): không được âm thầm làm tròn/cắt giá trị mà không báo.
Bảo toàn: Giữ điểm, cấu hình và đối tượng không đích theo expected; chỉ thay phần thủ tục yêu cầu, không tự đổi oracle hoặc mở rộng phạm vi.</t>
        </is>
      </c>
    </row>
    <row r="364" ht="299" customHeight="1">
      <c r="A364" s="24">
        <f>HYPERLINK("#'Kiểm thử'!A"&amp;(MATCH("TC-RS-VAL-005 / d2",'Kiểm thử'!$A$5:$A$573,0)+4),"TC-RS-VAL-005 / d2")</f>
        <v/>
      </c>
      <c r="B364" s="18" t="inlineStr">
        <is>
          <t>Điều kiện / thao tác</t>
        </is>
      </c>
      <c r="C364" s="18" t="inlineStr">
        <is>
          <t>Cấu hình: mục số thập phân (M=100) (thập phân).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N = 29.5, 29.55, 29.555, 29.5555
29.55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365" ht="112" customHeight="1">
      <c r="A365" s="24">
        <f>HYPERLINK("#'Kiểm thử'!A"&amp;(MATCH("TC-RS-VAL-005 / d2",'Kiểm thử'!$A$5:$A$573,0)+4),"TC-RS-VAL-005 / d2")</f>
        <v/>
      </c>
      <c r="B365" s="18" t="inlineStr">
        <is>
          <t>Điều kiện / thao tác</t>
        </is>
      </c>
      <c r="C365"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66" ht="95" customHeight="1">
      <c r="A366" s="24">
        <f>HYPERLINK("#'Kiểm thử'!A"&amp;(MATCH("TC-RS-VAL-005 / d2",'Kiểm thử'!$A$5:$A$573,0)+4),"TC-RS-VAL-005 / d2")</f>
        <v/>
      </c>
      <c r="B366" s="18" t="inlineStr">
        <is>
          <t>Kết quả mong đợi</t>
        </is>
      </c>
      <c r="C366" s="18" t="inlineStr">
        <is>
          <t>Đề xuất (thiết kế DB v2 mục 4.2 “Xử lý phần lẻ và miền lưu trữ”): 29.5, 29.55, 29.555 lưu và mở lại đúng; 29.5555 bị từ chối, không tự cắt/làm tròn. Tối thiểu (CONFIRMED, đặc tả v2 mục 6.8 “Yêu cầu độ chính xác”): không được âm thầm làm tròn/cắt giá trị mà không báo.
Bảo toàn: Giữ điểm, cấu hình và đối tượng không đích theo expected; chỉ thay phần thủ tục yêu cầu, không tự đổi oracle hoặc mở rộng phạm vi.</t>
        </is>
      </c>
    </row>
    <row r="367" ht="299" customHeight="1">
      <c r="A367" s="24">
        <f>HYPERLINK("#'Kiểm thử'!A"&amp;(MATCH("TC-RS-VAL-005 / d3",'Kiểm thử'!$A$5:$A$573,0)+4),"TC-RS-VAL-005 / d3")</f>
        <v/>
      </c>
      <c r="B367" s="18" t="inlineStr">
        <is>
          <t>Điều kiện / thao tác</t>
        </is>
      </c>
      <c r="C367" s="18" t="inlineStr">
        <is>
          <t>Cấu hình: mục số thập phân (M=100) (thập phân).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N = 29.5, 29.55, 29.555, 29.5555
29.555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368" ht="112" customHeight="1">
      <c r="A368" s="24">
        <f>HYPERLINK("#'Kiểm thử'!A"&amp;(MATCH("TC-RS-VAL-005 / d3",'Kiểm thử'!$A$5:$A$573,0)+4),"TC-RS-VAL-005 / d3")</f>
        <v/>
      </c>
      <c r="B368" s="18" t="inlineStr">
        <is>
          <t>Điều kiện / thao tác</t>
        </is>
      </c>
      <c r="C36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69" ht="95" customHeight="1">
      <c r="A369" s="24">
        <f>HYPERLINK("#'Kiểm thử'!A"&amp;(MATCH("TC-RS-VAL-005 / d3",'Kiểm thử'!$A$5:$A$573,0)+4),"TC-RS-VAL-005 / d3")</f>
        <v/>
      </c>
      <c r="B369" s="18" t="inlineStr">
        <is>
          <t>Kết quả mong đợi</t>
        </is>
      </c>
      <c r="C369" s="18" t="inlineStr">
        <is>
          <t>Đề xuất (thiết kế DB v2 mục 4.2 “Xử lý phần lẻ và miền lưu trữ”): 29.5, 29.55, 29.555 lưu và mở lại đúng; 29.5555 bị từ chối, không tự cắt/làm tròn. Tối thiểu (CONFIRMED, đặc tả v2 mục 6.8 “Yêu cầu độ chính xác”): không được âm thầm làm tròn/cắt giá trị mà không báo.
Bảo toàn: Giữ điểm, cấu hình và đối tượng không đích theo expected; chỉ thay phần thủ tục yêu cầu, không tự đổi oracle hoặc mở rộng phạm vi.</t>
        </is>
      </c>
    </row>
    <row r="370" ht="299" customHeight="1">
      <c r="A370" s="24">
        <f>HYPERLINK("#'Kiểm thử'!A"&amp;(MATCH("TC-RS-VAL-005 / d4",'Kiểm thử'!$A$5:$A$573,0)+4),"TC-RS-VAL-005 / d4")</f>
        <v/>
      </c>
      <c r="B370" s="18" t="inlineStr">
        <is>
          <t>Điều kiện / thao tác</t>
        </is>
      </c>
      <c r="C370" s="18" t="inlineStr">
        <is>
          <t>Cấu hình: mục số thập phân (M=100) (thập phân).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N = 29.5, 29.55, 29.555, 29.5555
29.5555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371" ht="112" customHeight="1">
      <c r="A371" s="24">
        <f>HYPERLINK("#'Kiểm thử'!A"&amp;(MATCH("TC-RS-VAL-005 / d4",'Kiểm thử'!$A$5:$A$573,0)+4),"TC-RS-VAL-005 / d4")</f>
        <v/>
      </c>
      <c r="B371" s="18" t="inlineStr">
        <is>
          <t>Điều kiện / thao tác</t>
        </is>
      </c>
      <c r="C371"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72" ht="95" customHeight="1">
      <c r="A372" s="24">
        <f>HYPERLINK("#'Kiểm thử'!A"&amp;(MATCH("TC-RS-VAL-005 / d4",'Kiểm thử'!$A$5:$A$573,0)+4),"TC-RS-VAL-005 / d4")</f>
        <v/>
      </c>
      <c r="B372" s="18" t="inlineStr">
        <is>
          <t>Kết quả mong đợi</t>
        </is>
      </c>
      <c r="C372" s="18" t="inlineStr">
        <is>
          <t>Đề xuất (thiết kế DB v2 mục 4.2 “Xử lý phần lẻ và miền lưu trữ”): 29.5, 29.55, 29.555 lưu và mở lại đúng; 29.5555 bị từ chối, không tự cắt/làm tròn. Tối thiểu (CONFIRMED, đặc tả v2 mục 6.8 “Yêu cầu độ chính xác”): không được âm thầm làm tròn/cắt giá trị mà không báo.
Bảo toàn: Giữ điểm, cấu hình và đối tượng không đích theo expected; chỉ thay phần thủ tục yêu cầu, không tự đổi oracle hoặc mở rộng phạm vi.</t>
        </is>
      </c>
    </row>
    <row r="373" ht="299" customHeight="1">
      <c r="A373" s="24">
        <f>HYPERLINK("#'Kiểm thử'!A"&amp;(MATCH("TC-RS-CALC-001 / lt",'Kiểm thử'!$A$5:$A$573,0)+4),"TC-RS-CALC-001 / lt")</f>
        <v/>
      </c>
      <c r="B373" s="18" t="inlineStr">
        <is>
          <t>Điều kiện / thao tác</t>
        </is>
      </c>
      <c r="C373" s="18" t="inlineStr">
        <is>
          <t xml:space="preserve">Cấu hình: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quy tắc cố định 30 với Nhỏ hơn hoặc bằng（以下）, học sinh S01 (điểm 29), học sinh S02 (điểm 30), học sinh S03 (điểm 31)
Ngưỡng 30, dấu nhỏ hơn, cả ba điểm
Thao tác: 1. Chỉ có quy tắc “Cố định 30” (dưới 30) (`T=30`, `&lt;`): đăng ký S01=29, S02=30, S03=31.
2. Đổi thành quy tắc cố định 30 với Nhỏ hơn hoặc bằng（以下） (`≤`),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374" ht="146" customHeight="1">
      <c r="A374" s="24">
        <f>HYPERLINK("#'Kiểm thử'!A"&amp;(MATCH("TC-RS-CALC-001 / lt",'Kiểm thử'!$A$5:$A$573,0)+4),"TC-RS-CALC-001 / lt")</f>
        <v/>
      </c>
      <c r="B374" s="18" t="inlineStr">
        <is>
          <t>Điều kiện / thao tác</t>
        </is>
      </c>
      <c r="C374"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75" ht="299" customHeight="1">
      <c r="A375" s="24">
        <f>HYPERLINK("#'Kiểm thử'!A"&amp;(MATCH("TC-RS-CALC-001 / le",'Kiểm thử'!$A$5:$A$573,0)+4),"TC-RS-CALC-001 / le")</f>
        <v/>
      </c>
      <c r="B375" s="18" t="inlineStr">
        <is>
          <t>Điều kiện / thao tác</t>
        </is>
      </c>
      <c r="C375" s="18" t="inlineStr">
        <is>
          <t xml:space="preserve">Cấu hình: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quy tắc cố định 30 với Nhỏ hơn hoặc bằng（以下）, học sinh S01 (điểm 29), học sinh S02 (điểm 30), học sinh S03 (điểm 31)
Ngưỡng 30, dấu nhỏ hơn hoặc bằng, cả ba điểm
Thao tác: 1. Chỉ có quy tắc “Cố định 30” (dưới 30) (`T=30`, `&lt;`): đăng ký S01=29, S02=30, S03=31.
2. Đổi thành quy tắc cố định 30 với Nhỏ hơn hoặc bằng（以下） (`≤`),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376" ht="146" customHeight="1">
      <c r="A376" s="24">
        <f>HYPERLINK("#'Kiểm thử'!A"&amp;(MATCH("TC-RS-CALC-001 / le",'Kiểm thử'!$A$5:$A$573,0)+4),"TC-RS-CALC-001 / le")</f>
        <v/>
      </c>
      <c r="B376" s="18" t="inlineStr">
        <is>
          <t>Điều kiện / thao tác</t>
        </is>
      </c>
      <c r="C37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77" ht="299" customHeight="1">
      <c r="A377" s="24">
        <f>HYPERLINK("#'Kiểm thử'!A"&amp;(MATCH("TC-RS-CALC-002 / zero-lt",'Kiểm thử'!$A$5:$A$573,0)+4),"TC-RS-CALC-002 / zero-lt")</f>
        <v/>
      </c>
      <c r="B377" s="18" t="inlineStr">
        <is>
          <t>Điều kiện / thao tác</t>
        </is>
      </c>
      <c r="C377"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học sinh S04 (điểm 0) (S=0); N = 0, 30
Ngưỡng 0 nhỏ hơn
Thao tác: Với từng cấu hình: cố định 0 `&lt;`, cố định 0 `≤`, cố định 30 `&lt;`: chạy lại, xem S04.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78" ht="112" customHeight="1">
      <c r="A378" s="24">
        <f>HYPERLINK("#'Kiểm thử'!A"&amp;(MATCH("TC-RS-CALC-002 / zero-lt",'Kiểm thử'!$A$5:$A$573,0)+4),"TC-RS-CALC-002 / zero-lt")</f>
        <v/>
      </c>
      <c r="B378" s="18" t="inlineStr">
        <is>
          <t>Điều kiện / thao tác</t>
        </is>
      </c>
      <c r="C37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79" ht="299" customHeight="1">
      <c r="A379" s="24">
        <f>HYPERLINK("#'Kiểm thử'!A"&amp;(MATCH("TC-RS-CALC-002 / zero-le",'Kiểm thử'!$A$5:$A$573,0)+4),"TC-RS-CALC-002 / zero-le")</f>
        <v/>
      </c>
      <c r="B379" s="18" t="inlineStr">
        <is>
          <t>Điều kiện / thao tác</t>
        </is>
      </c>
      <c r="C379"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học sinh S04 (điểm 0) (S=0); N = 0, 30
Ngưỡng 0 nhỏ hơn hoặc bằng
Thao tác: Với từng cấu hình: cố định 0 `&lt;`, cố định 0 `≤`, cố định 30 `&lt;`: chạy lại, xem S04.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80" ht="112" customHeight="1">
      <c r="A380" s="24">
        <f>HYPERLINK("#'Kiểm thử'!A"&amp;(MATCH("TC-RS-CALC-002 / zero-le",'Kiểm thử'!$A$5:$A$573,0)+4),"TC-RS-CALC-002 / zero-le")</f>
        <v/>
      </c>
      <c r="B380" s="18" t="inlineStr">
        <is>
          <t>Điều kiện / thao tác</t>
        </is>
      </c>
      <c r="C38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81" ht="299" customHeight="1">
      <c r="A381" s="24">
        <f>HYPERLINK("#'Kiểm thử'!A"&amp;(MATCH("TC-RS-CALC-002 / thirty-lt",'Kiểm thử'!$A$5:$A$573,0)+4),"TC-RS-CALC-002 / thirty-lt")</f>
        <v/>
      </c>
      <c r="B381" s="18" t="inlineStr">
        <is>
          <t>Điều kiện / thao tác</t>
        </is>
      </c>
      <c r="C381"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học sinh S04 (điểm 0) (S=0); N = 0, 30
Ngưỡng 30 nhỏ hơn
Thao tác: Với từng cấu hình: cố định 0 `&lt;`, cố định 0 `≤`, cố định 30 `&lt;`: chạy lại, xem S04.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82" ht="112" customHeight="1">
      <c r="A382" s="24">
        <f>HYPERLINK("#'Kiểm thử'!A"&amp;(MATCH("TC-RS-CALC-002 / thirty-lt",'Kiểm thử'!$A$5:$A$573,0)+4),"TC-RS-CALC-002 / thirty-lt")</f>
        <v/>
      </c>
      <c r="B382" s="18" t="inlineStr">
        <is>
          <t>Điều kiện / thao tác</t>
        </is>
      </c>
      <c r="C382"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83" ht="299" customHeight="1">
      <c r="A383" s="24">
        <f>HYPERLINK("#'Kiểm thử'!A"&amp;(MATCH("TC-RS-CALC-003 / lt",'Kiểm thử'!$A$5:$A$573,0)+4),"TC-RS-CALC-003 / lt")</f>
        <v/>
      </c>
      <c r="B383" s="18" t="inlineStr">
        <is>
          <t>Điều kiện / thao tác</t>
        </is>
      </c>
      <c r="C383" s="18" t="inlineStr">
        <is>
          <t>Cấu hình: mục số thập phân (M=100) (thập phân, M=100); cố định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S = 29.5, 29.9, 30.0, 30.01
Dấu nhỏ hơn, cả bốn điểm
Thao tác: Đăng ký bốn học sinh với các điểm trên; xét với `&lt;` rồi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84" ht="112" customHeight="1">
      <c r="A384" s="24">
        <f>HYPERLINK("#'Kiểm thử'!A"&amp;(MATCH("TC-RS-CALC-003 / lt",'Kiểm thử'!$A$5:$A$573,0)+4),"TC-RS-CALC-003 / lt")</f>
        <v/>
      </c>
      <c r="B384" s="18" t="inlineStr">
        <is>
          <t>Điều kiện / thao tác</t>
        </is>
      </c>
      <c r="C384"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85" ht="299" customHeight="1">
      <c r="A385" s="24">
        <f>HYPERLINK("#'Kiểm thử'!A"&amp;(MATCH("TC-RS-CALC-003 / le",'Kiểm thử'!$A$5:$A$573,0)+4),"TC-RS-CALC-003 / le")</f>
        <v/>
      </c>
      <c r="B385" s="18" t="inlineStr">
        <is>
          <t>Điều kiện / thao tác</t>
        </is>
      </c>
      <c r="C385" s="18" t="inlineStr">
        <is>
          <t>Cấu hình: mục số thập phân (M=100) (thập phân, M=100); cố định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S = 29.5, 29.9, 30.0, 30.01
Dấu nhỏ hơn hoặc bằng, cả bốn điểm
Thao tác: Đăng ký bốn học sinh với các điểm trên; xét với `&lt;` rồi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386" ht="112" customHeight="1">
      <c r="A386" s="24">
        <f>HYPERLINK("#'Kiểm thử'!A"&amp;(MATCH("TC-RS-CALC-003 / le",'Kiểm thử'!$A$5:$A$573,0)+4),"TC-RS-CALC-003 / le")</f>
        <v/>
      </c>
      <c r="B386" s="18" t="inlineStr">
        <is>
          <t>Điều kiện / thao tác</t>
        </is>
      </c>
      <c r="C386"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87" ht="299" customHeight="1">
      <c r="A387" s="24">
        <f>HYPERLINK("#'Kiểm thử'!A"&amp;(MATCH("TC-RS-CALC-004 / Base",'Kiểm thử'!$A$5:$A$573,0)+4),"TC-RS-CALC-004 / Base")</f>
        <v/>
      </c>
      <c r="B387" s="18" t="inlineStr">
        <is>
          <t>Điều kiện / thao tác</t>
        </is>
      </c>
      <c r="C387" s="18" t="inlineStr">
        <is>
          <t xml:space="preserve">Cấu hình: quy tắc “Cố định 30” (dưới 30) (N=30) lưu khi M=100. Sau đó đổi Giá trị tối đa（最大値） của mục số nguyên (M=100) thành 20.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S = 15, 20
Toàn bộ thủ tục theo đúng thứ tự; các đối chứng cùng fixture được kiểm trong cùng lượt, không bỏ bước
Thao tác: 1. Đăng ký hai học sinh S=15 và S=20.
2. Mở lại quy tắc.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388" ht="146" customHeight="1">
      <c r="A388" s="24">
        <f>HYPERLINK("#'Kiểm thử'!A"&amp;(MATCH("TC-RS-CALC-004 / Base",'Kiểm thử'!$A$5:$A$573,0)+4),"TC-RS-CALC-004 / Base")</f>
        <v/>
      </c>
      <c r="B388" s="18" t="inlineStr">
        <is>
          <t>Điều kiện / thao tác</t>
        </is>
      </c>
      <c r="C38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89" ht="44" customHeight="1">
      <c r="A389" s="24">
        <f>HYPERLINK("#'Kiểm thử'!A"&amp;(MATCH("TC-RS-UI-011 / lt",'Kiểm thử'!$A$5:$A$573,0)+4),"TC-RS-UI-011 / lt")</f>
        <v/>
      </c>
      <c r="B389" s="18" t="inlineStr">
        <is>
          <t>Màn hình / chức năng</t>
        </is>
      </c>
      <c r="C389" s="18" t="inlineStr">
        <is>
          <t>Ngưỡng điểm cố định — Thiết lập ngưỡng（基準設定）
Màn Ngưỡng（基準設定）: ba loại, dấu so sánh và câu giải thích đổi theo dấu</t>
        </is>
      </c>
    </row>
    <row r="390" ht="299" customHeight="1">
      <c r="A390" s="24">
        <f>HYPERLINK("#'Kiểm thử'!A"&amp;(MATCH("TC-RS-UI-011 / lt",'Kiểm thử'!$A$5:$A$573,0)+4),"TC-RS-UI-011 / lt")</f>
        <v/>
      </c>
      <c r="B390" s="18" t="inlineStr">
        <is>
          <t>Điều kiện / thao tác</t>
        </is>
      </c>
      <c r="C390" s="18" t="inlineStr">
        <is>
          <t>Cấu hình: Mở ngưỡng của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Dấu nhỏ hơn
Thao tác: 1. Xem ba lựa chọn loại.
2. Đổi Dấu so sánh（比較条件） giữa Nhỏ hơn（未満） và Nhỏ hơn hoặc bằng（以下）.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91" ht="129" customHeight="1">
      <c r="A391" s="24">
        <f>HYPERLINK("#'Kiểm thử'!A"&amp;(MATCH("TC-RS-UI-011 / lt",'Kiểm thử'!$A$5:$A$573,0)+4),"TC-RS-UI-011 / lt")</f>
        <v/>
      </c>
      <c r="B391" s="18" t="inlineStr">
        <is>
          <t>Điều kiện / thao tác</t>
        </is>
      </c>
      <c r="C391"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92" ht="44" customHeight="1">
      <c r="A392" s="24">
        <f>HYPERLINK("#'Kiểm thử'!A"&amp;(MATCH("TC-RS-UI-011 / le",'Kiểm thử'!$A$5:$A$573,0)+4),"TC-RS-UI-011 / le")</f>
        <v/>
      </c>
      <c r="B392" s="18" t="inlineStr">
        <is>
          <t>Màn hình / chức năng</t>
        </is>
      </c>
      <c r="C392" s="18" t="inlineStr">
        <is>
          <t>Ngưỡng điểm cố định — Thiết lập ngưỡng（基準設定）
Màn Ngưỡng（基準設定）: ba loại, dấu so sánh và câu giải thích đổi theo dấu</t>
        </is>
      </c>
    </row>
    <row r="393" ht="299" customHeight="1">
      <c r="A393" s="24">
        <f>HYPERLINK("#'Kiểm thử'!A"&amp;(MATCH("TC-RS-UI-011 / le",'Kiểm thử'!$A$5:$A$573,0)+4),"TC-RS-UI-011 / le")</f>
        <v/>
      </c>
      <c r="B393" s="18" t="inlineStr">
        <is>
          <t>Điều kiện / thao tác</t>
        </is>
      </c>
      <c r="C393" s="18" t="inlineStr">
        <is>
          <t>Cấu hình: Mở ngưỡng của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Dấu nhỏ hơn hoặc bằng
Thao tác: 1. Xem ba lựa chọn loại.
2. Đổi Dấu so sánh（比較条件） giữa Nhỏ hơn（未満） và Nhỏ hơn hoặc bằng（以下）.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94" ht="129" customHeight="1">
      <c r="A394" s="24">
        <f>HYPERLINK("#'Kiểm thử'!A"&amp;(MATCH("TC-RS-UI-011 / le",'Kiểm thử'!$A$5:$A$573,0)+4),"TC-RS-UI-011 / le")</f>
        <v/>
      </c>
      <c r="B394" s="18" t="inlineStr">
        <is>
          <t>Điều kiện / thao tác</t>
        </is>
      </c>
      <c r="C394"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95" ht="299" customHeight="1">
      <c r="A395" s="24">
        <f>HYPERLINK("#'Kiểm thử'!A"&amp;(MATCH("TC-RS-UI-012 / Base",'Kiểm thử'!$A$5:$A$573,0)+4),"TC-RS-UI-012 / Base")</f>
        <v/>
      </c>
      <c r="B395" s="18" t="inlineStr">
        <is>
          <t>Điều kiện / thao tác</t>
        </is>
      </c>
      <c r="C395" s="18" t="inlineStr">
        <is>
          <t>Cấu hình: Thêm quy tắc mới, lưu điều kiện, mở ngưỡng.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Toàn bộ thủ tục theo đúng thứ tự; các đối chứng cùng fixture được kiểm trong cùng lượt, không bỏ bước
Thao tác: Quan sát giá trị ban đầu.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96" ht="129" customHeight="1">
      <c r="A396" s="24">
        <f>HYPERLINK("#'Kiểm thử'!A"&amp;(MATCH("TC-RS-UI-012 / Base",'Kiểm thử'!$A$5:$A$573,0)+4),"TC-RS-UI-012 / Base")</f>
        <v/>
      </c>
      <c r="B396" s="18" t="inlineStr">
        <is>
          <t>Điều kiện / thao tác</t>
        </is>
      </c>
      <c r="C396"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397" ht="112" customHeight="1">
      <c r="A397" s="24">
        <f>HYPERLINK("#'Kiểm thử'!A"&amp;(MATCH("TC-RS-UI-012 / Base",'Kiểm thử'!$A$5:$A$573,0)+4),"TC-RS-UI-012 / Base")</f>
        <v/>
      </c>
      <c r="B397" s="18" t="inlineStr">
        <is>
          <t>Kết quả mong đợi</t>
        </is>
      </c>
      <c r="C397" s="18" t="inlineStr">
        <is>
          <t>Loại = Điểm cố định（固定点数）; dấu = Nhỏ hơn（未満）; ô Điểm chuẩn（基準点） trống; tỷ lệ/công thức (nếu mở) mặc định Không xử lý phần lẻ（しない）.
Quy tắc mới được thêm ở cuối danh sách (PROPOSED).
Bảo toàn: Giữ điểm, cấu hình và đối tượng không đích theo expected; chỉ thay phần thủ tục yêu cầu, không tự đổi oracle hoặc mở rộng phạm vi.</t>
        </is>
      </c>
    </row>
    <row r="398" ht="299" customHeight="1">
      <c r="A398" s="24">
        <f>HYPERLINK("#'Kiểm thử'!A"&amp;(MATCH("TC-RS-UI-013 / Base",'Kiểm thử'!$A$5:$A$573,0)+4),"TC-RS-UI-013 / Base")</f>
        <v/>
      </c>
      <c r="B398" s="18" t="inlineStr">
        <is>
          <t>Điều kiện / thao tác</t>
        </is>
      </c>
      <c r="C398" s="18" t="inlineStr">
        <is>
          <t>Cấu hình: Mở ngưỡng, chọn Điểm cố định（固定点数）.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Toàn bộ thủ tục theo đúng thứ tự; các đối chứng cùng fixture được kiểm trong cùng lượt, không bỏ bước
Thao tác: Xem màn.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399" ht="129" customHeight="1">
      <c r="A399" s="24">
        <f>HYPERLINK("#'Kiểm thử'!A"&amp;(MATCH("TC-RS-UI-013 / Base",'Kiểm thử'!$A$5:$A$573,0)+4),"TC-RS-UI-013 / Base")</f>
        <v/>
      </c>
      <c r="B399" s="18" t="inlineStr">
        <is>
          <t>Điều kiện / thao tác</t>
        </is>
      </c>
      <c r="C39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00" ht="129" customHeight="1">
      <c r="A400" s="24">
        <f>HYPERLINK("#'Kiểm thử'!A"&amp;(MATCH("TC-RS-UI-013 / Base",'Kiểm thử'!$A$5:$A$573,0)+4),"TC-RS-UI-013 / Base")</f>
        <v/>
      </c>
      <c r="B400" s="18" t="inlineStr">
        <is>
          <t>Kết quả mong đợi</t>
        </is>
      </c>
      <c r="C400" s="18" t="inlineStr">
        <is>
          <t>CONFIRMED: không có khối Trung bình tham chiếu（参照する平均点）; lưu không yêu cầu chọn nguồn.
PROPOSED: ô Điểm chuẩn（基準点） + đơn vị 点 (điểm), câu 「30点未満を赤点とします。30点は赤点になりません。」 (dưới 30 là đỏ; 30 không đỏ) đổi theo giá trị/dấu, câu 「判定には登録済みの最終点数を使用します。」 (xét dùng điểm cuối đã đăng ký).
Bảo toàn: Giữ điểm, cấu hình và đối tượng không đích theo expected; chỉ thay phần thủ tục yêu cầu, không tự đổi oracle hoặc mở rộng phạm vi.</t>
        </is>
      </c>
    </row>
    <row r="401" ht="299" customHeight="1">
      <c r="A401" s="24">
        <f>HYPERLINK("#'Kiểm thử'!A"&amp;(MATCH("TC-RS-FUNC-012 / Base",'Kiểm thử'!$A$5:$A$573,0)+4),"TC-RS-FUNC-012 / Base")</f>
        <v/>
      </c>
      <c r="B401" s="18" t="inlineStr">
        <is>
          <t>Điều kiện / thao tác</t>
        </is>
      </c>
      <c r="C401" s="18" t="inlineStr">
        <is>
          <t>Cấu hình: Mở Ngưỡng loại Công thức（計算式）.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hai dòng (trung bình ÷ 2 × 0.8)
Toàn bộ thủ tục theo đúng thứ tự; các đối chứng cùng fixture được kiểm trong cùng lượt, không bỏ bước
Thao tác: 1. Cấu hình dòng 1 và dòng 2 như quy tắc công thức hai dòng (trung bình ÷ 2 × 0.8), lưu.
2. Mở lại; bấm Thêm công thức（計算式を追加） để có dòng 3, rồi xóa dòng 3, lưu.
3. Xem tóm tắt ở danh sách.
Khôi phục: Trước mỗi biến thể, dựng lại điều kiện/dữ liệu đầu của case bằng đường được phép; giữ các reset/fixture độc lập đã nêu trong thủ tục.</t>
        </is>
      </c>
    </row>
    <row r="402" ht="180" customHeight="1">
      <c r="A402" s="24">
        <f>HYPERLINK("#'Kiểm thử'!A"&amp;(MATCH("TC-RS-FUNC-012 / Base",'Kiểm thử'!$A$5:$A$573,0)+4),"TC-RS-FUNC-012 / Base")</f>
        <v/>
      </c>
      <c r="B402" s="18" t="inlineStr">
        <is>
          <t>Điều kiện / thao tác</t>
        </is>
      </c>
      <c r="C402"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03" ht="146" customHeight="1">
      <c r="A403" s="24">
        <f>HYPERLINK("#'Kiểm thử'!A"&amp;(MATCH("TC-RS-FUNC-012 / Base",'Kiểm thử'!$A$5:$A$573,0)+4),"TC-RS-FUNC-012 / Base")</f>
        <v/>
      </c>
      <c r="B403" s="18" t="inlineStr">
        <is>
          <t>Kết quả mong đợi</t>
        </is>
      </c>
      <c r="C403" s="18" t="inlineStr">
        <is>
          <t>1. Lưu được 2 dòng; mở lại giữ vế trái, phép toán, vế phải và xử lý phần lẻ từng dòng (chi tiết form là PROPOSED theo thiết kế).
2. Danh sách tóm tắt đủ các dòng và dấu so sánh (PROPOSED; không dùng làm oracle nghiệp vụ nếu đặc tả chưa chốt bố cục tóm tắt).
3. Khi xét, `T` = kết quả dòng cuối; phép tính và xử lý phần lẻ phải tuân theo AC-G16 và case “Công thức hai dòng theo Figma: (A÷2)×0.8, dòng 1 làm tròn xuống”.
Bảo toàn: Giữ điểm, cấu hình và đối tượng không đích theo expected; chỉ thay phần thủ tục yêu cầu, không tự đổi oracle hoặc mở rộng phạm vi.</t>
        </is>
      </c>
    </row>
    <row r="404" ht="299" customHeight="1">
      <c r="A404" s="24">
        <f>HYPERLINK("#'Kiểm thử'!A"&amp;(MATCH("TC-RS-VAL-008 / Base",'Kiểm thử'!$A$5:$A$573,0)+4),"TC-RS-VAL-008 / Base")</f>
        <v/>
      </c>
      <c r="B404" s="18" t="inlineStr">
        <is>
          <t>Điều kiện / thao tác</t>
        </is>
      </c>
      <c r="C404"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Toàn bộ thủ tục theo đúng thứ tự; các đối chứng cùng fixture được kiểm trong cùng lượt, không bỏ bước
Thao tác: Xóa hết các dòng công thức (nếu UI cho phép),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05" ht="129" customHeight="1">
      <c r="A405" s="24">
        <f>HYPERLINK("#'Kiểm thử'!A"&amp;(MATCH("TC-RS-VAL-008 / Base",'Kiểm thử'!$A$5:$A$573,0)+4),"TC-RS-VAL-008 / Base")</f>
        <v/>
      </c>
      <c r="B405" s="18" t="inlineStr">
        <is>
          <t>Điều kiện / thao tác</t>
        </is>
      </c>
      <c r="C40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06" ht="299" customHeight="1">
      <c r="A406" s="24">
        <f>HYPERLINK("#'Kiểm thử'!A"&amp;(MATCH("TC-RS-VAL-009 / zero",'Kiểm thử'!$A$5:$A$573,0)+4),"TC-RS-VAL-009 / zero")</f>
        <v/>
      </c>
      <c r="B406" s="18" t="inlineStr">
        <is>
          <t>Điều kiện / thao tác</t>
        </is>
      </c>
      <c r="C406"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Dòng 1: Trung bình（平均点）÷ Số cố định（固定値）0; biến thể 0.0
Chia 0
Thao tác: Nhập công thức,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07" ht="112" customHeight="1">
      <c r="A407" s="24">
        <f>HYPERLINK("#'Kiểm thử'!A"&amp;(MATCH("TC-RS-VAL-009 / zero",'Kiểm thử'!$A$5:$A$573,0)+4),"TC-RS-VAL-009 / zero")</f>
        <v/>
      </c>
      <c r="B407" s="18" t="inlineStr">
        <is>
          <t>Điều kiện / thao tác</t>
        </is>
      </c>
      <c r="C407"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08" ht="299" customHeight="1">
      <c r="A408" s="24">
        <f>HYPERLINK("#'Kiểm thử'!A"&amp;(MATCH("TC-RS-VAL-009 / decimal-zero",'Kiểm thử'!$A$5:$A$573,0)+4),"TC-RS-VAL-009 / decimal-zero")</f>
        <v/>
      </c>
      <c r="B408" s="18" t="inlineStr">
        <is>
          <t>Điều kiện / thao tác</t>
        </is>
      </c>
      <c r="C408"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Dòng 1: Trung bình（平均点）÷ Số cố định（固定値）0; biến thể 0.0
Chia 0.0
Thao tác: Nhập công thức,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09" ht="112" customHeight="1">
      <c r="A409" s="24">
        <f>HYPERLINK("#'Kiểm thử'!A"&amp;(MATCH("TC-RS-VAL-009 / decimal-zero",'Kiểm thử'!$A$5:$A$573,0)+4),"TC-RS-VAL-009 / decimal-zero")</f>
        <v/>
      </c>
      <c r="B409" s="18" t="inlineStr">
        <is>
          <t>Điều kiện / thao tác</t>
        </is>
      </c>
      <c r="C409"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10" ht="299" customHeight="1">
      <c r="A410" s="24">
        <f>HYPERLINK("#'Kiểm thử'!A"&amp;(MATCH("TC-RS-VAL-010 / empty",'Kiểm thử'!$A$5:$A$573,0)+4),"TC-RS-VAL-010 / empty")</f>
        <v/>
      </c>
      <c r="B410" s="18" t="inlineStr">
        <is>
          <t>Điều kiện / thao tác</t>
        </is>
      </c>
      <c r="C410"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Vế phải Số cố định（固定値）: trống, `abc`; toán tử: chưa chọn
Trống toán hạng
Thao tác: Nhập từng biến thể,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11" ht="112" customHeight="1">
      <c r="A411" s="24">
        <f>HYPERLINK("#'Kiểm thử'!A"&amp;(MATCH("TC-RS-VAL-010 / empty",'Kiểm thử'!$A$5:$A$573,0)+4),"TC-RS-VAL-010 / empty")</f>
        <v/>
      </c>
      <c r="B411" s="18" t="inlineStr">
        <is>
          <t>Điều kiện / thao tác</t>
        </is>
      </c>
      <c r="C411"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12" ht="299" customHeight="1">
      <c r="A412" s="24">
        <f>HYPERLINK("#'Kiểm thử'!A"&amp;(MATCH("TC-RS-VAL-010 / text",'Kiểm thử'!$A$5:$A$573,0)+4),"TC-RS-VAL-010 / text")</f>
        <v/>
      </c>
      <c r="B412" s="18" t="inlineStr">
        <is>
          <t>Điều kiện / thao tác</t>
        </is>
      </c>
      <c r="C412"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Vế phải Số cố định（固定値）: trống, `abc`; toán tử: chưa chọn
Toán hạng không phải số
Thao tác: Nhập từng biến thể,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13" ht="112" customHeight="1">
      <c r="A413" s="24">
        <f>HYPERLINK("#'Kiểm thử'!A"&amp;(MATCH("TC-RS-VAL-010 / text",'Kiểm thử'!$A$5:$A$573,0)+4),"TC-RS-VAL-010 / text")</f>
        <v/>
      </c>
      <c r="B413" s="18" t="inlineStr">
        <is>
          <t>Điều kiện / thao tác</t>
        </is>
      </c>
      <c r="C413"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14" ht="299" customHeight="1">
      <c r="A414" s="24">
        <f>HYPERLINK("#'Kiểm thử'!A"&amp;(MATCH("TC-RS-VAL-010 / operator",'Kiểm thử'!$A$5:$A$573,0)+4),"TC-RS-VAL-010 / operator")</f>
        <v/>
      </c>
      <c r="B414" s="18" t="inlineStr">
        <is>
          <t>Điều kiện / thao tác</t>
        </is>
      </c>
      <c r="C414"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Vế phải Số cố định（固定値）: trống, `abc`; toán tử: chưa chọn
Thiếu phép toán
Thao tác: Nhập từng biến thể,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15" ht="112" customHeight="1">
      <c r="A415" s="24">
        <f>HYPERLINK("#'Kiểm thử'!A"&amp;(MATCH("TC-RS-VAL-010 / operator",'Kiểm thử'!$A$5:$A$573,0)+4),"TC-RS-VAL-010 / operator")</f>
        <v/>
      </c>
      <c r="B415" s="18" t="inlineStr">
        <is>
          <t>Điều kiện / thao tác</t>
        </is>
      </c>
      <c r="C415"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16" ht="299" customHeight="1">
      <c r="A416" s="24">
        <f>HYPERLINK("#'Kiểm thử'!A"&amp;(MATCH("TC-RS-VAL-011 / first",'Kiểm thử'!$A$5:$A$573,0)+4),"TC-RS-VAL-011 / first")</f>
        <v/>
      </c>
      <c r="B416" s="18" t="inlineStr">
        <is>
          <t>Điều kiện / thao tác</t>
        </is>
      </c>
      <c r="C416" s="18" t="inlineStr">
        <is>
          <t>Cấu hình: Công thức 3 dòng.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Dòng 1 dùng Kết quả phép tính; (b) dòng 2 tham chiếu chính dòng 2; (c) dòng 2 tham chiếu dòng 3; (d) dòng 3 tham chiếu dòng 1
Tham chiếu dòng đầu
Thao tác: Thử từng biến thể,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17" ht="129" customHeight="1">
      <c r="A417" s="24">
        <f>HYPERLINK("#'Kiểm thử'!A"&amp;(MATCH("TC-RS-VAL-011 / first",'Kiểm thử'!$A$5:$A$573,0)+4),"TC-RS-VAL-011 / first")</f>
        <v/>
      </c>
      <c r="B417" s="18" t="inlineStr">
        <is>
          <t>Điều kiện / thao tác</t>
        </is>
      </c>
      <c r="C417"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18" ht="299" customHeight="1">
      <c r="A418" s="24">
        <f>HYPERLINK("#'Kiểm thử'!A"&amp;(MATCH("TC-RS-VAL-011 / self",'Kiểm thử'!$A$5:$A$573,0)+4),"TC-RS-VAL-011 / self")</f>
        <v/>
      </c>
      <c r="B418" s="18" t="inlineStr">
        <is>
          <t>Điều kiện / thao tác</t>
        </is>
      </c>
      <c r="C418" s="18" t="inlineStr">
        <is>
          <t>Cấu hình: Công thức 3 dòng.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Dòng 1 dùng Kết quả phép tính; (b) dòng 2 tham chiếu chính dòng 2; (c) dòng 2 tham chiếu dòng 3; (d) dòng 3 tham chiếu dòng 1
Tham chiếu chính dòng
Thao tác: Thử từng biến thể,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19" ht="129" customHeight="1">
      <c r="A419" s="24">
        <f>HYPERLINK("#'Kiểm thử'!A"&amp;(MATCH("TC-RS-VAL-011 / self",'Kiểm thử'!$A$5:$A$573,0)+4),"TC-RS-VAL-011 / self")</f>
        <v/>
      </c>
      <c r="B419" s="18" t="inlineStr">
        <is>
          <t>Điều kiện / thao tác</t>
        </is>
      </c>
      <c r="C41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20" ht="299" customHeight="1">
      <c r="A420" s="24">
        <f>HYPERLINK("#'Kiểm thử'!A"&amp;(MATCH("TC-RS-VAL-011 / forward",'Kiểm thử'!$A$5:$A$573,0)+4),"TC-RS-VAL-011 / forward")</f>
        <v/>
      </c>
      <c r="B420" s="18" t="inlineStr">
        <is>
          <t>Điều kiện / thao tác</t>
        </is>
      </c>
      <c r="C420" s="18" t="inlineStr">
        <is>
          <t>Cấu hình: Công thức 3 dòng.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Dòng 1 dùng Kết quả phép tính; (b) dòng 2 tham chiếu chính dòng 2; (c) dòng 2 tham chiếu dòng 3; (d) dòng 3 tham chiếu dòng 1
Tham chiếu dòng sau
Thao tác: Thử từng biến thể,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21" ht="129" customHeight="1">
      <c r="A421" s="24">
        <f>HYPERLINK("#'Kiểm thử'!A"&amp;(MATCH("TC-RS-VAL-011 / forward",'Kiểm thử'!$A$5:$A$573,0)+4),"TC-RS-VAL-011 / forward")</f>
        <v/>
      </c>
      <c r="B421" s="18" t="inlineStr">
        <is>
          <t>Điều kiện / thao tác</t>
        </is>
      </c>
      <c r="C421"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22" ht="299" customHeight="1">
      <c r="A422" s="24">
        <f>HYPERLINK("#'Kiểm thử'!A"&amp;(MATCH("TC-RS-VAL-011 / backward",'Kiểm thử'!$A$5:$A$573,0)+4),"TC-RS-VAL-011 / backward")</f>
        <v/>
      </c>
      <c r="B422" s="18" t="inlineStr">
        <is>
          <t>Điều kiện / thao tác</t>
        </is>
      </c>
      <c r="C422" s="18" t="inlineStr">
        <is>
          <t>Cấu hình: Công thức 3 dòng.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Dòng 1 dùng Kết quả phép tính; (b) dòng 2 tham chiếu chính dòng 2; (c) dòng 2 tham chiếu dòng 3; (d) dòng 3 tham chiếu dòng 1
Tham chiếu dòng trước
Thao tác: Thử từng biến thể,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23" ht="129" customHeight="1">
      <c r="A423" s="24">
        <f>HYPERLINK("#'Kiểm thử'!A"&amp;(MATCH("TC-RS-VAL-011 / backward",'Kiểm thử'!$A$5:$A$573,0)+4),"TC-RS-VAL-011 / backward")</f>
        <v/>
      </c>
      <c r="B423" s="18" t="inlineStr">
        <is>
          <t>Điều kiện / thao tác</t>
        </is>
      </c>
      <c r="C423"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24" ht="299" customHeight="1">
      <c r="A424" s="24">
        <f>HYPERLINK("#'Kiểm thử'!A"&amp;(MATCH("TC-RS-VAL-012 / delete",'Kiểm thử'!$A$5:$A$573,0)+4),"TC-RS-VAL-012 / delete")</f>
        <v/>
      </c>
      <c r="B424" s="18" t="inlineStr">
        <is>
          <t>Điều kiện / thao tác</t>
        </is>
      </c>
      <c r="C424" s="18" t="inlineStr">
        <is>
          <t>Cấu hình: Công thức 3 dòng: dòng 2 dùng kết quả dòng 1, dòng 3 dùng kết quả dòng 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Xóa dòng được tham chiếu
Thao tác: 1. Xóa dòng 2, bấm Lưu.
2. Tạo lại công thức 3 dòng như điều kiện đầu; đổi thứ tự để dòng 3 lên vị trí 2,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25" ht="129" customHeight="1">
      <c r="A425" s="24">
        <f>HYPERLINK("#'Kiểm thử'!A"&amp;(MATCH("TC-RS-VAL-012 / delete",'Kiểm thử'!$A$5:$A$573,0)+4),"TC-RS-VAL-012 / delete")</f>
        <v/>
      </c>
      <c r="B425" s="18" t="inlineStr">
        <is>
          <t>Điều kiện / thao tác</t>
        </is>
      </c>
      <c r="C42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26" ht="95" customHeight="1">
      <c r="A426" s="24">
        <f>HYPERLINK("#'Kiểm thử'!A"&amp;(MATCH("TC-RS-VAL-012 / delete",'Kiểm thử'!$A$5:$A$573,0)+4),"TC-RS-VAL-012 / delete")</f>
        <v/>
      </c>
      <c r="B426" s="18" t="inlineStr">
        <is>
          <t>Kết quả mong đợi</t>
        </is>
      </c>
      <c r="C426" s="18" t="inlineStr">
        <is>
          <t>1. Dòng 3 báo tham chiếu không hợp lệ hoặc buộc chọn lại; không âm thầm trỏ sang dòng 1.
2. Dòng vừa chuyển lên (đang tham chiếu dòng mới nằm phía sau nó) bị báo tham chiếu không hợp lệ hoặc buộc chọn lại; không tự đổi sang dòng khác chỉ vì cùng số thứ tự.
Bảo toàn: Giữ điểm, cấu hình và đối tượng không đích theo expected; chỉ thay phần thủ tục yêu cầu, không tự đổi oracle hoặc mở rộng phạm vi.</t>
        </is>
      </c>
    </row>
    <row r="427" ht="299" customHeight="1">
      <c r="A427" s="24">
        <f>HYPERLINK("#'Kiểm thử'!A"&amp;(MATCH("TC-RS-VAL-012 / reorder",'Kiểm thử'!$A$5:$A$573,0)+4),"TC-RS-VAL-012 / reorder")</f>
        <v/>
      </c>
      <c r="B427" s="18" t="inlineStr">
        <is>
          <t>Điều kiện / thao tác</t>
        </is>
      </c>
      <c r="C427" s="18" t="inlineStr">
        <is>
          <t>Cấu hình: Công thức 3 dòng: dòng 2 dùng kết quả dòng 1, dòng 3 dùng kết quả dòng 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Đổi thứ tự dòng được tham chiếu
Thao tác: 1. Xóa dòng 2, bấm Lưu.
2. Tạo lại công thức 3 dòng như điều kiện đầu; đổi thứ tự để dòng 3 lên vị trí 2, bấm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28" ht="129" customHeight="1">
      <c r="A428" s="24">
        <f>HYPERLINK("#'Kiểm thử'!A"&amp;(MATCH("TC-RS-VAL-012 / reorder",'Kiểm thử'!$A$5:$A$573,0)+4),"TC-RS-VAL-012 / reorder")</f>
        <v/>
      </c>
      <c r="B428" s="18" t="inlineStr">
        <is>
          <t>Điều kiện / thao tác</t>
        </is>
      </c>
      <c r="C428"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29" ht="95" customHeight="1">
      <c r="A429" s="24">
        <f>HYPERLINK("#'Kiểm thử'!A"&amp;(MATCH("TC-RS-VAL-012 / reorder",'Kiểm thử'!$A$5:$A$573,0)+4),"TC-RS-VAL-012 / reorder")</f>
        <v/>
      </c>
      <c r="B429" s="18" t="inlineStr">
        <is>
          <t>Kết quả mong đợi</t>
        </is>
      </c>
      <c r="C429" s="18" t="inlineStr">
        <is>
          <t>1. Dòng 3 báo tham chiếu không hợp lệ hoặc buộc chọn lại; không âm thầm trỏ sang dòng 1.
2. Dòng vừa chuyển lên (đang tham chiếu dòng mới nằm phía sau nó) bị báo tham chiếu không hợp lệ hoặc buộc chọn lại; không tự đổi sang dòng khác chỉ vì cùng số thứ tự.
Bảo toàn: Giữ điểm, cấu hình và đối tượng không đích theo expected; chỉ thay phần thủ tục yêu cầu, không tự đổi oracle hoặc mở rộng phạm vi.</t>
        </is>
      </c>
    </row>
    <row r="430" ht="299" customHeight="1">
      <c r="A430" s="24">
        <f>HYPERLINK("#'Kiểm thử'!A"&amp;(MATCH("TC-RS-VAL-013 / times150",'Kiểm thử'!$A$5:$A$573,0)+4),"TC-RS-VAL-013 / times150")</f>
        <v/>
      </c>
      <c r="B430" s="18" t="inlineStr">
        <is>
          <t>Điều kiện / thao tác</t>
        </is>
      </c>
      <c r="C430"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 150`, `A × 0.5`, `A − 150`
Nhân 150
Thao tác: Nhập từng công thức,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431" ht="112" customHeight="1">
      <c r="A431" s="24">
        <f>HYPERLINK("#'Kiểm thử'!A"&amp;(MATCH("TC-RS-VAL-013 / times150",'Kiểm thử'!$A$5:$A$573,0)+4),"TC-RS-VAL-013 / times150")</f>
        <v/>
      </c>
      <c r="B431" s="18" t="inlineStr">
        <is>
          <t>Điều kiện / thao tác</t>
        </is>
      </c>
      <c r="C431"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32" ht="299" customHeight="1">
      <c r="A432" s="24">
        <f>HYPERLINK("#'Kiểm thử'!A"&amp;(MATCH("TC-RS-VAL-013 / times05",'Kiểm thử'!$A$5:$A$573,0)+4),"TC-RS-VAL-013 / times05")</f>
        <v/>
      </c>
      <c r="B432" s="18" t="inlineStr">
        <is>
          <t>Điều kiện / thao tác</t>
        </is>
      </c>
      <c r="C432"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 150`, `A × 0.5`, `A − 150`
Nhân 0.5
Thao tác: Nhập từng công thức,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433" ht="112" customHeight="1">
      <c r="A433" s="24">
        <f>HYPERLINK("#'Kiểm thử'!A"&amp;(MATCH("TC-RS-VAL-013 / times05",'Kiểm thử'!$A$5:$A$573,0)+4),"TC-RS-VAL-013 / times05")</f>
        <v/>
      </c>
      <c r="B433" s="18" t="inlineStr">
        <is>
          <t>Điều kiện / thao tác</t>
        </is>
      </c>
      <c r="C433"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34" ht="299" customHeight="1">
      <c r="A434" s="24">
        <f>HYPERLINK("#'Kiểm thử'!A"&amp;(MATCH("TC-RS-VAL-013 / minus150",'Kiểm thử'!$A$5:$A$573,0)+4),"TC-RS-VAL-013 / minus150")</f>
        <v/>
      </c>
      <c r="B434" s="18" t="inlineStr">
        <is>
          <t>Điều kiện / thao tác</t>
        </is>
      </c>
      <c r="C434"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 150`, `A × 0.5`, `A − 150`
Trừ 150
Thao tác: Nhập từng công thức,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t>
        </is>
      </c>
    </row>
    <row r="435" ht="112" customHeight="1">
      <c r="A435" s="24">
        <f>HYPERLINK("#'Kiểm thử'!A"&amp;(MATCH("TC-RS-VAL-013 / minus150",'Kiểm thử'!$A$5:$A$573,0)+4),"TC-RS-VAL-013 / minus150")</f>
        <v/>
      </c>
      <c r="B435" s="18" t="inlineStr">
        <is>
          <t>Điều kiện / thao tác</t>
        </is>
      </c>
      <c r="C435"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36" ht="299" customHeight="1">
      <c r="A436" s="24">
        <f>HYPERLINK("#'Kiểm thử'!A"&amp;(MATCH("TC-RS-VAL-019 / fixed0-lt",'Kiểm thử'!$A$5:$A$573,0)+4),"TC-RS-VAL-019 / fixed0-lt")</f>
        <v/>
      </c>
      <c r="B436" s="18" t="inlineStr">
        <is>
          <t>Điều kiện / thao tác</t>
        </is>
      </c>
      <c r="C436"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N=0 và N=100, mỗi giá trị với `&lt;` và `≤`; Tỷ lệ N=0, N=100; Tỷ lệ N=0.4 với Làm tròn（四捨五入） (ra `T=0`)
Cố định 0 nhỏ hơn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37" ht="129" customHeight="1">
      <c r="A437" s="24">
        <f>HYPERLINK("#'Kiểm thử'!A"&amp;(MATCH("TC-RS-VAL-019 / fixed0-lt",'Kiểm thử'!$A$5:$A$573,0)+4),"TC-RS-VAL-019 / fixed0-lt")</f>
        <v/>
      </c>
      <c r="B437" s="18" t="inlineStr">
        <is>
          <t>Điều kiện / thao tác</t>
        </is>
      </c>
      <c r="C437"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38" ht="129" customHeight="1">
      <c r="A438" s="24">
        <f>HYPERLINK("#'Kiểm thử'!A"&amp;(MATCH("TC-RS-VAL-019 / fixed0-lt",'Kiểm thử'!$A$5:$A$573,0)+4),"TC-RS-VAL-019 / fixed0-lt")</f>
        <v/>
      </c>
      <c r="B438" s="18" t="inlineStr">
        <is>
          <t>Kết quả mong đợi</t>
        </is>
      </c>
      <c r="C438" s="18"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
Bảo toàn: Giữ điểm, cấu hình và đối tượng không đích theo expected; chỉ thay phần thủ tục yêu cầu, không tự đổi oracle hoặc mở rộng phạm vi.</t>
        </is>
      </c>
    </row>
    <row r="439" ht="299" customHeight="1">
      <c r="A439" s="24">
        <f>HYPERLINK("#'Kiểm thử'!A"&amp;(MATCH("TC-RS-VAL-019 / fixed0-le",'Kiểm thử'!$A$5:$A$573,0)+4),"TC-RS-VAL-019 / fixed0-le")</f>
        <v/>
      </c>
      <c r="B439" s="18" t="inlineStr">
        <is>
          <t>Điều kiện / thao tác</t>
        </is>
      </c>
      <c r="C439"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N=0 và N=100, mỗi giá trị với `&lt;` và `≤`; Tỷ lệ N=0, N=100; Tỷ lệ N=0.4 với Làm tròn（四捨五入） (ra `T=0`)
Cố định 0 nhỏ hơn hoặc bằng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40" ht="129" customHeight="1">
      <c r="A440" s="24">
        <f>HYPERLINK("#'Kiểm thử'!A"&amp;(MATCH("TC-RS-VAL-019 / fixed0-le",'Kiểm thử'!$A$5:$A$573,0)+4),"TC-RS-VAL-019 / fixed0-le")</f>
        <v/>
      </c>
      <c r="B440" s="18" t="inlineStr">
        <is>
          <t>Điều kiện / thao tác</t>
        </is>
      </c>
      <c r="C440"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41" ht="129" customHeight="1">
      <c r="A441" s="24">
        <f>HYPERLINK("#'Kiểm thử'!A"&amp;(MATCH("TC-RS-VAL-019 / fixed0-le",'Kiểm thử'!$A$5:$A$573,0)+4),"TC-RS-VAL-019 / fixed0-le")</f>
        <v/>
      </c>
      <c r="B441" s="18" t="inlineStr">
        <is>
          <t>Kết quả mong đợi</t>
        </is>
      </c>
      <c r="C441" s="18"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
Bảo toàn: Giữ điểm, cấu hình và đối tượng không đích theo expected; chỉ thay phần thủ tục yêu cầu, không tự đổi oracle hoặc mở rộng phạm vi.</t>
        </is>
      </c>
    </row>
    <row r="442" ht="299" customHeight="1">
      <c r="A442" s="24">
        <f>HYPERLINK("#'Kiểm thử'!A"&amp;(MATCH("TC-RS-VAL-019 / fixed100-lt",'Kiểm thử'!$A$5:$A$573,0)+4),"TC-RS-VAL-019 / fixed100-lt")</f>
        <v/>
      </c>
      <c r="B442" s="18" t="inlineStr">
        <is>
          <t>Điều kiện / thao tác</t>
        </is>
      </c>
      <c r="C442"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N=0 và N=100, mỗi giá trị với `&lt;` và `≤`; Tỷ lệ N=0, N=100; Tỷ lệ N=0.4 với Làm tròn（四捨五入） (ra `T=0`)
Cố định 100 nhỏ hơn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43" ht="129" customHeight="1">
      <c r="A443" s="24">
        <f>HYPERLINK("#'Kiểm thử'!A"&amp;(MATCH("TC-RS-VAL-019 / fixed100-lt",'Kiểm thử'!$A$5:$A$573,0)+4),"TC-RS-VAL-019 / fixed100-lt")</f>
        <v/>
      </c>
      <c r="B443" s="18" t="inlineStr">
        <is>
          <t>Điều kiện / thao tác</t>
        </is>
      </c>
      <c r="C443"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44" ht="129" customHeight="1">
      <c r="A444" s="24">
        <f>HYPERLINK("#'Kiểm thử'!A"&amp;(MATCH("TC-RS-VAL-019 / fixed100-lt",'Kiểm thử'!$A$5:$A$573,0)+4),"TC-RS-VAL-019 / fixed100-lt")</f>
        <v/>
      </c>
      <c r="B444" s="18" t="inlineStr">
        <is>
          <t>Kết quả mong đợi</t>
        </is>
      </c>
      <c r="C444" s="18"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
Bảo toàn: Giữ điểm, cấu hình và đối tượng không đích theo expected; chỉ thay phần thủ tục yêu cầu, không tự đổi oracle hoặc mở rộng phạm vi.</t>
        </is>
      </c>
    </row>
    <row r="445" ht="299" customHeight="1">
      <c r="A445" s="24">
        <f>HYPERLINK("#'Kiểm thử'!A"&amp;(MATCH("TC-RS-VAL-019 / fixed100-le",'Kiểm thử'!$A$5:$A$573,0)+4),"TC-RS-VAL-019 / fixed100-le")</f>
        <v/>
      </c>
      <c r="B445" s="18" t="inlineStr">
        <is>
          <t>Điều kiện / thao tác</t>
        </is>
      </c>
      <c r="C445"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N=0 và N=100, mỗi giá trị với `&lt;` và `≤`; Tỷ lệ N=0, N=100; Tỷ lệ N=0.4 với Làm tròn（四捨五入） (ra `T=0`)
Cố định 100 nhỏ hơn hoặc bằng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46" ht="129" customHeight="1">
      <c r="A446" s="24">
        <f>HYPERLINK("#'Kiểm thử'!A"&amp;(MATCH("TC-RS-VAL-019 / fixed100-le",'Kiểm thử'!$A$5:$A$573,0)+4),"TC-RS-VAL-019 / fixed100-le")</f>
        <v/>
      </c>
      <c r="B446" s="18" t="inlineStr">
        <is>
          <t>Điều kiện / thao tác</t>
        </is>
      </c>
      <c r="C446"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47" ht="129" customHeight="1">
      <c r="A447" s="24">
        <f>HYPERLINK("#'Kiểm thử'!A"&amp;(MATCH("TC-RS-VAL-019 / fixed100-le",'Kiểm thử'!$A$5:$A$573,0)+4),"TC-RS-VAL-019 / fixed100-le")</f>
        <v/>
      </c>
      <c r="B447" s="18" t="inlineStr">
        <is>
          <t>Kết quả mong đợi</t>
        </is>
      </c>
      <c r="C447" s="18"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
Bảo toàn: Giữ điểm, cấu hình và đối tượng không đích theo expected; chỉ thay phần thủ tục yêu cầu, không tự đổi oracle hoặc mở rộng phạm vi.</t>
        </is>
      </c>
    </row>
    <row r="448" ht="299" customHeight="1">
      <c r="A448" s="24">
        <f>HYPERLINK("#'Kiểm thử'!A"&amp;(MATCH("TC-RS-VAL-019 / ratio0",'Kiểm thử'!$A$5:$A$573,0)+4),"TC-RS-VAL-019 / ratio0")</f>
        <v/>
      </c>
      <c r="B448" s="18" t="inlineStr">
        <is>
          <t>Điều kiện / thao tác</t>
        </is>
      </c>
      <c r="C448"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N=0 và N=100, mỗi giá trị với `&lt;` và `≤`; Tỷ lệ N=0, N=100; Tỷ lệ N=0.4 với Làm tròn（四捨五入） (ra `T=0`)
Tỷ lệ 0, dấu nhỏ hơn, không xử lý phần lẻ: T=0, có cảnh báo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49" ht="129" customHeight="1">
      <c r="A449" s="24">
        <f>HYPERLINK("#'Kiểm thử'!A"&amp;(MATCH("TC-RS-VAL-019 / ratio0",'Kiểm thử'!$A$5:$A$573,0)+4),"TC-RS-VAL-019 / ratio0")</f>
        <v/>
      </c>
      <c r="B449" s="18" t="inlineStr">
        <is>
          <t>Điều kiện / thao tác</t>
        </is>
      </c>
      <c r="C44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50" ht="129" customHeight="1">
      <c r="A450" s="24">
        <f>HYPERLINK("#'Kiểm thử'!A"&amp;(MATCH("TC-RS-VAL-019 / ratio0",'Kiểm thử'!$A$5:$A$573,0)+4),"TC-RS-VAL-019 / ratio0")</f>
        <v/>
      </c>
      <c r="B450" s="18" t="inlineStr">
        <is>
          <t>Kết quả mong đợi</t>
        </is>
      </c>
      <c r="C450" s="18"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
Bảo toàn: Giữ điểm, cấu hình và đối tượng không đích theo expected; chỉ thay phần thủ tục yêu cầu, không tự đổi oracle hoặc mở rộng phạm vi.</t>
        </is>
      </c>
    </row>
    <row r="451" ht="299" customHeight="1">
      <c r="A451" s="24">
        <f>HYPERLINK("#'Kiểm thử'!A"&amp;(MATCH("TC-RS-VAL-019 / ratio100",'Kiểm thử'!$A$5:$A$573,0)+4),"TC-RS-VAL-019 / ratio100")</f>
        <v/>
      </c>
      <c r="B451" s="18" t="inlineStr">
        <is>
          <t>Điều kiện / thao tác</t>
        </is>
      </c>
      <c r="C451"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N=0 và N=100, mỗi giá trị với `&lt;` và `≤`; Tỷ lệ N=0, N=100; Tỷ lệ N=0.4 với Làm tròn（四捨五入） (ra `T=0`)
Tỷ lệ 100, dấu nhỏ hơn hoặc bằng, không xử lý phần lẻ: T=100, có cảnh báo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52" ht="129" customHeight="1">
      <c r="A452" s="24">
        <f>HYPERLINK("#'Kiểm thử'!A"&amp;(MATCH("TC-RS-VAL-019 / ratio100",'Kiểm thử'!$A$5:$A$573,0)+4),"TC-RS-VAL-019 / ratio100")</f>
        <v/>
      </c>
      <c r="B452" s="18" t="inlineStr">
        <is>
          <t>Điều kiện / thao tác</t>
        </is>
      </c>
      <c r="C452"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53" ht="129" customHeight="1">
      <c r="A453" s="24">
        <f>HYPERLINK("#'Kiểm thử'!A"&amp;(MATCH("TC-RS-VAL-019 / ratio100",'Kiểm thử'!$A$5:$A$573,0)+4),"TC-RS-VAL-019 / ratio100")</f>
        <v/>
      </c>
      <c r="B453" s="18" t="inlineStr">
        <is>
          <t>Kết quả mong đợi</t>
        </is>
      </c>
      <c r="C453" s="18"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
Bảo toàn: Giữ điểm, cấu hình và đối tượng không đích theo expected; chỉ thay phần thủ tục yêu cầu, không tự đổi oracle hoặc mở rộng phạm vi.</t>
        </is>
      </c>
    </row>
    <row r="454" ht="299" customHeight="1">
      <c r="A454" s="24">
        <f>HYPERLINK("#'Kiểm thử'!A"&amp;(MATCH("TC-RS-VAL-019 / ratio04",'Kiểm thử'!$A$5:$A$573,0)+4),"TC-RS-VAL-019 / ratio04")</f>
        <v/>
      </c>
      <c r="B454" s="18" t="inlineStr">
        <is>
          <t>Điều kiện / thao tác</t>
        </is>
      </c>
      <c r="C454"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N=0 và N=100, mỗi giá trị với `&lt;` và `≤`; Tỷ lệ N=0, N=100; Tỷ lệ N=0.4 với Làm tròn（四捨五入） (ra `T=0`)
Tỷ lệ 0.4, dấu nhỏ hơn, làm tròn gần nhất p=1: T=0, có cảnh báo
Thao tác: Nhập từng giá trị,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55" ht="129" customHeight="1">
      <c r="A455" s="24">
        <f>HYPERLINK("#'Kiểm thử'!A"&amp;(MATCH("TC-RS-VAL-019 / ratio04",'Kiểm thử'!$A$5:$A$573,0)+4),"TC-RS-VAL-019 / ratio04")</f>
        <v/>
      </c>
      <c r="B455" s="18" t="inlineStr">
        <is>
          <t>Điều kiện / thao tác</t>
        </is>
      </c>
      <c r="C45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56" ht="129" customHeight="1">
      <c r="A456" s="24">
        <f>HYPERLINK("#'Kiểm thử'!A"&amp;(MATCH("TC-RS-VAL-019 / ratio04",'Kiểm thử'!$A$5:$A$573,0)+4),"TC-RS-VAL-019 / ratio04")</f>
        <v/>
      </c>
      <c r="B456" s="18" t="inlineStr">
        <is>
          <t>Kết quả mong đợi</t>
        </is>
      </c>
      <c r="C456" s="18"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
Bảo toàn: Giữ điểm, cấu hình và đối tượng không đích theo expected; chỉ thay phần thủ tục yêu cầu, không tự đổi oracle hoặc mở rộng phạm vi.</t>
        </is>
      </c>
    </row>
    <row r="457" ht="299" customHeight="1">
      <c r="A457" s="24">
        <f>HYPERLINK("#'Kiểm thử'!A"&amp;(MATCH("TC-RS-VAL-020 / minus20",'Kiểm thử'!$A$5:$A$573,0)+4),"TC-RS-VAL-020 / minus20")</f>
        <v/>
      </c>
      <c r="B457" s="18" t="inlineStr">
        <is>
          <t>Điều kiện / thao tác</t>
        </is>
      </c>
      <c r="C457"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trung bình − 20 (`A−20`); công thức `A × 3`
Trừ 20
Thao tác: Lưu từng công thức.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58" ht="112" customHeight="1">
      <c r="A458" s="24">
        <f>HYPERLINK("#'Kiểm thử'!A"&amp;(MATCH("TC-RS-VAL-020 / minus20",'Kiểm thử'!$A$5:$A$573,0)+4),"TC-RS-VAL-020 / minus20")</f>
        <v/>
      </c>
      <c r="B458" s="18" t="inlineStr">
        <is>
          <t>Điều kiện / thao tác</t>
        </is>
      </c>
      <c r="C45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59" ht="299" customHeight="1">
      <c r="A459" s="24">
        <f>HYPERLINK("#'Kiểm thử'!A"&amp;(MATCH("TC-RS-VAL-020 / times3",'Kiểm thử'!$A$5:$A$573,0)+4),"TC-RS-VAL-020 / times3")</f>
        <v/>
      </c>
      <c r="B459" s="18" t="inlineStr">
        <is>
          <t>Điều kiện / thao tác</t>
        </is>
      </c>
      <c r="C459" s="18" t="inlineStr">
        <is>
          <t>Cấu hình: Loại Công thức tính（計算式）.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trung bình − 20 (`A−20`); công thức `A × 3`
Nhân 3
Thao tác: Lưu từng công thức.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60" ht="112" customHeight="1">
      <c r="A460" s="24">
        <f>HYPERLINK("#'Kiểm thử'!A"&amp;(MATCH("TC-RS-VAL-020 / times3",'Kiểm thử'!$A$5:$A$573,0)+4),"TC-RS-VAL-020 / times3")</f>
        <v/>
      </c>
      <c r="B460" s="18" t="inlineStr">
        <is>
          <t>Điều kiện / thao tác</t>
        </is>
      </c>
      <c r="C46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61" ht="299" customHeight="1">
      <c r="A461" s="24">
        <f>HYPERLINK("#'Kiểm thử'!A"&amp;(MATCH("TC-RS-VAL-021 / Base",'Kiểm thử'!$A$5:$A$573,0)+4),"TC-RS-VAL-021 / Base")</f>
        <v/>
      </c>
      <c r="B461" s="18" t="inlineStr">
        <is>
          <t>Điều kiện / thao tác</t>
        </is>
      </c>
      <c r="C461" s="18" t="inlineStr">
        <is>
          <t>Cấu hình: quy tắc “Cố định 30” (dưới 30) (cố định 30) đã lưu.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Toàn bộ thủ tục theo đúng thứ tự; các đối chứng cùng fixture được kiểm trong cùng lượt, không bỏ bước
Thao tác: 1. Đổi sang Tỷ lệ, nhập 40, đổi lại Cố định; xem ô Cố định; đổi sang Tỷ lệ lần nữa, xem ô Tỷ lệ.
2. Đổi lại Cố định, Lưu.
3. Mở lại quy tắc.
4. Đổi sang Tỷ lệ, nhập 50, bấm Hủy; mở lại.
5. (Khi có schema) Lưu quy tắc Tỷ lệ 40 có bật xử lý phần lẻ; đổi sang Cố định 30, Lưu, SELECT;</t>
        </is>
      </c>
    </row>
    <row r="462" ht="214" customHeight="1">
      <c r="A462" s="24">
        <f>HYPERLINK("#'Kiểm thử'!A"&amp;(MATCH("TC-RS-VAL-021 / Base",'Kiểm thử'!$A$5:$A$573,0)+4),"TC-RS-VAL-021 / Base")</f>
        <v/>
      </c>
      <c r="B462" s="18" t="inlineStr">
        <is>
          <t>Điều kiện / thao tác</t>
        </is>
      </c>
      <c r="C462" s="18" t="inlineStr">
        <is>
          <t xml:space="preserve"> đổi sang Công thức `A×0.5`, Lưu, SELECT.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63" ht="163" customHeight="1">
      <c r="A463" s="24">
        <f>HYPERLINK("#'Kiểm thử'!A"&amp;(MATCH("TC-RS-VAL-021 / Base",'Kiểm thử'!$A$5:$A$573,0)+4),"TC-RS-VAL-021 / Base")</f>
        <v/>
      </c>
      <c r="B463" s="18" t="inlineStr">
        <is>
          <t>Kết quả mong đợi</t>
        </is>
      </c>
      <c r="C463" s="18" t="inlineStr">
        <is>
          <t>1. (PROPOSED) Trong phiên: ô Cố định vẫn 30; quay lại Tỷ lệ vẫn thấy 40.
2. Chỉ giá trị loại cuối cùng (Cố định 30) được kiểm và lưu; không lưu lẫn dữ liệu của loại khác.
3. Mở lại: Cố định 30; không bắt buộc còn giá trị Tỷ lệ 40.
4. Vẫn Cố định 30 (cấu hình đã lưu gần nhất).
5. (PROPOSED theo thiết kế DB v2) Sau mỗi lần lưu, các cột không dùng cho loại hiện tại (`round_*`, `threshold_value`, cột công thức/nguồn) là SQL NULL.
Bảo toàn: Giữ điểm, cấu hình và đối tượng không đích theo expected; chỉ thay phần thủ tục yêu cầu, không tự đổi oracle hoặc mở rộng phạm vi.</t>
        </is>
      </c>
    </row>
    <row r="464" ht="299" customHeight="1">
      <c r="A464" s="24">
        <f>HYPERLINK("#'Kiểm thử'!A"&amp;(MATCH("TC-RS-VAL-023 / lines20",'Kiểm thử'!$A$5:$A$573,0)+4),"TC-RS-VAL-023 / lines20")</f>
        <v/>
      </c>
      <c r="B464" s="18" t="inlineStr">
        <is>
          <t>Điều kiện / thao tác</t>
        </is>
      </c>
      <c r="C464" s="18" t="inlineStr">
        <is>
          <t>Cấu hình: Màn Công thức（計算式）, nguồn mặc định.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20 dòng: dòng 1 `A × 1`, các dòng sau `kết quả dòng trước × 1`; (b) 21 dòng như (a); (c) `A × 999999999.99999999`; (d) `A × 1000000000`; (e) `A × 0.123456789`
20 dòng
Thao tác: Nhập từng cấu hình,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65" ht="129" customHeight="1">
      <c r="A465" s="24">
        <f>HYPERLINK("#'Kiểm thử'!A"&amp;(MATCH("TC-RS-VAL-023 / lines20",'Kiểm thử'!$A$5:$A$573,0)+4),"TC-RS-VAL-023 / lines20")</f>
        <v/>
      </c>
      <c r="B465" s="18" t="inlineStr">
        <is>
          <t>Điều kiện / thao tác</t>
        </is>
      </c>
      <c r="C465"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66" ht="214" customHeight="1">
      <c r="A466" s="24">
        <f>HYPERLINK("#'Kiểm thử'!A"&amp;(MATCH("TC-RS-VAL-023 / lines20",'Kiểm thử'!$A$5:$A$573,0)+4),"TC-RS-VAL-023 / lines20")</f>
        <v/>
      </c>
      <c r="B466" s="18" t="inlineStr">
        <is>
          <t>Kết quả mong đợi</t>
        </is>
      </c>
      <c r="C466" s="18" t="inlineStr">
        <is>
          <t>(a) Lưu được, mở lại đủ 20 dòng.
(b) Không thêm được dòng 21 hoặc bị từ chối khi lưu.
(c) Lưu được, giá trị giữ nguyên.
(d), (e) Bị từ chối, không tự cắt/làm tròn.
Gửi trực tiếp request vượt giới hạn cũng bị server từ chối (case “Server kiểm miền giá trị khi bỏ qua kiểm tra phía trình duyệt”).
Bảo toàn: Giữ điểm, cấu hình và đối tượng không đích theo expected; chỉ thay phần thủ tục yêu cầu, không tự đổi oracle hoặc mở rộng phạm vi.</t>
        </is>
      </c>
    </row>
    <row r="467" ht="299" customHeight="1">
      <c r="A467" s="24">
        <f>HYPERLINK("#'Kiểm thử'!A"&amp;(MATCH("TC-RS-VAL-023 / lines21",'Kiểm thử'!$A$5:$A$573,0)+4),"TC-RS-VAL-023 / lines21")</f>
        <v/>
      </c>
      <c r="B467" s="18" t="inlineStr">
        <is>
          <t>Điều kiện / thao tác</t>
        </is>
      </c>
      <c r="C467" s="18" t="inlineStr">
        <is>
          <t>Cấu hình: Màn Công thức（計算式）, nguồn mặc định.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20 dòng: dòng 1 `A × 1`, các dòng sau `kết quả dòng trước × 1`; (b) 21 dòng như (a); (c) `A × 999999999.99999999`; (d) `A × 1000000000`; (e) `A × 0.123456789`
21 dòng
Thao tác: Nhập từng cấu hình,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68" ht="129" customHeight="1">
      <c r="A468" s="24">
        <f>HYPERLINK("#'Kiểm thử'!A"&amp;(MATCH("TC-RS-VAL-023 / lines21",'Kiểm thử'!$A$5:$A$573,0)+4),"TC-RS-VAL-023 / lines21")</f>
        <v/>
      </c>
      <c r="B468" s="18" t="inlineStr">
        <is>
          <t>Điều kiện / thao tác</t>
        </is>
      </c>
      <c r="C468"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69" ht="214" customHeight="1">
      <c r="A469" s="24">
        <f>HYPERLINK("#'Kiểm thử'!A"&amp;(MATCH("TC-RS-VAL-023 / lines21",'Kiểm thử'!$A$5:$A$573,0)+4),"TC-RS-VAL-023 / lines21")</f>
        <v/>
      </c>
      <c r="B469" s="18" t="inlineStr">
        <is>
          <t>Kết quả mong đợi</t>
        </is>
      </c>
      <c r="C469" s="18" t="inlineStr">
        <is>
          <t>(a) Lưu được, mở lại đủ 20 dòng.
(b) Không thêm được dòng 21 hoặc bị từ chối khi lưu.
(c) Lưu được, giá trị giữ nguyên.
(d), (e) Bị từ chối, không tự cắt/làm tròn.
Gửi trực tiếp request vượt giới hạn cũng bị server từ chối (case “Server kiểm miền giá trị khi bỏ qua kiểm tra phía trình duyệt”).
Bảo toàn: Giữ điểm, cấu hình và đối tượng không đích theo expected; chỉ thay phần thủ tục yêu cầu, không tự đổi oracle hoặc mở rộng phạm vi.</t>
        </is>
      </c>
    </row>
    <row r="470" ht="299" customHeight="1">
      <c r="A470" s="24">
        <f>HYPERLINK("#'Kiểm thử'!A"&amp;(MATCH("TC-RS-VAL-023 / constant",'Kiểm thử'!$A$5:$A$573,0)+4),"TC-RS-VAL-023 / constant")</f>
        <v/>
      </c>
      <c r="B470" s="18" t="inlineStr">
        <is>
          <t>Điều kiện / thao tác</t>
        </is>
      </c>
      <c r="C470" s="18" t="inlineStr">
        <is>
          <t>Cấu hình: Màn Công thức（計算式）, nguồn mặc định.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20 dòng: dòng 1 `A × 1`, các dòng sau `kết quả dòng trước × 1`; (b) 21 dòng như (a); (c) `A × 999999999.99999999`; (d) `A × 1000000000`; (e) `A × 0.123456789`
Hằng số cực lớn
Thao tác: Nhập từng cấu hình,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71" ht="129" customHeight="1">
      <c r="A471" s="24">
        <f>HYPERLINK("#'Kiểm thử'!A"&amp;(MATCH("TC-RS-VAL-023 / constant",'Kiểm thử'!$A$5:$A$573,0)+4),"TC-RS-VAL-023 / constant")</f>
        <v/>
      </c>
      <c r="B471" s="18" t="inlineStr">
        <is>
          <t>Điều kiện / thao tác</t>
        </is>
      </c>
      <c r="C471"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72" ht="214" customHeight="1">
      <c r="A472" s="24">
        <f>HYPERLINK("#'Kiểm thử'!A"&amp;(MATCH("TC-RS-VAL-023 / constant",'Kiểm thử'!$A$5:$A$573,0)+4),"TC-RS-VAL-023 / constant")</f>
        <v/>
      </c>
      <c r="B472" s="18" t="inlineStr">
        <is>
          <t>Kết quả mong đợi</t>
        </is>
      </c>
      <c r="C472" s="18" t="inlineStr">
        <is>
          <t>(a) Lưu được, mở lại đủ 20 dòng.
(b) Không thêm được dòng 21 hoặc bị từ chối khi lưu.
(c) Lưu được, giá trị giữ nguyên.
(d), (e) Bị từ chối, không tự cắt/làm tròn.
Gửi trực tiếp request vượt giới hạn cũng bị server từ chối (case “Server kiểm miền giá trị khi bỏ qua kiểm tra phía trình duyệt”).
Bảo toàn: Giữ điểm, cấu hình và đối tượng không đích theo expected; chỉ thay phần thủ tục yêu cầu, không tự đổi oracle hoặc mở rộng phạm vi.</t>
        </is>
      </c>
    </row>
    <row r="473" ht="299" customHeight="1">
      <c r="A473" s="24">
        <f>HYPERLINK("#'Kiểm thử'!A"&amp;(MATCH("TC-RS-VAL-023 / integer-overflow",'Kiểm thử'!$A$5:$A$573,0)+4),"TC-RS-VAL-023 / integer-overflow")</f>
        <v/>
      </c>
      <c r="B473" s="18" t="inlineStr">
        <is>
          <t>Điều kiện / thao tác</t>
        </is>
      </c>
      <c r="C473" s="18" t="inlineStr">
        <is>
          <t>Cấu hình: Màn Công thức（計算式）, nguồn mặc định.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20 dòng: dòng 1 `A × 1`, các dòng sau `kết quả dòng trước × 1`; (b) 21 dòng như (a); (c) `A × 999999999.99999999`; (d) `A × 1000000000`; (e) `A × 0.123456789`
Vượt phần nguyên
Thao tác: Nhập từng cấu hình,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74" ht="129" customHeight="1">
      <c r="A474" s="24">
        <f>HYPERLINK("#'Kiểm thử'!A"&amp;(MATCH("TC-RS-VAL-023 / integer-overflow",'Kiểm thử'!$A$5:$A$573,0)+4),"TC-RS-VAL-023 / integer-overflow")</f>
        <v/>
      </c>
      <c r="B474" s="18" t="inlineStr">
        <is>
          <t>Điều kiện / thao tác</t>
        </is>
      </c>
      <c r="C474"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75" ht="214" customHeight="1">
      <c r="A475" s="24">
        <f>HYPERLINK("#'Kiểm thử'!A"&amp;(MATCH("TC-RS-VAL-023 / integer-overflow",'Kiểm thử'!$A$5:$A$573,0)+4),"TC-RS-VAL-023 / integer-overflow")</f>
        <v/>
      </c>
      <c r="B475" s="18" t="inlineStr">
        <is>
          <t>Kết quả mong đợi</t>
        </is>
      </c>
      <c r="C475" s="18" t="inlineStr">
        <is>
          <t>(a) Lưu được, mở lại đủ 20 dòng.
(b) Không thêm được dòng 21 hoặc bị từ chối khi lưu.
(c) Lưu được, giá trị giữ nguyên.
(d), (e) Bị từ chối, không tự cắt/làm tròn.
Gửi trực tiếp request vượt giới hạn cũng bị server từ chối (case “Server kiểm miền giá trị khi bỏ qua kiểm tra phía trình duyệt”).
Bảo toàn: Giữ điểm, cấu hình và đối tượng không đích theo expected; chỉ thay phần thủ tục yêu cầu, không tự đổi oracle hoặc mở rộng phạm vi.</t>
        </is>
      </c>
    </row>
    <row r="476" ht="299" customHeight="1">
      <c r="A476" s="24">
        <f>HYPERLINK("#'Kiểm thử'!A"&amp;(MATCH("TC-RS-VAL-023 / fraction-overflow",'Kiểm thử'!$A$5:$A$573,0)+4),"TC-RS-VAL-023 / fraction-overflow")</f>
        <v/>
      </c>
      <c r="B476" s="18" t="inlineStr">
        <is>
          <t>Điều kiện / thao tác</t>
        </is>
      </c>
      <c r="C476" s="18" t="inlineStr">
        <is>
          <t>Cấu hình: Màn Công thức（計算式）, nguồn mặc định.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20 dòng: dòng 1 `A × 1`, các dòng sau `kết quả dòng trước × 1`; (b) 21 dòng như (a); (c) `A × 999999999.99999999`; (d) `A × 1000000000`; (e) `A × 0.123456789`
Vượt phần thập phân
Thao tác: Nhập từng cấu hình,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477" ht="129" customHeight="1">
      <c r="A477" s="24">
        <f>HYPERLINK("#'Kiểm thử'!A"&amp;(MATCH("TC-RS-VAL-023 / fraction-overflow",'Kiểm thử'!$A$5:$A$573,0)+4),"TC-RS-VAL-023 / fraction-overflow")</f>
        <v/>
      </c>
      <c r="B477" s="18" t="inlineStr">
        <is>
          <t>Điều kiện / thao tác</t>
        </is>
      </c>
      <c r="C477"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78" ht="214" customHeight="1">
      <c r="A478" s="24">
        <f>HYPERLINK("#'Kiểm thử'!A"&amp;(MATCH("TC-RS-VAL-023 / fraction-overflow",'Kiểm thử'!$A$5:$A$573,0)+4),"TC-RS-VAL-023 / fraction-overflow")</f>
        <v/>
      </c>
      <c r="B478" s="18" t="inlineStr">
        <is>
          <t>Kết quả mong đợi</t>
        </is>
      </c>
      <c r="C478" s="18" t="inlineStr">
        <is>
          <t>(a) Lưu được, mở lại đủ 20 dòng.
(b) Không thêm được dòng 21 hoặc bị từ chối khi lưu.
(c) Lưu được, giá trị giữ nguyên.
(d), (e) Bị từ chối, không tự cắt/làm tròn.
Gửi trực tiếp request vượt giới hạn cũng bị server từ chối (case “Server kiểm miền giá trị khi bỏ qua kiểm tra phía trình duyệt”).
Bảo toàn: Giữ điểm, cấu hình và đối tượng không đích theo expected; chỉ thay phần thủ tục yêu cầu, không tự đổi oracle hoặc mở rộng phạm vi.</t>
        </is>
      </c>
    </row>
    <row r="479" ht="299" customHeight="1">
      <c r="A479" s="24">
        <f>HYPERLINK("#'Kiểm thử'!A"&amp;(MATCH("TC-RS-CALC-013 / multiply",'Kiểm thử'!$A$5:$A$573,0)+4),"TC-RS-CALC-013 / multiply")</f>
        <v/>
      </c>
      <c r="B479" s="18" t="inlineStr">
        <is>
          <t>Điều kiện / thao tác</t>
        </is>
      </c>
      <c r="C479" s="18" t="inlineStr">
        <is>
          <t>Cấu hình: Nguồn có `A=50`;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Công thức: (a) `A×0.5`; (b) `A−20`; (c) `A+5`; S = 24, 25, 29, 30, 54, 55
Nhân 0.5
Thao tác: Với từng công thức, chạy nút cam,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80" ht="112" customHeight="1">
      <c r="A480" s="24">
        <f>HYPERLINK("#'Kiểm thử'!A"&amp;(MATCH("TC-RS-CALC-013 / multiply",'Kiểm thử'!$A$5:$A$573,0)+4),"TC-RS-CALC-013 / multiply")</f>
        <v/>
      </c>
      <c r="B480" s="18" t="inlineStr">
        <is>
          <t>Điều kiện / thao tác</t>
        </is>
      </c>
      <c r="C48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81" ht="299" customHeight="1">
      <c r="A481" s="24">
        <f>HYPERLINK("#'Kiểm thử'!A"&amp;(MATCH("TC-RS-CALC-013 / subtract",'Kiểm thử'!$A$5:$A$573,0)+4),"TC-RS-CALC-013 / subtract")</f>
        <v/>
      </c>
      <c r="B481" s="18" t="inlineStr">
        <is>
          <t>Điều kiện / thao tác</t>
        </is>
      </c>
      <c r="C481" s="18" t="inlineStr">
        <is>
          <t>Cấu hình: Nguồn có `A=50`;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Công thức: (a) `A×0.5`; (b) `A−20`; (c) `A+5`; S = 24, 25, 29, 30, 54, 55
Trừ 20
Thao tác: Với từng công thức, chạy nút cam,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82" ht="112" customHeight="1">
      <c r="A482" s="24">
        <f>HYPERLINK("#'Kiểm thử'!A"&amp;(MATCH("TC-RS-CALC-013 / subtract",'Kiểm thử'!$A$5:$A$573,0)+4),"TC-RS-CALC-013 / subtract")</f>
        <v/>
      </c>
      <c r="B482" s="18" t="inlineStr">
        <is>
          <t>Điều kiện / thao tác</t>
        </is>
      </c>
      <c r="C482"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83" ht="299" customHeight="1">
      <c r="A483" s="24">
        <f>HYPERLINK("#'Kiểm thử'!A"&amp;(MATCH("TC-RS-CALC-013 / add",'Kiểm thử'!$A$5:$A$573,0)+4),"TC-RS-CALC-013 / add")</f>
        <v/>
      </c>
      <c r="B483" s="18" t="inlineStr">
        <is>
          <t>Điều kiện / thao tác</t>
        </is>
      </c>
      <c r="C483" s="18" t="inlineStr">
        <is>
          <t>Cấu hình: Nguồn có `A=50`;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Công thức: (a) `A×0.5`; (b) `A−20`; (c) `A+5`; S = 24, 25, 29, 30, 54, 55
Cộng 5
Thao tác: Với từng công thức, chạy nút cam,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484" ht="112" customHeight="1">
      <c r="A484" s="24">
        <f>HYPERLINK("#'Kiểm thử'!A"&amp;(MATCH("TC-RS-CALC-013 / add",'Kiểm thử'!$A$5:$A$573,0)+4),"TC-RS-CALC-013 / add")</f>
        <v/>
      </c>
      <c r="B484" s="18" t="inlineStr">
        <is>
          <t>Điều kiện / thao tác</t>
        </is>
      </c>
      <c r="C484"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85" ht="299" customHeight="1">
      <c r="A485" s="24">
        <f>HYPERLINK("#'Kiểm thử'!A"&amp;(MATCH("TC-RS-CALC-014 / Base",'Kiểm thử'!$A$5:$A$573,0)+4),"TC-RS-CALC-014 / Base")</f>
        <v/>
      </c>
      <c r="B485" s="18" t="inlineStr">
        <is>
          <t>Điều kiện / thao tác</t>
        </is>
      </c>
      <c r="C485" s="18" t="inlineStr">
        <is>
          <t xml:space="preserve">Cấu hình: Nguồn `A=49.7`; dòng 1 `A÷2`; dòng 2 `Kết quả dòng 1 × 0.8`;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 = 19.1 và S = 19.2
Toàn bộ thủ tục theo đúng thứ tự; các đối chứng cùng fixture được kiểm trong cùng lượt, không bỏ bước
Thao tác: 1. Lưu đúng cấu hình: dòng 1 bật xử lý phần lẻ, vị trí 1, làm tròn xuống; dòng 2 không xử lý.
2. Chạy xét với `S=19.1` và `S=19.2`.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486" ht="146" customHeight="1">
      <c r="A486" s="24">
        <f>HYPERLINK("#'Kiểm thử'!A"&amp;(MATCH("TC-RS-CALC-014 / Base",'Kiểm thử'!$A$5:$A$573,0)+4),"TC-RS-CALC-014 / Base")</f>
        <v/>
      </c>
      <c r="B486" s="18" t="inlineStr">
        <is>
          <t>Điều kiện / thao tác</t>
        </is>
      </c>
      <c r="C48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87" ht="299" customHeight="1">
      <c r="A487" s="24">
        <f>HYPERLINK("#'Kiểm thử'!A"&amp;(MATCH("TC-RS-CALC-015 / less-than",'Kiểm thử'!$A$5:$A$573,0)+4),"TC-RS-CALC-015 / less-than")</f>
        <v/>
      </c>
      <c r="B487" s="18" t="inlineStr">
        <is>
          <t>Điều kiện / thao tác</t>
        </is>
      </c>
      <c r="C487" s="18" t="inlineStr">
        <is>
          <t>Cấu hình: giáo viên có quyền sửa thiết lập; dùng mục số thập phân TD-ITEM-02 (`M=100`) trong lớp fixture duy nhất TD-GRP-05; ba học sinh C15-P1/P2/P3 cùng thuộc phạm vi rule và nguồn trung bình TD-SRC-25; chưa có kết quả đỏ cũ.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C15-P1 có `S=23.9`, C15-P2 có `S=24`, C15-P3 có `S=24.4`; nguồn reader phải trả `A=61`; quy tắc hai dòng `(A÷2)×0.8`.
Nhánh less-than trong thủ tục và Expected của case; thực hiện các bước chuẩn bị chung trước nhánh
Thao tác: 1. Tạo dòng 1 `A÷2`; chọn **chữ số thập phân thứ 1（小数第1位）** và **Làm tròn xuống（切り捨て）**, tức kết quả dòng 1 được đưa về số nguyên. Tạo dòng 2 `kết quả dòng trước×0.8` và chọn **không xử lý phần lẻ（しない）**.</t>
        </is>
      </c>
    </row>
    <row r="488" ht="265" customHeight="1">
      <c r="A488" s="24">
        <f>HYPERLINK("#'Kiểm thử'!A"&amp;(MATCH("TC-RS-CALC-015 / less-than",'Kiểm thử'!$A$5:$A$573,0)+4),"TC-RS-CALC-015 / less-than")</f>
        <v/>
      </c>
      <c r="B488" s="18" t="inlineStr">
        <is>
          <t>Điều kiện / thao tác</t>
        </is>
      </c>
      <c r="C488" s="18" t="inlineStr">
        <is>
          <t xml:space="preserve">
2. Xác nhận TD-SRC-25/reader trả `A=61`; chạy trong đúng lớp TD-GRP-05 với C15-P1/P2/P3 cho hai biến thể dấu `&lt;` và `≤`, không đổi nguồn hoặc cách làm tròn.
3. Mở lại cấu hình và đối chiếu kết quả của C15-P1/P2/P3.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cần provision TD-GRP-05/TD-SRC-25 và xác nhận reader trả A=61; oracle đã cố định, không đổi theo kết quả chạy.
TC-RS-CALC-015: hoàn thiện đúng fixture/seam; giữ expected và chưa kết luận thực thi.</t>
        </is>
      </c>
    </row>
    <row r="489" ht="180" customHeight="1">
      <c r="A489" s="24">
        <f>HYPERLINK("#'Kiểm thử'!A"&amp;(MATCH("TC-RS-CALC-015 / less-than",'Kiểm thử'!$A$5:$A$573,0)+4),"TC-RS-CALC-015 / less-than")</f>
        <v/>
      </c>
      <c r="B489" s="18" t="inlineStr">
        <is>
          <t>Kết quả mong đợi</t>
        </is>
      </c>
      <c r="C489" s="18" t="inlineStr">
        <is>
          <t>Dòng 1 `61÷2=30.5` làm tròn xuống thành `30`; dòng 2 `30×0.8=24`, nên oracle cố định là `T=24`.
- Với dấu `&lt;`: C15-P1=`23.9` Đỏ; C15-P2=`24` **Không đỏ**; C15-P3=`24.4` **Không đỏ**.
- Với dấu `≤`: C15-P1=`23.9` Đỏ; C15-P2=`24` Đỏ; C15-P3=`24.4` **Không đỏ**.
Mở lại cấu hình và phần tóm tắt phải giữ đúng vị trí làm tròn xuống ở dòng 1, không được thay expected theo kết quả thực tế hoặc ghi đè oracle trong evidence. Phương thức không làm tròn dòng 1 là biến thể riêng, không thuộc case này.
Bảo toàn: Giữ điểm, cấu hình và đối tượng không đích theo expected; chỉ thay phần thủ tục yêu cầu, không tự đổi oracle hoặc mở rộng phạm vi.</t>
        </is>
      </c>
    </row>
    <row r="490" ht="299" customHeight="1">
      <c r="A490" s="24">
        <f>HYPERLINK("#'Kiểm thử'!A"&amp;(MATCH("TC-RS-CALC-015 / less-or-equal",'Kiểm thử'!$A$5:$A$573,0)+4),"TC-RS-CALC-015 / less-or-equal")</f>
        <v/>
      </c>
      <c r="B490" s="18" t="inlineStr">
        <is>
          <t>Điều kiện / thao tác</t>
        </is>
      </c>
      <c r="C490" s="18" t="inlineStr">
        <is>
          <t>Cấu hình: giáo viên có quyền sửa thiết lập; dùng mục số thập phân TD-ITEM-02 (`M=100`) trong lớp fixture duy nhất TD-GRP-05; ba học sinh C15-P1/P2/P3 cùng thuộc phạm vi rule và nguồn trung bình TD-SRC-25; chưa có kết quả đỏ cũ.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C15-P1 có `S=23.9`, C15-P2 có `S=24`, C15-P3 có `S=24.4`; nguồn reader phải trả `A=61`; quy tắc hai dòng `(A÷2)×0.8`.
Nhánh less-or-equal trong thủ tục và Expected của case; thực hiện các bước chuẩn bị chung trước nhánh
Thao tác: 1. Tạo dòng 1 `A÷2`; chọn **chữ số thập phân thứ 1（小数第1位）** và **Làm tròn xuống（切り捨て）**, tức kết quả dòng 1 được đưa về số nguyên. Tạo dòng 2 `kết quả dòng trước×0.8` và chọn **không xử lý phần lẻ（しない）**.</t>
        </is>
      </c>
    </row>
    <row r="491" ht="265" customHeight="1">
      <c r="A491" s="24">
        <f>HYPERLINK("#'Kiểm thử'!A"&amp;(MATCH("TC-RS-CALC-015 / less-or-equal",'Kiểm thử'!$A$5:$A$573,0)+4),"TC-RS-CALC-015 / less-or-equal")</f>
        <v/>
      </c>
      <c r="B491" s="18" t="inlineStr">
        <is>
          <t>Điều kiện / thao tác</t>
        </is>
      </c>
      <c r="C491" s="18" t="inlineStr">
        <is>
          <t xml:space="preserve">
2. Xác nhận TD-SRC-25/reader trả `A=61`; chạy trong đúng lớp TD-GRP-05 với C15-P1/P2/P3 cho hai biến thể dấu `&lt;` và `≤`, không đổi nguồn hoặc cách làm tròn.
3. Mở lại cấu hình và đối chiếu kết quả của C15-P1/P2/P3.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cần provision TD-GRP-05/TD-SRC-25 và xác nhận reader trả A=61; oracle đã cố định, không đổi theo kết quả chạy.
TC-RS-CALC-015: hoàn thiện đúng fixture/seam; giữ expected và chưa kết luận thực thi.</t>
        </is>
      </c>
    </row>
    <row r="492" ht="180" customHeight="1">
      <c r="A492" s="24">
        <f>HYPERLINK("#'Kiểm thử'!A"&amp;(MATCH("TC-RS-CALC-015 / less-or-equal",'Kiểm thử'!$A$5:$A$573,0)+4),"TC-RS-CALC-015 / less-or-equal")</f>
        <v/>
      </c>
      <c r="B492" s="18" t="inlineStr">
        <is>
          <t>Kết quả mong đợi</t>
        </is>
      </c>
      <c r="C492" s="18" t="inlineStr">
        <is>
          <t>Dòng 1 `61÷2=30.5` làm tròn xuống thành `30`; dòng 2 `30×0.8=24`, nên oracle cố định là `T=24`.
- Với dấu `&lt;`: C15-P1=`23.9` Đỏ; C15-P2=`24` **Không đỏ**; C15-P3=`24.4` **Không đỏ**.
- Với dấu `≤`: C15-P1=`23.9` Đỏ; C15-P2=`24` Đỏ; C15-P3=`24.4` **Không đỏ**.
Mở lại cấu hình và phần tóm tắt phải giữ đúng vị trí làm tròn xuống ở dòng 1, không được thay expected theo kết quả thực tế hoặc ghi đè oracle trong evidence. Phương thức không làm tròn dòng 1 là biến thể riêng, không thuộc case này.
Bảo toàn: Giữ điểm, cấu hình và đối tượng không đích theo expected; chỉ thay phần thủ tục yêu cầu, không tự đổi oracle hoặc mở rộng phạm vi.</t>
        </is>
      </c>
    </row>
    <row r="493" ht="299" customHeight="1">
      <c r="A493" s="24">
        <f>HYPERLINK("#'Kiểm thử'!A"&amp;(MATCH("TC-RS-CALC-015 / reopen-summary",'Kiểm thử'!$A$5:$A$573,0)+4),"TC-RS-CALC-015 / reopen-summary")</f>
        <v/>
      </c>
      <c r="B493" s="18" t="inlineStr">
        <is>
          <t>Điều kiện / thao tác</t>
        </is>
      </c>
      <c r="C493" s="18" t="inlineStr">
        <is>
          <t>Cấu hình: giáo viên có quyền sửa thiết lập; dùng mục số thập phân TD-ITEM-02 (`M=100`) trong lớp fixture duy nhất TD-GRP-05; ba học sinh C15-P1/P2/P3 cùng thuộc phạm vi rule và nguồn trung bình TD-SRC-25; chưa có kết quả đỏ cũ.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C15-P1 có `S=23.9`, C15-P2 có `S=24`, C15-P3 có `S=24.4`; nguồn reader phải trả `A=61`; quy tắc hai dòng `(A÷2)×0.8`.
Nhánh reopen-summary trong thủ tục và Expected của case; thực hiện các bước chuẩn bị chung trước nhánh
Thao tác: 1. Tạo dòng 1 `A÷2`; chọn **chữ số thập phân thứ 1（小数第1位）** và **Làm tròn xuống（切り捨て）**, tức kết quả dòng 1 được đưa về số nguyên. Tạo dòng 2 `kết quả dòng trước×0.8` và chọn **không xử lý phần lẻ（しない）**.</t>
        </is>
      </c>
    </row>
    <row r="494" ht="265" customHeight="1">
      <c r="A494" s="24">
        <f>HYPERLINK("#'Kiểm thử'!A"&amp;(MATCH("TC-RS-CALC-015 / reopen-summary",'Kiểm thử'!$A$5:$A$573,0)+4),"TC-RS-CALC-015 / reopen-summary")</f>
        <v/>
      </c>
      <c r="B494" s="18" t="inlineStr">
        <is>
          <t>Điều kiện / thao tác</t>
        </is>
      </c>
      <c r="C494" s="18" t="inlineStr">
        <is>
          <t xml:space="preserve">
2. Xác nhận TD-SRC-25/reader trả `A=61`; chạy trong đúng lớp TD-GRP-05 với C15-P1/P2/P3 cho hai biến thể dấu `&lt;` và `≤`, không đổi nguồn hoặc cách làm tròn.
3. Mở lại cấu hình và đối chiếu kết quả của C15-P1/P2/P3.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cần provision TD-GRP-05/TD-SRC-25 và xác nhận reader trả A=61; oracle đã cố định, không đổi theo kết quả chạy.
TC-RS-CALC-015: hoàn thiện đúng fixture/seam; giữ expected và chưa kết luận thực thi.</t>
        </is>
      </c>
    </row>
    <row r="495" ht="180" customHeight="1">
      <c r="A495" s="24">
        <f>HYPERLINK("#'Kiểm thử'!A"&amp;(MATCH("TC-RS-CALC-015 / reopen-summary",'Kiểm thử'!$A$5:$A$573,0)+4),"TC-RS-CALC-015 / reopen-summary")</f>
        <v/>
      </c>
      <c r="B495" s="18" t="inlineStr">
        <is>
          <t>Kết quả mong đợi</t>
        </is>
      </c>
      <c r="C495" s="18" t="inlineStr">
        <is>
          <t>Dòng 1 `61÷2=30.5` làm tròn xuống thành `30`; dòng 2 `30×0.8=24`, nên oracle cố định là `T=24`.
- Với dấu `&lt;`: C15-P1=`23.9` Đỏ; C15-P2=`24` **Không đỏ**; C15-P3=`24.4` **Không đỏ**.
- Với dấu `≤`: C15-P1=`23.9` Đỏ; C15-P2=`24` Đỏ; C15-P3=`24.4` **Không đỏ**.
Mở lại cấu hình và phần tóm tắt phải giữ đúng vị trí làm tròn xuống ở dòng 1, không được thay expected theo kết quả thực tế hoặc ghi đè oracle trong evidence. Phương thức không làm tròn dòng 1 là biến thể riêng, không thuộc case này.
Bảo toàn: Giữ điểm, cấu hình và đối tượng không đích theo expected; chỉ thay phần thủ tục yêu cầu, không tự đổi oracle hoặc mở rộng phạm vi.</t>
        </is>
      </c>
    </row>
    <row r="496" ht="299" customHeight="1">
      <c r="A496" s="24">
        <f>HYPERLINK("#'Kiểm thử'!A"&amp;(MATCH("TC-RS-CALC-016 / zero-lt",'Kiểm thử'!$A$5:$A$573,0)+4),"TC-RS-CALC-016 / zero-lt")</f>
        <v/>
      </c>
      <c r="B496" s="18" t="inlineStr">
        <is>
          <t>Điều kiện / thao tác</t>
        </is>
      </c>
      <c r="C496" s="18" t="inlineStr">
        <is>
          <t>Cấu hình: quy tắc công thức trung bình − 20; nguồn `A=15`. Biến thể (b) cần mục cho phép điểm âm.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trung bình − 20; (a) Mục thường: S = 0; (b) mục cho phép điểm âm: S = −6, −5
Ngưỡng 0 nhỏ hơn
Thao tác: (a) Xét S=0 với `&lt;` và `≤`.
(b) Xét −6, −5 với `&lt;` và `≤`.
Khôi phục: Trước mỗi biến thể, dựng lại điều kiện/dữ liệu đầu của case bằng đường được phép; giữ các reset/fixture độc lập đã nêu trong thủ tục.</t>
        </is>
      </c>
    </row>
    <row r="497" ht="180" customHeight="1">
      <c r="A497" s="24">
        <f>HYPERLINK("#'Kiểm thử'!A"&amp;(MATCH("TC-RS-CALC-016 / zero-lt",'Kiểm thử'!$A$5:$A$573,0)+4),"TC-RS-CALC-016 / zero-lt")</f>
        <v/>
      </c>
      <c r="B497" s="18" t="inlineStr">
        <is>
          <t>Điều kiện / thao tác</t>
        </is>
      </c>
      <c r="C497"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498" ht="299" customHeight="1">
      <c r="A498" s="24">
        <f>HYPERLINK("#'Kiểm thử'!A"&amp;(MATCH("TC-RS-CALC-016 / zero-le",'Kiểm thử'!$A$5:$A$573,0)+4),"TC-RS-CALC-016 / zero-le")</f>
        <v/>
      </c>
      <c r="B498" s="18" t="inlineStr">
        <is>
          <t>Điều kiện / thao tác</t>
        </is>
      </c>
      <c r="C498" s="18" t="inlineStr">
        <is>
          <t>Cấu hình: quy tắc công thức trung bình − 20; nguồn `A=15`. Biến thể (b) cần mục cho phép điểm âm.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trung bình − 20; (a) Mục thường: S = 0; (b) mục cho phép điểm âm: S = −6, −5
Ngưỡng 0 nhỏ hơn hoặc bằng
Thao tác: (a) Xét S=0 với `&lt;` và `≤`.
(b) Xét −6, −5 với `&lt;` và `≤`.
Khôi phục: Trước mỗi biến thể, dựng lại điều kiện/dữ liệu đầu của case bằng đường được phép; giữ các reset/fixture độc lập đã nêu trong thủ tục.</t>
        </is>
      </c>
    </row>
    <row r="499" ht="180" customHeight="1">
      <c r="A499" s="24">
        <f>HYPERLINK("#'Kiểm thử'!A"&amp;(MATCH("TC-RS-CALC-016 / zero-le",'Kiểm thử'!$A$5:$A$573,0)+4),"TC-RS-CALC-016 / zero-le")</f>
        <v/>
      </c>
      <c r="B499" s="18" t="inlineStr">
        <is>
          <t>Điều kiện / thao tác</t>
        </is>
      </c>
      <c r="C499"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500" ht="299" customHeight="1">
      <c r="A500" s="24">
        <f>HYPERLINK("#'Kiểm thử'!A"&amp;(MATCH("TC-RS-CALC-016 / negative-lt",'Kiểm thử'!$A$5:$A$573,0)+4),"TC-RS-CALC-016 / negative-lt")</f>
        <v/>
      </c>
      <c r="B500" s="18" t="inlineStr">
        <is>
          <t>Điều kiện / thao tác</t>
        </is>
      </c>
      <c r="C500" s="18" t="inlineStr">
        <is>
          <t>Cấu hình: quy tắc công thức trung bình − 20; nguồn `A=15`. Biến thể (b) cần mục cho phép điểm âm.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trung bình − 20; (a) Mục thường: S = 0; (b) mục cho phép điểm âm: S = −6, −5
Ngưỡng âm nhỏ hơn
Thao tác: (a) Xét S=0 với `&lt;` và `≤`.
(b) Xét −6, −5 với `&lt;` và `≤`.
Khôi phục: Trước mỗi biến thể, dựng lại điều kiện/dữ liệu đầu của case bằng đường được phép; giữ các reset/fixture độc lập đã nêu trong thủ tục.</t>
        </is>
      </c>
    </row>
    <row r="501" ht="180" customHeight="1">
      <c r="A501" s="24">
        <f>HYPERLINK("#'Kiểm thử'!A"&amp;(MATCH("TC-RS-CALC-016 / negative-lt",'Kiểm thử'!$A$5:$A$573,0)+4),"TC-RS-CALC-016 / negative-lt")</f>
        <v/>
      </c>
      <c r="B501" s="18" t="inlineStr">
        <is>
          <t>Điều kiện / thao tác</t>
        </is>
      </c>
      <c r="C501"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502" ht="299" customHeight="1">
      <c r="A502" s="24">
        <f>HYPERLINK("#'Kiểm thử'!A"&amp;(MATCH("TC-RS-CALC-016 / negative-le",'Kiểm thử'!$A$5:$A$573,0)+4),"TC-RS-CALC-016 / negative-le")</f>
        <v/>
      </c>
      <c r="B502" s="18" t="inlineStr">
        <is>
          <t>Điều kiện / thao tác</t>
        </is>
      </c>
      <c r="C502" s="18" t="inlineStr">
        <is>
          <t>Cấu hình: quy tắc công thức trung bình − 20; nguồn `A=15`. Biến thể (b) cần mục cho phép điểm âm.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trung bình − 20; (a) Mục thường: S = 0; (b) mục cho phép điểm âm: S = −6, −5
Ngưỡng âm nhỏ hơn hoặc bằng
Thao tác: (a) Xét S=0 với `&lt;` và `≤`.
(b) Xét −6, −5 với `&lt;` và `≤`.
Khôi phục: Trước mỗi biến thể, dựng lại điều kiện/dữ liệu đầu của case bằng đường được phép; giữ các reset/fixture độc lập đã nêu trong thủ tục.</t>
        </is>
      </c>
    </row>
    <row r="503" ht="180" customHeight="1">
      <c r="A503" s="24">
        <f>HYPERLINK("#'Kiểm thử'!A"&amp;(MATCH("TC-RS-CALC-016 / negative-le",'Kiểm thử'!$A$5:$A$573,0)+4),"TC-RS-CALC-016 / negative-le")</f>
        <v/>
      </c>
      <c r="B503" s="18" t="inlineStr">
        <is>
          <t>Điều kiện / thao tác</t>
        </is>
      </c>
      <c r="C503"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504" ht="299" customHeight="1">
      <c r="A504" s="24">
        <f>HYPERLINK("#'Kiểm thử'!A"&amp;(MATCH("TC-RS-CALC-017 / Base",'Kiểm thử'!$A$5:$A$573,0)+4),"TC-RS-CALC-017 / Base")</f>
        <v/>
      </c>
      <c r="B504" s="18" t="inlineStr">
        <is>
          <t>Điều kiện / thao tác</t>
        </is>
      </c>
      <c r="C504" s="18" t="inlineStr">
        <is>
          <t>Cấu hình: Nguồn `A=80`; công thức `A×1.5`;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S = 100
Toàn bộ thủ tục theo đúng thứ tự; các đối chứng cùng fixture được kiểm trong cùng lượt, không bỏ bước
Thao tác: Chạy nút cam;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505" ht="129" customHeight="1">
      <c r="A505" s="24">
        <f>HYPERLINK("#'Kiểm thử'!A"&amp;(MATCH("TC-RS-CALC-017 / Base",'Kiểm thử'!$A$5:$A$573,0)+4),"TC-RS-CALC-017 / Base")</f>
        <v/>
      </c>
      <c r="B505" s="18" t="inlineStr">
        <is>
          <t>Điều kiện / thao tác</t>
        </is>
      </c>
      <c r="C50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506" ht="299" customHeight="1">
      <c r="A506" s="24">
        <f>HYPERLINK("#'Kiểm thử'!A"&amp;(MATCH("TC-RS-CALC-018 / Base",'Kiểm thử'!$A$5:$A$573,0)+4),"TC-RS-CALC-018 / Base")</f>
        <v/>
      </c>
      <c r="B506" s="18" t="inlineStr">
        <is>
          <t>Điều kiện / thao tác</t>
        </is>
      </c>
      <c r="C506" s="18" t="inlineStr">
        <is>
          <t>Cấu hình: Nguồn `A=50`; công thức `A−0`,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 = 49, 50
Toàn bộ thủ tục theo đúng thứ tự; các đối chứng cùng fixture được kiểm trong cùng lượt, không bỏ bước
Thao tác: 1. Lưu công thức (quan sát cảnh báo).
2. Chạy nút cam.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507" ht="129" customHeight="1">
      <c r="A507" s="24">
        <f>HYPERLINK("#'Kiểm thử'!A"&amp;(MATCH("TC-RS-CALC-018 / Base",'Kiểm thử'!$A$5:$A$573,0)+4),"TC-RS-CALC-018 / Base")</f>
        <v/>
      </c>
      <c r="B507" s="18" t="inlineStr">
        <is>
          <t>Điều kiện / thao tác</t>
        </is>
      </c>
      <c r="C507"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508" ht="299" customHeight="1">
      <c r="A508" s="24">
        <f>HYPERLINK("#'Kiểm thử'!A"&amp;(MATCH("TC-RS-CALC-019 / positive-none",'Kiểm thử'!$A$5:$A$573,0)+4),"TC-RS-CALC-019 / positive-none")</f>
        <v/>
      </c>
      <c r="B508" s="18" t="inlineStr">
        <is>
          <t>Điều kiện / thao tác</t>
        </is>
      </c>
      <c r="C508"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29.7 không xử lý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09" ht="299" customHeight="1">
      <c r="A509" s="24">
        <f>HYPERLINK("#'Kiểm thử'!A"&amp;(MATCH("TC-RS-CALC-019 / positive-none",'Kiểm thử'!$A$5:$A$573,0)+4),"TC-RS-CALC-019 / positive-none")</f>
        <v/>
      </c>
      <c r="B509" s="18" t="inlineStr">
        <is>
          <t>Điều kiện / thao tác</t>
        </is>
      </c>
      <c r="C509"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10" ht="299" customHeight="1">
      <c r="A510" s="24">
        <f>HYPERLINK("#'Kiểm thử'!A"&amp;(MATCH("TC-RS-CALC-019 / positive-none",'Kiểm thử'!$A$5:$A$573,0)+4),"TC-RS-CALC-019 / positive-none")</f>
        <v/>
      </c>
      <c r="B510" s="18" t="inlineStr">
        <is>
          <t>Điều kiện / thao tác</t>
        </is>
      </c>
      <c r="C510"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11" ht="44" customHeight="1">
      <c r="A511" s="24">
        <f>HYPERLINK("#'Kiểm thử'!A"&amp;(MATCH("TC-RS-CALC-019 / positive-none",'Kiểm thử'!$A$5:$A$573,0)+4),"TC-RS-CALC-019 / positive-none")</f>
        <v/>
      </c>
      <c r="B511" s="18" t="inlineStr">
        <is>
          <t>Điều kiện / thao tác</t>
        </is>
      </c>
      <c r="C511" s="18" t="inlineStr">
        <is>
          <t xml:space="preserve">
TC-RS-CALC-019: hoàn thiện đúng fixture/seam; giữ expected và chưa kết luận thực thi.</t>
        </is>
      </c>
    </row>
    <row r="512" ht="299" customHeight="1">
      <c r="A512" s="24">
        <f>HYPERLINK("#'Kiểm thử'!A"&amp;(MATCH("TC-RS-CALC-019 / positive-none",'Kiểm thử'!$A$5:$A$573,0)+4),"TC-RS-CALC-019 / positive-none")</f>
        <v/>
      </c>
      <c r="B512" s="18" t="inlineStr">
        <is>
          <t>Kết quả mong đợi</t>
        </is>
      </c>
      <c r="C512"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13" ht="163" customHeight="1">
      <c r="A513" s="24">
        <f>HYPERLINK("#'Kiểm thử'!A"&amp;(MATCH("TC-RS-CALC-019 / positive-none",'Kiểm thử'!$A$5:$A$573,0)+4),"TC-RS-CALC-019 / positive-none")</f>
        <v/>
      </c>
      <c r="B513" s="18" t="inlineStr">
        <is>
          <t>Kết quả mong đợi</t>
        </is>
      </c>
      <c r="C513"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14" ht="299" customHeight="1">
      <c r="A514" s="24">
        <f>HYPERLINK("#'Kiểm thử'!A"&amp;(MATCH("TC-RS-CALC-019 / positive-down",'Kiểm thử'!$A$5:$A$573,0)+4),"TC-RS-CALC-019 / positive-down")</f>
        <v/>
      </c>
      <c r="B514" s="18" t="inlineStr">
        <is>
          <t>Điều kiện / thao tác</t>
        </is>
      </c>
      <c r="C514"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29.7 xuống p1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15" ht="299" customHeight="1">
      <c r="A515" s="24">
        <f>HYPERLINK("#'Kiểm thử'!A"&amp;(MATCH("TC-RS-CALC-019 / positive-down",'Kiểm thử'!$A$5:$A$573,0)+4),"TC-RS-CALC-019 / positive-down")</f>
        <v/>
      </c>
      <c r="B515" s="18" t="inlineStr">
        <is>
          <t>Điều kiện / thao tác</t>
        </is>
      </c>
      <c r="C515"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16" ht="299" customHeight="1">
      <c r="A516" s="24">
        <f>HYPERLINK("#'Kiểm thử'!A"&amp;(MATCH("TC-RS-CALC-019 / positive-down",'Kiểm thử'!$A$5:$A$573,0)+4),"TC-RS-CALC-019 / positive-down")</f>
        <v/>
      </c>
      <c r="B516" s="18" t="inlineStr">
        <is>
          <t>Điều kiện / thao tác</t>
        </is>
      </c>
      <c r="C516"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17" ht="44" customHeight="1">
      <c r="A517" s="24">
        <f>HYPERLINK("#'Kiểm thử'!A"&amp;(MATCH("TC-RS-CALC-019 / positive-down",'Kiểm thử'!$A$5:$A$573,0)+4),"TC-RS-CALC-019 / positive-down")</f>
        <v/>
      </c>
      <c r="B517" s="18" t="inlineStr">
        <is>
          <t>Điều kiện / thao tác</t>
        </is>
      </c>
      <c r="C517" s="18" t="inlineStr">
        <is>
          <t xml:space="preserve">
TC-RS-CALC-019: hoàn thiện đúng fixture/seam; giữ expected và chưa kết luận thực thi.</t>
        </is>
      </c>
    </row>
    <row r="518" ht="299" customHeight="1">
      <c r="A518" s="24">
        <f>HYPERLINK("#'Kiểm thử'!A"&amp;(MATCH("TC-RS-CALC-019 / positive-down",'Kiểm thử'!$A$5:$A$573,0)+4),"TC-RS-CALC-019 / positive-down")</f>
        <v/>
      </c>
      <c r="B518" s="18" t="inlineStr">
        <is>
          <t>Kết quả mong đợi</t>
        </is>
      </c>
      <c r="C518"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19" ht="163" customHeight="1">
      <c r="A519" s="24">
        <f>HYPERLINK("#'Kiểm thử'!A"&amp;(MATCH("TC-RS-CALC-019 / positive-down",'Kiểm thử'!$A$5:$A$573,0)+4),"TC-RS-CALC-019 / positive-down")</f>
        <v/>
      </c>
      <c r="B519" s="18" t="inlineStr">
        <is>
          <t>Kết quả mong đợi</t>
        </is>
      </c>
      <c r="C519"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20" ht="299" customHeight="1">
      <c r="A520" s="24">
        <f>HYPERLINK("#'Kiểm thử'!A"&amp;(MATCH("TC-RS-CALC-019 / positive-nearest",'Kiểm thử'!$A$5:$A$573,0)+4),"TC-RS-CALC-019 / positive-nearest")</f>
        <v/>
      </c>
      <c r="B520" s="18" t="inlineStr">
        <is>
          <t>Điều kiện / thao tác</t>
        </is>
      </c>
      <c r="C520"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29.75 gần nhất p2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21" ht="299" customHeight="1">
      <c r="A521" s="24">
        <f>HYPERLINK("#'Kiểm thử'!A"&amp;(MATCH("TC-RS-CALC-019 / positive-nearest",'Kiểm thử'!$A$5:$A$573,0)+4),"TC-RS-CALC-019 / positive-nearest")</f>
        <v/>
      </c>
      <c r="B521" s="18" t="inlineStr">
        <is>
          <t>Điều kiện / thao tác</t>
        </is>
      </c>
      <c r="C521"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22" ht="299" customHeight="1">
      <c r="A522" s="24">
        <f>HYPERLINK("#'Kiểm thử'!A"&amp;(MATCH("TC-RS-CALC-019 / positive-nearest",'Kiểm thử'!$A$5:$A$573,0)+4),"TC-RS-CALC-019 / positive-nearest")</f>
        <v/>
      </c>
      <c r="B522" s="18" t="inlineStr">
        <is>
          <t>Điều kiện / thao tác</t>
        </is>
      </c>
      <c r="C522"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23" ht="44" customHeight="1">
      <c r="A523" s="24">
        <f>HYPERLINK("#'Kiểm thử'!A"&amp;(MATCH("TC-RS-CALC-019 / positive-nearest",'Kiểm thử'!$A$5:$A$573,0)+4),"TC-RS-CALC-019 / positive-nearest")</f>
        <v/>
      </c>
      <c r="B523" s="18" t="inlineStr">
        <is>
          <t>Điều kiện / thao tác</t>
        </is>
      </c>
      <c r="C523" s="18" t="inlineStr">
        <is>
          <t xml:space="preserve">
TC-RS-CALC-019: hoàn thiện đúng fixture/seam; giữ expected và chưa kết luận thực thi.</t>
        </is>
      </c>
    </row>
    <row r="524" ht="299" customHeight="1">
      <c r="A524" s="24">
        <f>HYPERLINK("#'Kiểm thử'!A"&amp;(MATCH("TC-RS-CALC-019 / positive-nearest",'Kiểm thử'!$A$5:$A$573,0)+4),"TC-RS-CALC-019 / positive-nearest")</f>
        <v/>
      </c>
      <c r="B524" s="18" t="inlineStr">
        <is>
          <t>Kết quả mong đợi</t>
        </is>
      </c>
      <c r="C524"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25" ht="163" customHeight="1">
      <c r="A525" s="24">
        <f>HYPERLINK("#'Kiểm thử'!A"&amp;(MATCH("TC-RS-CALC-019 / positive-nearest",'Kiểm thử'!$A$5:$A$573,0)+4),"TC-RS-CALC-019 / positive-nearest")</f>
        <v/>
      </c>
      <c r="B525" s="18" t="inlineStr">
        <is>
          <t>Kết quả mong đợi</t>
        </is>
      </c>
      <c r="C525"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26" ht="299" customHeight="1">
      <c r="A526" s="24">
        <f>HYPERLINK("#'Kiểm thử'!A"&amp;(MATCH("TC-RS-CALC-019 / negative-up",'Kiểm thử'!$A$5:$A$573,0)+4),"TC-RS-CALC-019 / negative-up")</f>
        <v/>
      </c>
      <c r="B526" s="18" t="inlineStr">
        <is>
          <t>Điều kiện / thao tác</t>
        </is>
      </c>
      <c r="C526"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-5.2 lên p1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27" ht="299" customHeight="1">
      <c r="A527" s="24">
        <f>HYPERLINK("#'Kiểm thử'!A"&amp;(MATCH("TC-RS-CALC-019 / negative-up",'Kiểm thử'!$A$5:$A$573,0)+4),"TC-RS-CALC-019 / negative-up")</f>
        <v/>
      </c>
      <c r="B527" s="18" t="inlineStr">
        <is>
          <t>Điều kiện / thao tác</t>
        </is>
      </c>
      <c r="C527"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28" ht="299" customHeight="1">
      <c r="A528" s="24">
        <f>HYPERLINK("#'Kiểm thử'!A"&amp;(MATCH("TC-RS-CALC-019 / negative-up",'Kiểm thử'!$A$5:$A$573,0)+4),"TC-RS-CALC-019 / negative-up")</f>
        <v/>
      </c>
      <c r="B528" s="18" t="inlineStr">
        <is>
          <t>Điều kiện / thao tác</t>
        </is>
      </c>
      <c r="C528"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29" ht="44" customHeight="1">
      <c r="A529" s="24">
        <f>HYPERLINK("#'Kiểm thử'!A"&amp;(MATCH("TC-RS-CALC-019 / negative-up",'Kiểm thử'!$A$5:$A$573,0)+4),"TC-RS-CALC-019 / negative-up")</f>
        <v/>
      </c>
      <c r="B529" s="18" t="inlineStr">
        <is>
          <t>Điều kiện / thao tác</t>
        </is>
      </c>
      <c r="C529" s="18" t="inlineStr">
        <is>
          <t xml:space="preserve">
TC-RS-CALC-019: hoàn thiện đúng fixture/seam; giữ expected và chưa kết luận thực thi.</t>
        </is>
      </c>
    </row>
    <row r="530" ht="299" customHeight="1">
      <c r="A530" s="24">
        <f>HYPERLINK("#'Kiểm thử'!A"&amp;(MATCH("TC-RS-CALC-019 / negative-up",'Kiểm thử'!$A$5:$A$573,0)+4),"TC-RS-CALC-019 / negative-up")</f>
        <v/>
      </c>
      <c r="B530" s="18" t="inlineStr">
        <is>
          <t>Kết quả mong đợi</t>
        </is>
      </c>
      <c r="C530"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31" ht="163" customHeight="1">
      <c r="A531" s="24">
        <f>HYPERLINK("#'Kiểm thử'!A"&amp;(MATCH("TC-RS-CALC-019 / negative-up",'Kiểm thử'!$A$5:$A$573,0)+4),"TC-RS-CALC-019 / negative-up")</f>
        <v/>
      </c>
      <c r="B531" s="18" t="inlineStr">
        <is>
          <t>Kết quả mong đợi</t>
        </is>
      </c>
      <c r="C531"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32" ht="299" customHeight="1">
      <c r="A532" s="24">
        <f>HYPERLINK("#'Kiểm thử'!A"&amp;(MATCH("TC-RS-CALC-019 / negative-down",'Kiểm thử'!$A$5:$A$573,0)+4),"TC-RS-CALC-019 / negative-down")</f>
        <v/>
      </c>
      <c r="B532" s="18" t="inlineStr">
        <is>
          <t>Điều kiện / thao tác</t>
        </is>
      </c>
      <c r="C532"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-5.2 xuống p1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33" ht="299" customHeight="1">
      <c r="A533" s="24">
        <f>HYPERLINK("#'Kiểm thử'!A"&amp;(MATCH("TC-RS-CALC-019 / negative-down",'Kiểm thử'!$A$5:$A$573,0)+4),"TC-RS-CALC-019 / negative-down")</f>
        <v/>
      </c>
      <c r="B533" s="18" t="inlineStr">
        <is>
          <t>Điều kiện / thao tác</t>
        </is>
      </c>
      <c r="C533"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34" ht="299" customHeight="1">
      <c r="A534" s="24">
        <f>HYPERLINK("#'Kiểm thử'!A"&amp;(MATCH("TC-RS-CALC-019 / negative-down",'Kiểm thử'!$A$5:$A$573,0)+4),"TC-RS-CALC-019 / negative-down")</f>
        <v/>
      </c>
      <c r="B534" s="18" t="inlineStr">
        <is>
          <t>Điều kiện / thao tác</t>
        </is>
      </c>
      <c r="C534"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35" ht="44" customHeight="1">
      <c r="A535" s="24">
        <f>HYPERLINK("#'Kiểm thử'!A"&amp;(MATCH("TC-RS-CALC-019 / negative-down",'Kiểm thử'!$A$5:$A$573,0)+4),"TC-RS-CALC-019 / negative-down")</f>
        <v/>
      </c>
      <c r="B535" s="18" t="inlineStr">
        <is>
          <t>Điều kiện / thao tác</t>
        </is>
      </c>
      <c r="C535" s="18" t="inlineStr">
        <is>
          <t xml:space="preserve">
TC-RS-CALC-019: hoàn thiện đúng fixture/seam; giữ expected và chưa kết luận thực thi.</t>
        </is>
      </c>
    </row>
    <row r="536" ht="299" customHeight="1">
      <c r="A536" s="24">
        <f>HYPERLINK("#'Kiểm thử'!A"&amp;(MATCH("TC-RS-CALC-019 / negative-down",'Kiểm thử'!$A$5:$A$573,0)+4),"TC-RS-CALC-019 / negative-down")</f>
        <v/>
      </c>
      <c r="B536" s="18" t="inlineStr">
        <is>
          <t>Kết quả mong đợi</t>
        </is>
      </c>
      <c r="C536"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37" ht="163" customHeight="1">
      <c r="A537" s="24">
        <f>HYPERLINK("#'Kiểm thử'!A"&amp;(MATCH("TC-RS-CALC-019 / negative-down",'Kiểm thử'!$A$5:$A$573,0)+4),"TC-RS-CALC-019 / negative-down")</f>
        <v/>
      </c>
      <c r="B537" s="18" t="inlineStr">
        <is>
          <t>Kết quả mong đợi</t>
        </is>
      </c>
      <c r="C537"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38" ht="299" customHeight="1">
      <c r="A538" s="24">
        <f>HYPERLINK("#'Kiểm thử'!A"&amp;(MATCH("TC-RS-CALC-019 / negative-nearest",'Kiểm thử'!$A$5:$A$573,0)+4),"TC-RS-CALC-019 / negative-nearest")</f>
        <v/>
      </c>
      <c r="B538" s="18" t="inlineStr">
        <is>
          <t>Điều kiện / thao tác</t>
        </is>
      </c>
      <c r="C538"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-5.5 gần nhất p1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39" ht="299" customHeight="1">
      <c r="A539" s="24">
        <f>HYPERLINK("#'Kiểm thử'!A"&amp;(MATCH("TC-RS-CALC-019 / negative-nearest",'Kiểm thử'!$A$5:$A$573,0)+4),"TC-RS-CALC-019 / negative-nearest")</f>
        <v/>
      </c>
      <c r="B539" s="18" t="inlineStr">
        <is>
          <t>Điều kiện / thao tác</t>
        </is>
      </c>
      <c r="C539"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40" ht="299" customHeight="1">
      <c r="A540" s="24">
        <f>HYPERLINK("#'Kiểm thử'!A"&amp;(MATCH("TC-RS-CALC-019 / negative-nearest",'Kiểm thử'!$A$5:$A$573,0)+4),"TC-RS-CALC-019 / negative-nearest")</f>
        <v/>
      </c>
      <c r="B540" s="18" t="inlineStr">
        <is>
          <t>Điều kiện / thao tác</t>
        </is>
      </c>
      <c r="C540"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41" ht="44" customHeight="1">
      <c r="A541" s="24">
        <f>HYPERLINK("#'Kiểm thử'!A"&amp;(MATCH("TC-RS-CALC-019 / negative-nearest",'Kiểm thử'!$A$5:$A$573,0)+4),"TC-RS-CALC-019 / negative-nearest")</f>
        <v/>
      </c>
      <c r="B541" s="18" t="inlineStr">
        <is>
          <t>Điều kiện / thao tác</t>
        </is>
      </c>
      <c r="C541" s="18" t="inlineStr">
        <is>
          <t xml:space="preserve">
TC-RS-CALC-019: hoàn thiện đúng fixture/seam; giữ expected và chưa kết luận thực thi.</t>
        </is>
      </c>
    </row>
    <row r="542" ht="299" customHeight="1">
      <c r="A542" s="24">
        <f>HYPERLINK("#'Kiểm thử'!A"&amp;(MATCH("TC-RS-CALC-019 / negative-nearest",'Kiểm thử'!$A$5:$A$573,0)+4),"TC-RS-CALC-019 / negative-nearest")</f>
        <v/>
      </c>
      <c r="B542" s="18" t="inlineStr">
        <is>
          <t>Kết quả mong đợi</t>
        </is>
      </c>
      <c r="C542"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43" ht="163" customHeight="1">
      <c r="A543" s="24">
        <f>HYPERLINK("#'Kiểm thử'!A"&amp;(MATCH("TC-RS-CALC-019 / negative-nearest",'Kiểm thử'!$A$5:$A$573,0)+4),"TC-RS-CALC-019 / negative-nearest")</f>
        <v/>
      </c>
      <c r="B543" s="18" t="inlineStr">
        <is>
          <t>Kết quả mong đợi</t>
        </is>
      </c>
      <c r="C543"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44" ht="299" customHeight="1">
      <c r="A544" s="24">
        <f>HYPERLINK("#'Kiểm thử'!A"&amp;(MATCH("TC-RS-CALC-019 / half-positive",'Kiểm thử'!$A$5:$A$573,0)+4),"TC-RS-CALC-019 / half-positive")</f>
        <v/>
      </c>
      <c r="B544" s="18" t="inlineStr">
        <is>
          <t>Điều kiện / thao tác</t>
        </is>
      </c>
      <c r="C544"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12.5 gần nhất p1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45" ht="299" customHeight="1">
      <c r="A545" s="24">
        <f>HYPERLINK("#'Kiểm thử'!A"&amp;(MATCH("TC-RS-CALC-019 / half-positive",'Kiểm thử'!$A$5:$A$573,0)+4),"TC-RS-CALC-019 / half-positive")</f>
        <v/>
      </c>
      <c r="B545" s="18" t="inlineStr">
        <is>
          <t>Điều kiện / thao tác</t>
        </is>
      </c>
      <c r="C545"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46" ht="299" customHeight="1">
      <c r="A546" s="24">
        <f>HYPERLINK("#'Kiểm thử'!A"&amp;(MATCH("TC-RS-CALC-019 / half-positive",'Kiểm thử'!$A$5:$A$573,0)+4),"TC-RS-CALC-019 / half-positive")</f>
        <v/>
      </c>
      <c r="B546" s="18" t="inlineStr">
        <is>
          <t>Điều kiện / thao tác</t>
        </is>
      </c>
      <c r="C546"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47" ht="44" customHeight="1">
      <c r="A547" s="24">
        <f>HYPERLINK("#'Kiểm thử'!A"&amp;(MATCH("TC-RS-CALC-019 / half-positive",'Kiểm thử'!$A$5:$A$573,0)+4),"TC-RS-CALC-019 / half-positive")</f>
        <v/>
      </c>
      <c r="B547" s="18" t="inlineStr">
        <is>
          <t>Điều kiện / thao tác</t>
        </is>
      </c>
      <c r="C547" s="18" t="inlineStr">
        <is>
          <t xml:space="preserve">
TC-RS-CALC-019: hoàn thiện đúng fixture/seam; giữ expected và chưa kết luận thực thi.</t>
        </is>
      </c>
    </row>
    <row r="548" ht="299" customHeight="1">
      <c r="A548" s="24">
        <f>HYPERLINK("#'Kiểm thử'!A"&amp;(MATCH("TC-RS-CALC-019 / half-positive",'Kiểm thử'!$A$5:$A$573,0)+4),"TC-RS-CALC-019 / half-positive")</f>
        <v/>
      </c>
      <c r="B548" s="18" t="inlineStr">
        <is>
          <t>Kết quả mong đợi</t>
        </is>
      </c>
      <c r="C548"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49" ht="163" customHeight="1">
      <c r="A549" s="24">
        <f>HYPERLINK("#'Kiểm thử'!A"&amp;(MATCH("TC-RS-CALC-019 / half-positive",'Kiểm thử'!$A$5:$A$573,0)+4),"TC-RS-CALC-019 / half-positive")</f>
        <v/>
      </c>
      <c r="B549" s="18" t="inlineStr">
        <is>
          <t>Kết quả mong đợi</t>
        </is>
      </c>
      <c r="C549"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50" ht="299" customHeight="1">
      <c r="A550" s="24">
        <f>HYPERLINK("#'Kiểm thử'!A"&amp;(MATCH("TC-RS-CALC-019 / half-negative",'Kiểm thử'!$A$5:$A$573,0)+4),"TC-RS-CALC-019 / half-negative")</f>
        <v/>
      </c>
      <c r="B550" s="18" t="inlineStr">
        <is>
          <t>Điều kiện / thao tác</t>
        </is>
      </c>
      <c r="C550"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-12.5 gần nhất p1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51" ht="299" customHeight="1">
      <c r="A551" s="24">
        <f>HYPERLINK("#'Kiểm thử'!A"&amp;(MATCH("TC-RS-CALC-019 / half-negative",'Kiểm thử'!$A$5:$A$573,0)+4),"TC-RS-CALC-019 / half-negative")</f>
        <v/>
      </c>
      <c r="B551" s="18" t="inlineStr">
        <is>
          <t>Điều kiện / thao tác</t>
        </is>
      </c>
      <c r="C551"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52" ht="299" customHeight="1">
      <c r="A552" s="24">
        <f>HYPERLINK("#'Kiểm thử'!A"&amp;(MATCH("TC-RS-CALC-019 / half-negative",'Kiểm thử'!$A$5:$A$573,0)+4),"TC-RS-CALC-019 / half-negative")</f>
        <v/>
      </c>
      <c r="B552" s="18" t="inlineStr">
        <is>
          <t>Điều kiện / thao tác</t>
        </is>
      </c>
      <c r="C552"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53" ht="44" customHeight="1">
      <c r="A553" s="24">
        <f>HYPERLINK("#'Kiểm thử'!A"&amp;(MATCH("TC-RS-CALC-019 / half-negative",'Kiểm thử'!$A$5:$A$573,0)+4),"TC-RS-CALC-019 / half-negative")</f>
        <v/>
      </c>
      <c r="B553" s="18" t="inlineStr">
        <is>
          <t>Điều kiện / thao tác</t>
        </is>
      </c>
      <c r="C553" s="18" t="inlineStr">
        <is>
          <t xml:space="preserve">
TC-RS-CALC-019: hoàn thiện đúng fixture/seam; giữ expected và chưa kết luận thực thi.</t>
        </is>
      </c>
    </row>
    <row r="554" ht="299" customHeight="1">
      <c r="A554" s="24">
        <f>HYPERLINK("#'Kiểm thử'!A"&amp;(MATCH("TC-RS-CALC-019 / half-negative",'Kiểm thử'!$A$5:$A$573,0)+4),"TC-RS-CALC-019 / half-negative")</f>
        <v/>
      </c>
      <c r="B554" s="18" t="inlineStr">
        <is>
          <t>Kết quả mong đợi</t>
        </is>
      </c>
      <c r="C554"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55" ht="163" customHeight="1">
      <c r="A555" s="24">
        <f>HYPERLINK("#'Kiểm thử'!A"&amp;(MATCH("TC-RS-CALC-019 / half-negative",'Kiểm thử'!$A$5:$A$573,0)+4),"TC-RS-CALC-019 / half-negative")</f>
        <v/>
      </c>
      <c r="B555" s="18" t="inlineStr">
        <is>
          <t>Kết quả mong đợi</t>
        </is>
      </c>
      <c r="C555"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56" ht="299" customHeight="1">
      <c r="A556" s="24">
        <f>HYPERLINK("#'Kiểm thử'!A"&amp;(MATCH("TC-RS-CALC-019 / half-up",'Kiểm thử'!$A$5:$A$573,0)+4),"TC-RS-CALC-019 / half-up")</f>
        <v/>
      </c>
      <c r="B556" s="18" t="inlineStr">
        <is>
          <t>Điều kiện / thao tác</t>
        </is>
      </c>
      <c r="C556"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-12.5 lên p1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57" ht="299" customHeight="1">
      <c r="A557" s="24">
        <f>HYPERLINK("#'Kiểm thử'!A"&amp;(MATCH("TC-RS-CALC-019 / half-up",'Kiểm thử'!$A$5:$A$573,0)+4),"TC-RS-CALC-019 / half-up")</f>
        <v/>
      </c>
      <c r="B557" s="18" t="inlineStr">
        <is>
          <t>Điều kiện / thao tác</t>
        </is>
      </c>
      <c r="C557"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58" ht="299" customHeight="1">
      <c r="A558" s="24">
        <f>HYPERLINK("#'Kiểm thử'!A"&amp;(MATCH("TC-RS-CALC-019 / half-up",'Kiểm thử'!$A$5:$A$573,0)+4),"TC-RS-CALC-019 / half-up")</f>
        <v/>
      </c>
      <c r="B558" s="18" t="inlineStr">
        <is>
          <t>Điều kiện / thao tác</t>
        </is>
      </c>
      <c r="C558"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59" ht="44" customHeight="1">
      <c r="A559" s="24">
        <f>HYPERLINK("#'Kiểm thử'!A"&amp;(MATCH("TC-RS-CALC-019 / half-up",'Kiểm thử'!$A$5:$A$573,0)+4),"TC-RS-CALC-019 / half-up")</f>
        <v/>
      </c>
      <c r="B559" s="18" t="inlineStr">
        <is>
          <t>Điều kiện / thao tác</t>
        </is>
      </c>
      <c r="C559" s="18" t="inlineStr">
        <is>
          <t xml:space="preserve">
TC-RS-CALC-019: hoàn thiện đúng fixture/seam; giữ expected và chưa kết luận thực thi.</t>
        </is>
      </c>
    </row>
    <row r="560" ht="299" customHeight="1">
      <c r="A560" s="24">
        <f>HYPERLINK("#'Kiểm thử'!A"&amp;(MATCH("TC-RS-CALC-019 / half-up",'Kiểm thử'!$A$5:$A$573,0)+4),"TC-RS-CALC-019 / half-up")</f>
        <v/>
      </c>
      <c r="B560" s="18" t="inlineStr">
        <is>
          <t>Kết quả mong đợi</t>
        </is>
      </c>
      <c r="C560"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61" ht="163" customHeight="1">
      <c r="A561" s="24">
        <f>HYPERLINK("#'Kiểm thử'!A"&amp;(MATCH("TC-RS-CALC-019 / half-up",'Kiểm thử'!$A$5:$A$573,0)+4),"TC-RS-CALC-019 / half-up")</f>
        <v/>
      </c>
      <c r="B561" s="18" t="inlineStr">
        <is>
          <t>Kết quả mong đợi</t>
        </is>
      </c>
      <c r="C561"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62" ht="299" customHeight="1">
      <c r="A562" s="24">
        <f>HYPERLINK("#'Kiểm thử'!A"&amp;(MATCH("TC-RS-CALC-019 / half-down",'Kiểm thử'!$A$5:$A$573,0)+4),"TC-RS-CALC-019 / half-down")</f>
        <v/>
      </c>
      <c r="B562" s="18" t="inlineStr">
        <is>
          <t>Điều kiện / thao tác</t>
        </is>
      </c>
      <c r="C562"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-12.5 xuống p1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63" ht="299" customHeight="1">
      <c r="A563" s="24">
        <f>HYPERLINK("#'Kiểm thử'!A"&amp;(MATCH("TC-RS-CALC-019 / half-down",'Kiểm thử'!$A$5:$A$573,0)+4),"TC-RS-CALC-019 / half-down")</f>
        <v/>
      </c>
      <c r="B563" s="18" t="inlineStr">
        <is>
          <t>Điều kiện / thao tác</t>
        </is>
      </c>
      <c r="C563"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64" ht="299" customHeight="1">
      <c r="A564" s="24">
        <f>HYPERLINK("#'Kiểm thử'!A"&amp;(MATCH("TC-RS-CALC-019 / half-down",'Kiểm thử'!$A$5:$A$573,0)+4),"TC-RS-CALC-019 / half-down")</f>
        <v/>
      </c>
      <c r="B564" s="18" t="inlineStr">
        <is>
          <t>Điều kiện / thao tác</t>
        </is>
      </c>
      <c r="C564"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65" ht="44" customHeight="1">
      <c r="A565" s="24">
        <f>HYPERLINK("#'Kiểm thử'!A"&amp;(MATCH("TC-RS-CALC-019 / half-down",'Kiểm thử'!$A$5:$A$573,0)+4),"TC-RS-CALC-019 / half-down")</f>
        <v/>
      </c>
      <c r="B565" s="18" t="inlineStr">
        <is>
          <t>Điều kiện / thao tác</t>
        </is>
      </c>
      <c r="C565" s="18" t="inlineStr">
        <is>
          <t xml:space="preserve">
TC-RS-CALC-019: hoàn thiện đúng fixture/seam; giữ expected và chưa kết luận thực thi.</t>
        </is>
      </c>
    </row>
    <row r="566" ht="299" customHeight="1">
      <c r="A566" s="24">
        <f>HYPERLINK("#'Kiểm thử'!A"&amp;(MATCH("TC-RS-CALC-019 / half-down",'Kiểm thử'!$A$5:$A$573,0)+4),"TC-RS-CALC-019 / half-down")</f>
        <v/>
      </c>
      <c r="B566" s="18" t="inlineStr">
        <is>
          <t>Kết quả mong đợi</t>
        </is>
      </c>
      <c r="C566"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67" ht="163" customHeight="1">
      <c r="A567" s="24">
        <f>HYPERLINK("#'Kiểm thử'!A"&amp;(MATCH("TC-RS-CALC-019 / half-down",'Kiểm thử'!$A$5:$A$573,0)+4),"TC-RS-CALC-019 / half-down")</f>
        <v/>
      </c>
      <c r="B567" s="18" t="inlineStr">
        <is>
          <t>Kết quả mong đợi</t>
        </is>
      </c>
      <c r="C567"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68" ht="299" customHeight="1">
      <c r="A568" s="24">
        <f>HYPERLINK("#'Kiểm thử'!A"&amp;(MATCH("TC-RS-CALC-019 / decimal-nearest",'Kiểm thử'!$A$5:$A$573,0)+4),"TC-RS-CALC-019 / decimal-nearest")</f>
        <v/>
      </c>
      <c r="B568" s="18" t="inlineStr">
        <is>
          <t>Điều kiện / thao tác</t>
        </is>
      </c>
      <c r="C568"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12.345 gần nhất p2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69" ht="299" customHeight="1">
      <c r="A569" s="24">
        <f>HYPERLINK("#'Kiểm thử'!A"&amp;(MATCH("TC-RS-CALC-019 / decimal-nearest",'Kiểm thử'!$A$5:$A$573,0)+4),"TC-RS-CALC-019 / decimal-nearest")</f>
        <v/>
      </c>
      <c r="B569" s="18" t="inlineStr">
        <is>
          <t>Điều kiện / thao tác</t>
        </is>
      </c>
      <c r="C569"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70" ht="299" customHeight="1">
      <c r="A570" s="24">
        <f>HYPERLINK("#'Kiểm thử'!A"&amp;(MATCH("TC-RS-CALC-019 / decimal-nearest",'Kiểm thử'!$A$5:$A$573,0)+4),"TC-RS-CALC-019 / decimal-nearest")</f>
        <v/>
      </c>
      <c r="B570" s="18" t="inlineStr">
        <is>
          <t>Điều kiện / thao tác</t>
        </is>
      </c>
      <c r="C570"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71" ht="44" customHeight="1">
      <c r="A571" s="24">
        <f>HYPERLINK("#'Kiểm thử'!A"&amp;(MATCH("TC-RS-CALC-019 / decimal-nearest",'Kiểm thử'!$A$5:$A$573,0)+4),"TC-RS-CALC-019 / decimal-nearest")</f>
        <v/>
      </c>
      <c r="B571" s="18" t="inlineStr">
        <is>
          <t>Điều kiện / thao tác</t>
        </is>
      </c>
      <c r="C571" s="18" t="inlineStr">
        <is>
          <t xml:space="preserve">
TC-RS-CALC-019: hoàn thiện đúng fixture/seam; giữ expected và chưa kết luận thực thi.</t>
        </is>
      </c>
    </row>
    <row r="572" ht="299" customHeight="1">
      <c r="A572" s="24">
        <f>HYPERLINK("#'Kiểm thử'!A"&amp;(MATCH("TC-RS-CALC-019 / decimal-nearest",'Kiểm thử'!$A$5:$A$573,0)+4),"TC-RS-CALC-019 / decimal-nearest")</f>
        <v/>
      </c>
      <c r="B572" s="18" t="inlineStr">
        <is>
          <t>Kết quả mong đợi</t>
        </is>
      </c>
      <c r="C572"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73" ht="163" customHeight="1">
      <c r="A573" s="24">
        <f>HYPERLINK("#'Kiểm thử'!A"&amp;(MATCH("TC-RS-CALC-019 / decimal-nearest",'Kiểm thử'!$A$5:$A$573,0)+4),"TC-RS-CALC-019 / decimal-nearest")</f>
        <v/>
      </c>
      <c r="B573" s="18" t="inlineStr">
        <is>
          <t>Kết quả mong đợi</t>
        </is>
      </c>
      <c r="C573"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74" ht="299" customHeight="1">
      <c r="A574" s="24">
        <f>HYPERLINK("#'Kiểm thử'!A"&amp;(MATCH("TC-RS-CALC-019 / decimal-up",'Kiểm thử'!$A$5:$A$573,0)+4),"TC-RS-CALC-019 / decimal-up")</f>
        <v/>
      </c>
      <c r="B574" s="18" t="inlineStr">
        <is>
          <t>Điều kiện / thao tác</t>
        </is>
      </c>
      <c r="C574"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12.345 lên p2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75" ht="299" customHeight="1">
      <c r="A575" s="24">
        <f>HYPERLINK("#'Kiểm thử'!A"&amp;(MATCH("TC-RS-CALC-019 / decimal-up",'Kiểm thử'!$A$5:$A$573,0)+4),"TC-RS-CALC-019 / decimal-up")</f>
        <v/>
      </c>
      <c r="B575" s="18" t="inlineStr">
        <is>
          <t>Điều kiện / thao tác</t>
        </is>
      </c>
      <c r="C575"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76" ht="299" customHeight="1">
      <c r="A576" s="24">
        <f>HYPERLINK("#'Kiểm thử'!A"&amp;(MATCH("TC-RS-CALC-019 / decimal-up",'Kiểm thử'!$A$5:$A$573,0)+4),"TC-RS-CALC-019 / decimal-up")</f>
        <v/>
      </c>
      <c r="B576" s="18" t="inlineStr">
        <is>
          <t>Điều kiện / thao tác</t>
        </is>
      </c>
      <c r="C576"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77" ht="44" customHeight="1">
      <c r="A577" s="24">
        <f>HYPERLINK("#'Kiểm thử'!A"&amp;(MATCH("TC-RS-CALC-019 / decimal-up",'Kiểm thử'!$A$5:$A$573,0)+4),"TC-RS-CALC-019 / decimal-up")</f>
        <v/>
      </c>
      <c r="B577" s="18" t="inlineStr">
        <is>
          <t>Điều kiện / thao tác</t>
        </is>
      </c>
      <c r="C577" s="18" t="inlineStr">
        <is>
          <t xml:space="preserve">
TC-RS-CALC-019: hoàn thiện đúng fixture/seam; giữ expected và chưa kết luận thực thi.</t>
        </is>
      </c>
    </row>
    <row r="578" ht="299" customHeight="1">
      <c r="A578" s="24">
        <f>HYPERLINK("#'Kiểm thử'!A"&amp;(MATCH("TC-RS-CALC-019 / decimal-up",'Kiểm thử'!$A$5:$A$573,0)+4),"TC-RS-CALC-019 / decimal-up")</f>
        <v/>
      </c>
      <c r="B578" s="18" t="inlineStr">
        <is>
          <t>Kết quả mong đợi</t>
        </is>
      </c>
      <c r="C578"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79" ht="163" customHeight="1">
      <c r="A579" s="24">
        <f>HYPERLINK("#'Kiểm thử'!A"&amp;(MATCH("TC-RS-CALC-019 / decimal-up",'Kiểm thử'!$A$5:$A$573,0)+4),"TC-RS-CALC-019 / decimal-up")</f>
        <v/>
      </c>
      <c r="B579" s="18" t="inlineStr">
        <is>
          <t>Kết quả mong đợi</t>
        </is>
      </c>
      <c r="C579"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80" ht="299" customHeight="1">
      <c r="A580" s="24">
        <f>HYPERLINK("#'Kiểm thử'!A"&amp;(MATCH("TC-RS-CALC-019 / p3",'Kiểm thử'!$A$5:$A$573,0)+4),"TC-RS-CALC-019 / p3")</f>
        <v/>
      </c>
      <c r="B580" s="18" t="inlineStr">
        <is>
          <t>Điều kiện / thao tác</t>
        </is>
      </c>
      <c r="C580"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2.675 gần nhất p3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81" ht="299" customHeight="1">
      <c r="A581" s="24">
        <f>HYPERLINK("#'Kiểm thử'!A"&amp;(MATCH("TC-RS-CALC-019 / p3",'Kiểm thử'!$A$5:$A$573,0)+4),"TC-RS-CALC-019 / p3")</f>
        <v/>
      </c>
      <c r="B581" s="18" t="inlineStr">
        <is>
          <t>Điều kiện / thao tác</t>
        </is>
      </c>
      <c r="C581"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82" ht="299" customHeight="1">
      <c r="A582" s="24">
        <f>HYPERLINK("#'Kiểm thử'!A"&amp;(MATCH("TC-RS-CALC-019 / p3",'Kiểm thử'!$A$5:$A$573,0)+4),"TC-RS-CALC-019 / p3")</f>
        <v/>
      </c>
      <c r="B582" s="18" t="inlineStr">
        <is>
          <t>Điều kiện / thao tác</t>
        </is>
      </c>
      <c r="C582"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83" ht="44" customHeight="1">
      <c r="A583" s="24">
        <f>HYPERLINK("#'Kiểm thử'!A"&amp;(MATCH("TC-RS-CALC-019 / p3",'Kiểm thử'!$A$5:$A$573,0)+4),"TC-RS-CALC-019 / p3")</f>
        <v/>
      </c>
      <c r="B583" s="18" t="inlineStr">
        <is>
          <t>Điều kiện / thao tác</t>
        </is>
      </c>
      <c r="C583" s="18" t="inlineStr">
        <is>
          <t xml:space="preserve">
TC-RS-CALC-019: hoàn thiện đúng fixture/seam; giữ expected và chưa kết luận thực thi.</t>
        </is>
      </c>
    </row>
    <row r="584" ht="299" customHeight="1">
      <c r="A584" s="24">
        <f>HYPERLINK("#'Kiểm thử'!A"&amp;(MATCH("TC-RS-CALC-019 / p3",'Kiểm thử'!$A$5:$A$573,0)+4),"TC-RS-CALC-019 / p3")</f>
        <v/>
      </c>
      <c r="B584" s="18" t="inlineStr">
        <is>
          <t>Kết quả mong đợi</t>
        </is>
      </c>
      <c r="C584"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85" ht="163" customHeight="1">
      <c r="A585" s="24">
        <f>HYPERLINK("#'Kiểm thử'!A"&amp;(MATCH("TC-RS-CALC-019 / p3",'Kiểm thử'!$A$5:$A$573,0)+4),"TC-RS-CALC-019 / p3")</f>
        <v/>
      </c>
      <c r="B585" s="18" t="inlineStr">
        <is>
          <t>Kết quả mong đợi</t>
        </is>
      </c>
      <c r="C585"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86" ht="299" customHeight="1">
      <c r="A586" s="24">
        <f>HYPERLINK("#'Kiểm thử'!A"&amp;(MATCH("TC-RS-CALC-019 / p9-nearest",'Kiểm thử'!$A$5:$A$573,0)+4),"TC-RS-CALC-019 / p9-nearest")</f>
        <v/>
      </c>
      <c r="B586" s="18" t="inlineStr">
        <is>
          <t>Điều kiện / thao tác</t>
        </is>
      </c>
      <c r="C586"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1.123456789 gần nhất p9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87" ht="299" customHeight="1">
      <c r="A587" s="24">
        <f>HYPERLINK("#'Kiểm thử'!A"&amp;(MATCH("TC-RS-CALC-019 / p9-nearest",'Kiểm thử'!$A$5:$A$573,0)+4),"TC-RS-CALC-019 / p9-nearest")</f>
        <v/>
      </c>
      <c r="B587" s="18" t="inlineStr">
        <is>
          <t>Điều kiện / thao tác</t>
        </is>
      </c>
      <c r="C587"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88" ht="299" customHeight="1">
      <c r="A588" s="24">
        <f>HYPERLINK("#'Kiểm thử'!A"&amp;(MATCH("TC-RS-CALC-019 / p9-nearest",'Kiểm thử'!$A$5:$A$573,0)+4),"TC-RS-CALC-019 / p9-nearest")</f>
        <v/>
      </c>
      <c r="B588" s="18" t="inlineStr">
        <is>
          <t>Điều kiện / thao tác</t>
        </is>
      </c>
      <c r="C588"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89" ht="44" customHeight="1">
      <c r="A589" s="24">
        <f>HYPERLINK("#'Kiểm thử'!A"&amp;(MATCH("TC-RS-CALC-019 / p9-nearest",'Kiểm thử'!$A$5:$A$573,0)+4),"TC-RS-CALC-019 / p9-nearest")</f>
        <v/>
      </c>
      <c r="B589" s="18" t="inlineStr">
        <is>
          <t>Điều kiện / thao tác</t>
        </is>
      </c>
      <c r="C589" s="18" t="inlineStr">
        <is>
          <t xml:space="preserve">
TC-RS-CALC-019: hoàn thiện đúng fixture/seam; giữ expected và chưa kết luận thực thi.</t>
        </is>
      </c>
    </row>
    <row r="590" ht="299" customHeight="1">
      <c r="A590" s="24">
        <f>HYPERLINK("#'Kiểm thử'!A"&amp;(MATCH("TC-RS-CALC-019 / p9-nearest",'Kiểm thử'!$A$5:$A$573,0)+4),"TC-RS-CALC-019 / p9-nearest")</f>
        <v/>
      </c>
      <c r="B590" s="18" t="inlineStr">
        <is>
          <t>Kết quả mong đợi</t>
        </is>
      </c>
      <c r="C590"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91" ht="163" customHeight="1">
      <c r="A591" s="24">
        <f>HYPERLINK("#'Kiểm thử'!A"&amp;(MATCH("TC-RS-CALC-019 / p9-nearest",'Kiểm thử'!$A$5:$A$573,0)+4),"TC-RS-CALC-019 / p9-nearest")</f>
        <v/>
      </c>
      <c r="B591" s="18" t="inlineStr">
        <is>
          <t>Kết quả mong đợi</t>
        </is>
      </c>
      <c r="C591"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92" ht="299" customHeight="1">
      <c r="A592" s="24">
        <f>HYPERLINK("#'Kiểm thử'!A"&amp;(MATCH("TC-RS-CALC-019 / p9-down",'Kiểm thử'!$A$5:$A$573,0)+4),"TC-RS-CALC-019 / p9-down")</f>
        <v/>
      </c>
      <c r="B592" s="18" t="inlineStr">
        <is>
          <t>Điều kiện / thao tác</t>
        </is>
      </c>
      <c r="C592" s="18" t="inlineStr">
        <is>
          <t>Cấu hình: Dùng công thức một dòng `A+0` hoặc `A×1` để đưa giá trị vào bước làm tròn (nguồn dummy có `A` bằng giá trị cần thử).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Bảng ở Expected Result
1.123456789 xuống p9
Thao tác: 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Khôi phục: Trước mỗi biến thể, dựng lại điều kiện/dữ liệu đầu của case bằng đường được phép; gi</t>
        </is>
      </c>
    </row>
    <row r="593" ht="299" customHeight="1">
      <c r="A593" s="24">
        <f>HYPERLINK("#'Kiểm thử'!A"&amp;(MATCH("TC-RS-CALC-019 / p9-down",'Kiểm thử'!$A$5:$A$573,0)+4),"TC-RS-CALC-019 / p9-down")</f>
        <v/>
      </c>
      <c r="B593" s="18" t="inlineStr">
        <is>
          <t>Điều kiện / thao tác</t>
        </is>
      </c>
      <c r="C593" s="18" t="inlineStr">
        <is>
          <t xml:space="preserve">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Bị chặn
Chỉ là quan sát; kỳ vọng hoặc điều kiện kiểm chưa được xác nhận.
Khoảng trống: Phần kỳ vọng chưa chốt trong bản nguồn: 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t>
        </is>
      </c>
    </row>
    <row r="594" ht="299" customHeight="1">
      <c r="A594" s="24">
        <f>HYPERLINK("#'Kiểm thử'!A"&amp;(MATCH("TC-RS-CALC-019 / p9-down",'Kiểm thử'!$A$5:$A$573,0)+4),"TC-RS-CALC-019 / p9-down")</f>
        <v/>
      </c>
      <c r="B594" s="18" t="inlineStr">
        <is>
          <t>Điều kiện / thao tác</t>
        </is>
      </c>
      <c r="C594" s="18" t="inlineStr">
        <is>
          <t xml:space="preserve">
−5.2 lên p1 → −5.
−5.2 xuống p1 → −6.
−5.5 gần nhất p1 → −6.
12.5 gần nhất p1 → 13; −12.5 gần nhất p1 → −13; −12.5 lên p1 → −12; −12.5 xuống p1 → −13.
12.345 gần nhất p2 → 12.3; lên p2 → 12.4.
2.675 gần nhất p3 → 2.68.
1.123456789 gần nhất p9 → 1.12345679; xuống p9 → 1.12345678.
TC-RS-CALC-019: giữ Awaiting decision; xác định oracle trước khi đánh giá PASS/FAIL.
Khoảng trống: BLOCKED — p=9 và miền số âm còn là phạm vi đề xuất; chỉ chạy khi phạm vi được xác nhận.</t>
        </is>
      </c>
    </row>
    <row r="595" ht="44" customHeight="1">
      <c r="A595" s="24">
        <f>HYPERLINK("#'Kiểm thử'!A"&amp;(MATCH("TC-RS-CALC-019 / p9-down",'Kiểm thử'!$A$5:$A$573,0)+4),"TC-RS-CALC-019 / p9-down")</f>
        <v/>
      </c>
      <c r="B595" s="18" t="inlineStr">
        <is>
          <t>Điều kiện / thao tác</t>
        </is>
      </c>
      <c r="C595" s="18" t="inlineStr">
        <is>
          <t xml:space="preserve">
TC-RS-CALC-019: hoàn thiện đúng fixture/seam; giữ expected và chưa kết luận thực thi.</t>
        </is>
      </c>
    </row>
    <row r="596" ht="299" customHeight="1">
      <c r="A596" s="24">
        <f>HYPERLINK("#'Kiểm thử'!A"&amp;(MATCH("TC-RS-CALC-019 / p9-down",'Kiểm thử'!$A$5:$A$573,0)+4),"TC-RS-CALC-019 / p9-down")</f>
        <v/>
      </c>
      <c r="B596" s="18" t="inlineStr">
        <is>
          <t>Kết quả mong đợi</t>
        </is>
      </c>
      <c r="C596" s="18"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t>
        </is>
      </c>
    </row>
    <row r="597" ht="163" customHeight="1">
      <c r="A597" s="24">
        <f>HYPERLINK("#'Kiểm thử'!A"&amp;(MATCH("TC-RS-CALC-019 / p9-down",'Kiểm thử'!$A$5:$A$573,0)+4),"TC-RS-CALC-019 / p9-down")</f>
        <v/>
      </c>
      <c r="B597" s="18" t="inlineStr">
        <is>
          <t>Kết quả mong đợi</t>
        </is>
      </c>
      <c r="C597" s="18" t="inlineStr">
        <is>
          <t xml:space="preserve">
12.345 gần nhất p2 → 12.3; lên p2 → 12.4.
2.675 gần nhất p3 → 2.68.
1.123456789 gần nhất p9 → 1.12345679; xuống p9 → 1.12345678.
Bảo toàn: Giữ điểm, cấu hình và đối tượng không đích theo expected; chỉ thay phần thủ tục yêu cầu, không tự đổi oracle hoặc mở rộng phạm vi.</t>
        </is>
      </c>
    </row>
    <row r="598" ht="299" customHeight="1">
      <c r="A598" s="24">
        <f>HYPERLINK("#'Kiểm thử'!A"&amp;(MATCH("TC-RS-CALC-020 / down",'Kiểm thử'!$A$5:$A$573,0)+4),"TC-RS-CALC-020 / down")</f>
        <v/>
      </c>
      <c r="B598" s="18" t="inlineStr">
        <is>
          <t>Điều kiện / thao tác</t>
        </is>
      </c>
      <c r="C598" s="18" t="inlineStr">
        <is>
          <t>Cấu hình: mục số thập phân (M=100) với M=99; tỷ lệ 30% (`T_thô=29.7`),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S = 29.5
Cắt xuống
Thao tác: (a) Xuống p1.
(b) Gần nhất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599" ht="129" customHeight="1">
      <c r="A599" s="24">
        <f>HYPERLINK("#'Kiểm thử'!A"&amp;(MATCH("TC-RS-CALC-020 / down",'Kiểm thử'!$A$5:$A$573,0)+4),"TC-RS-CALC-020 / down")</f>
        <v/>
      </c>
      <c r="B599" s="18" t="inlineStr">
        <is>
          <t>Điều kiện / thao tác</t>
        </is>
      </c>
      <c r="C599"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00" ht="129" customHeight="1">
      <c r="A600" s="24">
        <f>HYPERLINK("#'Kiểm thử'!A"&amp;(MATCH("TC-RS-CALC-020 / down",'Kiểm thử'!$A$5:$A$573,0)+4),"TC-RS-CALC-020 / down")</f>
        <v/>
      </c>
      <c r="B600" s="18" t="inlineStr">
        <is>
          <t>Kết quả mong đợi</t>
        </is>
      </c>
      <c r="C600" s="18" t="inlineStr">
        <is>
          <t>(a) `T=29`; `29.5&lt;29` sai → Không đỏ. (Nếu làm tròn S thành 29 và giữ `T=29.7` → Đỏ — sai.)
(b) `T=30`; `29.5&lt;30` → Đỏ. (Nếu làm tròn S thành 30 → Không đỏ — sai.)
Điểm lưu vẫn 29.5.
Bảo toàn: Giữ điểm, cấu hình và đối tượng không đích theo expected; chỉ thay phần thủ tục yêu cầu, không tự đổi oracle hoặc mở rộng phạm vi.</t>
        </is>
      </c>
    </row>
    <row r="601" ht="299" customHeight="1">
      <c r="A601" s="24">
        <f>HYPERLINK("#'Kiểm thử'!A"&amp;(MATCH("TC-RS-CALC-020 / nearest",'Kiểm thử'!$A$5:$A$573,0)+4),"TC-RS-CALC-020 / nearest")</f>
        <v/>
      </c>
      <c r="B601" s="18" t="inlineStr">
        <is>
          <t>Điều kiện / thao tác</t>
        </is>
      </c>
      <c r="C601" s="18" t="inlineStr">
        <is>
          <t>Cấu hình: mục số thập phân (M=100) với M=99; tỷ lệ 30% (`T_thô=29.7`),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S = 29.5
Làm tròn gần nhất
Thao tác: (a) Xuống p1.
(b) Gần nhất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602" ht="129" customHeight="1">
      <c r="A602" s="24">
        <f>HYPERLINK("#'Kiểm thử'!A"&amp;(MATCH("TC-RS-CALC-020 / nearest",'Kiểm thử'!$A$5:$A$573,0)+4),"TC-RS-CALC-020 / nearest")</f>
        <v/>
      </c>
      <c r="B602" s="18" t="inlineStr">
        <is>
          <t>Điều kiện / thao tác</t>
        </is>
      </c>
      <c r="C602"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03" ht="129" customHeight="1">
      <c r="A603" s="24">
        <f>HYPERLINK("#'Kiểm thử'!A"&amp;(MATCH("TC-RS-CALC-020 / nearest",'Kiểm thử'!$A$5:$A$573,0)+4),"TC-RS-CALC-020 / nearest")</f>
        <v/>
      </c>
      <c r="B603" s="18" t="inlineStr">
        <is>
          <t>Kết quả mong đợi</t>
        </is>
      </c>
      <c r="C603" s="18" t="inlineStr">
        <is>
          <t>(a) `T=29`; `29.5&lt;29` sai → Không đỏ. (Nếu làm tròn S thành 29 và giữ `T=29.7` → Đỏ — sai.)
(b) `T=30`; `29.5&lt;30` → Đỏ. (Nếu làm tròn S thành 30 → Không đỏ — sai.)
Điểm lưu vẫn 29.5.
Bảo toàn: Giữ điểm, cấu hình và đối tượng không đích theo expected; chỉ thay phần thủ tục yêu cầu, không tự đổi oracle hoặc mở rộng phạm vi.</t>
        </is>
      </c>
    </row>
    <row r="604" ht="299" customHeight="1">
      <c r="A604" s="24">
        <f>HYPERLINK("#'Kiểm thử'!A"&amp;(MATCH("TC-RS-CALC-021 / a0",'Kiểm thử'!$A$5:$A$573,0)+4),"TC-RS-CALC-021 / a0")</f>
        <v/>
      </c>
      <c r="B604" s="18" t="inlineStr">
        <is>
          <t>Điều kiện / thao tác</t>
        </is>
      </c>
      <c r="C604" s="18" t="inlineStr">
        <is>
          <t>Cấu hình: quy tắc công thức 100 ÷ trung bình (`100÷A`),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công thức 100 ÷ trung bình; (a) nhóm có trung bình 0 `A=0`; (b) `A=4`, S = 24; (c) `A=3`, S = 33.33, 33.34
A0
Thao tác: Chạy nút cam cho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05" ht="129" customHeight="1">
      <c r="A605" s="24">
        <f>HYPERLINK("#'Kiểm thử'!A"&amp;(MATCH("TC-RS-CALC-021 / a0",'Kiểm thử'!$A$5:$A$573,0)+4),"TC-RS-CALC-021 / a0")</f>
        <v/>
      </c>
      <c r="B605" s="18" t="inlineStr">
        <is>
          <t>Điều kiện / thao tác</t>
        </is>
      </c>
      <c r="C60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06" ht="299" customHeight="1">
      <c r="A606" s="24">
        <f>HYPERLINK("#'Kiểm thử'!A"&amp;(MATCH("TC-RS-CALC-021 / a4",'Kiểm thử'!$A$5:$A$573,0)+4),"TC-RS-CALC-021 / a4")</f>
        <v/>
      </c>
      <c r="B606" s="18" t="inlineStr">
        <is>
          <t>Điều kiện / thao tác</t>
        </is>
      </c>
      <c r="C606" s="18" t="inlineStr">
        <is>
          <t>Cấu hình: quy tắc công thức 100 ÷ trung bình (`100÷A`),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công thức 100 ÷ trung bình; (a) nhóm có trung bình 0 `A=0`; (b) `A=4`, S = 24; (c) `A=3`, S = 33.33, 33.34
A4
Thao tác: Chạy nút cam cho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07" ht="129" customHeight="1">
      <c r="A607" s="24">
        <f>HYPERLINK("#'Kiểm thử'!A"&amp;(MATCH("TC-RS-CALC-021 / a4",'Kiểm thử'!$A$5:$A$573,0)+4),"TC-RS-CALC-021 / a4")</f>
        <v/>
      </c>
      <c r="B607" s="18" t="inlineStr">
        <is>
          <t>Điều kiện / thao tác</t>
        </is>
      </c>
      <c r="C607"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08" ht="299" customHeight="1">
      <c r="A608" s="24">
        <f>HYPERLINK("#'Kiểm thử'!A"&amp;(MATCH("TC-RS-CALC-021 / a3",'Kiểm thử'!$A$5:$A$573,0)+4),"TC-RS-CALC-021 / a3")</f>
        <v/>
      </c>
      <c r="B608" s="18" t="inlineStr">
        <is>
          <t>Điều kiện / thao tác</t>
        </is>
      </c>
      <c r="C608" s="18" t="inlineStr">
        <is>
          <t>Cấu hình: quy tắc công thức 100 ÷ trung bình (`100÷A`),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công thức 100 ÷ trung bình; (a) nhóm có trung bình 0 `A=0`; (b) `A=4`, S = 24; (c) `A=3`, S = 33.33, 33.34
A3
Thao tác: Chạy nút cam cho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09" ht="129" customHeight="1">
      <c r="A609" s="24">
        <f>HYPERLINK("#'Kiểm thử'!A"&amp;(MATCH("TC-RS-CALC-021 / a3",'Kiểm thử'!$A$5:$A$573,0)+4),"TC-RS-CALC-021 / a3")</f>
        <v/>
      </c>
      <c r="B609" s="18" t="inlineStr">
        <is>
          <t>Điều kiện / thao tác</t>
        </is>
      </c>
      <c r="C60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10" ht="299" customHeight="1">
      <c r="A610" s="24">
        <f>HYPERLINK("#'Kiểm thử'!A"&amp;(MATCH("TC-RS-CALC-028 / multiply-lt",'Kiểm thử'!$A$5:$A$573,0)+4),"TC-RS-CALC-028 / multiply-lt")</f>
        <v/>
      </c>
      <c r="B610" s="18" t="inlineStr">
        <is>
          <t>Điều kiện / thao tác</t>
        </is>
      </c>
      <c r="C610" s="18" t="inlineStr">
        <is>
          <t>Cấu hình: mục số thập phân (M=100); nguồn dummy.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`A=1.1`, công thức `A×3`, S = 3.3; (b) `A=0.1`, công thức `A+0.2`, S = 0.3
A1.1 nhân 3 nhỏ hơn
Thao tác: Xét với `&lt;` và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11" ht="129" customHeight="1">
      <c r="A611" s="24">
        <f>HYPERLINK("#'Kiểm thử'!A"&amp;(MATCH("TC-RS-CALC-028 / multiply-lt",'Kiểm thử'!$A$5:$A$573,0)+4),"TC-RS-CALC-028 / multiply-lt")</f>
        <v/>
      </c>
      <c r="B611" s="18" t="inlineStr">
        <is>
          <t>Điều kiện / thao tác</t>
        </is>
      </c>
      <c r="C611"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12" ht="299" customHeight="1">
      <c r="A612" s="24">
        <f>HYPERLINK("#'Kiểm thử'!A"&amp;(MATCH("TC-RS-CALC-028 / multiply-le",'Kiểm thử'!$A$5:$A$573,0)+4),"TC-RS-CALC-028 / multiply-le")</f>
        <v/>
      </c>
      <c r="B612" s="18" t="inlineStr">
        <is>
          <t>Điều kiện / thao tác</t>
        </is>
      </c>
      <c r="C612" s="18" t="inlineStr">
        <is>
          <t>Cấu hình: mục số thập phân (M=100); nguồn dummy.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`A=1.1`, công thức `A×3`, S = 3.3; (b) `A=0.1`, công thức `A+0.2`, S = 0.3
A1.1 nhân 3 nhỏ hơn hoặc bằng
Thao tác: Xét với `&lt;` và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13" ht="129" customHeight="1">
      <c r="A613" s="24">
        <f>HYPERLINK("#'Kiểm thử'!A"&amp;(MATCH("TC-RS-CALC-028 / multiply-le",'Kiểm thử'!$A$5:$A$573,0)+4),"TC-RS-CALC-028 / multiply-le")</f>
        <v/>
      </c>
      <c r="B613" s="18" t="inlineStr">
        <is>
          <t>Điều kiện / thao tác</t>
        </is>
      </c>
      <c r="C613"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14" ht="299" customHeight="1">
      <c r="A614" s="24">
        <f>HYPERLINK("#'Kiểm thử'!A"&amp;(MATCH("TC-RS-CALC-028 / add-lt",'Kiểm thử'!$A$5:$A$573,0)+4),"TC-RS-CALC-028 / add-lt")</f>
        <v/>
      </c>
      <c r="B614" s="18" t="inlineStr">
        <is>
          <t>Điều kiện / thao tác</t>
        </is>
      </c>
      <c r="C614" s="18" t="inlineStr">
        <is>
          <t>Cấu hình: mục số thập phân (M=100); nguồn dummy.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`A=1.1`, công thức `A×3`, S = 3.3; (b) `A=0.1`, công thức `A+0.2`, S = 0.3
A0.1 cộng 0.2 nhỏ hơn
Thao tác: Xét với `&lt;` và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15" ht="129" customHeight="1">
      <c r="A615" s="24">
        <f>HYPERLINK("#'Kiểm thử'!A"&amp;(MATCH("TC-RS-CALC-028 / add-lt",'Kiểm thử'!$A$5:$A$573,0)+4),"TC-RS-CALC-028 / add-lt")</f>
        <v/>
      </c>
      <c r="B615" s="18" t="inlineStr">
        <is>
          <t>Điều kiện / thao tác</t>
        </is>
      </c>
      <c r="C61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16" ht="299" customHeight="1">
      <c r="A616" s="24">
        <f>HYPERLINK("#'Kiểm thử'!A"&amp;(MATCH("TC-RS-CALC-028 / add-le",'Kiểm thử'!$A$5:$A$573,0)+4),"TC-RS-CALC-028 / add-le")</f>
        <v/>
      </c>
      <c r="B616" s="18" t="inlineStr">
        <is>
          <t>Điều kiện / thao tác</t>
        </is>
      </c>
      <c r="C616" s="18" t="inlineStr">
        <is>
          <t>Cấu hình: mục số thập phân (M=100); nguồn dummy.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`A=1.1`, công thức `A×3`, S = 3.3; (b) `A=0.1`, công thức `A+0.2`, S = 0.3
A0.1 cộng 0.2 nhỏ hơn hoặc bằng
Thao tác: Xét với `&lt;` và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17" ht="129" customHeight="1">
      <c r="A617" s="24">
        <f>HYPERLINK("#'Kiểm thử'!A"&amp;(MATCH("TC-RS-CALC-028 / add-le",'Kiểm thử'!$A$5:$A$573,0)+4),"TC-RS-CALC-028 / add-le")</f>
        <v/>
      </c>
      <c r="B617" s="18" t="inlineStr">
        <is>
          <t>Điều kiện / thao tác</t>
        </is>
      </c>
      <c r="C617"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18" ht="299" customHeight="1">
      <c r="A618" s="24">
        <f>HYPERLINK("#'Kiểm thử'!A"&amp;(MATCH("TC-RS-CALC-029 / constant",'Kiểm thử'!$A$5:$A$573,0)+4),"TC-RS-CALC-029 / constant")</f>
        <v/>
      </c>
      <c r="B618" s="18" t="inlineStr">
        <is>
          <t>Điều kiện / thao tác</t>
        </is>
      </c>
      <c r="C618" s="18" t="inlineStr">
        <is>
          <t>Cấu hình: Công thức.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`A × 999999999999999999999` (21 chữ số); `A ÷ 0.000000001`.&lt;br&gt;(b) 20 dòng, mỗi dòng `× 999999999.99999999` (dòng 1: `A × 999999999.99999999`), không xử lý phần lẻ; `A=50`.
Hằng số cực lớn
Thao tác: 1. Nhập (a), Lưu.
2. Nhập (b), Lưu, chạy nút cam.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619" ht="129" customHeight="1">
      <c r="A619" s="24">
        <f>HYPERLINK("#'Kiểm thử'!A"&amp;(MATCH("TC-RS-CALC-029 / constant",'Kiểm thử'!$A$5:$A$573,0)+4),"TC-RS-CALC-029 / constant")</f>
        <v/>
      </c>
      <c r="B619" s="18" t="inlineStr">
        <is>
          <t>Điều kiện / thao tác</t>
        </is>
      </c>
      <c r="C619"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20" ht="129" customHeight="1">
      <c r="A620" s="24">
        <f>HYPERLINK("#'Kiểm thử'!A"&amp;(MATCH("TC-RS-CALC-029 / constant",'Kiểm thử'!$A$5:$A$573,0)+4),"TC-RS-CALC-029 / constant")</f>
        <v/>
      </c>
      <c r="B620" s="18" t="inlineStr">
        <is>
          <t>Kết quả mong đợi</t>
        </is>
      </c>
      <c r="C620" s="18" t="inlineStr">
        <is>
          <t>1. (a) vượt giới hạn nhập đề xuất (9 chữ số nguyên, 8 chữ số lẻ) → bị từ chối khi lưu, không tự cắt số.
2. (b) nằm trong giới hạn nhập nên lưu được; khi chạy, ngưỡng vượt miền số được hỗ trợ → Chưa xét được (đề xuất `reason_code=numeric_overflow`) hoặc lỗi kỹ thuật được báo. Không có ô nào thành Đỏ/Không đỏ từ giá trị tràn.
Bảo toàn: Giữ điểm, cấu hình và đối tượng không đích theo expected; chỉ thay phần thủ tục yêu cầu, không tự đổi oracle hoặc mở rộng phạm vi.</t>
        </is>
      </c>
    </row>
    <row r="621" ht="299" customHeight="1">
      <c r="A621" s="24">
        <f>HYPERLINK("#'Kiểm thử'!A"&amp;(MATCH("TC-RS-CALC-029 / divisor",'Kiểm thử'!$A$5:$A$573,0)+4),"TC-RS-CALC-029 / divisor")</f>
        <v/>
      </c>
      <c r="B621" s="18" t="inlineStr">
        <is>
          <t>Điều kiện / thao tác</t>
        </is>
      </c>
      <c r="C621" s="18" t="inlineStr">
        <is>
          <t>Cấu hình: Công thức.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`A × 999999999999999999999` (21 chữ số); `A ÷ 0.000000001`.&lt;br&gt;(b) 20 dòng, mỗi dòng `× 999999999.99999999` (dòng 1: `A × 999999999.99999999`), không xử lý phần lẻ; `A=50`.
Số chia cực nhỏ
Thao tác: 1. Nhập (a), Lưu.
2. Nhập (b), Lưu, chạy nút cam.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622" ht="129" customHeight="1">
      <c r="A622" s="24">
        <f>HYPERLINK("#'Kiểm thử'!A"&amp;(MATCH("TC-RS-CALC-029 / divisor",'Kiểm thử'!$A$5:$A$573,0)+4),"TC-RS-CALC-029 / divisor")</f>
        <v/>
      </c>
      <c r="B622" s="18" t="inlineStr">
        <is>
          <t>Điều kiện / thao tác</t>
        </is>
      </c>
      <c r="C622"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23" ht="129" customHeight="1">
      <c r="A623" s="24">
        <f>HYPERLINK("#'Kiểm thử'!A"&amp;(MATCH("TC-RS-CALC-029 / divisor",'Kiểm thử'!$A$5:$A$573,0)+4),"TC-RS-CALC-029 / divisor")</f>
        <v/>
      </c>
      <c r="B623" s="18" t="inlineStr">
        <is>
          <t>Kết quả mong đợi</t>
        </is>
      </c>
      <c r="C623" s="18" t="inlineStr">
        <is>
          <t>1. (a) vượt giới hạn nhập đề xuất (9 chữ số nguyên, 8 chữ số lẻ) → bị từ chối khi lưu, không tự cắt số.
2. (b) nằm trong giới hạn nhập nên lưu được; khi chạy, ngưỡng vượt miền số được hỗ trợ → Chưa xét được (đề xuất `reason_code=numeric_overflow`) hoặc lỗi kỹ thuật được báo. Không có ô nào thành Đỏ/Không đỏ từ giá trị tràn.
Bảo toàn: Giữ điểm, cấu hình và đối tượng không đích theo expected; chỉ thay phần thủ tục yêu cầu, không tự đổi oracle hoặc mở rộng phạm vi.</t>
        </is>
      </c>
    </row>
    <row r="624" ht="299" customHeight="1">
      <c r="A624" s="24">
        <f>HYPERLINK("#'Kiểm thử'!A"&amp;(MATCH("TC-RS-CALC-029 / overflow",'Kiểm thử'!$A$5:$A$573,0)+4),"TC-RS-CALC-029 / overflow")</f>
        <v/>
      </c>
      <c r="B624" s="18" t="inlineStr">
        <is>
          <t>Điều kiện / thao tác</t>
        </is>
      </c>
      <c r="C624" s="18" t="inlineStr">
        <is>
          <t>Cấu hình: Công thức.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(a) `A × 999999999999999999999` (21 chữ số); `A ÷ 0.000000001`.&lt;br&gt;(b) 20 dòng, mỗi dòng `× 999999999.99999999` (dòng 1: `A × 999999999.99999999`), không xử lý phần lẻ; `A=50`.
Tràn trong lúc tính
Thao tác: 1. Nhập (a), Lưu.
2. Nhập (b), Lưu, chạy nút cam.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625" ht="129" customHeight="1">
      <c r="A625" s="24">
        <f>HYPERLINK("#'Kiểm thử'!A"&amp;(MATCH("TC-RS-CALC-029 / overflow",'Kiểm thử'!$A$5:$A$573,0)+4),"TC-RS-CALC-029 / overflow")</f>
        <v/>
      </c>
      <c r="B625" s="18" t="inlineStr">
        <is>
          <t>Điều kiện / thao tác</t>
        </is>
      </c>
      <c r="C625"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26" ht="129" customHeight="1">
      <c r="A626" s="24">
        <f>HYPERLINK("#'Kiểm thử'!A"&amp;(MATCH("TC-RS-CALC-029 / overflow",'Kiểm thử'!$A$5:$A$573,0)+4),"TC-RS-CALC-029 / overflow")</f>
        <v/>
      </c>
      <c r="B626" s="18" t="inlineStr">
        <is>
          <t>Kết quả mong đợi</t>
        </is>
      </c>
      <c r="C626" s="18" t="inlineStr">
        <is>
          <t>1. (a) vượt giới hạn nhập đề xuất (9 chữ số nguyên, 8 chữ số lẻ) → bị từ chối khi lưu, không tự cắt số.
2. (b) nằm trong giới hạn nhập nên lưu được; khi chạy, ngưỡng vượt miền số được hỗ trợ → Chưa xét được (đề xuất `reason_code=numeric_overflow`) hoặc lỗi kỹ thuật được báo. Không có ô nào thành Đỏ/Không đỏ từ giá trị tràn.
Bảo toàn: Giữ điểm, cấu hình và đối tượng không đích theo expected; chỉ thay phần thủ tục yêu cầu, không tự đổi oracle hoặc mở rộng phạm vi.</t>
        </is>
      </c>
    </row>
    <row r="627" ht="299" customHeight="1">
      <c r="A627" s="24">
        <f>HYPERLINK("#'Kiểm thử'!A"&amp;(MATCH("TC-RS-CALC-030 / lt",'Kiểm thử'!$A$5:$A$573,0)+4),"TC-RS-CALC-030 / lt")</f>
        <v/>
      </c>
      <c r="B627" s="18" t="inlineStr">
        <is>
          <t>Điều kiện / thao tác</t>
        </is>
      </c>
      <c r="C627" s="18" t="inlineStr">
        <is>
          <t>Cấu hình: Nguồn `A=20`; công thức `A−20`.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S04 (điểm 0) (0), học sinh S05 (ô trống) (trống)
Dấu nhỏ hơn
Thao tác: Xét với `&lt;` rồi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628" ht="112" customHeight="1">
      <c r="A628" s="24">
        <f>HYPERLINK("#'Kiểm thử'!A"&amp;(MATCH("TC-RS-CALC-030 / lt",'Kiểm thử'!$A$5:$A$573,0)+4),"TC-RS-CALC-030 / lt")</f>
        <v/>
      </c>
      <c r="B628" s="18" t="inlineStr">
        <is>
          <t>Điều kiện / thao tác</t>
        </is>
      </c>
      <c r="C62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29" ht="299" customHeight="1">
      <c r="A629" s="24">
        <f>HYPERLINK("#'Kiểm thử'!A"&amp;(MATCH("TC-RS-CALC-030 / le",'Kiểm thử'!$A$5:$A$573,0)+4),"TC-RS-CALC-030 / le")</f>
        <v/>
      </c>
      <c r="B629" s="18" t="inlineStr">
        <is>
          <t>Điều kiện / thao tác</t>
        </is>
      </c>
      <c r="C629" s="18" t="inlineStr">
        <is>
          <t>Cấu hình: Nguồn `A=20`; công thức `A−20`.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S04 (điểm 0) (0), học sinh S05 (ô trống) (trống)
Dấu nhỏ hơn hoặc bằng
Thao tác: Xét với `&lt;` rồi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630" ht="112" customHeight="1">
      <c r="A630" s="24">
        <f>HYPERLINK("#'Kiểm thử'!A"&amp;(MATCH("TC-RS-CALC-030 / le",'Kiểm thử'!$A$5:$A$573,0)+4),"TC-RS-CALC-030 / le")</f>
        <v/>
      </c>
      <c r="B630" s="18" t="inlineStr">
        <is>
          <t>Điều kiện / thao tác</t>
        </is>
      </c>
      <c r="C63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31" ht="299" customHeight="1">
      <c r="A631" s="24">
        <f>HYPERLINK("#'Kiểm thử'!A"&amp;(MATCH("TC-RS-UI-015 / Base",'Kiểm thử'!$A$5:$A$573,0)+4),"TC-RS-UI-015 / Base")</f>
        <v/>
      </c>
      <c r="B631" s="18" t="inlineStr">
        <is>
          <t>Điều kiện / thao tác</t>
        </is>
      </c>
      <c r="C631" s="18" t="inlineStr">
        <is>
          <t>Cấu hình: Mở ngưỡng, chọn Công thức（計算式）.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Toàn bộ thủ tục theo đúng thứ tự; các đối chứng cùng fixture được kiểm trong cùng lượt, không bỏ bước
Thao tác: Ghi lại thứ tự các khối từ trên xuống.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32" ht="129" customHeight="1">
      <c r="A632" s="24">
        <f>HYPERLINK("#'Kiểm thử'!A"&amp;(MATCH("TC-RS-UI-015 / Base",'Kiểm thử'!$A$5:$A$573,0)+4),"TC-RS-UI-015 / Base")</f>
        <v/>
      </c>
      <c r="B632" s="18" t="inlineStr">
        <is>
          <t>Điều kiện / thao tác</t>
        </is>
      </c>
      <c r="C632"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33" ht="146" customHeight="1">
      <c r="A633" s="24">
        <f>HYPERLINK("#'Kiểm thử'!A"&amp;(MATCH("TC-RS-UI-015 / Base",'Kiểm thử'!$A$5:$A$573,0)+4),"TC-RS-UI-015 / Base")</f>
        <v/>
      </c>
      <c r="B633" s="18" t="inlineStr">
        <is>
          <t>Kết quả mong đợi</t>
        </is>
      </c>
      <c r="C633" s="18" t="inlineStr">
        <is>
          <t>Khối nguồn chỉ hiện với Công thức, không hiện với cố định/tỷ lệ (đặc tả v2 mục 5.6 “Khi nào không cần nguồn?”).
Thứ tự khối theo Figma (PROPOSED): khối Trung bình tham chiếu（参照する平均点） nằm trước bảng dòng công thức và trước Xét điểm đỏ（赤点の判定）. Đặc tả v2 không quy định thứ tự; lệch thì ghi Notes, không FAIL.
Bảo toàn: Giữ điểm, cấu hình và đối tượng không đích theo expected; chỉ thay phần thủ tục yêu cầu, không tự đổi oracle hoặc mở rộng phạm vi.</t>
        </is>
      </c>
    </row>
    <row r="634" ht="299" customHeight="1">
      <c r="A634" s="24">
        <f>HYPERLINK("#'Kiểm thử'!A"&amp;(MATCH("TC-RS-UI-016 / Base",'Kiểm thử'!$A$5:$A$573,0)+4),"TC-RS-UI-016 / Base")</f>
        <v/>
      </c>
      <c r="B634" s="18" t="inlineStr">
        <is>
          <t>Điều kiện / thao tác</t>
        </is>
      </c>
      <c r="C634" s="18" t="inlineStr">
        <is>
          <t>Cấu hình: Công thức.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hai dòng (trung bình ÷ 2 × 0.8)
Toàn bộ thủ tục theo đúng thứ tự; các đối chứng cùng fixture được kiểm trong cùng lượt, không bỏ bước
Thao tác: 1. Nhập quy tắc công thức hai dòng (trung bình ÷ 2 × 0.8).
2. Thêm/xóa dòng.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635" ht="129" customHeight="1">
      <c r="A635" s="24">
        <f>HYPERLINK("#'Kiểm thử'!A"&amp;(MATCH("TC-RS-UI-016 / Base",'Kiểm thử'!$A$5:$A$573,0)+4),"TC-RS-UI-016 / Base")</f>
        <v/>
      </c>
      <c r="B635" s="18" t="inlineStr">
        <is>
          <t>Điều kiện / thao tác</t>
        </is>
      </c>
      <c r="C635"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36" ht="299" customHeight="1">
      <c r="A636" s="24">
        <f>HYPERLINK("#'Kiểm thử'!A"&amp;(MATCH("TC-RS-UI-017 / maximum",'Kiểm thử'!$A$5:$A$573,0)+4),"TC-RS-UI-017 / maximum")</f>
        <v/>
      </c>
      <c r="B636" s="18" t="inlineStr">
        <is>
          <t>Điều kiện / thao tác</t>
        </is>
      </c>
      <c r="C636"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N=120; công thức `A ÷ 0`
N120
Thao tác: 1. Lưu N=120.
2. Lưu công thức chia 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37" ht="129" customHeight="1">
      <c r="A637" s="24">
        <f>HYPERLINK("#'Kiểm thử'!A"&amp;(MATCH("TC-RS-UI-017 / maximum",'Kiểm thử'!$A$5:$A$573,0)+4),"TC-RS-UI-017 / maximum")</f>
        <v/>
      </c>
      <c r="B637" s="18" t="inlineStr">
        <is>
          <t>Điều kiện / thao tác</t>
        </is>
      </c>
      <c r="C637"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38" ht="163" customHeight="1">
      <c r="A638" s="24">
        <f>HYPERLINK("#'Kiểm thử'!A"&amp;(MATCH("TC-RS-UI-017 / maximum",'Kiểm thử'!$A$5:$A$573,0)+4),"TC-RS-UI-017 / maximum")</f>
        <v/>
      </c>
      <c r="B638" s="18" t="inlineStr">
        <is>
          <t>Kết quả mong đợi</t>
        </is>
      </c>
      <c r="C638" s="18" t="inlineStr">
        <is>
          <t>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 chuẩn（基準点） có 「対象の満点（100点）以下の値を入力してください。」 và dòng 「対象の満点：100点」 (điểm tối đa của đối tượng: 100); giá trị 120 còn giữ.
2. Không lưu được. Đầu vùng nhập có 「式1：0で割ることはできません。右辺の値を変更してください。」 (dòng 1: không thể chia cho 0; đổi giá trị vế phải); tại dòng 1 có 「0で割ることはできません。右辺の値を変更してください。」; các giá trị đã nhập còn giữ.
Bảo toàn: Giữ điểm, cấu hình và đối tượng không đích theo expected; chỉ thay phần thủ tục yêu cầu, không tự đổi oracle hoặc mở rộng phạm vi.</t>
        </is>
      </c>
    </row>
    <row r="639" ht="299" customHeight="1">
      <c r="A639" s="24">
        <f>HYPERLINK("#'Kiểm thử'!A"&amp;(MATCH("TC-RS-UI-017 / divide-zero",'Kiểm thử'!$A$5:$A$573,0)+4),"TC-RS-UI-017 / divide-zero")</f>
        <v/>
      </c>
      <c r="B639" s="18" t="inlineStr">
        <is>
          <t>Điều kiện / thao tác</t>
        </is>
      </c>
      <c r="C639" s="18" t="inlineStr">
        <is>
          <t>Cấu hình: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Cố định N=120; công thức `A ÷ 0`
Công thức chia 0
Thao tác: 1. Lưu N=120.
2. Lưu công thức chia 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640" ht="129" customHeight="1">
      <c r="A640" s="24">
        <f>HYPERLINK("#'Kiểm thử'!A"&amp;(MATCH("TC-RS-UI-017 / divide-zero",'Kiểm thử'!$A$5:$A$573,0)+4),"TC-RS-UI-017 / divide-zero")</f>
        <v/>
      </c>
      <c r="B640" s="18" t="inlineStr">
        <is>
          <t>Điều kiện / thao tác</t>
        </is>
      </c>
      <c r="C640"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41" ht="163" customHeight="1">
      <c r="A641" s="24">
        <f>HYPERLINK("#'Kiểm thử'!A"&amp;(MATCH("TC-RS-UI-017 / divide-zero",'Kiểm thử'!$A$5:$A$573,0)+4),"TC-RS-UI-017 / divide-zero")</f>
        <v/>
      </c>
      <c r="B641" s="18" t="inlineStr">
        <is>
          <t>Kết quả mong đợi</t>
        </is>
      </c>
      <c r="C641" s="18" t="inlineStr">
        <is>
          <t>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 chuẩn（基準点） có 「対象の満点（100点）以下の値を入力してください。」 và dòng 「対象の満点：100点」 (điểm tối đa của đối tượng: 100); giá trị 120 còn giữ.
2. Không lưu được. Đầu vùng nhập có 「式1：0で割ることはできません。右辺の値を変更してください。」 (dòng 1: không thể chia cho 0; đổi giá trị vế phải); tại dòng 1 có 「0で割ることはできません。右辺の値を変更してください。」; các giá trị đã nhập còn giữ.
Bảo toàn: Giữ điểm, cấu hình và đối tượng không đích theo expected; chỉ thay phần thủ tục yêu cầu, không tự đổi oracle hoặc mở rộng phạm vi.</t>
        </is>
      </c>
    </row>
    <row r="642" ht="44" customHeight="1">
      <c r="A642" s="24">
        <f>HYPERLINK("#'Kiểm thử'!A"&amp;(MATCH("TC-RS-FUNC-015 / Base",'Kiểm thử'!$A$5:$A$573,0)+4),"TC-RS-FUNC-015 / Base")</f>
        <v/>
      </c>
      <c r="B642" s="18" t="inlineStr">
        <is>
          <t>Màn hình / chức năng</t>
        </is>
      </c>
      <c r="C642" s="18" t="inlineStr">
        <is>
          <t>Nguồn trung bình và tỷ lệ nhóm — Nguồn tổng hợp
Quy trình vận hành dùng trung bình: tắt tự tổng hợp → nút xanh → nút cam</t>
        </is>
      </c>
    </row>
    <row r="643" ht="299" customHeight="1">
      <c r="A643" s="24">
        <f>HYPERLINK("#'Kiểm thử'!A"&amp;(MATCH("TC-RS-FUNC-015 / Base",'Kiểm thử'!$A$5:$A$573,0)+4),"TC-RS-FUNC-015 / Base")</f>
        <v/>
      </c>
      <c r="B643" s="18" t="inlineStr">
        <is>
          <t>Điều kiện / thao tác</t>
        </is>
      </c>
      <c r="C643" s="18" t="inlineStr">
        <is>
          <t>Cấu hình: mục số nguyên (M=100) có cặp quy tắc phân nhánh theo trung bình 60. Điểm của nhóm HR1 đã đầy đủ. Không có bản chốt cho nguồn mặc định. Đăng nhập tài khoản có quyền chạy hàng loạt.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cặp quy tắc phân nhánh theo trung bình 60, các lớp chủ nhiệm HR1, HR2, học sinh S01–S05
Toàn bộ thủ tục theo đúng thứ tự; các đối chứng cùng fixture được kiểm trong cùng lượt, không bỏ bước
Thao tác: 1. Thiết lập tổng hợp thứ hạng（順位集計設定）→ Thiết lập chi tiết（詳細設定）: đặt tự tổng hợp khi đăng ký điểm là Không thực hiện（実行しない）.
2. Ở Tổng hợp thành tích（成績集計）, chọn Khối 1, kỳ 1学期期末 (cuối kỳ học kỳ 1), bấm Thực hiện tổng hợp（集計実行）, chờ hoàn tất.</t>
        </is>
      </c>
    </row>
    <row r="644" ht="265" customHeight="1">
      <c r="A644" s="24">
        <f>HYPERLINK("#'Kiểm thử'!A"&amp;(MATCH("TC-RS-FUNC-015 / Base",'Kiểm thử'!$A$5:$A$573,0)+4),"TC-RS-FUNC-015 / Base")</f>
        <v/>
      </c>
      <c r="B644" s="18" t="inlineStr">
        <is>
          <t>Điều kiện / thao tác</t>
        </is>
      </c>
      <c r="C644" s="18" t="inlineStr">
        <is>
          <t xml:space="preserve">
3. Bấm Thực hiện tính toán tự động（自動算出実行）, chờ hoàn tất.
4. Xem kết quả ở ba đầu ra.
5. Sau bước 3, xem lần chạy tổng hợp gần nhất hiển thị ở Tổng hợp thành tích（成績集計）.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45" ht="163" customHeight="1">
      <c r="A645" s="24">
        <f>HYPERLINK("#'Kiểm thử'!A"&amp;(MATCH("TC-RS-FUNC-015 / Base",'Kiểm thử'!$A$5:$A$573,0)+4),"TC-RS-FUNC-015 / Base")</f>
        <v/>
      </c>
      <c r="B645" s="18" t="inlineStr">
        <is>
          <t>Kết quả mong đợi</t>
        </is>
      </c>
      <c r="C645" s="18" t="inlineStr">
        <is>
          <t>1. Sau bước 2 (chỉ nút xanh), kết quả đỏ chưa thay đổi.
2. Sau bước 3, mỗi ô của S01–S05 có kết quả theo nhánh đúng với `A` của tổng hợp vừa chạy.
3. Ba đầu ra hiển thị cùng kết quả mới.
4. (Theo tiêu chí nghiệm thu “Thứ tự đánh giá tương đối”) Bước 3 không tự chạy lại Thực hiện tổng hợp（集計実行） hay thêm lượt xét thứ hai, kể cả khi tính tự động làm đổi điểm dùng cho trung bình: lần chạy tổng hợp gần nhất vẫn là lần ở bước 2. Muốn dùng trung bình mới thì người dùng chạy lại quy trình.
Bảo toàn: Giữ điểm, cấu hình và đối tượng không đích theo expected; chỉ thay phần thủ tục yêu cầu, không tự đổi oracle hoặc mở rộng phạm vi.</t>
        </is>
      </c>
    </row>
    <row r="646" ht="299" customHeight="1">
      <c r="A646" s="24">
        <f>HYPERLINK("#'Kiểm thử'!A"&amp;(MATCH("TC-RS-FUNC-034 / Base",'Kiểm thử'!$A$5:$A$573,0)+4),"TC-RS-FUNC-034 / Base")</f>
        <v/>
      </c>
      <c r="B646" s="18" t="inlineStr">
        <is>
          <t>Điều kiện / thao tác</t>
        </is>
      </c>
      <c r="C646" s="18" t="inlineStr">
        <is>
          <t>Cấu hình: Ba nguồn cùng Thiết lập tổng hợp thứ hạng（順位集計設定） và nhóm ホームルーム (lớp chủ nhiệm), khác Thời kỳ tổng hợp（集計対象時期）: P `A=60`; P2 `A=70`; Q `A=40`.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điều kiện Trung bình（平均点） `≥50` dùng nguồn P; ngưỡng Công thức（計算式） `A×0.5` dùng nguồn Q; `&lt;`. S = 25
Toàn bộ thủ tục theo đúng thứ tự; các đối chứng cùng fixture được kiểm trong cùng lượt, không bỏ bước
Thao tác: 1. Lưu quy tắc, mở lại.
2. Chỉ đổi nguồn của điều kiện từ P sang P2, Lưu, mở lại.
3. Chạy nút cam.
4. Trên form, đổi Thời kỳ tổng hợp（集計対象時期） của nguồn điều kiện sang kỳ mà Thiết lập tổn</t>
        </is>
      </c>
    </row>
    <row r="647" ht="231" customHeight="1">
      <c r="A647" s="24">
        <f>HYPERLINK("#'Kiểm thử'!A"&amp;(MATCH("TC-RS-FUNC-034 / Base",'Kiểm thử'!$A$5:$A$573,0)+4),"TC-RS-FUNC-034 / Base")</f>
        <v/>
      </c>
      <c r="B647" s="18" t="inlineStr">
        <is>
          <t>Điều kiện / thao tác</t>
        </is>
      </c>
      <c r="C647" s="18" t="inlineStr">
        <is>
          <t>g hợp thứ hạng（順位集計設定） đang chọn vẫn hợp lệ; rồi đổi sang kỳ mà thiết lập đó không còn hợp lệ. Xem các ô chọn phụ thuộc sau mỗi lần đổi.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48" ht="146" customHeight="1">
      <c r="A648" s="24">
        <f>HYPERLINK("#'Kiểm thử'!A"&amp;(MATCH("TC-RS-FUNC-034 / Base",'Kiểm thử'!$A$5:$A$573,0)+4),"TC-RS-FUNC-034 / Base")</f>
        <v/>
      </c>
      <c r="B648" s="18" t="inlineStr">
        <is>
          <t>Kết quả mong đợi</t>
        </is>
      </c>
      <c r="C648" s="18" t="inlineStr">
        <is>
          <t>1. Mỗi phần hiện đúng nguồn của mình (điều kiện: P; công thức: Q).
2. Điều kiện dùng P2; công thức vẫn dùng Q.
3. `70≥50` khớp; `T=40×0.5=20` → S=25 Không đỏ. Nếu công thức bị đổi theo P2 (`T=35`) hoặc dùng P (`T=30`) thì S=25 thành Đỏ — sai.
4. (PROPOSED) Chỉ lựa chọn phụ thuộc không còn hợp lệ bị xóa; lựa chọn còn hợp lệ được giữ; nguồn của công thức không đổi.
Bảo toàn: Giữ điểm, cấu hình và đối tượng không đích theo expected; chỉ thay phần thủ tục yêu cầu, không tự đổi oracle hoặc mở rộng phạm vi.</t>
        </is>
      </c>
    </row>
    <row r="649" ht="299" customHeight="1">
      <c r="A649" s="24">
        <f>HYPERLINK("#'Kiểm thử'!A"&amp;(MATCH("TC-RS-FUNC-036 / switch-sequence",'Kiểm thử'!$A$5:$A$573,0)+4),"TC-RS-FUNC-036 / switch-sequence")</f>
        <v/>
      </c>
      <c r="B649" s="18" t="inlineStr">
        <is>
          <t>Điều kiện / thao tác</t>
        </is>
      </c>
      <c r="C649" s="18" t="inlineStr">
        <is>
          <t xml:space="preserve">Cấu hình: Trường A/2026 có thiết lập tổng hợp X（評点集計） (khối, lớp chủ nhiệm bật; lớp học tắt), nhóm tổng hợp thứ hạng “Toán I khối 1+2”, nhóm tổ hợp “Tổ hợp Toán”, nhóm môn học “Nhóm môn Toán”. Mở form thêm quy tắc của mục số nguyên (M=100) với điều kiện Trung bình（平均点） và ngưỡng Công thức（計算式） dùng trung bình.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thiết lập tổng hợp X đã bật thêm Lớp học（授業）, nhóm tổng hợp thứ hạng “Toán I khối 1+2”, nhóm tổ hợp “Tổ hợp Toán”, nhóm môn học “Nhóm môn Toán”; mục số nguyên (M=100); tài khoản giáo viên có quyền sửa mục, tài khoản có quyền chạy hàng loạt
Bước 1–3 cùng X theo thứ tự
Thao tác: 1. Ở nguồn của điều kiện: chọn Thời kỳ tổng hợp（集計対象時期）, chọn Thiết lập tổng </t>
        </is>
      </c>
    </row>
    <row r="650" ht="299" customHeight="1">
      <c r="A650" s="24">
        <f>HYPERLINK("#'Kiểm thử'!A"&amp;(MATCH("TC-RS-FUNC-036 / switch-sequence",'Kiểm thử'!$A$5:$A$573,0)+4),"TC-RS-FUNC-036 / switch-sequence")</f>
        <v/>
      </c>
      <c r="B650" s="18" t="inlineStr">
        <is>
          <t>Điều kiện / thao tác</t>
        </is>
      </c>
      <c r="C650" s="18" t="inlineStr">
        <is>
          <t>hợp thứ hạng（順位集計設定） X, rồi mở danh sách Đối tượng tổng hợp（集計対象）. Ghi lại các lựa chọn.
2. Bật thêm Lớp học（授業） trong công tắc tổng hợp hiện hữu (thành thiết lập tổng hợp X đã bật thêm Lớp học（授業）), chạy lại tổng hợp X; mở lại danh sách ở bước 1.
3. Tắt cả ba công tắc khối/lớp chủ nhiệm/lớp học; mở lại danh sách. Chọn nhóm tổng hợp thứ hạng “Toán I khối 1+2”, lưu, mở lại form.
4. Ở trường/năm không có nhóm tổng hợp/tổ hợp/nhóm môn nào được cấu hình và chỉ bật khối: mở danh sách.
5. Ở nguồn của công thức: lặp thứ tự chọn Thiết lập tổng hợp thứ hạng → Đối tượng tổng hợp, chọn nhóm khác với nguồn điều kiện;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651" ht="95" customHeight="1">
      <c r="A651" s="24">
        <f>HYPERLINK("#'Kiểm thử'!A"&amp;(MATCH("TC-RS-FUNC-036 / switch-sequence",'Kiểm thử'!$A$5:$A$573,0)+4),"TC-RS-FUNC-036 / switch-sequence")</f>
        <v/>
      </c>
      <c r="B651" s="18" t="inlineStr">
        <is>
          <t>Điều kiện / thao tác</t>
        </is>
      </c>
      <c r="C651"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52" ht="248" customHeight="1">
      <c r="A652" s="24">
        <f>HYPERLINK("#'Kiểm thử'!A"&amp;(MATCH("TC-RS-FUNC-036 / switch-sequence",'Kiểm thử'!$A$5:$A$573,0)+4),"TC-RS-FUNC-036 / switch-sequence")</f>
        <v/>
      </c>
      <c r="B652" s="18" t="inlineStr">
        <is>
          <t>Kết quả mong đợi</t>
        </is>
      </c>
      <c r="C652" s="18" t="inlineStr">
        <is>
          <t>1. Trong ba loại cơ bản chỉ có Khối（学年） và Lớp chủ nhiệm（ホームルーム）; không có Lớp học（授業）. Có nhóm tổng hợp thứ hạng “Toán I khối 1+2”, nhóm tổ hợp “Tổ hợp Toán”, nhóm môn học “Nhóm môn Toán”, hiển thị bằng tên đã đặt.
2. Có thêm lựa chọn Lớp học（授業） trong cùng X; không phải tạo cấu hình tổng hợp mới để có loại này.
3. Không còn khối/lớp chủ nhiệm/lớp học; nhóm tổng hợp, tổ hợp, nhóm môn vẫn chọn được. Mở lại hiện đúng tên nhóm tổng hợp thứ hạng “Toán I khối 1+2” (đã lưu theo ID).
4. Chỉ có Khối（学年）; không hiện cố định đủ sáu loại, không có lựa chọn rỗng mang tên loại chưa cấu hình.
5. Nguồn điều kiện và nguồn công thức mở lại đúng lựa chọn riêng của từng phần. Form không có công tắc bật/tắt tổng hợp riêng của điểm đỏ, không có trường thứ hạng, tên hiển thị hay biểu đồ lấy từ màn công khai.
Bảo toàn: Giữ điểm, cấu hình và đối tượng không đích theo expected; chỉ thay phần thủ tục yêu cầu, không tự đổi oracle hoặc mở rộng phạm vi.</t>
        </is>
      </c>
    </row>
    <row r="653" ht="299" customHeight="1">
      <c r="A653" s="24">
        <f>HYPERLINK("#'Kiểm thử'!A"&amp;(MATCH("TC-RS-FUNC-036 / grade-only",'Kiểm thử'!$A$5:$A$573,0)+4),"TC-RS-FUNC-036 / grade-only")</f>
        <v/>
      </c>
      <c r="B653" s="18" t="inlineStr">
        <is>
          <t>Điều kiện / thao tác</t>
        </is>
      </c>
      <c r="C653" s="18" t="inlineStr">
        <is>
          <t xml:space="preserve">Cấu hình: Trường A/2026 có thiết lập tổng hợp X（評点集計） (khối, lớp chủ nhiệm bật; lớp học tắt), nhóm tổng hợp thứ hạng “Toán I khối 1+2”, nhóm tổ hợp “Tổ hợp Toán”, nhóm môn học “Nhóm môn Toán”. Mở form thêm quy tắc của mục số nguyên (M=100) với điều kiện Trung bình（平均点） và ngưỡng Công thức（計算式） dùng trung bình.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thiết lập tổng hợp X đã bật thêm Lớp học（授業）, nhóm tổng hợp thứ hạng “Toán I khối 1+2”, nhóm tổ hợp “Tổ hợp Toán”, nhóm môn học “Nhóm môn Toán”; mục số nguyên (M=100); tài khoản giáo viên có quyền sửa mục, tài khoản có quyền chạy hàng loạt
Bước 4 với fixture chỉ khối
Thao tác: 1. Ở nguồn của điều kiện: chọn Thời kỳ tổng hợp（集計対象時期）, chọn Thiết lập tổng </t>
        </is>
      </c>
    </row>
    <row r="654" ht="299" customHeight="1">
      <c r="A654" s="24">
        <f>HYPERLINK("#'Kiểm thử'!A"&amp;(MATCH("TC-RS-FUNC-036 / grade-only",'Kiểm thử'!$A$5:$A$573,0)+4),"TC-RS-FUNC-036 / grade-only")</f>
        <v/>
      </c>
      <c r="B654" s="18" t="inlineStr">
        <is>
          <t>Điều kiện / thao tác</t>
        </is>
      </c>
      <c r="C654" s="18" t="inlineStr">
        <is>
          <t>hợp thứ hạng（順位集計設定） X, rồi mở danh sách Đối tượng tổng hợp（集計対象）. Ghi lại các lựa chọn.
2. Bật thêm Lớp học（授業） trong công tắc tổng hợp hiện hữu (thành thiết lập tổng hợp X đã bật thêm Lớp học（授業）), chạy lại tổng hợp X; mở lại danh sách ở bước 1.
3. Tắt cả ba công tắc khối/lớp chủ nhiệm/lớp học; mở lại danh sách. Chọn nhóm tổng hợp thứ hạng “Toán I khối 1+2”, lưu, mở lại form.
4. Ở trường/năm không có nhóm tổng hợp/tổ hợp/nhóm môn nào được cấu hình và chỉ bật khối: mở danh sách.
5. Ở nguồn của công thức: lặp thứ tự chọn Thiết lập tổng hợp thứ hạng → Đối tượng tổng hợp, chọn nhóm khác với nguồn điều kiện;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655" ht="95" customHeight="1">
      <c r="A655" s="24">
        <f>HYPERLINK("#'Kiểm thử'!A"&amp;(MATCH("TC-RS-FUNC-036 / grade-only",'Kiểm thử'!$A$5:$A$573,0)+4),"TC-RS-FUNC-036 / grade-only")</f>
        <v/>
      </c>
      <c r="B655" s="18" t="inlineStr">
        <is>
          <t>Điều kiện / thao tác</t>
        </is>
      </c>
      <c r="C655"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56" ht="248" customHeight="1">
      <c r="A656" s="24">
        <f>HYPERLINK("#'Kiểm thử'!A"&amp;(MATCH("TC-RS-FUNC-036 / grade-only",'Kiểm thử'!$A$5:$A$573,0)+4),"TC-RS-FUNC-036 / grade-only")</f>
        <v/>
      </c>
      <c r="B656" s="18" t="inlineStr">
        <is>
          <t>Kết quả mong đợi</t>
        </is>
      </c>
      <c r="C656" s="18" t="inlineStr">
        <is>
          <t>1. Trong ba loại cơ bản chỉ có Khối（学年） và Lớp chủ nhiệm（ホームルーム）; không có Lớp học（授業）. Có nhóm tổng hợp thứ hạng “Toán I khối 1+2”, nhóm tổ hợp “Tổ hợp Toán”, nhóm môn học “Nhóm môn Toán”, hiển thị bằng tên đã đặt.
2. Có thêm lựa chọn Lớp học（授業） trong cùng X; không phải tạo cấu hình tổng hợp mới để có loại này.
3. Không còn khối/lớp chủ nhiệm/lớp học; nhóm tổng hợp, tổ hợp, nhóm môn vẫn chọn được. Mở lại hiện đúng tên nhóm tổng hợp thứ hạng “Toán I khối 1+2” (đã lưu theo ID).
4. Chỉ có Khối（学年）; không hiện cố định đủ sáu loại, không có lựa chọn rỗng mang tên loại chưa cấu hình.
5. Nguồn điều kiện và nguồn công thức mở lại đúng lựa chọn riêng của từng phần. Form không có công tắc bật/tắt tổng hợp riêng của điểm đỏ, không có trường thứ hạng, tên hiển thị hay biểu đồ lấy từ màn công khai.
Bảo toàn: Giữ điểm, cấu hình và đối tượng không đích theo expected; chỉ thay phần thủ tục yêu cầu, không tự đổi oracle hoặc mở rộng phạm vi.</t>
        </is>
      </c>
    </row>
    <row r="657" ht="299" customHeight="1">
      <c r="A657" s="24">
        <f>HYPERLINK("#'Kiểm thử'!A"&amp;(MATCH("TC-RS-FUNC-036 / formula-source",'Kiểm thử'!$A$5:$A$573,0)+4),"TC-RS-FUNC-036 / formula-source")</f>
        <v/>
      </c>
      <c r="B657" s="18" t="inlineStr">
        <is>
          <t>Điều kiện / thao tác</t>
        </is>
      </c>
      <c r="C657" s="18" t="inlineStr">
        <is>
          <t xml:space="preserve">Cấu hình: Trường A/2026 có thiết lập tổng hợp X（評点集計） (khối, lớp chủ nhiệm bật; lớp học tắt), nhóm tổng hợp thứ hạng “Toán I khối 1+2”, nhóm tổ hợp “Tổ hợp Toán”, nhóm môn học “Nhóm môn Toán”. Mở form thêm quy tắc của mục số nguyên (M=100) với điều kiện Trung bình（平均点） và ngưỡng Công thức（計算式） dùng trung bình.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thiết lập tổng hợp X đã bật thêm Lớp học（授業）, nhóm tổng hợp thứ hạng “Toán I khối 1+2”, nhóm tổ hợp “Tổ hợp Toán”, nhóm môn học “Nhóm môn Toán”; mục số nguyên (M=100); tài khoản giáo viên có quyền sửa mục, tài khoản có quyền chạy hàng loạt
Bước 5, chuẩn bị nguồn điều kiện trước
Thao tác: 1. Ở nguồn của điều kiện: chọn Thời kỳ tổng hợp（集計対象時期）, chọn Thiết lập tổng </t>
        </is>
      </c>
    </row>
    <row r="658" ht="299" customHeight="1">
      <c r="A658" s="24">
        <f>HYPERLINK("#'Kiểm thử'!A"&amp;(MATCH("TC-RS-FUNC-036 / formula-source",'Kiểm thử'!$A$5:$A$573,0)+4),"TC-RS-FUNC-036 / formula-source")</f>
        <v/>
      </c>
      <c r="B658" s="18" t="inlineStr">
        <is>
          <t>Điều kiện / thao tác</t>
        </is>
      </c>
      <c r="C658" s="18" t="inlineStr">
        <is>
          <t>hợp thứ hạng（順位集計設定） X, rồi mở danh sách Đối tượng tổng hợp（集計対象）. Ghi lại các lựa chọn.
2. Bật thêm Lớp học（授業） trong công tắc tổng hợp hiện hữu (thành thiết lập tổng hợp X đã bật thêm Lớp học（授業）), chạy lại tổng hợp X; mở lại danh sách ở bước 1.
3. Tắt cả ba công tắc khối/lớp chủ nhiệm/lớp học; mở lại danh sách. Chọn nhóm tổng hợp thứ hạng “Toán I khối 1+2”, lưu, mở lại form.
4. Ở trường/năm không có nhóm tổng hợp/tổ hợp/nhóm môn nào được cấu hình và chỉ bật khối: mở danh sách.
5. Ở nguồn của công thức: lặp thứ tự chọn Thiết lập tổng hợp thứ hạng → Đối tượng tổng hợp, chọn nhóm khác với nguồn điều kiện; lưu, mở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659" ht="95" customHeight="1">
      <c r="A659" s="24">
        <f>HYPERLINK("#'Kiểm thử'!A"&amp;(MATCH("TC-RS-FUNC-036 / formula-source",'Kiểm thử'!$A$5:$A$573,0)+4),"TC-RS-FUNC-036 / formula-source")</f>
        <v/>
      </c>
      <c r="B659" s="18" t="inlineStr">
        <is>
          <t>Điều kiện / thao tác</t>
        </is>
      </c>
      <c r="C659"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60" ht="248" customHeight="1">
      <c r="A660" s="24">
        <f>HYPERLINK("#'Kiểm thử'!A"&amp;(MATCH("TC-RS-FUNC-036 / formula-source",'Kiểm thử'!$A$5:$A$573,0)+4),"TC-RS-FUNC-036 / formula-source")</f>
        <v/>
      </c>
      <c r="B660" s="18" t="inlineStr">
        <is>
          <t>Kết quả mong đợi</t>
        </is>
      </c>
      <c r="C660" s="18" t="inlineStr">
        <is>
          <t>1. Trong ba loại cơ bản chỉ có Khối（学年） và Lớp chủ nhiệm（ホームルーム）; không có Lớp học（授業）. Có nhóm tổng hợp thứ hạng “Toán I khối 1+2”, nhóm tổ hợp “Tổ hợp Toán”, nhóm môn học “Nhóm môn Toán”, hiển thị bằng tên đã đặt.
2. Có thêm lựa chọn Lớp học（授業） trong cùng X; không phải tạo cấu hình tổng hợp mới để có loại này.
3. Không còn khối/lớp chủ nhiệm/lớp học; nhóm tổng hợp, tổ hợp, nhóm môn vẫn chọn được. Mở lại hiện đúng tên nhóm tổng hợp thứ hạng “Toán I khối 1+2” (đã lưu theo ID).
4. Chỉ có Khối（学年）; không hiện cố định đủ sáu loại, không có lựa chọn rỗng mang tên loại chưa cấu hình.
5. Nguồn điều kiện và nguồn công thức mở lại đúng lựa chọn riêng của từng phần. Form không có công tắc bật/tắt tổng hợp riêng của điểm đỏ, không có trường thứ hạng, tên hiển thị hay biểu đồ lấy từ màn công khai.
Bảo toàn: Giữ điểm, cấu hình và đối tượng không đích theo expected; chỉ thay phần thủ tục yêu cầu, không tự đổi oracle hoặc mở rộng phạm vi.</t>
        </is>
      </c>
    </row>
    <row r="661" ht="44" customHeight="1">
      <c r="A661" s="24">
        <f>HYPERLINK("#'Kiểm thử'!A"&amp;(MATCH("TC-RS-BR-006 / Base",'Kiểm thử'!$A$5:$A$573,0)+4),"TC-RS-BR-006 / Base")</f>
        <v/>
      </c>
      <c r="B661" s="18" t="inlineStr">
        <is>
          <t>Màn hình / chức năng</t>
        </is>
      </c>
      <c r="C661" s="18" t="inlineStr">
        <is>
          <t>Nguồn trung bình và tỷ lệ nhóm — Nguồn tổng hợp
Nhóm tham chiếu tách khỏi đối tượng áp dụng và danh sách đang lọc ở đầu ra</t>
        </is>
      </c>
    </row>
    <row r="662" ht="299" customHeight="1">
      <c r="A662" s="24">
        <f>HYPERLINK("#'Kiểm thử'!A"&amp;(MATCH("TC-RS-BR-006 / Base",'Kiểm thử'!$A$5:$A$573,0)+4),"TC-RS-BR-006 / Base")</f>
        <v/>
      </c>
      <c r="B662" s="18" t="inlineStr">
        <is>
          <t>Điều kiện / thao tác</t>
        </is>
      </c>
      <c r="C662" s="18" t="inlineStr">
        <is>
          <t>Cấu hình: Quy tắc chỉ áp dụng cho lớp G-A (bộ lọc lớp), công thức `A×0.5`, nguồn có nhóm tham chiếu là một nhóm tổng hợp chứa cả G-A và G-B, `A=50` (G-A riêng có trung bình 40). Đã xét: `T=25`.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Nguồn theo nhóm tổng hợp chứa G-A và G-B (không dùng nhóm theo khối vì G-A thuộc khối 1, G-B thuộc khối 2); các lớp học phần G-A, G-B, G-C
Toàn bộ thủ tục theo đúng thứ tự; các đối chứng cùng fixture được kiểm trong cùng lượt, không bỏ bước
Thao tác: 1. Xem kết quả của học sinh G-A điểm 24 (Đỏ) và 26 (Không đỏ).
2. Chạy trích xuất chỉ lọc lớp G-A.
3. Chạy lại xét.</t>
        </is>
      </c>
    </row>
    <row r="663" ht="214" customHeight="1">
      <c r="A663" s="24">
        <f>HYPERLINK("#'Kiểm thử'!A"&amp;(MATCH("TC-RS-BR-006 / Base",'Kiểm thử'!$A$5:$A$573,0)+4),"TC-RS-BR-006 / Base")</f>
        <v/>
      </c>
      <c r="B663" s="18" t="inlineStr">
        <is>
          <t>Điều kiện / thao tác</t>
        </is>
      </c>
      <c r="C663"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64" ht="299" customHeight="1">
      <c r="A664" s="24">
        <f>HYPERLINK("#'Kiểm thử'!A"&amp;(MATCH("TC-RS-BR-007 / Base",'Kiểm thử'!$A$5:$A$573,0)+4),"TC-RS-BR-007 / Base")</f>
        <v/>
      </c>
      <c r="B664" s="18" t="inlineStr">
        <is>
          <t>Điều kiện / thao tác</t>
        </is>
      </c>
      <c r="C664" s="18" t="inlineStr">
        <is>
          <t>Cấu hình: Có bản tổng hợp đã chốt (trung bình 49.99) (chốt, `A=49.99`) và bản tổng hợp mới nhất chưa chốt (trung bình 62) (mới hơn, `A=62`) cùng phạm vi. mục số nguyên (M=100) có cặp quy tắc phân nhánh theo trung bình 60. Dummy data (dữ liệu giả cho bản tổng hợp đã chốt).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bản tổng hợp đã chốt (trung bình 49.99), bản tổng hợp mới nhất chưa chốt (trung bình 62), cặp quy tắc phân nhánh theo trung bình 60; học sinh điểm 24 và 26
Toàn bộ thủ tục theo đúng thứ tự; các đối chứng cùng fixture được kiểm trong cùng lượt, không bỏ bước
Thao tác: 1. Chạy nút cam.
2. Xem kết quả.
Khôi phục: Trước mỗi biến thể, dựng lại điều kiện/dữ liệu đầu của case bằng đường được phép; gi</t>
        </is>
      </c>
    </row>
    <row r="665" ht="180" customHeight="1">
      <c r="A665" s="24">
        <f>HYPERLINK("#'Kiểm thử'!A"&amp;(MATCH("TC-RS-BR-007 / Base",'Kiểm thử'!$A$5:$A$573,0)+4),"TC-RS-BR-007 / Base")</f>
        <v/>
      </c>
      <c r="B665" s="18" t="inlineStr">
        <is>
          <t>Điều kiện / thao tác</t>
        </is>
      </c>
      <c r="C665"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66" ht="44" customHeight="1">
      <c r="A666" s="24">
        <f>HYPERLINK("#'Kiểm thử'!A"&amp;(MATCH("TC-RS-BR-008 / completed",'Kiểm thử'!$A$5:$A$573,0)+4),"TC-RS-BR-008 / completed")</f>
        <v/>
      </c>
      <c r="B666" s="18" t="inlineStr">
        <is>
          <t>Màn hình / chức năng</t>
        </is>
      </c>
      <c r="C666" s="18" t="inlineStr">
        <is>
          <t>Nguồn trung bình và tỷ lệ nhóm — Nguồn tổng hợp
Nguồn: chưa có bản chốt → dùng tổng hợp hoàn tất mới nhất cùng phạm vi</t>
        </is>
      </c>
    </row>
    <row r="667" ht="299" customHeight="1">
      <c r="A667" s="24">
        <f>HYPERLINK("#'Kiểm thử'!A"&amp;(MATCH("TC-RS-BR-008 / completed",'Kiểm thử'!$A$5:$A$573,0)+4),"TC-RS-BR-008 / completed")</f>
        <v/>
      </c>
      <c r="B667" s="18" t="inlineStr">
        <is>
          <t>Điều kiện / thao tác</t>
        </is>
      </c>
      <c r="C667" s="18" t="inlineStr">
        <is>
          <t>Cấu hình: Chỉ có bản tổng hợp mới nhất chưa chốt (trung bình 62) (`A=62`), không có bản chốt; có thêm một tổng hợp cũ hơn `A=55` và một tổng hợp khác kỳ mới hơn `A=40`.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 tổng hợp mới nhất chưa chốt (trung bình 62), cặp quy tắc phân nhánh theo trung bình 60
Bản mới nhất hoàn tất
Thao tác: 1. Chạy nút cam.
2. Xem kết quả học sinh điểm 26 và 29.
3. Bắt đầu một lượt tổng hợp mới cùng phạm vi sau bản tổng hợp mới nhất chưa chốt (trung bình 62) nhưng chưa hoàn tất (đang chạy hoặc thất bại); chạy lại nút cam.
Khôi phục: Trước mỗi biến thể, dựng lại điều kiện/dữ liệu đầu của case bằng đường được phép; gi</t>
        </is>
      </c>
    </row>
    <row r="668" ht="180" customHeight="1">
      <c r="A668" s="24">
        <f>HYPERLINK("#'Kiểm thử'!A"&amp;(MATCH("TC-RS-BR-008 / completed",'Kiểm thử'!$A$5:$A$573,0)+4),"TC-RS-BR-008 / completed")</f>
        <v/>
      </c>
      <c r="B668" s="18" t="inlineStr">
        <is>
          <t>Điều kiện / thao tác</t>
        </is>
      </c>
      <c r="C668"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69" ht="112" customHeight="1">
      <c r="A669" s="24">
        <f>HYPERLINK("#'Kiểm thử'!A"&amp;(MATCH("TC-RS-BR-008 / completed",'Kiểm thử'!$A$5:$A$573,0)+4),"TC-RS-BR-008 / completed")</f>
        <v/>
      </c>
      <c r="B669" s="18" t="inlineStr">
        <is>
          <t>Kết quả mong đợi</t>
        </is>
      </c>
      <c r="C669" s="18" t="inlineStr">
        <is>
          <t>1–2. Dùng `A=62` (mới nhất, cùng kỳ) → nhánh `A≥60`, `T=30` → 26 và 29 Đỏ. Không dùng bản cũ hơn hoặc bản khác kỳ.
3. Vẫn dùng `A=62` của bản hoàn tất mới nhất; không đọc lượt tổng hợp chưa hoàn tất.
Bảo toàn: Giữ điểm, cấu hình và đối tượng không đích theo expected; chỉ thay phần thủ tục yêu cầu, không tự đổi oracle hoặc mở rộng phạm vi.</t>
        </is>
      </c>
    </row>
    <row r="670" ht="44" customHeight="1">
      <c r="A670" s="24">
        <f>HYPERLINK("#'Kiểm thử'!A"&amp;(MATCH("TC-RS-BR-008 / running",'Kiểm thử'!$A$5:$A$573,0)+4),"TC-RS-BR-008 / running")</f>
        <v/>
      </c>
      <c r="B670" s="18" t="inlineStr">
        <is>
          <t>Màn hình / chức năng</t>
        </is>
      </c>
      <c r="C670" s="18" t="inlineStr">
        <is>
          <t>Nguồn trung bình và tỷ lệ nhóm — Nguồn tổng hợp
Nguồn: chưa có bản chốt → dùng tổng hợp hoàn tất mới nhất cùng phạm vi</t>
        </is>
      </c>
    </row>
    <row r="671" ht="299" customHeight="1">
      <c r="A671" s="24">
        <f>HYPERLINK("#'Kiểm thử'!A"&amp;(MATCH("TC-RS-BR-008 / running",'Kiểm thử'!$A$5:$A$573,0)+4),"TC-RS-BR-008 / running")</f>
        <v/>
      </c>
      <c r="B671" s="18" t="inlineStr">
        <is>
          <t>Điều kiện / thao tác</t>
        </is>
      </c>
      <c r="C671" s="18" t="inlineStr">
        <is>
          <t>Cấu hình: Chỉ có bản tổng hợp mới nhất chưa chốt (trung bình 62) (`A=62`), không có bản chốt; có thêm một tổng hợp cũ hơn `A=55` và một tổng hợp khác kỳ mới hơn `A=40`.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 tổng hợp mới nhất chưa chốt (trung bình 62), cặp quy tắc phân nhánh theo trung bình 60
Bản mới đang chạy
Thao tác: 1. Chạy nút cam.
2. Xem kết quả học sinh điểm 26 và 29.
3. Bắt đầu một lượt tổng hợp mới cùng phạm vi sau bản tổng hợp mới nhất chưa chốt (trung bình 62) nhưng chưa hoàn tất (đang chạy hoặc thất bại); chạy lại nút cam.
Khôi phục: Trước mỗi biến thể, dựng lại điều kiện/dữ liệu đầu của case bằng đường được phép; gi</t>
        </is>
      </c>
    </row>
    <row r="672" ht="180" customHeight="1">
      <c r="A672" s="24">
        <f>HYPERLINK("#'Kiểm thử'!A"&amp;(MATCH("TC-RS-BR-008 / running",'Kiểm thử'!$A$5:$A$573,0)+4),"TC-RS-BR-008 / running")</f>
        <v/>
      </c>
      <c r="B672" s="18" t="inlineStr">
        <is>
          <t>Điều kiện / thao tác</t>
        </is>
      </c>
      <c r="C672"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73" ht="112" customHeight="1">
      <c r="A673" s="24">
        <f>HYPERLINK("#'Kiểm thử'!A"&amp;(MATCH("TC-RS-BR-008 / running",'Kiểm thử'!$A$5:$A$573,0)+4),"TC-RS-BR-008 / running")</f>
        <v/>
      </c>
      <c r="B673" s="18" t="inlineStr">
        <is>
          <t>Kết quả mong đợi</t>
        </is>
      </c>
      <c r="C673" s="18" t="inlineStr">
        <is>
          <t>1–2. Dùng `A=62` (mới nhất, cùng kỳ) → nhánh `A≥60`, `T=30` → 26 và 29 Đỏ. Không dùng bản cũ hơn hoặc bản khác kỳ.
3. Vẫn dùng `A=62` của bản hoàn tất mới nhất; không đọc lượt tổng hợp chưa hoàn tất.
Bảo toàn: Giữ điểm, cấu hình và đối tượng không đích theo expected; chỉ thay phần thủ tục yêu cầu, không tự đổi oracle hoặc mở rộng phạm vi.</t>
        </is>
      </c>
    </row>
    <row r="674" ht="44" customHeight="1">
      <c r="A674" s="24">
        <f>HYPERLINK("#'Kiểm thử'!A"&amp;(MATCH("TC-RS-BR-008 / failed",'Kiểm thử'!$A$5:$A$573,0)+4),"TC-RS-BR-008 / failed")</f>
        <v/>
      </c>
      <c r="B674" s="18" t="inlineStr">
        <is>
          <t>Màn hình / chức năng</t>
        </is>
      </c>
      <c r="C674" s="18" t="inlineStr">
        <is>
          <t>Nguồn trung bình và tỷ lệ nhóm — Nguồn tổng hợp
Nguồn: chưa có bản chốt → dùng tổng hợp hoàn tất mới nhất cùng phạm vi</t>
        </is>
      </c>
    </row>
    <row r="675" ht="299" customHeight="1">
      <c r="A675" s="24">
        <f>HYPERLINK("#'Kiểm thử'!A"&amp;(MATCH("TC-RS-BR-008 / failed",'Kiểm thử'!$A$5:$A$573,0)+4),"TC-RS-BR-008 / failed")</f>
        <v/>
      </c>
      <c r="B675" s="18" t="inlineStr">
        <is>
          <t>Điều kiện / thao tác</t>
        </is>
      </c>
      <c r="C675" s="18" t="inlineStr">
        <is>
          <t>Cấu hình: Chỉ có bản tổng hợp mới nhất chưa chốt (trung bình 62) (`A=62`), không có bản chốt; có thêm một tổng hợp cũ hơn `A=55` và một tổng hợp khác kỳ mới hơn `A=40`.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 tổng hợp mới nhất chưa chốt (trung bình 62), cặp quy tắc phân nhánh theo trung bình 60
Bản mới thất bại
Thao tác: 1. Chạy nút cam.
2. Xem kết quả học sinh điểm 26 và 29.
3. Bắt đầu một lượt tổng hợp mới cùng phạm vi sau bản tổng hợp mới nhất chưa chốt (trung bình 62) nhưng chưa hoàn tất (đang chạy hoặc thất bại); chạy lại nút cam.
Khôi phục: Trước mỗi biến thể, dựng lại điều kiện/dữ liệu đầu của case bằng đường được phép; gi</t>
        </is>
      </c>
    </row>
    <row r="676" ht="180" customHeight="1">
      <c r="A676" s="24">
        <f>HYPERLINK("#'Kiểm thử'!A"&amp;(MATCH("TC-RS-BR-008 / failed",'Kiểm thử'!$A$5:$A$573,0)+4),"TC-RS-BR-008 / failed")</f>
        <v/>
      </c>
      <c r="B676" s="18" t="inlineStr">
        <is>
          <t>Điều kiện / thao tác</t>
        </is>
      </c>
      <c r="C676"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77" ht="112" customHeight="1">
      <c r="A677" s="24">
        <f>HYPERLINK("#'Kiểm thử'!A"&amp;(MATCH("TC-RS-BR-008 / failed",'Kiểm thử'!$A$5:$A$573,0)+4),"TC-RS-BR-008 / failed")</f>
        <v/>
      </c>
      <c r="B677" s="18" t="inlineStr">
        <is>
          <t>Kết quả mong đợi</t>
        </is>
      </c>
      <c r="C677" s="18" t="inlineStr">
        <is>
          <t>1–2. Dùng `A=62` (mới nhất, cùng kỳ) → nhánh `A≥60`, `T=30` → 26 và 29 Đỏ. Không dùng bản cũ hơn hoặc bản khác kỳ.
3. Vẫn dùng `A=62` của bản hoàn tất mới nhất; không đọc lượt tổng hợp chưa hoàn tất.
Bảo toàn: Giữ điểm, cấu hình và đối tượng không đích theo expected; chỉ thay phần thủ tục yêu cầu, không tự đổi oracle hoặc mở rộng phạm vi.</t>
        </is>
      </c>
    </row>
    <row r="678" ht="44" customHeight="1">
      <c r="A678" s="24">
        <f>HYPERLINK("#'Kiểm thử'!A"&amp;(MATCH("TC-RS-BR-009 / Base",'Kiểm thử'!$A$5:$A$573,0)+4),"TC-RS-BR-009 / Base")</f>
        <v/>
      </c>
      <c r="B678" s="18" t="inlineStr">
        <is>
          <t>Màn hình / chức năng</t>
        </is>
      </c>
      <c r="C678" s="18" t="inlineStr">
        <is>
          <t>Nguồn trung bình và tỷ lệ nhóm — Nguồn tổng hợp
Nguồn: bản đã chốt thiếu dữ liệu → Chưa xét được, không chuyển sang bản thường</t>
        </is>
      </c>
    </row>
    <row r="679" ht="299" customHeight="1">
      <c r="A679" s="24">
        <f>HYPERLINK("#'Kiểm thử'!A"&amp;(MATCH("TC-RS-BR-009 / Base",'Kiểm thử'!$A$5:$A$573,0)+4),"TC-RS-BR-009 / Base")</f>
        <v/>
      </c>
      <c r="B679" s="18" t="inlineStr">
        <is>
          <t>Điều kiện / thao tác</t>
        </is>
      </c>
      <c r="C679" s="18" t="inlineStr">
        <is>
          <t>Cấu hình: Có bản đã chốt thiếu dữ liệu của ô (chốt, thiếu dòng cho môn/mục) và bản tổng hợp mới nhất chưa chốt (trung bình 62) (thường, đầy đủ). cặp quy tắc phân nhánh theo trung bình 60. Ô trước đó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 đã chốt thiếu dữ liệu của ô, bản tổng hợp mới nhất chưa chốt (trung bình 62), cặp quy tắc phân nhánh theo trung bình 60
Toàn bộ thủ tục theo đúng thứ tự; các đối chứng cùng fixture được kiểm trong cùng lượt, không bỏ bước
Thao tác: 1. Chạy nút cam.
2. Xem kết quả và ba đầu ra.
Khôi phục: Trước mỗi biến thể, dựng lại điều kiện/dữ liệu đầu của case bằng đường được phép; gi</t>
        </is>
      </c>
    </row>
    <row r="680" ht="180" customHeight="1">
      <c r="A680" s="24">
        <f>HYPERLINK("#'Kiểm thử'!A"&amp;(MATCH("TC-RS-BR-009 / Base",'Kiểm thử'!$A$5:$A$573,0)+4),"TC-RS-BR-009 / Base")</f>
        <v/>
      </c>
      <c r="B680" s="18" t="inlineStr">
        <is>
          <t>Điều kiện / thao tác</t>
        </is>
      </c>
      <c r="C680"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81" ht="44" customHeight="1">
      <c r="A681" s="24">
        <f>HYPERLINK("#'Kiểm thử'!A"&amp;(MATCH("TC-RS-BR-010 / Base",'Kiểm thử'!$A$5:$A$573,0)+4),"TC-RS-BR-010 / Base")</f>
        <v/>
      </c>
      <c r="B681" s="18" t="inlineStr">
        <is>
          <t>Màn hình / chức năng</t>
        </is>
      </c>
      <c r="C681" s="18" t="inlineStr">
        <is>
          <t>Nguồn trung bình và tỷ lệ nhóm — Nguồn tổng hợp
Chưa có kết quả tổng hợp → Chưa xét được, không thay bằng 0 hay nhóm khác</t>
        </is>
      </c>
    </row>
    <row r="682" ht="299" customHeight="1">
      <c r="A682" s="24">
        <f>HYPERLINK("#'Kiểm thử'!A"&amp;(MATCH("TC-RS-BR-010 / Base",'Kiểm thử'!$A$5:$A$573,0)+4),"TC-RS-BR-010 / Base")</f>
        <v/>
      </c>
      <c r="B682" s="18" t="inlineStr">
        <is>
          <t>Điều kiện / thao tác</t>
        </is>
      </c>
      <c r="C682" s="18" t="inlineStr">
        <is>
          <t xml:space="preserve">Cấu hình: Công thức `A×0.5` với nguồn nguồn chưa có kết quả tổng hợp (chưa tổng hợp). Ô trước đó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nguồn chưa có kết quả tổng hợp
Toàn bộ thủ tục theo đúng thứ tự; các đối chứng cùng fixture được kiểm trong cùng lượt, không bỏ bước
Thao tác: 1. Chạy nút cam.
2.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683" ht="146" customHeight="1">
      <c r="A683" s="24">
        <f>HYPERLINK("#'Kiểm thử'!A"&amp;(MATCH("TC-RS-BR-010 / Base",'Kiểm thử'!$A$5:$A$573,0)+4),"TC-RS-BR-010 / Base")</f>
        <v/>
      </c>
      <c r="B683" s="18" t="inlineStr">
        <is>
          <t>Điều kiện / thao tác</t>
        </is>
      </c>
      <c r="C68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84" ht="299" customHeight="1">
      <c r="A684" s="24">
        <f>HYPERLINK("#'Kiểm thử'!A"&amp;(MATCH("TC-RS-BR-011 / fixed",'Kiểm thử'!$A$5:$A$573,0)+4),"TC-RS-BR-011 / fixed")</f>
        <v/>
      </c>
      <c r="B684" s="18" t="inlineStr">
        <is>
          <t>Điều kiện / thao tác</t>
        </is>
      </c>
      <c r="C684" s="18" t="inlineStr">
        <is>
          <t>Cấu hình: Không có kết quả tổng hợp nào (nguồn chưa có kết quả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quy tắc tỷ lệ 30%, nguồn chưa có kết quả tổng hợp, học sinh S01 (điểm 29)
Ngưỡng cố định
Thao tác: 1. Chỉ có quy tắc “Cố định 30” (dưới 30) (Toàn bộ, không điều kiện trung bình): đăng ký S01=29.
2. Chỉ có quy tắc tỷ lệ 30%: đăng ký S01=29.
3. Chỉ có quy tắc "cố định 30 `&lt;`, điều kiện `A≥60`": đăng ký S01=29.
Khôi phục: Trước mỗi biến thể, dựng lại điều kiện/dữ liệu đầu của case bằng đường được phép; giữ các reset/fixture độc lập đã nêu trong thủ tục.</t>
        </is>
      </c>
    </row>
    <row r="685" ht="180" customHeight="1">
      <c r="A685" s="24">
        <f>HYPERLINK("#'Kiểm thử'!A"&amp;(MATCH("TC-RS-BR-011 / fixed",'Kiểm thử'!$A$5:$A$573,0)+4),"TC-RS-BR-011 / fixed")</f>
        <v/>
      </c>
      <c r="B685" s="18" t="inlineStr">
        <is>
          <t>Điều kiện / thao tác</t>
        </is>
      </c>
      <c r="C685"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86" ht="299" customHeight="1">
      <c r="A686" s="24">
        <f>HYPERLINK("#'Kiểm thử'!A"&amp;(MATCH("TC-RS-BR-011 / ratio",'Kiểm thử'!$A$5:$A$573,0)+4),"TC-RS-BR-011 / ratio")</f>
        <v/>
      </c>
      <c r="B686" s="18" t="inlineStr">
        <is>
          <t>Điều kiện / thao tác</t>
        </is>
      </c>
      <c r="C686" s="18" t="inlineStr">
        <is>
          <t>Cấu hình: Không có kết quả tổng hợp nào (nguồn chưa có kết quả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quy tắc tỷ lệ 30%, nguồn chưa có kết quả tổng hợp, học sinh S01 (điểm 29)
Ngưỡng tỷ lệ
Thao tác: 1. Chỉ có quy tắc “Cố định 30” (dưới 30) (Toàn bộ, không điều kiện trung bình): đăng ký S01=29.
2. Chỉ có quy tắc tỷ lệ 30%: đăng ký S01=29.
3. Chỉ có quy tắc "cố định 30 `&lt;`, điều kiện `A≥60`": đăng ký S01=29.
Khôi phục: Trước mỗi biến thể, dựng lại điều kiện/dữ liệu đầu của case bằng đường được phép; giữ các reset/fixture độc lập đã nêu trong thủ tục.</t>
        </is>
      </c>
    </row>
    <row r="687" ht="180" customHeight="1">
      <c r="A687" s="24">
        <f>HYPERLINK("#'Kiểm thử'!A"&amp;(MATCH("TC-RS-BR-011 / ratio",'Kiểm thử'!$A$5:$A$573,0)+4),"TC-RS-BR-011 / ratio")</f>
        <v/>
      </c>
      <c r="B687" s="18" t="inlineStr">
        <is>
          <t>Điều kiện / thao tác</t>
        </is>
      </c>
      <c r="C687"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88" ht="299" customHeight="1">
      <c r="A688" s="24">
        <f>HYPERLINK("#'Kiểm thử'!A"&amp;(MATCH("TC-RS-BR-011 / average-condition",'Kiểm thử'!$A$5:$A$573,0)+4),"TC-RS-BR-011 / average-condition")</f>
        <v/>
      </c>
      <c r="B688" s="18" t="inlineStr">
        <is>
          <t>Điều kiện / thao tác</t>
        </is>
      </c>
      <c r="C688" s="18" t="inlineStr">
        <is>
          <t>Cấu hình: Không có kết quả tổng hợp nào (nguồn chưa có kết quả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quy tắc tỷ lệ 30%, nguồn chưa có kết quả tổng hợp, học sinh S01 (điểm 29)
Điều kiện trung bình
Thao tác: 1. Chỉ có quy tắc “Cố định 30” (dưới 30) (Toàn bộ, không điều kiện trung bình): đăng ký S01=29.
2. Chỉ có quy tắc tỷ lệ 30%: đăng ký S01=29.
3. Chỉ có quy tắc "cố định 30 `&lt;`, điều kiện `A≥60`": đăng ký S01=29.
Khôi phục: Trước mỗi biến thể, dựng lại điều kiện/dữ liệu đầu của case bằng đường được phép; giữ các reset/fixture độc lập đã nêu trong thủ tục.</t>
        </is>
      </c>
    </row>
    <row r="689" ht="180" customHeight="1">
      <c r="A689" s="24">
        <f>HYPERLINK("#'Kiểm thử'!A"&amp;(MATCH("TC-RS-BR-011 / average-condition",'Kiểm thử'!$A$5:$A$573,0)+4),"TC-RS-BR-011 / average-condition")</f>
        <v/>
      </c>
      <c r="B689" s="18" t="inlineStr">
        <is>
          <t>Điều kiện / thao tác</t>
        </is>
      </c>
      <c r="C689"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90" ht="299" customHeight="1">
      <c r="A690" s="24">
        <f>HYPERLINK("#'Kiểm thử'!A"&amp;(MATCH("TC-RS-BR-028 / Base",'Kiểm thử'!$A$5:$A$573,0)+4),"TC-RS-BR-028 / Base")</f>
        <v/>
      </c>
      <c r="B690" s="18" t="inlineStr">
        <is>
          <t>Điều kiện / thao tác</t>
        </is>
      </c>
      <c r="C690" s="18" t="inlineStr">
        <is>
          <t>Cấu hình: nhóm tham chiếu gồm G-A có `M=20` và G-B có `M=100`; rule dùng `R (tỷ lệ nhóm)` với điều kiện `R≥65%`; P1 thuộc phạm vi được xét ở G-B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G-A có `10/20`, G-B có `80/100`; fixture nguồn đã chuẩn bị/quan sát phải ghi rõ giá trị `R` thực sự được reader sử dụng. Với nguồn tổng điểm/tổng M, fixture này cho `R=75%`; P1 có `S=60`, ngưỡng cố định `T=70` hợp lệ với `M=100`.
Toàn bộ thủ tục theo đúng thứ tự; các đối chứng cùng fixture được kiểm trong cùng lượt, không bỏ bước
Thao tác: 1. Lưu quy tắc theo tỷ lệ điểm của nhóm từ 65% với nguồn là nhóm trên; ghi source snapshot/reader và xác nhận `R=75%` đã được chuẩn bị.
2. Chạy nút xanh rồi nút cam cho phạm vi.</t>
        </is>
      </c>
    </row>
    <row r="691" ht="231" customHeight="1">
      <c r="A691" s="24">
        <f>HYPERLINK("#'Kiểm thử'!A"&amp;(MATCH("TC-RS-BR-028 / Base",'Kiểm thử'!$A$5:$A$573,0)+4),"TC-RS-BR-028 / Base")</f>
        <v/>
      </c>
      <c r="B691" s="18" t="inlineStr">
        <is>
          <t>Điều kiện / thao tác</t>
        </is>
      </c>
      <c r="C691" s="18" t="inlineStr">
        <is>
          <t xml:space="preserve">
3. Xem màn kết quả xử lý và kết quả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92" ht="146" customHeight="1">
      <c r="A692" s="24">
        <f>HYPERLINK("#'Kiểm thử'!A"&amp;(MATCH("TC-RS-BR-028 / Base",'Kiểm thử'!$A$5:$A$573,0)+4),"TC-RS-BR-028 / Base")</f>
        <v/>
      </c>
      <c r="B692" s="18" t="inlineStr">
        <is>
          <t>Kết quả mong đợi</t>
        </is>
      </c>
      <c r="C692" s="18" t="inlineStr">
        <is>
          <t>1. Lưu được; không bị chặn vì nhóm có lớp khác M.
2–3. Xử lý hoàn tất, không lỗi dừng do khác M. Ghi lại trong evidence nguồn/bản snapshot và `R` thực sự được reader dùng; nếu reader dùng nguồn tổng điểm/tổng M thì fixture này cho `R=(10+80)/(20+100)×100=75%`, khớp `≥65%`, `T=70` và P1 Đỏ. Không dùng phép tính trong case để áp đặt một cách tổng hợp mới; không dùng trung bình tỷ lệ cá nhân làm oracle thay cho nguồn hiện hữu.
Bảo toàn: Giữ điểm, cấu hình và đối tượng không đích theo expected; chỉ thay phần thủ tục yêu cầu, không tự đổi oracle hoặc mở rộng phạm vi.</t>
        </is>
      </c>
    </row>
    <row r="693" ht="44" customHeight="1">
      <c r="A693" s="24">
        <f>HYPERLINK("#'Kiểm thử'!A"&amp;(MATCH("TC-RS-BR-034 / Base",'Kiểm thử'!$A$5:$A$573,0)+4),"TC-RS-BR-034 / Base")</f>
        <v/>
      </c>
      <c r="B693" s="18" t="inlineStr">
        <is>
          <t>Màn hình / chức năng</t>
        </is>
      </c>
      <c r="C693" s="18" t="inlineStr">
        <is>
          <t>Nguồn trung bình và tỷ lệ nhóm — Nguồn tổng hợp
Bật tự tổng hợp khi đăng ký: hệ thống không chặn; quy tắc độc lập với trung bình vẫn xét</t>
        </is>
      </c>
    </row>
    <row r="694" ht="299" customHeight="1">
      <c r="A694" s="24">
        <f>HYPERLINK("#'Kiểm thử'!A"&amp;(MATCH("TC-RS-BR-034 / Base",'Kiểm thử'!$A$5:$A$573,0)+4),"TC-RS-BR-034 / Base")</f>
        <v/>
      </c>
      <c r="B694" s="18" t="inlineStr">
        <is>
          <t>Điều kiện / thao tác</t>
        </is>
      </c>
      <c r="C694" s="18" t="inlineStr">
        <is>
          <t>Cấu hình: Tự tổng hợp khi đăng ký = Thực hiện（実行する）. mục số nguyên (M=100) có quy tắc “Cố định 30” (dưới 30); mục số thập phân (M=100) có công thức `A×0.5`.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thập phân (M=100); quy tắc “Cố định 30” (dưới 30), học sinh S01 (điểm 29), học sinh S09 (mục số thập phân 29.5)
Toàn bộ thủ tục theo đúng thứ tự; các đối chứng cùng fixture được kiểm trong cùng lượt, không bỏ bước
Thao tác: 1. Lưu quy tắc công thức (không bị chặn vì tự tổng hợp đang bật).
2. Đặt tự tổng hợp = Không thực hiện（実行しない）, đăng ký S01=29.
Khôi phục: Trước mỗi biến thể, dựng lại điều kiện/dữ liệu đầu của case bằng đường được phép; giữ các reset/fixture độc lập đã nêu trong thủ tục.</t>
        </is>
      </c>
    </row>
    <row r="695" ht="180" customHeight="1">
      <c r="A695" s="24">
        <f>HYPERLINK("#'Kiểm thử'!A"&amp;(MATCH("TC-RS-BR-034 / Base",'Kiểm thử'!$A$5:$A$573,0)+4),"TC-RS-BR-034 / Base")</f>
        <v/>
      </c>
      <c r="B695" s="18" t="inlineStr">
        <is>
          <t>Điều kiện / thao tác</t>
        </is>
      </c>
      <c r="C695"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96" ht="44" customHeight="1">
      <c r="A696" s="24">
        <f>HYPERLINK("#'Kiểm thử'!A"&amp;(MATCH("TC-RS-BR-038 / Base",'Kiểm thử'!$A$5:$A$573,0)+4),"TC-RS-BR-038 / Base")</f>
        <v/>
      </c>
      <c r="B696" s="18" t="inlineStr">
        <is>
          <t>Màn hình / chức năng</t>
        </is>
      </c>
      <c r="C696" s="18" t="inlineStr">
        <is>
          <t>Nguồn trung bình và tỷ lệ nhóm — Nguồn tổng hợp
Nhóm lớp học（授業）: dùng kết quả tổng hợp của đúng lớp chứa ô đang xét</t>
        </is>
      </c>
    </row>
    <row r="697" ht="299" customHeight="1">
      <c r="A697" s="24">
        <f>HYPERLINK("#'Kiểm thử'!A"&amp;(MATCH("TC-RS-BR-038 / Base",'Kiểm thử'!$A$5:$A$573,0)+4),"TC-RS-BR-038 / Base")</f>
        <v/>
      </c>
      <c r="B697" s="18" t="inlineStr">
        <is>
          <t>Điều kiện / thao tác</t>
        </is>
      </c>
      <c r="C697" s="18" t="inlineStr">
        <is>
          <t>Cấu hình: thiết lập tổng hợp X đã bật thêm Lớp học（授業） (X đã bật lớp học và đã tổng hợp). S11 học cả G-A và G-D; trong X trung bình lớp G-A = 40, G-D = 70. Quy tắc trên mục số nguyên (M=100): Toàn bộ đối tượng, ngưỡng Công thức（計算式） `A×0.5`, `&lt;`; nguồn công thức = X / Lớp học（授業）.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 đã bật thêm Lớp học（授業）, học sinh S11 học hai lớp Toán I (G-A, G-D); mục số nguyên (M=100); S11 có điểm 25 ở cả G-A và G-D
Toàn bộ thủ tục theo đúng thứ tự; các đối chứng cùng fixture được kiểm trong cùng lượt, không bỏ bước
Thao tác: 1. Chạy nút cam cho G-A và G-D.
2. Xem kết quả hai ô của S11 trên trích xuất.</t>
        </is>
      </c>
    </row>
    <row r="698" ht="214" customHeight="1">
      <c r="A698" s="24">
        <f>HYPERLINK("#'Kiểm thử'!A"&amp;(MATCH("TC-RS-BR-038 / Base",'Kiểm thử'!$A$5:$A$573,0)+4),"TC-RS-BR-038 / Base")</f>
        <v/>
      </c>
      <c r="B698" s="18" t="inlineStr">
        <is>
          <t>Điều kiện / thao tác</t>
        </is>
      </c>
      <c r="C698"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699" ht="61" customHeight="1">
      <c r="A699" s="24">
        <f>HYPERLINK("#'Kiểm thử'!A"&amp;(MATCH("TC-RS-BR-039 / private",'Kiểm thử'!$A$5:$A$573,0)+4),"TC-RS-BR-039 / private")</f>
        <v/>
      </c>
      <c r="B699" s="18" t="inlineStr">
        <is>
          <t>Màn hình / chức năng</t>
        </is>
      </c>
      <c r="C699" s="18" t="inlineStr">
        <is>
          <t>Nguồn trung bình và tỷ lệ nhóm — Nguồn tổng hợp
Nhóm môn học（科目グループ）: dùng cấu hình riêng của môn hoặc default đã lưu; thiếu/sai thì Chưa xét được</t>
        </is>
      </c>
    </row>
    <row r="700" ht="299" customHeight="1">
      <c r="A700" s="24">
        <f>HYPERLINK("#'Kiểm thử'!A"&amp;(MATCH("TC-RS-BR-039 / private",'Kiểm thử'!$A$5:$A$573,0)+4),"TC-RS-BR-039 / private")</f>
        <v/>
      </c>
      <c r="B700" s="18" t="inlineStr">
        <is>
          <t>Điều kiện / thao tác</t>
        </is>
      </c>
      <c r="C700" s="18" t="inlineStr">
        <is>
          <t>Cấu hình: nhóm môn học “Nhóm môn Toán” có cấu hình riêng cho Toán I（数学Ⅰ） và default. Quy tắc trên mục số nguyên (M=100) dùng nguồn công thức = X / nhóm môn học “Nhóm môn Toán”, ngưỡng `A×0.5`,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nhóm môn học “Nhóm môn Toán”; mục số nguyên (M=100); S01 = 25
Nguồn riêng
Thao tác: 1. Chạy nút cam; xem S01 và nhóm được dùng.
2. Xóa cấu hình riêng của Toán I (để môn rơi về default); chạy lại; xem.
3. Làm default thiếu hoặc trỏ tới cấu hình không hợp lệ (biến thể (b) của nhóm môn học “Nhóm môn Toán”); chạy lại; xem trạng thái và thông báo.
Khôi phục: Trước mỗi biến thể, dựng lại điều kiện/dữ liệu đầu của case bằng đường được phép; gi</t>
        </is>
      </c>
    </row>
    <row r="701" ht="180" customHeight="1">
      <c r="A701" s="24">
        <f>HYPERLINK("#'Kiểm thử'!A"&amp;(MATCH("TC-RS-BR-039 / private",'Kiểm thử'!$A$5:$A$573,0)+4),"TC-RS-BR-039 / private")</f>
        <v/>
      </c>
      <c r="B701" s="18" t="inlineStr">
        <is>
          <t>Điều kiện / thao tác</t>
        </is>
      </c>
      <c r="C701"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02" ht="112" customHeight="1">
      <c r="A702" s="24">
        <f>HYPERLINK("#'Kiểm thử'!A"&amp;(MATCH("TC-RS-BR-039 / private",'Kiểm thử'!$A$5:$A$573,0)+4),"TC-RS-BR-039 / private")</f>
        <v/>
      </c>
      <c r="B702" s="18" t="inlineStr">
        <is>
          <t>Kết quả mong đợi</t>
        </is>
      </c>
      <c r="C702" s="18" t="inlineStr">
        <is>
          <t>1. Dùng kết quả của nhóm theo cấu hình riêng của Toán I.
2. Dùng kết quả của nhóm theo default đã lưu.
3. S01 Chưa xét được; không thay bằng nhóm khác, bằng 0 hay bằng kết quả trước; thông báo/tiến độ tách phần chưa xét được.
Bảo toàn: Giữ điểm, cấu hình và đối tượng không đích theo expected; chỉ thay phần thủ tục yêu cầu, không tự đổi oracle hoặc mở rộng phạm vi.</t>
        </is>
      </c>
    </row>
    <row r="703" ht="61" customHeight="1">
      <c r="A703" s="24">
        <f>HYPERLINK("#'Kiểm thử'!A"&amp;(MATCH("TC-RS-BR-039 / default",'Kiểm thử'!$A$5:$A$573,0)+4),"TC-RS-BR-039 / default")</f>
        <v/>
      </c>
      <c r="B703" s="18" t="inlineStr">
        <is>
          <t>Màn hình / chức năng</t>
        </is>
      </c>
      <c r="C703" s="18" t="inlineStr">
        <is>
          <t>Nguồn trung bình và tỷ lệ nhóm — Nguồn tổng hợp
Nhóm môn học（科目グループ）: dùng cấu hình riêng của môn hoặc default đã lưu; thiếu/sai thì Chưa xét được</t>
        </is>
      </c>
    </row>
    <row r="704" ht="299" customHeight="1">
      <c r="A704" s="24">
        <f>HYPERLINK("#'Kiểm thử'!A"&amp;(MATCH("TC-RS-BR-039 / default",'Kiểm thử'!$A$5:$A$573,0)+4),"TC-RS-BR-039 / default")</f>
        <v/>
      </c>
      <c r="B704" s="18" t="inlineStr">
        <is>
          <t>Điều kiện / thao tác</t>
        </is>
      </c>
      <c r="C704" s="18" t="inlineStr">
        <is>
          <t>Cấu hình: nhóm môn học “Nhóm môn Toán” có cấu hình riêng cho Toán I（数学Ⅰ） và default. Quy tắc trên mục số nguyên (M=100) dùng nguồn công thức = X / nhóm môn học “Nhóm môn Toán”, ngưỡng `A×0.5`,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nhóm môn học “Nhóm môn Toán”; mục số nguyên (M=100); S01 = 25
Nguồn mặc định
Thao tác: 1. Chạy nút cam; xem S01 và nhóm được dùng.
2. Xóa cấu hình riêng của Toán I (để môn rơi về default); chạy lại; xem.
3. Làm default thiếu hoặc trỏ tới cấu hình không hợp lệ (biến thể (b) của nhóm môn học “Nhóm môn Toán”); chạy lại; xem trạng thái và thông báo.
Khôi phục: Trước mỗi biến thể, dựng lại điều kiện/dữ liệu đầu của case bằng đường được phép; gi</t>
        </is>
      </c>
    </row>
    <row r="705" ht="180" customHeight="1">
      <c r="A705" s="24">
        <f>HYPERLINK("#'Kiểm thử'!A"&amp;(MATCH("TC-RS-BR-039 / default",'Kiểm thử'!$A$5:$A$573,0)+4),"TC-RS-BR-039 / default")</f>
        <v/>
      </c>
      <c r="B705" s="18" t="inlineStr">
        <is>
          <t>Điều kiện / thao tác</t>
        </is>
      </c>
      <c r="C705"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06" ht="112" customHeight="1">
      <c r="A706" s="24">
        <f>HYPERLINK("#'Kiểm thử'!A"&amp;(MATCH("TC-RS-BR-039 / default",'Kiểm thử'!$A$5:$A$573,0)+4),"TC-RS-BR-039 / default")</f>
        <v/>
      </c>
      <c r="B706" s="18" t="inlineStr">
        <is>
          <t>Kết quả mong đợi</t>
        </is>
      </c>
      <c r="C706" s="18" t="inlineStr">
        <is>
          <t>1. Dùng kết quả của nhóm theo cấu hình riêng của Toán I.
2. Dùng kết quả của nhóm theo default đã lưu.
3. S01 Chưa xét được; không thay bằng nhóm khác, bằng 0 hay bằng kết quả trước; thông báo/tiến độ tách phần chưa xét được.
Bảo toàn: Giữ điểm, cấu hình và đối tượng không đích theo expected; chỉ thay phần thủ tục yêu cầu, không tự đổi oracle hoặc mở rộng phạm vi.</t>
        </is>
      </c>
    </row>
    <row r="707" ht="61" customHeight="1">
      <c r="A707" s="24">
        <f>HYPERLINK("#'Kiểm thử'!A"&amp;(MATCH("TC-RS-BR-039 / default-missing",'Kiểm thử'!$A$5:$A$573,0)+4),"TC-RS-BR-039 / default-missing")</f>
        <v/>
      </c>
      <c r="B707" s="18" t="inlineStr">
        <is>
          <t>Màn hình / chức năng</t>
        </is>
      </c>
      <c r="C707" s="18" t="inlineStr">
        <is>
          <t>Nguồn trung bình và tỷ lệ nhóm — Nguồn tổng hợp
Nhóm môn học（科目グループ）: dùng cấu hình riêng của môn hoặc default đã lưu; thiếu/sai thì Chưa xét được</t>
        </is>
      </c>
    </row>
    <row r="708" ht="299" customHeight="1">
      <c r="A708" s="24">
        <f>HYPERLINK("#'Kiểm thử'!A"&amp;(MATCH("TC-RS-BR-039 / default-missing",'Kiểm thử'!$A$5:$A$573,0)+4),"TC-RS-BR-039 / default-missing")</f>
        <v/>
      </c>
      <c r="B708" s="18" t="inlineStr">
        <is>
          <t>Điều kiện / thao tác</t>
        </is>
      </c>
      <c r="C708" s="18" t="inlineStr">
        <is>
          <t>Cấu hình: nhóm môn học “Nhóm môn Toán” có cấu hình riêng cho Toán I（数学Ⅰ） và default. Quy tắc trên mục số nguyên (M=100) dùng nguồn công thức = X / nhóm môn học “Nhóm môn Toán”, ngưỡng `A×0.5`,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nhóm môn học “Nhóm môn Toán”; mục số nguyên (M=100); S01 = 25
Nguồn mặc định thiếu
Thao tác: 1. Chạy nút cam; xem S01 và nhóm được dùng.
2. Xóa cấu hình riêng của Toán I (để môn rơi về default); chạy lại; xem.
3. Làm default thiếu hoặc trỏ tới cấu hình không hợp lệ (biến thể (b) của nhóm môn học “Nhóm môn Toán”); chạy lại; xem trạng thái và thông báo.
Khôi phục: Trước mỗi biến thể, dựng lại điều kiện/dữ liệu đầu của case bằng đường được phép; gi</t>
        </is>
      </c>
    </row>
    <row r="709" ht="180" customHeight="1">
      <c r="A709" s="24">
        <f>HYPERLINK("#'Kiểm thử'!A"&amp;(MATCH("TC-RS-BR-039 / default-missing",'Kiểm thử'!$A$5:$A$573,0)+4),"TC-RS-BR-039 / default-missing")</f>
        <v/>
      </c>
      <c r="B709" s="18" t="inlineStr">
        <is>
          <t>Điều kiện / thao tác</t>
        </is>
      </c>
      <c r="C709"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10" ht="112" customHeight="1">
      <c r="A710" s="24">
        <f>HYPERLINK("#'Kiểm thử'!A"&amp;(MATCH("TC-RS-BR-039 / default-missing",'Kiểm thử'!$A$5:$A$573,0)+4),"TC-RS-BR-039 / default-missing")</f>
        <v/>
      </c>
      <c r="B710" s="18" t="inlineStr">
        <is>
          <t>Kết quả mong đợi</t>
        </is>
      </c>
      <c r="C710" s="18" t="inlineStr">
        <is>
          <t>1. Dùng kết quả của nhóm theo cấu hình riêng của Toán I.
2. Dùng kết quả của nhóm theo default đã lưu.
3. S01 Chưa xét được; không thay bằng nhóm khác, bằng 0 hay bằng kết quả trước; thông báo/tiến độ tách phần chưa xét được.
Bảo toàn: Giữ điểm, cấu hình và đối tượng không đích theo expected; chỉ thay phần thủ tục yêu cầu, không tự đổi oracle hoặc mở rộng phạm vi.</t>
        </is>
      </c>
    </row>
    <row r="711" ht="61" customHeight="1">
      <c r="A711" s="24">
        <f>HYPERLINK("#'Kiểm thử'!A"&amp;(MATCH("TC-RS-BR-039 / default-invalid",'Kiểm thử'!$A$5:$A$573,0)+4),"TC-RS-BR-039 / default-invalid")</f>
        <v/>
      </c>
      <c r="B711" s="18" t="inlineStr">
        <is>
          <t>Màn hình / chức năng</t>
        </is>
      </c>
      <c r="C711" s="18" t="inlineStr">
        <is>
          <t>Nguồn trung bình và tỷ lệ nhóm — Nguồn tổng hợp
Nhóm môn học（科目グループ）: dùng cấu hình riêng của môn hoặc default đã lưu; thiếu/sai thì Chưa xét được</t>
        </is>
      </c>
    </row>
    <row r="712" ht="299" customHeight="1">
      <c r="A712" s="24">
        <f>HYPERLINK("#'Kiểm thử'!A"&amp;(MATCH("TC-RS-BR-039 / default-invalid",'Kiểm thử'!$A$5:$A$573,0)+4),"TC-RS-BR-039 / default-invalid")</f>
        <v/>
      </c>
      <c r="B712" s="18" t="inlineStr">
        <is>
          <t>Điều kiện / thao tác</t>
        </is>
      </c>
      <c r="C712" s="18" t="inlineStr">
        <is>
          <t>Cấu hình: nhóm môn học “Nhóm môn Toán” có cấu hình riêng cho Toán I（数学Ⅰ） và default. Quy tắc trên mục số nguyên (M=100) dùng nguồn công thức = X / nhóm môn học “Nhóm môn Toán”, ngưỡng `A×0.5`,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nhóm môn học “Nhóm môn Toán”; mục số nguyên (M=100); S01 = 25
Nguồn mặc định không hợp lệ
Thao tác: 1. Chạy nút cam; xem S01 và nhóm được dùng.
2. Xóa cấu hình riêng của Toán I (để môn rơi về default); chạy lại; xem.
3. Làm default thiếu hoặc trỏ tới cấu hình không hợp lệ (biến thể (b) của nhóm môn học “Nhóm môn Toán”); chạy lại; xem trạng thái và thông báo.
Khôi phục: Trước mỗi biến thể, dựng lại điều kiện/dữ liệu đầu của case bằng đường được phép; gi</t>
        </is>
      </c>
    </row>
    <row r="713" ht="180" customHeight="1">
      <c r="A713" s="24">
        <f>HYPERLINK("#'Kiểm thử'!A"&amp;(MATCH("TC-RS-BR-039 / default-invalid",'Kiểm thử'!$A$5:$A$573,0)+4),"TC-RS-BR-039 / default-invalid")</f>
        <v/>
      </c>
      <c r="B713" s="18" t="inlineStr">
        <is>
          <t>Điều kiện / thao tác</t>
        </is>
      </c>
      <c r="C713"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14" ht="112" customHeight="1">
      <c r="A714" s="24">
        <f>HYPERLINK("#'Kiểm thử'!A"&amp;(MATCH("TC-RS-BR-039 / default-invalid",'Kiểm thử'!$A$5:$A$573,0)+4),"TC-RS-BR-039 / default-invalid")</f>
        <v/>
      </c>
      <c r="B714" s="18" t="inlineStr">
        <is>
          <t>Kết quả mong đợi</t>
        </is>
      </c>
      <c r="C714" s="18" t="inlineStr">
        <is>
          <t>1. Dùng kết quả của nhóm theo cấu hình riêng của Toán I.
2. Dùng kết quả của nhóm theo default đã lưu.
3. S01 Chưa xét được; không thay bằng nhóm khác, bằng 0 hay bằng kết quả trước; thông báo/tiến độ tách phần chưa xét được.
Bảo toàn: Giữ điểm, cấu hình và đối tượng không đích theo expected; chỉ thay phần thủ tục yêu cầu, không tự đổi oracle hoặc mở rộng phạm vi.</t>
        </is>
      </c>
    </row>
    <row r="715" ht="61" customHeight="1">
      <c r="A715" s="24">
        <f>HYPERLINK("#'Kiểm thử'!A"&amp;(MATCH("TC-RS-BR-040 / missing-source",'Kiểm thử'!$A$5:$A$573,0)+4),"TC-RS-BR-040 / missing-source")</f>
        <v/>
      </c>
      <c r="B715" s="18" t="inlineStr">
        <is>
          <t>Màn hình / chức năng</t>
        </is>
      </c>
      <c r="C715" s="18" t="inlineStr">
        <is>
          <t>Nguồn trung bình và tỷ lệ nhóm — Nguồn tổng hợp
Loại nhóm được bật nhưng chưa có kết quả, hoặc tham chiếu đã lưu không còn hợp lệ → Chưa xét được, không tự đổi nhóm</t>
        </is>
      </c>
    </row>
    <row r="716" ht="299" customHeight="1">
      <c r="A716" s="24">
        <f>HYPERLINK("#'Kiểm thử'!A"&amp;(MATCH("TC-RS-BR-040 / missing-source",'Kiểm thử'!$A$5:$A$573,0)+4),"TC-RS-BR-040 / missing-source")</f>
        <v/>
      </c>
      <c r="B716" s="18" t="inlineStr">
        <is>
          <t>Điều kiện / thao tác</t>
        </is>
      </c>
      <c r="C716" s="18" t="inlineStr">
        <is>
          <t>Cấu hình: Quy tắc trên mục số nguyên (M=100) có điều kiện Trung bình `A≥50`, cố định 30 `&lt;`; S01 = 29, đang Đỏ theo nguồn X / Lớp học（授業） đã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 đã bật thêm Lớp học（授業）, nhóm tổng hợp thứ hạng “Toán I khối 1+2”; mục số nguyên (M=100); học sinh S01 (điểm 29)
Nguồn mới thiếu
Thao tác: 1. (a) Tạo quy tắc mới dùng nhóm tổng hợp nhóm tổng hợp thứ hạng “Toán I khối 1+2” nhưng X chưa chạy tổng hợp cho nhóm này; chạy nút cam; xem S01.
2. (b) Quy tắc đang dùng X / Lớp học: tắt công tắc Lớp học（授業） của trường/năm; mở danh sách quy tắc và xem S01 (chưa chạy).
3. Chạy nút cam; xem S01.</t>
        </is>
      </c>
    </row>
    <row r="717" ht="248" customHeight="1">
      <c r="A717" s="24">
        <f>HYPERLINK("#'Kiểm thử'!A"&amp;(MATCH("TC-RS-BR-040 / missing-source",'Kiểm thử'!$A$5:$A$573,0)+4),"TC-RS-BR-040 / missing-source")</f>
        <v/>
      </c>
      <c r="B717" s="18" t="inlineStr">
        <is>
          <t>Điều kiện / thao tác</t>
        </is>
      </c>
      <c r="C717" s="18" t="inlineStr">
        <is>
          <t xml:space="preserve">
4. (c) Xóa nhóm nhóm tổng hợp thứ hạng “Toán I khối 1+2” đang được quy tắc khác tham chiếu; chạy nút cam; xem ô dùng quy tắc đó.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18" ht="129" customHeight="1">
      <c r="A718" s="24">
        <f>HYPERLINK("#'Kiểm thử'!A"&amp;(MATCH("TC-RS-BR-040 / missing-source",'Kiểm thử'!$A$5:$A$573,0)+4),"TC-RS-BR-040 / missing-source")</f>
        <v/>
      </c>
      <c r="B718" s="18" t="inlineStr">
        <is>
          <t>Kết quả mong đợi</t>
        </is>
      </c>
      <c r="C718" s="18" t="inlineStr">
        <is>
          <t>1. S01 Chưa xét được (thiếu nguồn); lựa chọn nhóm tồn tại không có nghĩa đã có dữ liệu.
2. Chỉ đổi cấu hình: S01 vẫn giữ kết quả Đỏ trước (không bị xóa ngay).
3. S01 Chưa xét được; không tự chuyển sang khối/lớp chủ nhiệm hoặc nhóm khác, không dùng quy tắc ưu tiên thấp hơn, không dùng kết quả cũ làm hiện hành.
4. Ô chịu ảnh hưởng Chưa xét được; không âm thầm đổi loại/ID nhóm đã lưu.
Bảo toàn: Giữ điểm, cấu hình và đối tượng không đích theo expected; chỉ thay phần thủ tục yêu cầu, không tự đổi oracle hoặc mở rộng phạm vi.</t>
        </is>
      </c>
    </row>
    <row r="719" ht="61" customHeight="1">
      <c r="A719" s="24">
        <f>HYPERLINK("#'Kiểm thử'!A"&amp;(MATCH("TC-RS-BR-040 / disabled-group",'Kiểm thử'!$A$5:$A$573,0)+4),"TC-RS-BR-040 / disabled-group")</f>
        <v/>
      </c>
      <c r="B719" s="18" t="inlineStr">
        <is>
          <t>Màn hình / chức năng</t>
        </is>
      </c>
      <c r="C719" s="18" t="inlineStr">
        <is>
          <t>Nguồn trung bình và tỷ lệ nhóm — Nguồn tổng hợp
Loại nhóm được bật nhưng chưa có kết quả, hoặc tham chiếu đã lưu không còn hợp lệ → Chưa xét được, không tự đổi nhóm</t>
        </is>
      </c>
    </row>
    <row r="720" ht="299" customHeight="1">
      <c r="A720" s="24">
        <f>HYPERLINK("#'Kiểm thử'!A"&amp;(MATCH("TC-RS-BR-040 / disabled-group",'Kiểm thử'!$A$5:$A$573,0)+4),"TC-RS-BR-040 / disabled-group")</f>
        <v/>
      </c>
      <c r="B720" s="18" t="inlineStr">
        <is>
          <t>Điều kiện / thao tác</t>
        </is>
      </c>
      <c r="C720" s="18" t="inlineStr">
        <is>
          <t>Cấu hình: Quy tắc trên mục số nguyên (M=100) có điều kiện Trung bình `A≥50`, cố định 30 `&lt;`; S01 = 29, đang Đỏ theo nguồn X / Lớp học（授業） đã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 đã bật thêm Lớp học（授業）, nhóm tổng hợp thứ hạng “Toán I khối 1+2”; mục số nguyên (M=100); học sinh S01 (điểm 29)
Nhóm bị tắt
Thao tác: 1. (a) Tạo quy tắc mới dùng nhóm tổng hợp nhóm tổng hợp thứ hạng “Toán I khối 1+2” nhưng X chưa chạy tổng hợp cho nhóm này; chạy nút cam; xem S01.
2. (b) Quy tắc đang dùng X / Lớp học: tắt công tắc Lớp học（授業） của trường/năm; mở danh sách quy tắc và xem S01 (chưa chạy).
3. Chạy nút cam; xem S01.</t>
        </is>
      </c>
    </row>
    <row r="721" ht="248" customHeight="1">
      <c r="A721" s="24">
        <f>HYPERLINK("#'Kiểm thử'!A"&amp;(MATCH("TC-RS-BR-040 / disabled-group",'Kiểm thử'!$A$5:$A$573,0)+4),"TC-RS-BR-040 / disabled-group")</f>
        <v/>
      </c>
      <c r="B721" s="18" t="inlineStr">
        <is>
          <t>Điều kiện / thao tác</t>
        </is>
      </c>
      <c r="C721" s="18" t="inlineStr">
        <is>
          <t xml:space="preserve">
4. (c) Xóa nhóm nhóm tổng hợp thứ hạng “Toán I khối 1+2” đang được quy tắc khác tham chiếu; chạy nút cam; xem ô dùng quy tắc đó.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22" ht="129" customHeight="1">
      <c r="A722" s="24">
        <f>HYPERLINK("#'Kiểm thử'!A"&amp;(MATCH("TC-RS-BR-040 / disabled-group",'Kiểm thử'!$A$5:$A$573,0)+4),"TC-RS-BR-040 / disabled-group")</f>
        <v/>
      </c>
      <c r="B722" s="18" t="inlineStr">
        <is>
          <t>Kết quả mong đợi</t>
        </is>
      </c>
      <c r="C722" s="18" t="inlineStr">
        <is>
          <t>1. S01 Chưa xét được (thiếu nguồn); lựa chọn nhóm tồn tại không có nghĩa đã có dữ liệu.
2. Chỉ đổi cấu hình: S01 vẫn giữ kết quả Đỏ trước (không bị xóa ngay).
3. S01 Chưa xét được; không tự chuyển sang khối/lớp chủ nhiệm hoặc nhóm khác, không dùng quy tắc ưu tiên thấp hơn, không dùng kết quả cũ làm hiện hành.
4. Ô chịu ảnh hưởng Chưa xét được; không âm thầm đổi loại/ID nhóm đã lưu.
Bảo toàn: Giữ điểm, cấu hình và đối tượng không đích theo expected; chỉ thay phần thủ tục yêu cầu, không tự đổi oracle hoặc mở rộng phạm vi.</t>
        </is>
      </c>
    </row>
    <row r="723" ht="61" customHeight="1">
      <c r="A723" s="24">
        <f>HYPERLINK("#'Kiểm thử'!A"&amp;(MATCH("TC-RS-BR-040 / deleted-group",'Kiểm thử'!$A$5:$A$573,0)+4),"TC-RS-BR-040 / deleted-group")</f>
        <v/>
      </c>
      <c r="B723" s="18" t="inlineStr">
        <is>
          <t>Màn hình / chức năng</t>
        </is>
      </c>
      <c r="C723" s="18" t="inlineStr">
        <is>
          <t>Nguồn trung bình và tỷ lệ nhóm — Nguồn tổng hợp
Loại nhóm được bật nhưng chưa có kết quả, hoặc tham chiếu đã lưu không còn hợp lệ → Chưa xét được, không tự đổi nhóm</t>
        </is>
      </c>
    </row>
    <row r="724" ht="299" customHeight="1">
      <c r="A724" s="24">
        <f>HYPERLINK("#'Kiểm thử'!A"&amp;(MATCH("TC-RS-BR-040 / deleted-group",'Kiểm thử'!$A$5:$A$573,0)+4),"TC-RS-BR-040 / deleted-group")</f>
        <v/>
      </c>
      <c r="B724" s="18" t="inlineStr">
        <is>
          <t>Điều kiện / thao tác</t>
        </is>
      </c>
      <c r="C724" s="18" t="inlineStr">
        <is>
          <t>Cấu hình: Quy tắc trên mục số nguyên (M=100) có điều kiện Trung bình `A≥50`, cố định 30 `&lt;`; S01 = 29, đang Đỏ theo nguồn X / Lớp học（授業） đã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 đã bật thêm Lớp học（授業）, nhóm tổng hợp thứ hạng “Toán I khối 1+2”; mục số nguyên (M=100); học sinh S01 (điểm 29)
Nhóm bị xóa
Thao tác: 1. (a) Tạo quy tắc mới dùng nhóm tổng hợp nhóm tổng hợp thứ hạng “Toán I khối 1+2” nhưng X chưa chạy tổng hợp cho nhóm này; chạy nút cam; xem S01.
2. (b) Quy tắc đang dùng X / Lớp học: tắt công tắc Lớp học（授業） của trường/năm; mở danh sách quy tắc và xem S01 (chưa chạy).
3. Chạy nút cam; xem S01.</t>
        </is>
      </c>
    </row>
    <row r="725" ht="248" customHeight="1">
      <c r="A725" s="24">
        <f>HYPERLINK("#'Kiểm thử'!A"&amp;(MATCH("TC-RS-BR-040 / deleted-group",'Kiểm thử'!$A$5:$A$573,0)+4),"TC-RS-BR-040 / deleted-group")</f>
        <v/>
      </c>
      <c r="B725" s="18" t="inlineStr">
        <is>
          <t>Điều kiện / thao tác</t>
        </is>
      </c>
      <c r="C725" s="18" t="inlineStr">
        <is>
          <t xml:space="preserve">
4. (c) Xóa nhóm nhóm tổng hợp thứ hạng “Toán I khối 1+2” đang được quy tắc khác tham chiếu; chạy nút cam; xem ô dùng quy tắc đó.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26" ht="129" customHeight="1">
      <c r="A726" s="24">
        <f>HYPERLINK("#'Kiểm thử'!A"&amp;(MATCH("TC-RS-BR-040 / deleted-group",'Kiểm thử'!$A$5:$A$573,0)+4),"TC-RS-BR-040 / deleted-group")</f>
        <v/>
      </c>
      <c r="B726" s="18" t="inlineStr">
        <is>
          <t>Kết quả mong đợi</t>
        </is>
      </c>
      <c r="C726" s="18" t="inlineStr">
        <is>
          <t>1. S01 Chưa xét được (thiếu nguồn); lựa chọn nhóm tồn tại không có nghĩa đã có dữ liệu.
2. Chỉ đổi cấu hình: S01 vẫn giữ kết quả Đỏ trước (không bị xóa ngay).
3. S01 Chưa xét được; không tự chuyển sang khối/lớp chủ nhiệm hoặc nhóm khác, không dùng quy tắc ưu tiên thấp hơn, không dùng kết quả cũ làm hiện hành.
4. Ô chịu ảnh hưởng Chưa xét được; không âm thầm đổi loại/ID nhóm đã lưu.
Bảo toàn: Giữ điểm, cấu hình và đối tượng không đích theo expected; chỉ thay phần thủ tục yêu cầu, không tự đổi oracle hoặc mở rộng phạm vi.</t>
        </is>
      </c>
    </row>
    <row r="727" ht="299" customHeight="1">
      <c r="A727" s="24">
        <f>HYPERLINK("#'Kiểm thử'!A"&amp;(MATCH("TC-RS-VAL-024 / condition-period",'Kiểm thử'!$A$5:$A$573,0)+4),"TC-RS-VAL-024 / condition-period")</f>
        <v/>
      </c>
      <c r="B727" s="18" t="inlineStr">
        <is>
          <t>Điều kiện / thao tác</t>
        </is>
      </c>
      <c r="C727" s="18" t="inlineStr">
        <is>
          <t xml:space="preserve">Cấu hình: Màn thêm quy tắc của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
Điều kiện trung bình thiếu kỳ
Thao tác: Nhập từng biến thể, bấm Lưu; mở lại danh sách.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28" ht="146" customHeight="1">
      <c r="A728" s="24">
        <f>HYPERLINK("#'Kiểm thử'!A"&amp;(MATCH("TC-RS-VAL-024 / condition-period",'Kiểm thử'!$A$5:$A$573,0)+4),"TC-RS-VAL-024 / condition-period")</f>
        <v/>
      </c>
      <c r="B728" s="18" t="inlineStr">
        <is>
          <t>Điều kiện / thao tác</t>
        </is>
      </c>
      <c r="C72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29" ht="299" customHeight="1">
      <c r="A729" s="24">
        <f>HYPERLINK("#'Kiểm thử'!A"&amp;(MATCH("TC-RS-VAL-024 / condition-setting",'Kiểm thử'!$A$5:$A$573,0)+4),"TC-RS-VAL-024 / condition-setting")</f>
        <v/>
      </c>
      <c r="B729" s="18" t="inlineStr">
        <is>
          <t>Điều kiện / thao tác</t>
        </is>
      </c>
      <c r="C729" s="18" t="inlineStr">
        <is>
          <t xml:space="preserve">Cấu hình: Màn thêm quy tắc của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
Điều kiện trung bình thiếu thiết lập
Thao tác: Nhập từng biến thể, bấm Lưu; mở lại danh sách.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30" ht="146" customHeight="1">
      <c r="A730" s="24">
        <f>HYPERLINK("#'Kiểm thử'!A"&amp;(MATCH("TC-RS-VAL-024 / condition-setting",'Kiểm thử'!$A$5:$A$573,0)+4),"TC-RS-VAL-024 / condition-setting")</f>
        <v/>
      </c>
      <c r="B730" s="18" t="inlineStr">
        <is>
          <t>Điều kiện / thao tác</t>
        </is>
      </c>
      <c r="C730"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31" ht="299" customHeight="1">
      <c r="A731" s="24">
        <f>HYPERLINK("#'Kiểm thử'!A"&amp;(MATCH("TC-RS-VAL-024 / condition-group",'Kiểm thử'!$A$5:$A$573,0)+4),"TC-RS-VAL-024 / condition-group")</f>
        <v/>
      </c>
      <c r="B731" s="18" t="inlineStr">
        <is>
          <t>Điều kiện / thao tác</t>
        </is>
      </c>
      <c r="C731" s="18" t="inlineStr">
        <is>
          <t xml:space="preserve">Cấu hình: Màn thêm quy tắc của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
Điều kiện trung bình thiếu nhóm
Thao tác: Nhập từng biến thể, bấm Lưu; mở lại danh sách.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32" ht="146" customHeight="1">
      <c r="A732" s="24">
        <f>HYPERLINK("#'Kiểm thử'!A"&amp;(MATCH("TC-RS-VAL-024 / condition-group",'Kiểm thử'!$A$5:$A$573,0)+4),"TC-RS-VAL-024 / condition-group")</f>
        <v/>
      </c>
      <c r="B732" s="18" t="inlineStr">
        <is>
          <t>Điều kiện / thao tác</t>
        </is>
      </c>
      <c r="C73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33" ht="299" customHeight="1">
      <c r="A733" s="24">
        <f>HYPERLINK("#'Kiểm thử'!A"&amp;(MATCH("TC-RS-VAL-024 / condition-all",'Kiểm thử'!$A$5:$A$573,0)+4),"TC-RS-VAL-024 / condition-all")</f>
        <v/>
      </c>
      <c r="B733" s="18" t="inlineStr">
        <is>
          <t>Điều kiện / thao tác</t>
        </is>
      </c>
      <c r="C733" s="18" t="inlineStr">
        <is>
          <t xml:space="preserve">Cấu hình: Màn thêm quy tắc của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
Điều kiện trung bình thiếu toàn bộ
Thao tác: Nhập từng biến thể, bấm Lưu; mở lại danh sách.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34" ht="146" customHeight="1">
      <c r="A734" s="24">
        <f>HYPERLINK("#'Kiểm thử'!A"&amp;(MATCH("TC-RS-VAL-024 / condition-all",'Kiểm thử'!$A$5:$A$573,0)+4),"TC-RS-VAL-024 / condition-all")</f>
        <v/>
      </c>
      <c r="B734" s="18" t="inlineStr">
        <is>
          <t>Điều kiện / thao tác</t>
        </is>
      </c>
      <c r="C734"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35" ht="299" customHeight="1">
      <c r="A735" s="24">
        <f>HYPERLINK("#'Kiểm thử'!A"&amp;(MATCH("TC-RS-VAL-024 / ratio-all",'Kiểm thử'!$A$5:$A$573,0)+4),"TC-RS-VAL-024 / ratio-all")</f>
        <v/>
      </c>
      <c r="B735" s="18" t="inlineStr">
        <is>
          <t>Điều kiện / thao tác</t>
        </is>
      </c>
      <c r="C735" s="18" t="inlineStr">
        <is>
          <t xml:space="preserve">Cấu hình: Màn thêm quy tắc của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
Điều kiện tỷ lệ thiếu nguồn
Thao tác: Nhập từng biến thể, bấm Lưu; mở lại danh sách.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36" ht="146" customHeight="1">
      <c r="A736" s="24">
        <f>HYPERLINK("#'Kiểm thử'!A"&amp;(MATCH("TC-RS-VAL-024 / ratio-all",'Kiểm thử'!$A$5:$A$573,0)+4),"TC-RS-VAL-024 / ratio-all")</f>
        <v/>
      </c>
      <c r="B736" s="18" t="inlineStr">
        <is>
          <t>Điều kiện / thao tác</t>
        </is>
      </c>
      <c r="C73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37" ht="299" customHeight="1">
      <c r="A737" s="24">
        <f>HYPERLINK("#'Kiểm thử'!A"&amp;(MATCH("TC-RS-VAL-024 / formula-all",'Kiểm thử'!$A$5:$A$573,0)+4),"TC-RS-VAL-024 / formula-all")</f>
        <v/>
      </c>
      <c r="B737" s="18" t="inlineStr">
        <is>
          <t>Điều kiện / thao tác</t>
        </is>
      </c>
      <c r="C737" s="18" t="inlineStr">
        <is>
          <t xml:space="preserve">Cấu hình: Màn thêm quy tắc của mục số nguyên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
Công thức thiếu nguồn
Thao tác: Nhập từng biến thể, bấm Lưu; mở lại danh sách.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38" ht="146" customHeight="1">
      <c r="A738" s="24">
        <f>HYPERLINK("#'Kiểm thử'!A"&amp;(MATCH("TC-RS-VAL-024 / formula-all",'Kiểm thử'!$A$5:$A$573,0)+4),"TC-RS-VAL-024 / formula-all")</f>
        <v/>
      </c>
      <c r="B738" s="18" t="inlineStr">
        <is>
          <t>Điều kiện / thao tác</t>
        </is>
      </c>
      <c r="C73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39" ht="44" customHeight="1">
      <c r="A739" s="24">
        <f>HYPERLINK("#'Kiểm thử'!A"&amp;(MATCH("TC-RS-VAL-025 / condition-disabled",'Kiểm thử'!$A$5:$A$573,0)+4),"TC-RS-VAL-025 / condition-disabled")</f>
        <v/>
      </c>
      <c r="B739" s="18" t="inlineStr">
        <is>
          <t>Màn hình / chức năng</t>
        </is>
      </c>
      <c r="C739" s="18" t="inlineStr">
        <is>
          <t>Nguồn trung bình và tỷ lệ nhóm — Nguồn tổng hợp
Server từ chối lưu nhóm tham chiếu không khả dụng hoặc ngoài trường/năm</t>
        </is>
      </c>
    </row>
    <row r="740" ht="299" customHeight="1">
      <c r="A740" s="24">
        <f>HYPERLINK("#'Kiểm thử'!A"&amp;(MATCH("TC-RS-VAL-025 / condition-disabled",'Kiểm thử'!$A$5:$A$573,0)+4),"TC-RS-VAL-025 / condition-disabled")</f>
        <v/>
      </c>
      <c r="B740" s="18" t="inlineStr">
        <is>
          <t>Điều kiện / thao tác</t>
        </is>
      </c>
      <c r="C740" s="18" t="inlineStr">
        <is>
          <t>Cấu hình: thiết lập tổng hợp X（評点集計） (lớp học tắt). Công cụ sửa request (DevTools/proxy) trên môi trường test.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ID nhóm tổng hợp của trường B (trường B (trường khác)); ID nhóm tổng hợp của năm khác; mục số nguyên (M=100); tài khoản giáo viên có quyền sửa mục
Điều kiện nhóm tắt
Thao tác: 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t>
        </is>
      </c>
    </row>
    <row r="741" ht="214" customHeight="1">
      <c r="A741" s="24">
        <f>HYPERLINK("#'Kiểm thử'!A"&amp;(MATCH("TC-RS-VAL-025 / condition-disabled",'Kiểm thử'!$A$5:$A$573,0)+4),"TC-RS-VAL-025 / condition-disabled")</f>
        <v/>
      </c>
      <c r="B741" s="18" t="inlineStr">
        <is>
          <t>Điều kiện / thao tác</t>
        </is>
      </c>
      <c r="C741"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42" ht="44" customHeight="1">
      <c r="A742" s="24">
        <f>HYPERLINK("#'Kiểm thử'!A"&amp;(MATCH("TC-RS-VAL-025 / condition-school",'Kiểm thử'!$A$5:$A$573,0)+4),"TC-RS-VAL-025 / condition-school")</f>
        <v/>
      </c>
      <c r="B742" s="18" t="inlineStr">
        <is>
          <t>Màn hình / chức năng</t>
        </is>
      </c>
      <c r="C742" s="18" t="inlineStr">
        <is>
          <t>Nguồn trung bình và tỷ lệ nhóm — Nguồn tổng hợp
Server từ chối lưu nhóm tham chiếu không khả dụng hoặc ngoài trường/năm</t>
        </is>
      </c>
    </row>
    <row r="743" ht="299" customHeight="1">
      <c r="A743" s="24">
        <f>HYPERLINK("#'Kiểm thử'!A"&amp;(MATCH("TC-RS-VAL-025 / condition-school",'Kiểm thử'!$A$5:$A$573,0)+4),"TC-RS-VAL-025 / condition-school")</f>
        <v/>
      </c>
      <c r="B743" s="18" t="inlineStr">
        <is>
          <t>Điều kiện / thao tác</t>
        </is>
      </c>
      <c r="C743" s="18" t="inlineStr">
        <is>
          <t>Cấu hình: thiết lập tổng hợp X（評点集計） (lớp học tắt). Công cụ sửa request (DevTools/proxy) trên môi trường test.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ID nhóm tổng hợp của trường B (trường B (trường khác)); ID nhóm tổng hợp của năm khác; mục số nguyên (M=100); tài khoản giáo viên có quyền sửa mục
Điều kiện sai trường
Thao tác: 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t>
        </is>
      </c>
    </row>
    <row r="744" ht="214" customHeight="1">
      <c r="A744" s="24">
        <f>HYPERLINK("#'Kiểm thử'!A"&amp;(MATCH("TC-RS-VAL-025 / condition-school",'Kiểm thử'!$A$5:$A$573,0)+4),"TC-RS-VAL-025 / condition-school")</f>
        <v/>
      </c>
      <c r="B744" s="18" t="inlineStr">
        <is>
          <t>Điều kiện / thao tác</t>
        </is>
      </c>
      <c r="C744"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45" ht="44" customHeight="1">
      <c r="A745" s="24">
        <f>HYPERLINK("#'Kiểm thử'!A"&amp;(MATCH("TC-RS-VAL-025 / condition-year",'Kiểm thử'!$A$5:$A$573,0)+4),"TC-RS-VAL-025 / condition-year")</f>
        <v/>
      </c>
      <c r="B745" s="18" t="inlineStr">
        <is>
          <t>Màn hình / chức năng</t>
        </is>
      </c>
      <c r="C745" s="18" t="inlineStr">
        <is>
          <t>Nguồn trung bình và tỷ lệ nhóm — Nguồn tổng hợp
Server từ chối lưu nhóm tham chiếu không khả dụng hoặc ngoài trường/năm</t>
        </is>
      </c>
    </row>
    <row r="746" ht="299" customHeight="1">
      <c r="A746" s="24">
        <f>HYPERLINK("#'Kiểm thử'!A"&amp;(MATCH("TC-RS-VAL-025 / condition-year",'Kiểm thử'!$A$5:$A$573,0)+4),"TC-RS-VAL-025 / condition-year")</f>
        <v/>
      </c>
      <c r="B746" s="18" t="inlineStr">
        <is>
          <t>Điều kiện / thao tác</t>
        </is>
      </c>
      <c r="C746" s="18" t="inlineStr">
        <is>
          <t>Cấu hình: thiết lập tổng hợp X（評点集計） (lớp học tắt). Công cụ sửa request (DevTools/proxy) trên môi trường test.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ID nhóm tổng hợp của trường B (trường B (trường khác)); ID nhóm tổng hợp của năm khác; mục số nguyên (M=100); tài khoản giáo viên có quyền sửa mục
Điều kiện sai năm
Thao tác: 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t>
        </is>
      </c>
    </row>
    <row r="747" ht="214" customHeight="1">
      <c r="A747" s="24">
        <f>HYPERLINK("#'Kiểm thử'!A"&amp;(MATCH("TC-RS-VAL-025 / condition-year",'Kiểm thử'!$A$5:$A$573,0)+4),"TC-RS-VAL-025 / condition-year")</f>
        <v/>
      </c>
      <c r="B747" s="18" t="inlineStr">
        <is>
          <t>Điều kiện / thao tác</t>
        </is>
      </c>
      <c r="C747"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48" ht="44" customHeight="1">
      <c r="A748" s="24">
        <f>HYPERLINK("#'Kiểm thử'!A"&amp;(MATCH("TC-RS-VAL-025 / condition-missing",'Kiểm thử'!$A$5:$A$573,0)+4),"TC-RS-VAL-025 / condition-missing")</f>
        <v/>
      </c>
      <c r="B748" s="18" t="inlineStr">
        <is>
          <t>Màn hình / chức năng</t>
        </is>
      </c>
      <c r="C748" s="18" t="inlineStr">
        <is>
          <t>Nguồn trung bình và tỷ lệ nhóm — Nguồn tổng hợp
Server từ chối lưu nhóm tham chiếu không khả dụng hoặc ngoài trường/năm</t>
        </is>
      </c>
    </row>
    <row r="749" ht="299" customHeight="1">
      <c r="A749" s="24">
        <f>HYPERLINK("#'Kiểm thử'!A"&amp;(MATCH("TC-RS-VAL-025 / condition-missing",'Kiểm thử'!$A$5:$A$573,0)+4),"TC-RS-VAL-025 / condition-missing")</f>
        <v/>
      </c>
      <c r="B749" s="18" t="inlineStr">
        <is>
          <t>Điều kiện / thao tác</t>
        </is>
      </c>
      <c r="C749" s="18" t="inlineStr">
        <is>
          <t>Cấu hình: thiết lập tổng hợp X（評点集計） (lớp học tắt). Công cụ sửa request (DevTools/proxy) trên môi trường test.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ID nhóm tổng hợp của trường B (trường B (trường khác)); ID nhóm tổng hợp của năm khác; mục số nguyên (M=100); tài khoản giáo viên có quyền sửa mục
Điều kiện nhóm không tồn tại
Thao tác: 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t>
        </is>
      </c>
    </row>
    <row r="750" ht="214" customHeight="1">
      <c r="A750" s="24">
        <f>HYPERLINK("#'Kiểm thử'!A"&amp;(MATCH("TC-RS-VAL-025 / condition-missing",'Kiểm thử'!$A$5:$A$573,0)+4),"TC-RS-VAL-025 / condition-missing")</f>
        <v/>
      </c>
      <c r="B750" s="18" t="inlineStr">
        <is>
          <t>Điều kiện / thao tác</t>
        </is>
      </c>
      <c r="C750"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51" ht="44" customHeight="1">
      <c r="A751" s="24">
        <f>HYPERLINK("#'Kiểm thử'!A"&amp;(MATCH("TC-RS-VAL-025 / formula-disabled",'Kiểm thử'!$A$5:$A$573,0)+4),"TC-RS-VAL-025 / formula-disabled")</f>
        <v/>
      </c>
      <c r="B751" s="18" t="inlineStr">
        <is>
          <t>Màn hình / chức năng</t>
        </is>
      </c>
      <c r="C751" s="18" t="inlineStr">
        <is>
          <t>Nguồn trung bình và tỷ lệ nhóm — Nguồn tổng hợp
Server từ chối lưu nhóm tham chiếu không khả dụng hoặc ngoài trường/năm</t>
        </is>
      </c>
    </row>
    <row r="752" ht="299" customHeight="1">
      <c r="A752" s="24">
        <f>HYPERLINK("#'Kiểm thử'!A"&amp;(MATCH("TC-RS-VAL-025 / formula-disabled",'Kiểm thử'!$A$5:$A$573,0)+4),"TC-RS-VAL-025 / formula-disabled")</f>
        <v/>
      </c>
      <c r="B752" s="18" t="inlineStr">
        <is>
          <t>Điều kiện / thao tác</t>
        </is>
      </c>
      <c r="C752" s="18" t="inlineStr">
        <is>
          <t>Cấu hình: thiết lập tổng hợp X（評点集計） (lớp học tắt). Công cụ sửa request (DevTools/proxy) trên môi trường test.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ID nhóm tổng hợp của trường B (trường B (trường khác)); ID nhóm tổng hợp của năm khác; mục số nguyên (M=100); tài khoản giáo viên có quyền sửa mục
Công thức nhóm tắt
Thao tác: 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t>
        </is>
      </c>
    </row>
    <row r="753" ht="214" customHeight="1">
      <c r="A753" s="24">
        <f>HYPERLINK("#'Kiểm thử'!A"&amp;(MATCH("TC-RS-VAL-025 / formula-disabled",'Kiểm thử'!$A$5:$A$573,0)+4),"TC-RS-VAL-025 / formula-disabled")</f>
        <v/>
      </c>
      <c r="B753" s="18" t="inlineStr">
        <is>
          <t>Điều kiện / thao tác</t>
        </is>
      </c>
      <c r="C753"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54" ht="44" customHeight="1">
      <c r="A754" s="24">
        <f>HYPERLINK("#'Kiểm thử'!A"&amp;(MATCH("TC-RS-VAL-025 / formula-school",'Kiểm thử'!$A$5:$A$573,0)+4),"TC-RS-VAL-025 / formula-school")</f>
        <v/>
      </c>
      <c r="B754" s="18" t="inlineStr">
        <is>
          <t>Màn hình / chức năng</t>
        </is>
      </c>
      <c r="C754" s="18" t="inlineStr">
        <is>
          <t>Nguồn trung bình và tỷ lệ nhóm — Nguồn tổng hợp
Server từ chối lưu nhóm tham chiếu không khả dụng hoặc ngoài trường/năm</t>
        </is>
      </c>
    </row>
    <row r="755" ht="299" customHeight="1">
      <c r="A755" s="24">
        <f>HYPERLINK("#'Kiểm thử'!A"&amp;(MATCH("TC-RS-VAL-025 / formula-school",'Kiểm thử'!$A$5:$A$573,0)+4),"TC-RS-VAL-025 / formula-school")</f>
        <v/>
      </c>
      <c r="B755" s="18" t="inlineStr">
        <is>
          <t>Điều kiện / thao tác</t>
        </is>
      </c>
      <c r="C755" s="18" t="inlineStr">
        <is>
          <t>Cấu hình: thiết lập tổng hợp X（評点集計） (lớp học tắt). Công cụ sửa request (DevTools/proxy) trên môi trường test.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ID nhóm tổng hợp của trường B (trường B (trường khác)); ID nhóm tổng hợp của năm khác; mục số nguyên (M=100); tài khoản giáo viên có quyền sửa mục
Công thức sai trường
Thao tác: 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t>
        </is>
      </c>
    </row>
    <row r="756" ht="214" customHeight="1">
      <c r="A756" s="24">
        <f>HYPERLINK("#'Kiểm thử'!A"&amp;(MATCH("TC-RS-VAL-025 / formula-school",'Kiểm thử'!$A$5:$A$573,0)+4),"TC-RS-VAL-025 / formula-school")</f>
        <v/>
      </c>
      <c r="B756" s="18" t="inlineStr">
        <is>
          <t>Điều kiện / thao tác</t>
        </is>
      </c>
      <c r="C756"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57" ht="44" customHeight="1">
      <c r="A757" s="24">
        <f>HYPERLINK("#'Kiểm thử'!A"&amp;(MATCH("TC-RS-VAL-025 / formula-year",'Kiểm thử'!$A$5:$A$573,0)+4),"TC-RS-VAL-025 / formula-year")</f>
        <v/>
      </c>
      <c r="B757" s="18" t="inlineStr">
        <is>
          <t>Màn hình / chức năng</t>
        </is>
      </c>
      <c r="C757" s="18" t="inlineStr">
        <is>
          <t>Nguồn trung bình và tỷ lệ nhóm — Nguồn tổng hợp
Server từ chối lưu nhóm tham chiếu không khả dụng hoặc ngoài trường/năm</t>
        </is>
      </c>
    </row>
    <row r="758" ht="299" customHeight="1">
      <c r="A758" s="24">
        <f>HYPERLINK("#'Kiểm thử'!A"&amp;(MATCH("TC-RS-VAL-025 / formula-year",'Kiểm thử'!$A$5:$A$573,0)+4),"TC-RS-VAL-025 / formula-year")</f>
        <v/>
      </c>
      <c r="B758" s="18" t="inlineStr">
        <is>
          <t>Điều kiện / thao tác</t>
        </is>
      </c>
      <c r="C758" s="18" t="inlineStr">
        <is>
          <t>Cấu hình: thiết lập tổng hợp X（評点集計） (lớp học tắt). Công cụ sửa request (DevTools/proxy) trên môi trường test.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ID nhóm tổng hợp của trường B (trường B (trường khác)); ID nhóm tổng hợp của năm khác; mục số nguyên (M=100); tài khoản giáo viên có quyền sửa mục
Công thức sai năm
Thao tác: 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t>
        </is>
      </c>
    </row>
    <row r="759" ht="214" customHeight="1">
      <c r="A759" s="24">
        <f>HYPERLINK("#'Kiểm thử'!A"&amp;(MATCH("TC-RS-VAL-025 / formula-year",'Kiểm thử'!$A$5:$A$573,0)+4),"TC-RS-VAL-025 / formula-year")</f>
        <v/>
      </c>
      <c r="B759" s="18" t="inlineStr">
        <is>
          <t>Điều kiện / thao tác</t>
        </is>
      </c>
      <c r="C759"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60" ht="44" customHeight="1">
      <c r="A760" s="24">
        <f>HYPERLINK("#'Kiểm thử'!A"&amp;(MATCH("TC-RS-VAL-025 / formula-missing",'Kiểm thử'!$A$5:$A$573,0)+4),"TC-RS-VAL-025 / formula-missing")</f>
        <v/>
      </c>
      <c r="B760" s="18" t="inlineStr">
        <is>
          <t>Màn hình / chức năng</t>
        </is>
      </c>
      <c r="C760" s="18" t="inlineStr">
        <is>
          <t>Nguồn trung bình và tỷ lệ nhóm — Nguồn tổng hợp
Server từ chối lưu nhóm tham chiếu không khả dụng hoặc ngoài trường/năm</t>
        </is>
      </c>
    </row>
    <row r="761" ht="299" customHeight="1">
      <c r="A761" s="24">
        <f>HYPERLINK("#'Kiểm thử'!A"&amp;(MATCH("TC-RS-VAL-025 / formula-missing",'Kiểm thử'!$A$5:$A$573,0)+4),"TC-RS-VAL-025 / formula-missing")</f>
        <v/>
      </c>
      <c r="B761" s="18" t="inlineStr">
        <is>
          <t>Điều kiện / thao tác</t>
        </is>
      </c>
      <c r="C761" s="18" t="inlineStr">
        <is>
          <t>Cấu hình: thiết lập tổng hợp X（評点集計） (lớp học tắt). Công cụ sửa request (DevTools/proxy) trên môi trường test.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thiết lập tổng hợp X（評点集計）; ID nhóm tổng hợp của trường B (trường B (trường khác)); ID nhóm tổng hợp của năm khác; mục số nguyên (M=100); tài khoản giáo viên có quyền sửa mục
Công thức nhóm không tồn tại
Thao tác: 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t>
        </is>
      </c>
    </row>
    <row r="762" ht="214" customHeight="1">
      <c r="A762" s="24">
        <f>HYPERLINK("#'Kiểm thử'!A"&amp;(MATCH("TC-RS-VAL-025 / formula-missing",'Kiểm thử'!$A$5:$A$573,0)+4),"TC-RS-VAL-025 / formula-missing")</f>
        <v/>
      </c>
      <c r="B762" s="18" t="inlineStr">
        <is>
          <t>Điều kiện / thao tác</t>
        </is>
      </c>
      <c r="C762"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63" ht="299" customHeight="1">
      <c r="A763" s="24">
        <f>HYPERLINK("#'Kiểm thử'!A"&amp;(MATCH("TC-RS-CALC-026 / Base",'Kiểm thử'!$A$5:$A$573,0)+4),"TC-RS-CALC-026 / Base")</f>
        <v/>
      </c>
      <c r="B763" s="18" t="inlineStr">
        <is>
          <t>Điều kiện / thao tác</t>
        </is>
      </c>
      <c r="C763" s="18" t="inlineStr">
        <is>
          <t>Cấu hình: nhóm có học sinh bị loại khỏi xếp hạng; công thức `A×0.5`,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nhóm có học sinh bị loại khỏi xếp hạng; S = 22
Toàn bộ thủ tục theo đúng thứ tự; các đối chứng cùng fixture được kiểm trong cùng lượt, không bỏ bước
Thao tác: Chạy nút xanh rồi nút cam; ghi `A` đọc được.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764" ht="129" customHeight="1">
      <c r="A764" s="24">
        <f>HYPERLINK("#'Kiểm thử'!A"&amp;(MATCH("TC-RS-CALC-026 / Base",'Kiểm thử'!$A$5:$A$573,0)+4),"TC-RS-CALC-026 / Base")</f>
        <v/>
      </c>
      <c r="B764" s="18" t="inlineStr">
        <is>
          <t>Điều kiện / thao tác</t>
        </is>
      </c>
      <c r="C764"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65" ht="299" customHeight="1">
      <c r="A765" s="24">
        <f>HYPERLINK("#'Kiểm thử'!A"&amp;(MATCH("TC-RS-CALC-027 / Base",'Kiểm thử'!$A$5:$A$573,0)+4),"TC-RS-CALC-027 / Base")</f>
        <v/>
      </c>
      <c r="B765" s="18" t="inlineStr">
        <is>
          <t>Điều kiện / thao tác</t>
        </is>
      </c>
      <c r="C765" s="18" t="inlineStr">
        <is>
          <t>Cấu hình: mục điểm đơn vị (đơn vị U1 có M riêng 40) có công thức `A×0.5`,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trung bình riêng theo đơn vị (U1=40, U2=70) (U1 `A=40`, U2 `A=70`); S06 U1 = 25, U2 = 30
Toàn bộ thủ tục theo đúng thứ tự; các đối chứng cùng fixture được kiểm trong cùng lượt, không bỏ bước
Thao tác: Chạy nút xanh rồi nút cam.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766" ht="129" customHeight="1">
      <c r="A766" s="24">
        <f>HYPERLINK("#'Kiểm thử'!A"&amp;(MATCH("TC-RS-CALC-027 / Base",'Kiểm thử'!$A$5:$A$573,0)+4),"TC-RS-CALC-027 / Base")</f>
        <v/>
      </c>
      <c r="B766" s="18" t="inlineStr">
        <is>
          <t>Điều kiện / thao tác</t>
        </is>
      </c>
      <c r="C766" s="18" t="inlineStr">
        <is>
          <t>ược kết luận đã chạy.
Kỳ vọng: Đã xác nhận
Chuẩn bị: Bị chặn
Chỉ là quan sát; kỳ vọng hoặc điều kiện kiểm chưa được xác nhận.
Khoảng trống: BLOCKED — TD-SRC-09 chưa được tích hợp/quan sát qua reader; expected U1/U2 đã cố định nhưng không PASS nếu chưa chứng minh được nguồn riêng.
TC-RS-CALC-027: hoàn thiện đúng fixture/seam; giữ expected và chưa kết luận thực thi.</t>
        </is>
      </c>
    </row>
    <row r="767" ht="44" customHeight="1">
      <c r="A767" s="24">
        <f>HYPERLINK("#'Kiểm thử'!A"&amp;(MATCH("TC-RS-CALC-031 / zero-maximum",'Kiểm thử'!$A$5:$A$573,0)+4),"TC-RS-CALC-031 / zero-maximum")</f>
        <v/>
      </c>
      <c r="B767" s="18" t="inlineStr">
        <is>
          <t>Màn hình / chức năng</t>
        </is>
      </c>
      <c r="C767" s="18" t="inlineStr">
        <is>
          <t>Nguồn trung bình và tỷ lệ nhóm — Nguồn tổng hợp
Nguồn không có mẫu số hợp lệ (tổng điểm tối đa 0, số người có điểm 0) → Chưa xét được</t>
        </is>
      </c>
    </row>
    <row r="768" ht="299" customHeight="1">
      <c r="A768" s="24">
        <f>HYPERLINK("#'Kiểm thử'!A"&amp;(MATCH("TC-RS-CALC-031 / zero-maximum",'Kiểm thử'!$A$5:$A$573,0)+4),"TC-RS-CALC-031 / zero-maximum")</f>
        <v/>
      </c>
      <c r="B768" s="18" t="inlineStr">
        <is>
          <t>Điều kiện / thao tác</t>
        </is>
      </c>
      <c r="C768" s="18" t="inlineStr">
        <is>
          <t>Cấu hình: Quy tắc 1: quy tắc theo tỷ lệ điểm của nhóm từ 65% (điều kiện tỷ lệ nhóm). Quy tắc 2 (mục khác): công thức `A×0.5`. Cách tạo dữ liệu: hỏi team dev khi chuẩn bị.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theo tỷ lệ điểm của nhóm từ 65%; (a) Bản tổng hợp của nhóm có tổng điểm tối đa = 0; (b) bản tổng hợp tồn tại nhưng không học sinh nào có điểm; S01 = 29
Tổng điểm tối đa bằng 0
Thao tác: Với từng nguồn: chạy nút xanh (nếu cần) rồi nút cam; xem kết quả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769" ht="129" customHeight="1">
      <c r="A769" s="24">
        <f>HYPERLINK("#'Kiểm thử'!A"&amp;(MATCH("TC-RS-CALC-031 / zero-maximum",'Kiểm thử'!$A$5:$A$573,0)+4),"TC-RS-CALC-031 / zero-maximum")</f>
        <v/>
      </c>
      <c r="B769" s="18" t="inlineStr">
        <is>
          <t>Điều kiện / thao tác</t>
        </is>
      </c>
      <c r="C769"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70" ht="163" customHeight="1">
      <c r="A770" s="24">
        <f>HYPERLINK("#'Kiểm thử'!A"&amp;(MATCH("TC-RS-CALC-031 / zero-maximum",'Kiểm thử'!$A$5:$A$573,0)+4),"TC-RS-CALC-031 / zero-maximum")</f>
        <v/>
      </c>
      <c r="B770" s="18" t="inlineStr">
        <is>
          <t>Kết quả mong đợi</t>
        </is>
      </c>
      <c r="C770" s="18" t="inlineStr">
        <is>
          <t>(a) Điều kiện tỷ lệ nhóm không xác định được → Chưa xét được; không coi `R=0` là không khớp để thành Không áp dụng hay chuyển xuống ưu tiên thấp hơn.
(b) `A` không xác định được → Chưa xét được; không coi `A=0` (nếu coi 0 thì `T=0`, S01 Không đỏ — sai).
Cả hai: ngừng dấu đỏ cũ; không lấy nguồn khác.
Bảo toàn: Giữ điểm, cấu hình và đối tượng không đích theo expected; chỉ thay phần thủ tục yêu cầu, không tự đổi oracle hoặc mở rộng phạm vi.</t>
        </is>
      </c>
    </row>
    <row r="771" ht="44" customHeight="1">
      <c r="A771" s="24">
        <f>HYPERLINK("#'Kiểm thử'!A"&amp;(MATCH("TC-RS-CALC-031 / zero-count",'Kiểm thử'!$A$5:$A$573,0)+4),"TC-RS-CALC-031 / zero-count")</f>
        <v/>
      </c>
      <c r="B771" s="18" t="inlineStr">
        <is>
          <t>Màn hình / chức năng</t>
        </is>
      </c>
      <c r="C771" s="18" t="inlineStr">
        <is>
          <t>Nguồn trung bình và tỷ lệ nhóm — Nguồn tổng hợp
Nguồn không có mẫu số hợp lệ (tổng điểm tối đa 0, số người có điểm 0) → Chưa xét được</t>
        </is>
      </c>
    </row>
    <row r="772" ht="299" customHeight="1">
      <c r="A772" s="24">
        <f>HYPERLINK("#'Kiểm thử'!A"&amp;(MATCH("TC-RS-CALC-031 / zero-count",'Kiểm thử'!$A$5:$A$573,0)+4),"TC-RS-CALC-031 / zero-count")</f>
        <v/>
      </c>
      <c r="B772" s="18" t="inlineStr">
        <is>
          <t>Điều kiện / thao tác</t>
        </is>
      </c>
      <c r="C772" s="18" t="inlineStr">
        <is>
          <t>Cấu hình: Quy tắc 1: quy tắc theo tỷ lệ điểm của nhóm từ 65% (điều kiện tỷ lệ nhóm). Quy tắc 2 (mục khác): công thức `A×0.5`. Cách tạo dữ liệu: hỏi team dev khi chuẩn bị.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theo tỷ lệ điểm của nhóm từ 65%; (a) Bản tổng hợp của nhóm có tổng điểm tối đa = 0; (b) bản tổng hợp tồn tại nhưng không học sinh nào có điểm; S01 = 29
Số người bằng 0
Thao tác: Với từng nguồn: chạy nút xanh (nếu cần) rồi nút cam; xem kết quả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773" ht="129" customHeight="1">
      <c r="A773" s="24">
        <f>HYPERLINK("#'Kiểm thử'!A"&amp;(MATCH("TC-RS-CALC-031 / zero-count",'Kiểm thử'!$A$5:$A$573,0)+4),"TC-RS-CALC-031 / zero-count")</f>
        <v/>
      </c>
      <c r="B773" s="18" t="inlineStr">
        <is>
          <t>Điều kiện / thao tác</t>
        </is>
      </c>
      <c r="C773"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74" ht="163" customHeight="1">
      <c r="A774" s="24">
        <f>HYPERLINK("#'Kiểm thử'!A"&amp;(MATCH("TC-RS-CALC-031 / zero-count",'Kiểm thử'!$A$5:$A$573,0)+4),"TC-RS-CALC-031 / zero-count")</f>
        <v/>
      </c>
      <c r="B774" s="18" t="inlineStr">
        <is>
          <t>Kết quả mong đợi</t>
        </is>
      </c>
      <c r="C774" s="18" t="inlineStr">
        <is>
          <t>(a) Điều kiện tỷ lệ nhóm không xác định được → Chưa xét được; không coi `R=0` là không khớp để thành Không áp dụng hay chuyển xuống ưu tiên thấp hơn.
(b) `A` không xác định được → Chưa xét được; không coi `A=0` (nếu coi 0 thì `T=0`, S01 Không đỏ — sai).
Cả hai: ngừng dấu đỏ cũ; không lấy nguồn khác.
Bảo toàn: Giữ điểm, cấu hình và đối tượng không đích theo expected; chỉ thay phần thủ tục yêu cầu, không tự đổi oracle hoặc mở rộng phạm vi.</t>
        </is>
      </c>
    </row>
    <row r="775" ht="299" customHeight="1">
      <c r="A775" s="24">
        <f>HYPERLINK("#'Kiểm thử'!A"&amp;(MATCH("TC-RS-CALC-032 / Base",'Kiểm thử'!$A$5:$A$573,0)+4),"TC-RS-CALC-032 / Base")</f>
        <v/>
      </c>
      <c r="B775" s="18" t="inlineStr">
        <is>
          <t>Điều kiện / thao tác</t>
        </is>
      </c>
      <c r="C775" s="18" t="inlineStr">
        <is>
          <t xml:space="preserve">Cấu hình: quy tắc theo tỷ lệ điểm của nhóm từ 65% là quy tắc duy nhất. Nhóm tham chiếu có 3 học sinh: 60/100, 80/100 và một học sinh chưa có điểm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theo tỷ lệ điểm của nhóm từ 65%; S = 60
Toàn bộ thủ tục theo đúng thứ tự; các đối chứng cùng fixture được kiểm trong cùng lượt, không bỏ bước
Thao tác: 1. Chạy nút xanh; ghi tổng điểm và tổng điểm tối đa hiển thị ở kết quả tổng hợp.
2. Chạy nút cam; xem kết quả S=60.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76" ht="146" customHeight="1">
      <c r="A776" s="24">
        <f>HYPERLINK("#'Kiểm thử'!A"&amp;(MATCH("TC-RS-CALC-032 / Base",'Kiểm thử'!$A$5:$A$573,0)+4),"TC-RS-CALC-032 / Base")</f>
        <v/>
      </c>
      <c r="B776" s="18" t="inlineStr">
        <is>
          <t>Điều kiện / thao tác</t>
        </is>
      </c>
      <c r="C77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77" ht="112" customHeight="1">
      <c r="A777" s="24">
        <f>HYPERLINK("#'Kiểm thử'!A"&amp;(MATCH("TC-RS-CALC-032 / Base",'Kiểm thử'!$A$5:$A$573,0)+4),"TC-RS-CALC-032 / Base")</f>
        <v/>
      </c>
      <c r="B777" s="18" t="inlineStr">
        <is>
          <t>Kết quả mong đợi</t>
        </is>
      </c>
      <c r="C777" s="18" t="inlineStr">
        <is>
          <t>1. Tổng điểm và tổng điểm tối đa lấy cùng tập học sinh có điểm theo cấu hình tổng hợp.
2. Với cấu hình tổng hợp không tính học sinh chưa có điểm: `R=140/200×100=70%` → khớp `≥65%` → `T=70` → S=60 Đỏ. Ghép tổng điểm của 2 người với tổng tối đa của 3 người (`140/300=46.7%` → Không áp dụng) là sai.
Bảo toàn: Giữ điểm, cấu hình và đối tượng không đích theo expected; chỉ thay phần thủ tục yêu cầu, không tự đổi oracle hoặc mở rộng phạm vi.</t>
        </is>
      </c>
    </row>
    <row r="778" ht="44" customHeight="1">
      <c r="A778" s="24">
        <f>HYPERLINK("#'Kiểm thử'!A"&amp;(MATCH("TC-RS-ERR-016 / Base",'Kiểm thử'!$A$5:$A$573,0)+4),"TC-RS-ERR-016 / Base")</f>
        <v/>
      </c>
      <c r="B778" s="18" t="inlineStr">
        <is>
          <t>Màn hình / chức năng</t>
        </is>
      </c>
      <c r="C778" s="18" t="inlineStr">
        <is>
          <t>Nguồn trung bình và tỷ lệ nhóm — Nguồn tổng hợp
Chưa xét được: sửa nguồn nhưng chỉ lưu cấu hình vẫn chưa có kết luận; xét lại mới có</t>
        </is>
      </c>
    </row>
    <row r="779" ht="299" customHeight="1">
      <c r="A779" s="24">
        <f>HYPERLINK("#'Kiểm thử'!A"&amp;(MATCH("TC-RS-ERR-016 / Base",'Kiểm thử'!$A$5:$A$573,0)+4),"TC-RS-ERR-016 / Base")</f>
        <v/>
      </c>
      <c r="B779" s="18" t="inlineStr">
        <is>
          <t>Điều kiện / thao tác</t>
        </is>
      </c>
      <c r="C779" s="18" t="inlineStr">
        <is>
          <t>Cấu hình: Ô S01 Chưa xét được (như case “Chưa có kết quả tổng hợp → Chưa xét được, không thay bằng 0 hay nhóm khác”: công thức `A×0.5`, nguồn chưa tổng hợp). Nguồn không có bản chốt.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nguồn sau tổng hợp có `A=62` (giá trị như bản tổng hợp mới nhất chưa chốt (trung bình 62))
Toàn bộ thủ tục theo đúng thứ tự; các đối chứng cùng fixture được kiểm trong cùng lượt, không bỏ bước
Thao tác: 1. Chạy Thực hiện tổng hợp（集計実行） cho nguồn để có `A=62`; mở lại và lưu thiết lập quy tắc (không đổi nội dung). Xem đầu ra.
2. Chạy nút cam. Xem đầu ra.
Khôi phục: Trước mỗi biến thể, dựng lại điều kiện/dữ liệu đầu của case bằng đường được phép; gi</t>
        </is>
      </c>
    </row>
    <row r="780" ht="180" customHeight="1">
      <c r="A780" s="24">
        <f>HYPERLINK("#'Kiểm thử'!A"&amp;(MATCH("TC-RS-ERR-016 / Base",'Kiểm thử'!$A$5:$A$573,0)+4),"TC-RS-ERR-016 / Base")</f>
        <v/>
      </c>
      <c r="B780" s="18" t="inlineStr">
        <is>
          <t>Điều kiện / thao tác</t>
        </is>
      </c>
      <c r="C780"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81" ht="44" customHeight="1">
      <c r="A781" s="24">
        <f>HYPERLINK("#'Kiểm thử'!A"&amp;(MATCH("TC-RS-BR-026 / no-match",'Kiểm thử'!$A$5:$A$573,0)+4),"TC-RS-BR-026 / no-match")</f>
        <v/>
      </c>
      <c r="B781" s="18" t="inlineStr">
        <is>
          <t>Màn hình / chức năng</t>
        </is>
      </c>
      <c r="C781" s="18" t="inlineStr">
        <is>
          <t>Nguồn trung bình và tỷ lệ nhóm — Nguồn tổng hợp
Không fallback sang legacy khi rule mới thiếu hoặc không khớp dữ liệu</t>
        </is>
      </c>
    </row>
    <row r="782" ht="299" customHeight="1">
      <c r="A782" s="24">
        <f>HYPERLINK("#'Kiểm thử'!A"&amp;(MATCH("TC-RS-BR-026 / no-match",'Kiểm thử'!$A$5:$A$573,0)+4),"TC-RS-BR-026 / no-match")</f>
        <v/>
      </c>
      <c r="B782" s="18" t="inlineStr">
        <is>
          <t>Điều kiện / thao tác</t>
        </is>
      </c>
      <c r="C782" s="18" t="inlineStr">
        <is>
          <t>Cấu hình: - Có rule mới thiếu nguồn/không khớp và kết quả legacy cũ của cùng ô.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Có rule mới thiếu nguồn/không khớp và kết quả legacy cũ của cùng ô.
Không quy tắc khớp
Thao tác: 1. Chạy nút cam.
2. Xem trạng thái ô và ba đầu 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783" ht="129" customHeight="1">
      <c r="A783" s="24">
        <f>HYPERLINK("#'Kiểm thử'!A"&amp;(MATCH("TC-RS-BR-026 / no-match",'Kiểm thử'!$A$5:$A$573,0)+4),"TC-RS-BR-026 / no-match")</f>
        <v/>
      </c>
      <c r="B783" s="18" t="inlineStr">
        <is>
          <t>Điều kiện / thao tác</t>
        </is>
      </c>
      <c r="C783"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84" ht="44" customHeight="1">
      <c r="A784" s="24">
        <f>HYPERLINK("#'Kiểm thử'!A"&amp;(MATCH("TC-RS-BR-026 / missing-input",'Kiểm thử'!$A$5:$A$573,0)+4),"TC-RS-BR-026 / missing-input")</f>
        <v/>
      </c>
      <c r="B784" s="18" t="inlineStr">
        <is>
          <t>Màn hình / chức năng</t>
        </is>
      </c>
      <c r="C784" s="18" t="inlineStr">
        <is>
          <t>Nguồn trung bình và tỷ lệ nhóm — Nguồn tổng hợp
Không fallback sang legacy khi rule mới thiếu hoặc không khớp dữ liệu</t>
        </is>
      </c>
    </row>
    <row r="785" ht="299" customHeight="1">
      <c r="A785" s="24">
        <f>HYPERLINK("#'Kiểm thử'!A"&amp;(MATCH("TC-RS-BR-026 / missing-input",'Kiểm thử'!$A$5:$A$573,0)+4),"TC-RS-BR-026 / missing-input")</f>
        <v/>
      </c>
      <c r="B785" s="18" t="inlineStr">
        <is>
          <t>Điều kiện / thao tác</t>
        </is>
      </c>
      <c r="C785" s="18" t="inlineStr">
        <is>
          <t>Cấu hình: - Có rule mới thiếu nguồn/không khớp và kết quả legacy cũ của cùng ô.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Có rule mới thiếu nguồn/không khớp và kết quả legacy cũ của cùng ô.
Thiếu dữ liệu để xét
Thao tác: 1. Chạy nút cam.
2. Xem trạng thái ô và ba đầu 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786" ht="129" customHeight="1">
      <c r="A786" s="24">
        <f>HYPERLINK("#'Kiểm thử'!A"&amp;(MATCH("TC-RS-BR-026 / missing-input",'Kiểm thử'!$A$5:$A$573,0)+4),"TC-RS-BR-026 / missing-input")</f>
        <v/>
      </c>
      <c r="B786" s="18" t="inlineStr">
        <is>
          <t>Điều kiện / thao tác</t>
        </is>
      </c>
      <c r="C786"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87" ht="299" customHeight="1">
      <c r="A787" s="24">
        <f>HYPERLINK("#'Kiểm thử'!A"&amp;(MATCH("TC-RS-FUNC-016 / Base",'Kiểm thử'!$A$5:$A$573,0)+4),"TC-RS-FUNC-016 / Base")</f>
        <v/>
      </c>
      <c r="B787" s="18" t="inlineStr">
        <is>
          <t>Điều kiện / thao tác</t>
        </is>
      </c>
      <c r="C787" s="18" t="inlineStr">
        <is>
          <t>Cấu hình: mục số nguyên (M=100) có quy tắc “Cố định 30” (dưới 30); mục số nguyên (M=100) không có quy tắc tính tự động.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học sinh S03 (điểm 31)
Toàn bộ thủ tục theo đúng thứ tự; các đối chứng cùng fixture được kiểm trong cùng lượt, không bỏ bước
Thao tác: 1. Ở màn đăng ký điểm của lớp G-A, nhập S01=29, S03=31, lưu.
2. Xem trích xuất.
Khôi phục: Trước mỗi biến thể, dựng lại điều kiện/dữ liệu đầu của case bằng đường được phép; giữ các reset/fixture độc lập đã nêu trong thủ tục.</t>
        </is>
      </c>
    </row>
    <row r="788" ht="180" customHeight="1">
      <c r="A788" s="24">
        <f>HYPERLINK("#'Kiểm thử'!A"&amp;(MATCH("TC-RS-FUNC-016 / Base",'Kiểm thử'!$A$5:$A$573,0)+4),"TC-RS-FUNC-016 / Base")</f>
        <v/>
      </c>
      <c r="B788" s="18" t="inlineStr">
        <is>
          <t>Điều kiện / thao tác</t>
        </is>
      </c>
      <c r="C788"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89" ht="299" customHeight="1">
      <c r="A789" s="24">
        <f>HYPERLINK("#'Kiểm thử'!A"&amp;(MATCH("TC-RS-FUNC-017 / auto-on",'Kiểm thử'!$A$5:$A$573,0)+4),"TC-RS-FUNC-017 / auto-on")</f>
        <v/>
      </c>
      <c r="B789" s="18" t="inlineStr">
        <is>
          <t>Điều kiện / thao tác</t>
        </is>
      </c>
      <c r="C789" s="18" t="inlineStr">
        <is>
          <t xml:space="preserve">Cấu hình: mục số nguyên (M=100) có quy tắc “Cố định 30” (dưới 30). Chạy hai lần: (a) trường có tính tự động, (b) trường không có tính tự động.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Trường có tính tự động, thực hiện toàn bộ chuỗi CSV
Thao tác: 1. Mở Đăng ký thành tích bằng CSV（成績CSV登録） của lớp G-A, nhập CSV với S01=29.
2. Xem kết quả ở trích xuất.
3. Nhập lại CSV với S01=31,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90" ht="146" customHeight="1">
      <c r="A790" s="24">
        <f>HYPERLINK("#'Kiểm thử'!A"&amp;(MATCH("TC-RS-FUNC-017 / auto-on",'Kiểm thử'!$A$5:$A$573,0)+4),"TC-RS-FUNC-017 / auto-on")</f>
        <v/>
      </c>
      <c r="B790" s="18" t="inlineStr">
        <is>
          <t>Điều kiện / thao tác</t>
        </is>
      </c>
      <c r="C790"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91" ht="163" customHeight="1">
      <c r="A791" s="24">
        <f>HYPERLINK("#'Kiểm thử'!A"&amp;(MATCH("TC-RS-FUNC-017 / auto-on",'Kiểm thử'!$A$5:$A$573,0)+4),"TC-RS-FUNC-017 / auto-on")</f>
        <v/>
      </c>
      <c r="B791" s="18" t="inlineStr">
        <is>
          <t>Kết quả mong đợi</t>
        </is>
      </c>
      <c r="C791" s="18" t="inlineStr">
        <is>
          <t>1–2. Nhập thành công → S01 được xét: Đỏ, ở cả (a) và (b) (không phụ thuộc việc trường có tính tự động).
3. S01 Không đỏ; không còn dấu đỏ cũ.
Điểm và kết quả nhất quán theo ranh giới giao dịch hiện có (tiêu chí nghiệm thu “Lưu thành công và thông báo an toàn”).
Bảo toàn: Giữ điểm, cấu hình và đối tượng không đích theo expected; chỉ thay phần thủ tục yêu cầu, không tự đổi oracle hoặc mở rộng phạm vi.</t>
        </is>
      </c>
    </row>
    <row r="792" ht="299" customHeight="1">
      <c r="A792" s="24">
        <f>HYPERLINK("#'Kiểm thử'!A"&amp;(MATCH("TC-RS-FUNC-017 / auto-off",'Kiểm thử'!$A$5:$A$573,0)+4),"TC-RS-FUNC-017 / auto-off")</f>
        <v/>
      </c>
      <c r="B792" s="18" t="inlineStr">
        <is>
          <t>Điều kiện / thao tác</t>
        </is>
      </c>
      <c r="C792" s="18" t="inlineStr">
        <is>
          <t xml:space="preserve">Cấu hình: mục số nguyên (M=100) có quy tắc “Cố định 30” (dưới 30). Chạy hai lần: (a) trường có tính tự động, (b) trường không có tính tự động.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Trường không có tính tự động, cùng chuỗi CSV
Thao tác: 1. Mở Đăng ký thành tích bằng CSV（成績CSV登録） của lớp G-A, nhập CSV với S01=29.
2. Xem kết quả ở trích xuất.
3. Nhập lại CSV với S01=31,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793" ht="146" customHeight="1">
      <c r="A793" s="24">
        <f>HYPERLINK("#'Kiểm thử'!A"&amp;(MATCH("TC-RS-FUNC-017 / auto-off",'Kiểm thử'!$A$5:$A$573,0)+4),"TC-RS-FUNC-017 / auto-off")</f>
        <v/>
      </c>
      <c r="B793" s="18" t="inlineStr">
        <is>
          <t>Điều kiện / thao tác</t>
        </is>
      </c>
      <c r="C79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794" ht="163" customHeight="1">
      <c r="A794" s="24">
        <f>HYPERLINK("#'Kiểm thử'!A"&amp;(MATCH("TC-RS-FUNC-017 / auto-off",'Kiểm thử'!$A$5:$A$573,0)+4),"TC-RS-FUNC-017 / auto-off")</f>
        <v/>
      </c>
      <c r="B794" s="18" t="inlineStr">
        <is>
          <t>Kết quả mong đợi</t>
        </is>
      </c>
      <c r="C794" s="18" t="inlineStr">
        <is>
          <t>1–2. Nhập thành công → S01 được xét: Đỏ, ở cả (a) và (b) (không phụ thuộc việc trường có tính tự động).
3. S01 Không đỏ; không còn dấu đỏ cũ.
Điểm và kết quả nhất quán theo ranh giới giao dịch hiện có (tiêu chí nghiệm thu “Lưu thành công và thông báo an toàn”).
Bảo toàn: Giữ điểm, cấu hình và đối tượng không đích theo expected; chỉ thay phần thủ tục yêu cầu, không tự đổi oracle hoặc mở rộng phạm vi.</t>
        </is>
      </c>
    </row>
    <row r="795" ht="299" customHeight="1">
      <c r="A795" s="24">
        <f>HYPERLINK("#'Kiểm thử'!A"&amp;(MATCH("TC-RS-FUNC-018 / linked",'Kiểm thử'!$A$5:$A$573,0)+4),"TC-RS-FUNC-018 / linked")</f>
        <v/>
      </c>
      <c r="B795" s="18" t="inlineStr">
        <is>
          <t>Điều kiện / thao tác</t>
        </is>
      </c>
      <c r="C795" s="18" t="inlineStr">
        <is>
          <t>Cấu hình: Có bài thi đã chấm liên kết tới mục số nguyên (M=100) cho lớp G-A và lớp G-C; quy tắc “Cố định 30” (dưới 30) trên mục số nguyên (M=100). G-A đủ thiết lập để AutoRating chạy. G-C được chuẩn bị để `createArgument` không trả lớp này (ví dụ chưa đăng ký thiết lập lớp học bắt buộc（入力必須の授業設定）), nên AutoRating bị bỏ qua.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các lớp học phần G-A, G-B, G-C, học sinh S01 (điểm 29)
Liên kết điểm ở G-A
Thao tác: 1. Liên kết kết quả chấm của G-A với S01=29 (quy tắc cố định quy tắc “Cố định 30” (dưới 30)), gồm trường hợp lớp không có quy tắc tính tự động.
2. Liên kết kết quả chấm của G-C với một học sinh của G-C = 28.</t>
        </is>
      </c>
    </row>
    <row r="796" ht="248" customHeight="1">
      <c r="A796" s="24">
        <f>HYPERLINK("#'Kiểm thử'!A"&amp;(MATCH("TC-RS-FUNC-018 / linked",'Kiểm thử'!$A$5:$A$573,0)+4),"TC-RS-FUNC-018 / linked")</f>
        <v/>
      </c>
      <c r="B796" s="18" t="inlineStr">
        <is>
          <t>Điều kiện / thao tác</t>
        </is>
      </c>
      <c r="C796" s="18" t="inlineStr">
        <is>
          <t xml:space="preserve">
3. Xem điểm đã ghi và kết quả đỏ của hai lớp.
4. (Tùy chọn) Lặp lại với quy tắc cần trung bình.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seam liên kết kết quả chấm với AutoRating và fixture G-C bị bỏ qua phải được team cung cấp/quan sát trước khi chạy; expected vẫn giữ nguyên.
TC-RS-FUNC-018: hoàn thiện đúng fixture/seam; giữ expected và chưa kết luận thực thi.</t>
        </is>
      </c>
    </row>
    <row r="797" ht="163" customHeight="1">
      <c r="A797" s="24">
        <f>HYPERLINK("#'Kiểm thử'!A"&amp;(MATCH("TC-RS-FUNC-018 / linked",'Kiểm thử'!$A$5:$A$573,0)+4),"TC-RS-FUNC-018 / linked")</f>
        <v/>
      </c>
      <c r="B797" s="18" t="inlineStr">
        <is>
          <t>Kết quả mong đợi</t>
        </is>
      </c>
      <c r="C797" s="18" t="inlineStr">
        <is>
          <t>1. S01 Đỏ.
2–3. Điểm 28 của G-C đã được ghi và ô đó được xét → Đỏ, dù AutoRating bị bỏ qua. Không có ô đã ghi nào ở G-C bị để lại không có kết quả.
4. Quy tắc cần trung bình: liên kết không chạy tổng hợp thứ hạng nên trung bình có thể cũ — việc chấp nhận trung bình cũ chưa chốt, phần này TBD, không đánh PASS/FAIL.
Bảo toàn: Giữ điểm, cấu hình và đối tượng không đích theo expected; chỉ thay phần thủ tục yêu cầu, không tự đổi oracle hoặc mở rộng phạm vi.</t>
        </is>
      </c>
    </row>
    <row r="798" ht="299" customHeight="1">
      <c r="A798" s="24">
        <f>HYPERLINK("#'Kiểm thử'!A"&amp;(MATCH("TC-RS-FUNC-018 / auto-skipped",'Kiểm thử'!$A$5:$A$573,0)+4),"TC-RS-FUNC-018 / auto-skipped")</f>
        <v/>
      </c>
      <c r="B798" s="18" t="inlineStr">
        <is>
          <t>Điều kiện / thao tác</t>
        </is>
      </c>
      <c r="C798" s="18" t="inlineStr">
        <is>
          <t>Cấu hình: Có bài thi đã chấm liên kết tới mục số nguyên (M=100) cho lớp G-A và lớp G-C; quy tắc “Cố định 30” (dưới 30) trên mục số nguyên (M=100). G-A đủ thiết lập để AutoRating chạy. G-C được chuẩn bị để `createArgument` không trả lớp này (ví dụ chưa đăng ký thiết lập lớp học bắt buộc（入力必須の授業設定）), nên AutoRating bị bỏ qua.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các lớp học phần G-A, G-B, G-C, học sinh S01 (điểm 29)
Nhánh AutoRating bỏ qua ở G-C
Thao tác: 1. Liên kết kết quả chấm của G-A với S01=29 (quy tắc cố định quy tắc “Cố định 30” (dưới 30)), gồm trường hợp lớp không có quy tắc tính tự động.
2. Liên kết kết quả chấm của G-C với một học sinh của G-C = 28.</t>
        </is>
      </c>
    </row>
    <row r="799" ht="248" customHeight="1">
      <c r="A799" s="24">
        <f>HYPERLINK("#'Kiểm thử'!A"&amp;(MATCH("TC-RS-FUNC-018 / auto-skipped",'Kiểm thử'!$A$5:$A$573,0)+4),"TC-RS-FUNC-018 / auto-skipped")</f>
        <v/>
      </c>
      <c r="B799" s="18" t="inlineStr">
        <is>
          <t>Điều kiện / thao tác</t>
        </is>
      </c>
      <c r="C799" s="18" t="inlineStr">
        <is>
          <t xml:space="preserve">
3. Xem điểm đã ghi và kết quả đỏ của hai lớp.
4. (Tùy chọn) Lặp lại với quy tắc cần trung bình.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seam liên kết kết quả chấm với AutoRating và fixture G-C bị bỏ qua phải được team cung cấp/quan sát trước khi chạy; expected vẫn giữ nguyên.
TC-RS-FUNC-018: hoàn thiện đúng fixture/seam; giữ expected và chưa kết luận thực thi.</t>
        </is>
      </c>
    </row>
    <row r="800" ht="163" customHeight="1">
      <c r="A800" s="24">
        <f>HYPERLINK("#'Kiểm thử'!A"&amp;(MATCH("TC-RS-FUNC-018 / auto-skipped",'Kiểm thử'!$A$5:$A$573,0)+4),"TC-RS-FUNC-018 / auto-skipped")</f>
        <v/>
      </c>
      <c r="B800" s="18" t="inlineStr">
        <is>
          <t>Kết quả mong đợi</t>
        </is>
      </c>
      <c r="C800" s="18" t="inlineStr">
        <is>
          <t>1. S01 Đỏ.
2–3. Điểm 28 của G-C đã được ghi và ô đó được xét → Đỏ, dù AutoRating bị bỏ qua. Không có ô đã ghi nào ở G-C bị để lại không có kết quả.
4. Quy tắc cần trung bình: liên kết không chạy tổng hợp thứ hạng nên trung bình có thể cũ — việc chấp nhận trung bình cũ chưa chốt, phần này TBD, không đánh PASS/FAIL.
Bảo toàn: Giữ điểm, cấu hình và đối tượng không đích theo expected; chỉ thay phần thủ tục yêu cầu, không tự đổi oracle hoặc mở rộng phạm vi.</t>
        </is>
      </c>
    </row>
    <row r="801" ht="299" customHeight="1">
      <c r="A801" s="24">
        <f>HYPERLINK("#'Kiểm thử'!A"&amp;(MATCH("TC-RS-FUNC-019 / Base",'Kiểm thử'!$A$5:$A$573,0)+4),"TC-RS-FUNC-019 / Base")</f>
        <v/>
      </c>
      <c r="B801" s="18" t="inlineStr">
        <is>
          <t>Điều kiện / thao tác</t>
        </is>
      </c>
      <c r="C801" s="18" t="inlineStr">
        <is>
          <t xml:space="preserve">Cấu hình: mục điểm đơn vị (đơn vị U1 có M riêng 40) có quy tắc tỷ lệ 30% (30%). Lớp G-B chưa dùng lựa chọn lớp; S06 có điểm U1 = 14 (M=40 → T=12 →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quy tắc tỷ lệ 30%
Toàn bộ thủ tục theo đúng thứ tự; các đối chứng cùng fixture được kiểm trong cùng lượt, không bỏ bước
Thao tác: 1. Ở màn đăng ký điểm lớp G-B, chọn lựa chọn lớp M=50 cho U1, lưu.
2. Xem kết quả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802" ht="146" customHeight="1">
      <c r="A802" s="24">
        <f>HYPERLINK("#'Kiểm thử'!A"&amp;(MATCH("TC-RS-FUNC-019 / Base",'Kiểm thử'!$A$5:$A$573,0)+4),"TC-RS-FUNC-019 / Base")</f>
        <v/>
      </c>
      <c r="B802" s="18" t="inlineStr">
        <is>
          <t>Điều kiện / thao tác</t>
        </is>
      </c>
      <c r="C80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03" ht="44" customHeight="1">
      <c r="A803" s="24">
        <f>HYPERLINK("#'Kiểm thử'!A"&amp;(MATCH("TC-RS-FUNC-020 / Base",'Kiểm thử'!$A$5:$A$573,0)+4),"TC-RS-FUNC-020 / Base")</f>
        <v/>
      </c>
      <c r="B803" s="18" t="inlineStr">
        <is>
          <t>Màn hình / chức năng</t>
        </is>
      </c>
      <c r="C803" s="18" t="inlineStr">
        <is>
          <t>Thời điểm xét và vòng đời kết quả — Vòng đời kết quả
Lưu Thiết lập điểm tối đa hàng loạt（満点一括設定） xếp hàng tính toán rồi mới có kết quả mới</t>
        </is>
      </c>
    </row>
    <row r="804" ht="299" customHeight="1">
      <c r="A804" s="24">
        <f>HYPERLINK("#'Kiểm thử'!A"&amp;(MATCH("TC-RS-FUNC-020 / Base",'Kiểm thử'!$A$5:$A$573,0)+4),"TC-RS-FUNC-020 / Base")</f>
        <v/>
      </c>
      <c r="B804" s="18" t="inlineStr">
        <is>
          <t>Điều kiện / thao tác</t>
        </is>
      </c>
      <c r="C804" s="18" t="inlineStr">
        <is>
          <t>Cấu hình: Trường có chức năng Thiết lập điểm tối đa hàng loạt（満点一括設定） (`/admin/grade/lesson_group/setting?setting_type=change_max_score`); tài khoản có quyền chạy hàng loạt; quy tắc tỷ lệ 30% trên mục điểm đơn vị (đơn vị U1 có M riêng 40).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quy tắc tỷ lệ 30%
Toàn bộ thủ tục theo đúng thứ tự; các đối chứng cùng fixture được kiểm trong cùng lượt, không bỏ bước
Thao tác: 1. Lưu M=50 cho các lớp/kỳ được phép.
2. Ngay sau khi lưu (trước khi batch xong), xem kết quả.
3. Chờ batch hoàn tất, xem lại.
Khôi phục: Trước mỗi biến thể, dựng lại điều kiện/dữ liệu đầu của case bằng đường được phép; gi</t>
        </is>
      </c>
    </row>
    <row r="805" ht="180" customHeight="1">
      <c r="A805" s="24">
        <f>HYPERLINK("#'Kiểm thử'!A"&amp;(MATCH("TC-RS-FUNC-020 / Base",'Kiểm thử'!$A$5:$A$573,0)+4),"TC-RS-FUNC-020 / Base")</f>
        <v/>
      </c>
      <c r="B805" s="18" t="inlineStr">
        <is>
          <t>Điều kiện / thao tác</t>
        </is>
      </c>
      <c r="C805"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06" ht="44" customHeight="1">
      <c r="A806" s="24">
        <f>HYPERLINK("#'Kiểm thử'!A"&amp;(MATCH("TC-RS-FUNC-021 / Base",'Kiểm thử'!$A$5:$A$573,0)+4),"TC-RS-FUNC-021 / Base")</f>
        <v/>
      </c>
      <c r="B806" s="18" t="inlineStr">
        <is>
          <t>Màn hình / chức năng</t>
        </is>
      </c>
      <c r="C806" s="18" t="inlineStr">
        <is>
          <t>Thời điểm xét và vòng đời kết quả — Vòng đời kết quả
Trường chỉ có quy tắc đỏ (không có tính tự động) vẫn có đường chạy hàng loạt</t>
        </is>
      </c>
    </row>
    <row r="807" ht="299" customHeight="1">
      <c r="A807" s="24">
        <f>HYPERLINK("#'Kiểm thử'!A"&amp;(MATCH("TC-RS-FUNC-021 / Base",'Kiểm thử'!$A$5:$A$573,0)+4),"TC-RS-FUNC-021 / Base")</f>
        <v/>
      </c>
      <c r="B807" s="18" t="inlineStr">
        <is>
          <t>Điều kiện / thao tác</t>
        </is>
      </c>
      <c r="C807" s="18" t="inlineStr">
        <is>
          <t>Cấu hình: Trường không có quy tắc tính tự động nào đang hoạt động; mục số nguyên (M=100)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tài khoản có quyền chạy hàng loạt
Toàn bộ thủ tục theo đúng thứ tự; các đối chứng cùng fixture được kiểm trong cùng lượt, không bỏ bước
Thao tác: 1. Mở Tổng hợp thành tích（成績集計） (`/admin/grade/grade_setting_system/grade_calc`).
2. Tìm thao tác Thực hiện tính toán tự động（自動算出実行） cho Khối 1, kỳ 1学期期末 (cuối kỳ học kỳ 1).</t>
        </is>
      </c>
    </row>
    <row r="808" ht="231" customHeight="1">
      <c r="A808" s="24">
        <f>HYPERLINK("#'Kiểm thử'!A"&amp;(MATCH("TC-RS-FUNC-021 / Base",'Kiểm thử'!$A$5:$A$573,0)+4),"TC-RS-FUNC-021 / Base")</f>
        <v/>
      </c>
      <c r="B808" s="18" t="inlineStr">
        <is>
          <t>Điều kiện / thao tác</t>
        </is>
      </c>
      <c r="C808" s="18" t="inlineStr">
        <is>
          <t xml:space="preserve">
3. Chạy, chờ hoàn tất,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09" ht="95" customHeight="1">
      <c r="A809" s="24">
        <f>HYPERLINK("#'Kiểm thử'!A"&amp;(MATCH("TC-RS-FUNC-021 / Base",'Kiểm thử'!$A$5:$A$573,0)+4),"TC-RS-FUNC-021 / Base")</f>
        <v/>
      </c>
      <c r="B809" s="18" t="inlineStr">
        <is>
          <t>Kết quả mong đợi</t>
        </is>
      </c>
      <c r="C809" s="18" t="inlineStr">
        <is>
          <t>Chạy được bằng thao tác hàng loạt hiện có (không có chế độ xét đỏ riêng); sau khi chạy, các ô được xét theo quy tắc “Cố định 30” (dưới 30). Nhãn/cách hiện nút cho trường không có tính tự động chưa chốt — không đánh giá phần này.
Bảo toàn: Giữ điểm, cấu hình và đối tượng không đích theo expected; chỉ thay phần thủ tục yêu cầu, không tự đổi oracle hoặc mở rộng phạm vi.</t>
        </is>
      </c>
    </row>
    <row r="810" ht="44" customHeight="1">
      <c r="A810" s="24">
        <f>HYPERLINK("#'Kiểm thử'!A"&amp;(MATCH("TC-RS-FUNC-035 / auto-on",'Kiểm thử'!$A$5:$A$573,0)+4),"TC-RS-FUNC-035 / auto-on")</f>
        <v/>
      </c>
      <c r="B810" s="18" t="inlineStr">
        <is>
          <t>Màn hình / chức năng</t>
        </is>
      </c>
      <c r="C810" s="18" t="inlineStr">
        <is>
          <t>Thời điểm xét và vòng đời kết quả — Vòng đời kết quả
Nhập CSV đăng ký điểm lớp chủ nhiệm hàng loạt（HR成績CSV一括登録） kích hoạt xét</t>
        </is>
      </c>
    </row>
    <row r="811" ht="299" customHeight="1">
      <c r="A811" s="24">
        <f>HYPERLINK("#'Kiểm thử'!A"&amp;(MATCH("TC-RS-FUNC-035 / auto-on",'Kiểm thử'!$A$5:$A$573,0)+4),"TC-RS-FUNC-035 / auto-on")</f>
        <v/>
      </c>
      <c r="B811" s="18" t="inlineStr">
        <is>
          <t>Điều kiện / thao tác</t>
        </is>
      </c>
      <c r="C811" s="18" t="inlineStr">
        <is>
          <t>Cấu hình: mục số nguyên (M=100) có quy tắc “Cố định 30” (dưới 30). Chạy hai lần: (a) trường có tính tự động, (b) trường không có tính tự động.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Trường có tính tự động
Thao tác: 1. Nhập CSV đăng ký điểm lớp chủ nhiệm hàng loạt（HR成績CSV一括登録） với S01=28.
2.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812" ht="248" customHeight="1">
      <c r="A812" s="24">
        <f>HYPERLINK("#'Kiểm thử'!A"&amp;(MATCH("TC-RS-FUNC-035 / auto-on",'Kiểm thử'!$A$5:$A$573,0)+4),"TC-RS-FUNC-035 / auto-on")</f>
        <v/>
      </c>
      <c r="B812" s="18" t="inlineStr">
        <is>
          <t>Điều kiện / thao tác</t>
        </is>
      </c>
      <c r="C812" s="18" t="inlineStr">
        <is>
          <t>ược kết luận đã chạy.
Kỳ vọng: Chờ xác nhận
Chuẩn bị: Đang chuẩn bị
Chỉ là quan sát; kỳ vọng hoặc điều kiện kiểm chưa được xác nhận.
Khoảng trống: Phần kỳ vọng chưa chốt trong bản nguồn: Theo đặc tả v2 mục 7.2 “Bảng sự kiện”: nhập thành công → S01 Đỏ. tài liệu chia công việc v2 chưa đưa đường ghi điểm “HR成績CSV一括登録 (đăng ký điểm hàng loạt bằng CSV)” vào đường được hỗ trợ; code đường ghi điểm “HR成績CSV一括登録 (đăng ký điểm hàng loạt bằng CSV)” chỉ xếp hàng khi trường dùng tính tự động (context điểm đỏ khoảng trống tích hợp “Không có công thức / điểm sửa tay”) — cần xác nhận đường ghi điểm “HR成績CSV一括登録 (đăng ký điểm hàng loạt bằng CSV)” có thuộc đợt không.
TC-RS-FUNC-035: giữ Awaiting decision; xác định oracle trước khi đánh giá PASS/FAIL.
Khoảng trống: Chưa có xác minh fixture, đường thực hiện và phép quan sát trên build của từng case chưa đánh giá.
Giữ Draft; chỉ chuyển Ready khi chuẩn bị và seam của đúng case đã được xác minh.</t>
        </is>
      </c>
    </row>
    <row r="813" ht="146" customHeight="1">
      <c r="A813" s="24">
        <f>HYPERLINK("#'Kiểm thử'!A"&amp;(MATCH("TC-RS-FUNC-035 / auto-on",'Kiểm thử'!$A$5:$A$573,0)+4),"TC-RS-FUNC-035 / auto-on")</f>
        <v/>
      </c>
      <c r="B813" s="18" t="inlineStr">
        <is>
          <t>Kết quả mong đợi</t>
        </is>
      </c>
      <c r="C813" s="18" t="inlineStr">
        <is>
          <t>Theo đặc tả v2 mục 7.2 “Bảng sự kiện”: nhập thành công → S01 Đỏ. tài liệu chia công việc v2 chưa đưa đường ghi điểm “HR成績CSV一括登録 (đăng ký điểm hàng loạt bằng CSV)” vào đường được hỗ trợ; code đường ghi điểm “HR成績CSV一括登録 (đăng ký điểm hàng loạt bằng CSV)” chỉ xếp hàng khi trường dùng tính tự động (context điểm đỏ khoảng trống tích hợp “Không có công thức / điểm sửa tay”) — cần xác nhận đường ghi điểm “HR成績CSV一括登録 (đăng ký điểm hàng loạt bằng CSV)” có thuộc đợt không.
Bảo toàn: Giữ điểm, cấu hình và đối tượng không đích theo expected; chỉ thay phần thủ tục yêu cầu, không tự đổi oracle hoặc mở rộng phạm vi.</t>
        </is>
      </c>
    </row>
    <row r="814" ht="44" customHeight="1">
      <c r="A814" s="24">
        <f>HYPERLINK("#'Kiểm thử'!A"&amp;(MATCH("TC-RS-FUNC-035 / auto-off",'Kiểm thử'!$A$5:$A$573,0)+4),"TC-RS-FUNC-035 / auto-off")</f>
        <v/>
      </c>
      <c r="B814" s="18" t="inlineStr">
        <is>
          <t>Màn hình / chức năng</t>
        </is>
      </c>
      <c r="C814" s="18" t="inlineStr">
        <is>
          <t>Thời điểm xét và vòng đời kết quả — Vòng đời kết quả
Nhập CSV đăng ký điểm lớp chủ nhiệm hàng loạt（HR成績CSV一括登録） kích hoạt xét</t>
        </is>
      </c>
    </row>
    <row r="815" ht="299" customHeight="1">
      <c r="A815" s="24">
        <f>HYPERLINK("#'Kiểm thử'!A"&amp;(MATCH("TC-RS-FUNC-035 / auto-off",'Kiểm thử'!$A$5:$A$573,0)+4),"TC-RS-FUNC-035 / auto-off")</f>
        <v/>
      </c>
      <c r="B815" s="18" t="inlineStr">
        <is>
          <t>Điều kiện / thao tác</t>
        </is>
      </c>
      <c r="C815" s="18" t="inlineStr">
        <is>
          <t>Cấu hình: mục số nguyên (M=100) có quy tắc “Cố định 30” (dưới 30). Chạy hai lần: (a) trường có tính tự động, (b) trường không có tính tự động.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Trường không có tính tự động
Thao tác: 1. Nhập CSV đăng ký điểm lớp chủ nhiệm hàng loạt（HR成績CSV一括登録） với S01=28.
2.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816" ht="248" customHeight="1">
      <c r="A816" s="24">
        <f>HYPERLINK("#'Kiểm thử'!A"&amp;(MATCH("TC-RS-FUNC-035 / auto-off",'Kiểm thử'!$A$5:$A$573,0)+4),"TC-RS-FUNC-035 / auto-off")</f>
        <v/>
      </c>
      <c r="B816" s="18" t="inlineStr">
        <is>
          <t>Điều kiện / thao tác</t>
        </is>
      </c>
      <c r="C816" s="18" t="inlineStr">
        <is>
          <t>ược kết luận đã chạy.
Kỳ vọng: Chờ xác nhận
Chuẩn bị: Đang chuẩn bị
Chỉ là quan sát; kỳ vọng hoặc điều kiện kiểm chưa được xác nhận.
Khoảng trống: Phần kỳ vọng chưa chốt trong bản nguồn: Theo đặc tả v2 mục 7.2 “Bảng sự kiện”: nhập thành công → S01 Đỏ. tài liệu chia công việc v2 chưa đưa đường ghi điểm “HR成績CSV一括登録 (đăng ký điểm hàng loạt bằng CSV)” vào đường được hỗ trợ; code đường ghi điểm “HR成績CSV一括登録 (đăng ký điểm hàng loạt bằng CSV)” chỉ xếp hàng khi trường dùng tính tự động (context điểm đỏ khoảng trống tích hợp “Không có công thức / điểm sửa tay”) — cần xác nhận đường ghi điểm “HR成績CSV一括登録 (đăng ký điểm hàng loạt bằng CSV)” có thuộc đợt không.
TC-RS-FUNC-035: giữ Awaiting decision; xác định oracle trước khi đánh giá PASS/FAIL.
Khoảng trống: Chưa có xác minh fixture, đường thực hiện và phép quan sát trên build của từng case chưa đánh giá.
Giữ Draft; chỉ chuyển Ready khi chuẩn bị và seam của đúng case đã được xác minh.</t>
        </is>
      </c>
    </row>
    <row r="817" ht="146" customHeight="1">
      <c r="A817" s="24">
        <f>HYPERLINK("#'Kiểm thử'!A"&amp;(MATCH("TC-RS-FUNC-035 / auto-off",'Kiểm thử'!$A$5:$A$573,0)+4),"TC-RS-FUNC-035 / auto-off")</f>
        <v/>
      </c>
      <c r="B817" s="18" t="inlineStr">
        <is>
          <t>Kết quả mong đợi</t>
        </is>
      </c>
      <c r="C817" s="18" t="inlineStr">
        <is>
          <t>Theo đặc tả v2 mục 7.2 “Bảng sự kiện”: nhập thành công → S01 Đỏ. tài liệu chia công việc v2 chưa đưa đường ghi điểm “HR成績CSV一括登録 (đăng ký điểm hàng loạt bằng CSV)” vào đường được hỗ trợ; code đường ghi điểm “HR成績CSV一括登録 (đăng ký điểm hàng loạt bằng CSV)” chỉ xếp hàng khi trường dùng tính tự động (context điểm đỏ khoảng trống tích hợp “Không có công thức / điểm sửa tay”) — cần xác nhận đường ghi điểm “HR成績CSV一括登録 (đăng ký điểm hàng loạt bằng CSV)” có thuộc đợt không.
Bảo toàn: Giữ điểm, cấu hình và đối tượng không đích theo expected; chỉ thay phần thủ tục yêu cầu, không tự đổi oracle hoặc mở rộng phạm vi.</t>
        </is>
      </c>
    </row>
    <row r="818" ht="299" customHeight="1">
      <c r="A818" s="24">
        <f>HYPERLINK("#'Kiểm thử'!A"&amp;(MATCH("TC-RS-BR-015 / Base",'Kiểm thử'!$A$5:$A$573,0)+4),"TC-RS-BR-015 / Base")</f>
        <v/>
      </c>
      <c r="B818" s="18" t="inlineStr">
        <is>
          <t>Điều kiện / thao tác</t>
        </is>
      </c>
      <c r="C818" s="18" t="inlineStr">
        <is>
          <t>Cấu hình: quy tắc “Cố định 30” (dưới 30); S03 sửa thành 32 và đã xét →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Toàn bộ thủ tục theo đúng thứ tự; các đối chứng cùng fixture được kiểm trong cùng lượt, không bỏ bước
Thao tác: 1. Đổi ngưỡng thành 35 `&lt;`, lưu.
2. Xem ba đầu ra.
3. Đổi thứ tự quy tắc/đổi nguồn (nếu có), lưu, xem lại.
4. Chỉ đổi dấu (`&lt;35` → `≤35`), lưu, xem lại. Nếu công thức thuộc đợt phát hành: chỉ đổi công thức của một quy tắc công thức, lưu, xem lại.
5. Chạy lại (đăng ký lại điểm S03 hoặc nút cam), xem ba đầu ra.</t>
        </is>
      </c>
    </row>
    <row r="819" ht="214" customHeight="1">
      <c r="A819" s="24">
        <f>HYPERLINK("#'Kiểm thử'!A"&amp;(MATCH("TC-RS-BR-015 / Base",'Kiểm thử'!$A$5:$A$573,0)+4),"TC-RS-BR-015 / Base")</f>
        <v/>
      </c>
      <c r="B819" s="18" t="inlineStr">
        <is>
          <t>Điều kiện / thao tác</t>
        </is>
      </c>
      <c r="C819"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20" ht="129" customHeight="1">
      <c r="A820" s="24">
        <f>HYPERLINK("#'Kiểm thử'!A"&amp;(MATCH("TC-RS-BR-015 / Base",'Kiểm thử'!$A$5:$A$573,0)+4),"TC-RS-BR-015 / Base")</f>
        <v/>
      </c>
      <c r="B820" s="18" t="inlineStr">
        <is>
          <t>Kết quả mong đợi</t>
        </is>
      </c>
      <c r="C820" s="18" t="inlineStr">
        <is>
          <t>1. Sau lưu: không báo "đã cập nhật điểm đỏ học sinh"; có hướng dẫn chạy lại.
2–4. S03 vẫn Không đỏ theo kết quả trước; hiệu ứng hiển thị trước đó giữ nguyên.
5. Sau chạy lại thành công: S03 Đỏ.
Bảo toàn: Giữ điểm, cấu hình và đối tượng không đích theo expected; chỉ thay phần thủ tục yêu cầu, không tự đổi oracle hoặc mở rộng phạm vi.</t>
        </is>
      </c>
    </row>
    <row r="821" ht="299" customHeight="1">
      <c r="A821" s="24">
        <f>HYPERLINK("#'Kiểm thử'!A"&amp;(MATCH("TC-RS-BR-016 / Base",'Kiểm thử'!$A$5:$A$573,0)+4),"TC-RS-BR-016 / Base")</f>
        <v/>
      </c>
      <c r="B821" s="18" t="inlineStr">
        <is>
          <t>Điều kiện / thao tác</t>
        </is>
      </c>
      <c r="C821" s="18" t="inlineStr">
        <is>
          <t>Cấu hình: quy tắc “Cố định 30” (dưới 30); S01=29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 (điểm 29)
Toàn bộ thủ tục theo đúng thứ tự; các đối chứng cùng fixture được kiểm trong cùng lượt, không bỏ bước
Thao tác: 1. Sửa S01 thành 40, lưu thành công.
2. Xem ba đầu ra ngay sau đó.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822" ht="129" customHeight="1">
      <c r="A822" s="24">
        <f>HYPERLINK("#'Kiểm thử'!A"&amp;(MATCH("TC-RS-BR-016 / Base",'Kiểm thử'!$A$5:$A$573,0)+4),"TC-RS-BR-016 / Base")</f>
        <v/>
      </c>
      <c r="B822" s="18" t="inlineStr">
        <is>
          <t>Điều kiện / thao tác</t>
        </is>
      </c>
      <c r="C822"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23" ht="44" customHeight="1">
      <c r="A823" s="24">
        <f>HYPERLINK("#'Kiểm thử'!A"&amp;(MATCH("TC-RS-BR-017 / invalid-M",'Kiểm thử'!$A$5:$A$573,0)+4),"TC-RS-BR-017 / invalid-M")</f>
        <v/>
      </c>
      <c r="B823" s="18" t="inlineStr">
        <is>
          <t>Màn hình / chức năng</t>
        </is>
      </c>
      <c r="C823" s="18" t="inlineStr">
        <is>
          <t>Thời điểm xét và vòng đời kết quả — Vòng đời kết quả
Chạy lại không tạo được ngưỡng hợp lệ → Chưa xét được, ngừng kết quả cũ, giữ điểm</t>
        </is>
      </c>
    </row>
    <row r="824" ht="299" customHeight="1">
      <c r="A824" s="24">
        <f>HYPERLINK("#'Kiểm thử'!A"&amp;(MATCH("TC-RS-BR-017 / invalid-M",'Kiểm thử'!$A$5:$A$573,0)+4),"TC-RS-BR-017 / invalid-M")</f>
        <v/>
      </c>
      <c r="B824" s="18" t="inlineStr">
        <is>
          <t>Điều kiện / thao tác</t>
        </is>
      </c>
      <c r="C824" s="18" t="inlineStr">
        <is>
          <t>Cấu hình: Ô S01=29 Đỏ theo công thức `A×0.5` (nguồn bản tổng hợp mới nhất chưa chốt (trung bình 62)).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không hợp lệ, quy tắc công thức 100 ÷ trung bình, bản tổng hợp mới nhất chưa chốt (trung bình 62); học sinh S01 (điểm 29), nguồn chưa có kết quả tổng hợp
Nhánh invalid-M trong thủ tục và Expected của case; thực hiện các bước chuẩn bị chung trước nhánh
Thao tác: 1. Từ baseline độc lập, xác nhận S01=29 đang Đỏ; tạo biến thể (a) bằng cách đổi nguồn sang nguồn chưa có kết quả tổng hợp (không có tổng hợp), lưu, chạy lại.
2. Khôi phục/rebuild baseline S01=29 Đỏ; tạo biến thể (b) bằng quy tắc tỷ lệ với M không hợp lệ (mục có M không hợp lệ), rồi chạy lại.</t>
        </is>
      </c>
    </row>
    <row r="825" ht="265" customHeight="1">
      <c r="A825" s="24">
        <f>HYPERLINK("#'Kiểm thử'!A"&amp;(MATCH("TC-RS-BR-017 / invalid-M",'Kiểm thử'!$A$5:$A$573,0)+4),"TC-RS-BR-017 / invalid-M")</f>
        <v/>
      </c>
      <c r="B825" s="18" t="inlineStr">
        <is>
          <t>Điều kiện / thao tác</t>
        </is>
      </c>
      <c r="C825" s="18" t="inlineStr">
        <is>
          <t xml:space="preserve">
3. Khôi phục/rebuild baseline S01=29 Đỏ; tạo biến thể (c) bằng quy tắc công thức 100 ÷ trung bình với `A=0`, rồi chạy lại.
4. Sau mỗi biến thể: xem ba đầu ra và điểm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26" ht="44" customHeight="1">
      <c r="A826" s="24">
        <f>HYPERLINK("#'Kiểm thử'!A"&amp;(MATCH("TC-RS-BR-017 / missing-source",'Kiểm thử'!$A$5:$A$573,0)+4),"TC-RS-BR-017 / missing-source")</f>
        <v/>
      </c>
      <c r="B826" s="18" t="inlineStr">
        <is>
          <t>Màn hình / chức năng</t>
        </is>
      </c>
      <c r="C826" s="18" t="inlineStr">
        <is>
          <t>Thời điểm xét và vòng đời kết quả — Vòng đời kết quả
Chạy lại không tạo được ngưỡng hợp lệ → Chưa xét được, ngừng kết quả cũ, giữ điểm</t>
        </is>
      </c>
    </row>
    <row r="827" ht="299" customHeight="1">
      <c r="A827" s="24">
        <f>HYPERLINK("#'Kiểm thử'!A"&amp;(MATCH("TC-RS-BR-017 / missing-source",'Kiểm thử'!$A$5:$A$573,0)+4),"TC-RS-BR-017 / missing-source")</f>
        <v/>
      </c>
      <c r="B827" s="18" t="inlineStr">
        <is>
          <t>Điều kiện / thao tác</t>
        </is>
      </c>
      <c r="C827" s="18" t="inlineStr">
        <is>
          <t>Cấu hình: Ô S01=29 Đỏ theo công thức `A×0.5` (nguồn bản tổng hợp mới nhất chưa chốt (trung bình 62)).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không hợp lệ, quy tắc công thức 100 ÷ trung bình, bản tổng hợp mới nhất chưa chốt (trung bình 62); học sinh S01 (điểm 29), nguồn chưa có kết quả tổng hợp
Nhánh missing-source trong thủ tục và Expected của case; thực hiện các bước chuẩn bị chung trước nhánh
Thao tác: 1. Từ baseline độc lập, xác nhận S01=29 đang Đỏ; tạo biến thể (a) bằng cách đổi nguồn sang nguồn chưa có kết quả tổng hợp (không có tổng hợp), lưu, chạy lại.
2. Khôi phục/rebuild baseline S01=29 Đỏ; tạo biến thể (b) bằng quy tắc tỷ lệ với M không hợp lệ (mục có M không hợp lệ), rồi chạy lại.</t>
        </is>
      </c>
    </row>
    <row r="828" ht="265" customHeight="1">
      <c r="A828" s="24">
        <f>HYPERLINK("#'Kiểm thử'!A"&amp;(MATCH("TC-RS-BR-017 / missing-source",'Kiểm thử'!$A$5:$A$573,0)+4),"TC-RS-BR-017 / missing-source")</f>
        <v/>
      </c>
      <c r="B828" s="18" t="inlineStr">
        <is>
          <t>Điều kiện / thao tác</t>
        </is>
      </c>
      <c r="C828" s="18" t="inlineStr">
        <is>
          <t xml:space="preserve">
3. Khôi phục/rebuild baseline S01=29 Đỏ; tạo biến thể (c) bằng quy tắc công thức 100 ÷ trung bình với `A=0`, rồi chạy lại.
4. Sau mỗi biến thể: xem ba đầu ra và điểm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29" ht="44" customHeight="1">
      <c r="A829" s="24">
        <f>HYPERLINK("#'Kiểm thử'!A"&amp;(MATCH("TC-RS-BR-017 / invalid-formula",'Kiểm thử'!$A$5:$A$573,0)+4),"TC-RS-BR-017 / invalid-formula")</f>
        <v/>
      </c>
      <c r="B829" s="18" t="inlineStr">
        <is>
          <t>Màn hình / chức năng</t>
        </is>
      </c>
      <c r="C829" s="18" t="inlineStr">
        <is>
          <t>Thời điểm xét và vòng đời kết quả — Vòng đời kết quả
Chạy lại không tạo được ngưỡng hợp lệ → Chưa xét được, ngừng kết quả cũ, giữ điểm</t>
        </is>
      </c>
    </row>
    <row r="830" ht="299" customHeight="1">
      <c r="A830" s="24">
        <f>HYPERLINK("#'Kiểm thử'!A"&amp;(MATCH("TC-RS-BR-017 / invalid-formula",'Kiểm thử'!$A$5:$A$573,0)+4),"TC-RS-BR-017 / invalid-formula")</f>
        <v/>
      </c>
      <c r="B830" s="18" t="inlineStr">
        <is>
          <t>Điều kiện / thao tác</t>
        </is>
      </c>
      <c r="C830" s="18" t="inlineStr">
        <is>
          <t>Cấu hình: Ô S01=29 Đỏ theo công thức `A×0.5` (nguồn bản tổng hợp mới nhất chưa chốt (trung bình 62)).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không hợp lệ, quy tắc công thức 100 ÷ trung bình, bản tổng hợp mới nhất chưa chốt (trung bình 62); học sinh S01 (điểm 29), nguồn chưa có kết quả tổng hợp
Nhánh invalid-formula trong thủ tục và Expected của case; thực hiện các bước chuẩn bị chung trước nhánh
Thao tác: 1. Từ baseline độc lập, xác nhận S01=29 đang Đỏ; tạo biến thể (a) bằng cách đổi nguồn sang nguồn chưa có kết quả tổng hợp (không có tổng hợp), lưu, chạy lại.
2. Khôi phục/rebuild baseline S01=29 Đỏ; tạo biến thể (b) bằng quy tắc tỷ lệ với M không hợp lệ (mục có M không hợp lệ), rồi chạy lại.</t>
        </is>
      </c>
    </row>
    <row r="831" ht="265" customHeight="1">
      <c r="A831" s="24">
        <f>HYPERLINK("#'Kiểm thử'!A"&amp;(MATCH("TC-RS-BR-017 / invalid-formula",'Kiểm thử'!$A$5:$A$573,0)+4),"TC-RS-BR-017 / invalid-formula")</f>
        <v/>
      </c>
      <c r="B831" s="18" t="inlineStr">
        <is>
          <t>Điều kiện / thao tác</t>
        </is>
      </c>
      <c r="C831" s="18" t="inlineStr">
        <is>
          <t xml:space="preserve">
3. Khôi phục/rebuild baseline S01=29 Đỏ; tạo biến thể (c) bằng quy tắc công thức 100 ÷ trung bình với `A=0`, rồi chạy lại.
4. Sau mỗi biến thể: xem ba đầu ra và điểm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32" ht="44" customHeight="1">
      <c r="A832" s="24">
        <f>HYPERLINK("#'Kiểm thử'!A"&amp;(MATCH("TC-RS-BR-018 / Base",'Kiểm thử'!$A$5:$A$573,0)+4),"TC-RS-BR-018 / Base")</f>
        <v/>
      </c>
      <c r="B832" s="18" t="inlineStr">
        <is>
          <t>Màn hình / chức năng</t>
        </is>
      </c>
      <c r="C832" s="18" t="inlineStr">
        <is>
          <t>Thời điểm xét và vòng đời kết quả — Vòng đời kết quả
Đổi phạm vi làm ô không còn quy tắc áp dụng: giữ khi chưa chạy; chạy lại → Không áp dụng</t>
        </is>
      </c>
    </row>
    <row r="833" ht="299" customHeight="1">
      <c r="A833" s="24">
        <f>HYPERLINK("#'Kiểm thử'!A"&amp;(MATCH("TC-RS-BR-018 / Base",'Kiểm thử'!$A$5:$A$573,0)+4),"TC-RS-BR-018 / Base")</f>
        <v/>
      </c>
      <c r="B833" s="18" t="inlineStr">
        <is>
          <t>Điều kiện / thao tác</t>
        </is>
      </c>
      <c r="C833" s="18" t="inlineStr">
        <is>
          <t>Cấu hình: Quy tắc lọc lớp G-A; S01 (G-A) = 29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Toàn bộ thủ tục theo đúng thứ tự; các đối chứng cùng fixture được kiểm trong cùng lượt, không bỏ bước
Thao tác: 1. Đổi bộ lọc sang lớp G-B, lưu. Xem đầu ra.
2. Chạy lại. Xem đầu 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834" ht="129" customHeight="1">
      <c r="A834" s="24">
        <f>HYPERLINK("#'Kiểm thử'!A"&amp;(MATCH("TC-RS-BR-018 / Base",'Kiểm thử'!$A$5:$A$573,0)+4),"TC-RS-BR-018 / Base")</f>
        <v/>
      </c>
      <c r="B834" s="18" t="inlineStr">
        <is>
          <t>Điều kiện / thao tác</t>
        </is>
      </c>
      <c r="C834"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35" ht="44" customHeight="1">
      <c r="A835" s="24">
        <f>HYPERLINK("#'Kiểm thử'!A"&amp;(MATCH("TC-RS-BR-019 / registration",'Kiểm thử'!$A$5:$A$573,0)+4),"TC-RS-BR-019 / registration")</f>
        <v/>
      </c>
      <c r="B835" s="18" t="inlineStr">
        <is>
          <t>Màn hình / chức năng</t>
        </is>
      </c>
      <c r="C835" s="18" t="inlineStr">
        <is>
          <t>Thời điểm xét và vòng đời kết quả — Vòng đời kết quả
Xóa quy tắc cuối: giữ kết quả tới lần chạy lại; chạy lại → Không áp dụng</t>
        </is>
      </c>
    </row>
    <row r="836" ht="299" customHeight="1">
      <c r="A836" s="24">
        <f>HYPERLINK("#'Kiểm thử'!A"&amp;(MATCH("TC-RS-BR-019 / registration",'Kiểm thử'!$A$5:$A$573,0)+4),"TC-RS-BR-019 / registration")</f>
        <v/>
      </c>
      <c r="B836" s="18" t="inlineStr">
        <is>
          <t>Điều kiện / thao tác</t>
        </is>
      </c>
      <c r="C836" s="18" t="inlineStr">
        <is>
          <t>Cấu hình: mục số nguyên (M=100) chỉ có quy tắc “Cố định 30” (dưới 30); S01=29 Đỏ. Trích xuất cấu hình trích xuất: lọc, ký hiệu “*” phía trước, tô màu, công khai `*` trước, phiếu cấu hình phiếu điểm: ký tự “※” phía trước đã cấu hình.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cấu hình trích xuất: lọc, ký hiệu “*” phía trước, tô màu, cấu hình công khai: “*” phía trước, cấu hình phiếu điểm: ký tự “※” phía trước
Chạy lại bằng đăng ký điểm
Thao tác: 1. Xóa quy tắc “Cố định 30” (dưới 30) (quy tắc cuối).
2. Xem ba đầu ra.
3. Chạy lại bằng đăng ký điểm lớp G-A hoặc chạy hàng loạt.</t>
        </is>
      </c>
    </row>
    <row r="837" ht="231" customHeight="1">
      <c r="A837" s="24">
        <f>HYPERLINK("#'Kiểm thử'!A"&amp;(MATCH("TC-RS-BR-019 / registration",'Kiểm thử'!$A$5:$A$573,0)+4),"TC-RS-BR-019 / registration")</f>
        <v/>
      </c>
      <c r="B837" s="18" t="inlineStr">
        <is>
          <t>Điều kiện / thao tác</t>
        </is>
      </c>
      <c r="C837" s="18" t="inlineStr">
        <is>
          <t xml:space="preserve">
4. Xem ba đầu ra và cấu hình trình bày đầu 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38" ht="112" customHeight="1">
      <c r="A838" s="24">
        <f>HYPERLINK("#'Kiểm thử'!A"&amp;(MATCH("TC-RS-BR-019 / registration",'Kiểm thử'!$A$5:$A$573,0)+4),"TC-RS-BR-019 / registration")</f>
        <v/>
      </c>
      <c r="B838" s="18" t="inlineStr">
        <is>
          <t>Kết quả mong đợi</t>
        </is>
      </c>
      <c r="C838" s="18" t="inlineStr">
        <is>
          <t>1–2. Danh sách rỗng nhưng S01 vẫn hiện dấu đỏ/thỏa lọc ở ba đầu ra.
3–4. Lần chạy xét cả mục đã hết quy tắc: S01 Không áp dụng, ngừng dấu/lọc; điểm giữ nguyên. Cấu hình trình bày đỏ đã lưu ở đầu ra không bị xóa như tác dụng phụ.
Bảo toàn: Giữ điểm, cấu hình và đối tượng không đích theo expected; chỉ thay phần thủ tục yêu cầu, không tự đổi oracle hoặc mở rộng phạm vi.</t>
        </is>
      </c>
    </row>
    <row r="839" ht="44" customHeight="1">
      <c r="A839" s="24">
        <f>HYPERLINK("#'Kiểm thử'!A"&amp;(MATCH("TC-RS-BR-019 / batch",'Kiểm thử'!$A$5:$A$573,0)+4),"TC-RS-BR-019 / batch")</f>
        <v/>
      </c>
      <c r="B839" s="18" t="inlineStr">
        <is>
          <t>Màn hình / chức năng</t>
        </is>
      </c>
      <c r="C839" s="18" t="inlineStr">
        <is>
          <t>Thời điểm xét và vòng đời kết quả — Vòng đời kết quả
Xóa quy tắc cuối: giữ kết quả tới lần chạy lại; chạy lại → Không áp dụng</t>
        </is>
      </c>
    </row>
    <row r="840" ht="299" customHeight="1">
      <c r="A840" s="24">
        <f>HYPERLINK("#'Kiểm thử'!A"&amp;(MATCH("TC-RS-BR-019 / batch",'Kiểm thử'!$A$5:$A$573,0)+4),"TC-RS-BR-019 / batch")</f>
        <v/>
      </c>
      <c r="B840" s="18" t="inlineStr">
        <is>
          <t>Điều kiện / thao tác</t>
        </is>
      </c>
      <c r="C840" s="18" t="inlineStr">
        <is>
          <t>Cấu hình: mục số nguyên (M=100) chỉ có quy tắc “Cố định 30” (dưới 30); S01=29 Đỏ. Trích xuất cấu hình trích xuất: lọc, ký hiệu “*” phía trước, tô màu, công khai `*` trước, phiếu cấu hình phiếu điểm: ký tự “※” phía trước đã cấu hình.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cấu hình trích xuất: lọc, ký hiệu “*” phía trước, tô màu, cấu hình công khai: “*” phía trước, cấu hình phiếu điểm: ký tự “※” phía trước
Chạy lại bằng nút cam, reset baseline trước lượt này
Thao tác: 1. Xóa quy tắc “Cố định 30” (dưới 30) (quy tắc cuối).
2. Xem ba đầu ra.
3. Chạy lại bằng đăng ký điểm lớp G-A hoặc chạy hàng loạt.</t>
        </is>
      </c>
    </row>
    <row r="841" ht="231" customHeight="1">
      <c r="A841" s="24">
        <f>HYPERLINK("#'Kiểm thử'!A"&amp;(MATCH("TC-RS-BR-019 / batch",'Kiểm thử'!$A$5:$A$573,0)+4),"TC-RS-BR-019 / batch")</f>
        <v/>
      </c>
      <c r="B841" s="18" t="inlineStr">
        <is>
          <t>Điều kiện / thao tác</t>
        </is>
      </c>
      <c r="C841" s="18" t="inlineStr">
        <is>
          <t xml:space="preserve">
4. Xem ba đầu ra và cấu hình trình bày đầu 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42" ht="112" customHeight="1">
      <c r="A842" s="24">
        <f>HYPERLINK("#'Kiểm thử'!A"&amp;(MATCH("TC-RS-BR-019 / batch",'Kiểm thử'!$A$5:$A$573,0)+4),"TC-RS-BR-019 / batch")</f>
        <v/>
      </c>
      <c r="B842" s="18" t="inlineStr">
        <is>
          <t>Kết quả mong đợi</t>
        </is>
      </c>
      <c r="C842" s="18" t="inlineStr">
        <is>
          <t>1–2. Danh sách rỗng nhưng S01 vẫn hiện dấu đỏ/thỏa lọc ở ba đầu ra.
3–4. Lần chạy xét cả mục đã hết quy tắc: S01 Không áp dụng, ngừng dấu/lọc; điểm giữ nguyên. Cấu hình trình bày đỏ đã lưu ở đầu ra không bị xóa như tác dụng phụ.
Bảo toàn: Giữ điểm, cấu hình và đối tượng không đích theo expected; chỉ thay phần thủ tục yêu cầu, không tự đổi oracle hoặc mở rộng phạm vi.</t>
        </is>
      </c>
    </row>
    <row r="843" ht="299" customHeight="1">
      <c r="A843" s="24">
        <f>HYPERLINK("#'Kiểm thử'!A"&amp;(MATCH("TC-RS-BR-020 / Base",'Kiểm thử'!$A$5:$A$573,0)+4),"TC-RS-BR-020 / Base")</f>
        <v/>
      </c>
      <c r="B843" s="18" t="inlineStr">
        <is>
          <t>Điều kiện / thao tác</t>
        </is>
      </c>
      <c r="C843" s="18" t="inlineStr">
        <is>
          <t>Cấu hình: S01=29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cấu hình trích xuất: lọc, ký hiệu “*” phía trước, tô màu
Toàn bộ thủ tục theo đúng thứ tự; các đối chứng cùng fixture được kiểm trong cùng lượt, không bỏ bước
Thao tác: 1. Xóa điểm S01 thành trống, lưu.
2. Xem ba đầu ra, chạy trích xuất có lọc đỏ.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844" ht="129" customHeight="1">
      <c r="A844" s="24">
        <f>HYPERLINK("#'Kiểm thử'!A"&amp;(MATCH("TC-RS-BR-020 / Base",'Kiểm thử'!$A$5:$A$573,0)+4),"TC-RS-BR-020 / Base")</f>
        <v/>
      </c>
      <c r="B844" s="18" t="inlineStr">
        <is>
          <t>Điều kiện / thao tác</t>
        </is>
      </c>
      <c r="C844"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45" ht="299" customHeight="1">
      <c r="A845" s="24">
        <f>HYPERLINK("#'Kiểm thử'!A"&amp;(MATCH("TC-RS-BR-021 / Base",'Kiểm thử'!$A$5:$A$573,0)+4),"TC-RS-BR-021 / Base")</f>
        <v/>
      </c>
      <c r="B845" s="18" t="inlineStr">
        <is>
          <t>Điều kiện / thao tác</t>
        </is>
      </c>
      <c r="C845" s="18" t="inlineStr">
        <is>
          <t xml:space="preserve">Cấu hình: Công thức `A×0.5`, `A=50` → `T=25`; học sinh điểm 24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bản tổng hợp mới nhất chưa chốt (trung bình 62)
Toàn bộ thủ tục theo đúng thứ tự; các đối chứng cùng fixture được kiểm trong cùng lượt, không bỏ bước
Thao tác: 1. Sửa điểm nhóm để trung bình mới là 40, bấm Thực hiện tổng hợp（集計実行）.
2. Xem kết quả học sinh 24.
3. Bấm Thực hiện tính toán tự động（自動算出実行）, xem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846" ht="146" customHeight="1">
      <c r="A846" s="24">
        <f>HYPERLINK("#'Kiểm thử'!A"&amp;(MATCH("TC-RS-BR-021 / Base",'Kiểm thử'!$A$5:$A$573,0)+4),"TC-RS-BR-021 / Base")</f>
        <v/>
      </c>
      <c r="B846" s="18" t="inlineStr">
        <is>
          <t>Điều kiện / thao tác</t>
        </is>
      </c>
      <c r="C84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47" ht="44" customHeight="1">
      <c r="A847" s="24">
        <f>HYPERLINK("#'Kiểm thử'!A"&amp;(MATCH("TC-RS-BR-022 / Base",'Kiểm thử'!$A$5:$A$573,0)+4),"TC-RS-BR-022 / Base")</f>
        <v/>
      </c>
      <c r="B847" s="18" t="inlineStr">
        <is>
          <t>Màn hình / chức năng</t>
        </is>
      </c>
      <c r="C847" s="18" t="inlineStr">
        <is>
          <t>Thời điểm xét và vòng đời kết quả — Vòng đời kết quả
Đổi M ở Thiết lập điểm tối đa（満点設定） hoặc Giá trị tối đa（最大値） không tự xét lại</t>
        </is>
      </c>
    </row>
    <row r="848" ht="299" customHeight="1">
      <c r="A848" s="24">
        <f>HYPERLINK("#'Kiểm thử'!A"&amp;(MATCH("TC-RS-BR-022 / Base",'Kiểm thử'!$A$5:$A$573,0)+4),"TC-RS-BR-022 / Base")</f>
        <v/>
      </c>
      <c r="B848" s="18" t="inlineStr">
        <is>
          <t>Điều kiện / thao tác</t>
        </is>
      </c>
      <c r="C848" s="18" t="inlineStr">
        <is>
          <t>Cấu hình: mục số nguyên (M=100) có quy tắc tỷ lệ 30% (30%); S03 = 31, `M=100` → `T=30` →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tỷ lệ 30%
Toàn bộ thủ tục theo đúng thứ tự; các đối chứng cùng fixture được kiểm trong cùng lượt, không bỏ bước
Thao tác: 1. Sửa Giá trị tối đa（最大値） của mục số nguyên (M=100) ở Thiết lập ô nhập（入力欄設定） thành 200, lưu. Xem kết quả.
2. Lưu một định nghĩa lựa chọn ở Thiết lập điểm tối đa（満点設定） (`/admin/grade_report_setting/manage/detail/option/register/change_max_score`) (chưa gán cho lớp). Xem kết quả.
3. Đăng ký lại điểm S03. Xem kết quả.</t>
        </is>
      </c>
    </row>
    <row r="849" ht="214" customHeight="1">
      <c r="A849" s="24">
        <f>HYPERLINK("#'Kiểm thử'!A"&amp;(MATCH("TC-RS-BR-022 / Base",'Kiểm thử'!$A$5:$A$573,0)+4),"TC-RS-BR-022 / Base")</f>
        <v/>
      </c>
      <c r="B849" s="18" t="inlineStr">
        <is>
          <t>Điều kiện / thao tác</t>
        </is>
      </c>
      <c r="C849"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50" ht="299" customHeight="1">
      <c r="A850" s="24">
        <f>HYPERLINK("#'Kiểm thử'!A"&amp;(MATCH("TC-RS-BR-023 / Base",'Kiểm thử'!$A$5:$A$573,0)+4),"TC-RS-BR-023 / Base")</f>
        <v/>
      </c>
      <c r="B850" s="18" t="inlineStr">
        <is>
          <t>Điều kiện / thao tác</t>
        </is>
      </c>
      <c r="C850" s="18" t="inlineStr">
        <is>
          <t xml:space="preserve">Cấu hình: quy tắc “Cố định 30” (dưới 30) vừa đổi từ 30 thành 35 và lưu; S03=32 Không đỏ (kết quả trước).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Toàn bộ thủ tục theo đúng thứ tự; các đối chứng cùng fixture được kiểm trong cùng lượt, không bỏ bước
Thao tác: 1. Bấm Thực hiện tổng hợp（集計実行）, chờ hoàn tất.
2. Xem kết quả S03.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851" ht="146" customHeight="1">
      <c r="A851" s="24">
        <f>HYPERLINK("#'Kiểm thử'!A"&amp;(MATCH("TC-RS-BR-023 / Base",'Kiểm thử'!$A$5:$A$573,0)+4),"TC-RS-BR-023 / Base")</f>
        <v/>
      </c>
      <c r="B851" s="18" t="inlineStr">
        <is>
          <t>Điều kiện / thao tác</t>
        </is>
      </c>
      <c r="C851"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52" ht="299" customHeight="1">
      <c r="A852" s="24">
        <f>HYPERLINK("#'Kiểm thử'!A"&amp;(MATCH("TC-RS-BR-024 / extract",'Kiểm thử'!$A$5:$A$573,0)+4),"TC-RS-BR-024 / extract")</f>
        <v/>
      </c>
      <c r="B852" s="18" t="inlineStr">
        <is>
          <t>Điều kiện / thao tác</t>
        </is>
      </c>
      <c r="C852" s="18" t="inlineStr">
        <is>
          <t>Cấu hình: Như case “Lưu cấu hình không xét; kết quả trước giữ tới lần chạy lại” bước 1 (đã lưu `&lt;35`, chưa chạy lại; S03=32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Trích xuất màn
Thao tác: 1. Chạy trích xuất, xuất Excel.
2. Mở màn công khai học sinh, tải PDF công khai.
3. Xuất PDF phiếu.
Khôi phục: Trước mỗi biến thể, dựng lại điều kiện/dữ liệu đầu của case bằng đường được phép; giữ các reset/fixture độc lập đã nêu trong thủ tục.</t>
        </is>
      </c>
    </row>
    <row r="853" ht="180" customHeight="1">
      <c r="A853" s="24">
        <f>HYPERLINK("#'Kiểm thử'!A"&amp;(MATCH("TC-RS-BR-024 / extract",'Kiểm thử'!$A$5:$A$573,0)+4),"TC-RS-BR-024 / extract")</f>
        <v/>
      </c>
      <c r="B853" s="18" t="inlineStr">
        <is>
          <t>Điều kiện / thao tác</t>
        </is>
      </c>
      <c r="C853"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54" ht="299" customHeight="1">
      <c r="A854" s="24">
        <f>HYPERLINK("#'Kiểm thử'!A"&amp;(MATCH("TC-RS-BR-024 / excel",'Kiểm thử'!$A$5:$A$573,0)+4),"TC-RS-BR-024 / excel")</f>
        <v/>
      </c>
      <c r="B854" s="18" t="inlineStr">
        <is>
          <t>Điều kiện / thao tác</t>
        </is>
      </c>
      <c r="C854" s="18" t="inlineStr">
        <is>
          <t>Cấu hình: Như case “Lưu cấu hình không xét; kết quả trước giữ tới lần chạy lại” bước 1 (đã lưu `&lt;35`, chưa chạy lại; S03=32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File Excel
Thao tác: 1. Chạy trích xuất, xuất Excel.
2. Mở màn công khai học sinh, tải PDF công khai.
3. Xuất PDF phiếu.
Khôi phục: Trước mỗi biến thể, dựng lại điều kiện/dữ liệu đầu của case bằng đường được phép; giữ các reset/fixture độc lập đã nêu trong thủ tục.</t>
        </is>
      </c>
    </row>
    <row r="855" ht="180" customHeight="1">
      <c r="A855" s="24">
        <f>HYPERLINK("#'Kiểm thử'!A"&amp;(MATCH("TC-RS-BR-024 / excel",'Kiểm thử'!$A$5:$A$573,0)+4),"TC-RS-BR-024 / excel")</f>
        <v/>
      </c>
      <c r="B855" s="18" t="inlineStr">
        <is>
          <t>Điều kiện / thao tác</t>
        </is>
      </c>
      <c r="C855"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56" ht="299" customHeight="1">
      <c r="A856" s="24">
        <f>HYPERLINK("#'Kiểm thử'!A"&amp;(MATCH("TC-RS-BR-024 / publish-web",'Kiểm thử'!$A$5:$A$573,0)+4),"TC-RS-BR-024 / publish-web")</f>
        <v/>
      </c>
      <c r="B856" s="18" t="inlineStr">
        <is>
          <t>Điều kiện / thao tác</t>
        </is>
      </c>
      <c r="C856" s="18" t="inlineStr">
        <is>
          <t>Cấu hình: Như case “Lưu cấu hình không xét; kết quả trước giữ tới lần chạy lại” bước 1 (đã lưu `&lt;35`, chưa chạy lại; S03=32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Màn công khai
Thao tác: 1. Chạy trích xuất, xuất Excel.
2. Mở màn công khai học sinh, tải PDF công khai.
3. Xuất PDF phiếu.
Khôi phục: Trước mỗi biến thể, dựng lại điều kiện/dữ liệu đầu của case bằng đường được phép; giữ các reset/fixture độc lập đã nêu trong thủ tục.</t>
        </is>
      </c>
    </row>
    <row r="857" ht="180" customHeight="1">
      <c r="A857" s="24">
        <f>HYPERLINK("#'Kiểm thử'!A"&amp;(MATCH("TC-RS-BR-024 / publish-web",'Kiểm thử'!$A$5:$A$573,0)+4),"TC-RS-BR-024 / publish-web")</f>
        <v/>
      </c>
      <c r="B857" s="18" t="inlineStr">
        <is>
          <t>Điều kiện / thao tác</t>
        </is>
      </c>
      <c r="C857"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58" ht="299" customHeight="1">
      <c r="A858" s="24">
        <f>HYPERLINK("#'Kiểm thử'!A"&amp;(MATCH("TC-RS-BR-024 / publish-pdf",'Kiểm thử'!$A$5:$A$573,0)+4),"TC-RS-BR-024 / publish-pdf")</f>
        <v/>
      </c>
      <c r="B858" s="18" t="inlineStr">
        <is>
          <t>Điều kiện / thao tác</t>
        </is>
      </c>
      <c r="C858" s="18" t="inlineStr">
        <is>
          <t>Cấu hình: Như case “Lưu cấu hình không xét; kết quả trước giữ tới lần chạy lại” bước 1 (đã lưu `&lt;35`, chưa chạy lại; S03=32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PDF công khai
Thao tác: 1. Chạy trích xuất, xuất Excel.
2. Mở màn công khai học sinh, tải PDF công khai.
3. Xuất PDF phiếu.
Khôi phục: Trước mỗi biến thể, dựng lại điều kiện/dữ liệu đầu của case bằng đường được phép; giữ các reset/fixture độc lập đã nêu trong thủ tục.</t>
        </is>
      </c>
    </row>
    <row r="859" ht="180" customHeight="1">
      <c r="A859" s="24">
        <f>HYPERLINK("#'Kiểm thử'!A"&amp;(MATCH("TC-RS-BR-024 / publish-pdf",'Kiểm thử'!$A$5:$A$573,0)+4),"TC-RS-BR-024 / publish-pdf")</f>
        <v/>
      </c>
      <c r="B859" s="18" t="inlineStr">
        <is>
          <t>Điều kiện / thao tác</t>
        </is>
      </c>
      <c r="C859"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60" ht="299" customHeight="1">
      <c r="A860" s="24">
        <f>HYPERLINK("#'Kiểm thử'!A"&amp;(MATCH("TC-RS-BR-024 / report",'Kiểm thử'!$A$5:$A$573,0)+4),"TC-RS-BR-024 / report")</f>
        <v/>
      </c>
      <c r="B860" s="18" t="inlineStr">
        <is>
          <t>Điều kiện / thao tác</t>
        </is>
      </c>
      <c r="C860" s="18" t="inlineStr">
        <is>
          <t>Cấu hình: Như case “Lưu cấu hình không xét; kết quả trước giữ tới lần chạy lại” bước 1 (đã lưu `&lt;35`, chưa chạy lại; S03=32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Phiếu điểm
Thao tác: 1. Chạy trích xuất, xuất Excel.
2. Mở màn công khai học sinh, tải PDF công khai.
3. Xuất PDF phiếu.
Khôi phục: Trước mỗi biến thể, dựng lại điều kiện/dữ liệu đầu của case bằng đường được phép; giữ các reset/fixture độc lập đã nêu trong thủ tục.</t>
        </is>
      </c>
    </row>
    <row r="861" ht="180" customHeight="1">
      <c r="A861" s="24">
        <f>HYPERLINK("#'Kiểm thử'!A"&amp;(MATCH("TC-RS-BR-024 / report",'Kiểm thử'!$A$5:$A$573,0)+4),"TC-RS-BR-024 / report")</f>
        <v/>
      </c>
      <c r="B861" s="18" t="inlineStr">
        <is>
          <t>Điều kiện / thao tác</t>
        </is>
      </c>
      <c r="C861"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62" ht="299" customHeight="1">
      <c r="A862" s="24">
        <f>HYPERLINK("#'Kiểm thử'!A"&amp;(MATCH("TC-RS-BR-027 / Base",'Kiểm thử'!$A$5:$A$573,0)+4),"TC-RS-BR-027 / Base")</f>
        <v/>
      </c>
      <c r="B862" s="18" t="inlineStr">
        <is>
          <t>Điều kiện / thao tác</t>
        </is>
      </c>
      <c r="C862" s="18" t="inlineStr">
        <is>
          <t>Cấu hình: quy tắc “Cố định 30” (dưới 30); S01=29 Đỏ; trích xuất cấu hình trích xuất chỉ ký hiệu (“※” trước, “!” sau) (`※`, `!`).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 (điểm 29), cấu hình trích xuất chỉ ký hiệu (“※” trước, “!” sau)
Toàn bộ thủ tục theo đúng thứ tự; các đối chứng cùng fixture được kiểm trong cùng lượt, không bỏ bước
Thao tác: 1. Chạy nút cam 3 lần liên tiếp (chờ mỗi lần hoàn tất).
2. Xem trích xuất; SELECT số kết quả hiện hành của ô S01 (khi có schema).
Khôi phục: Trước mỗi biến thể, dựng lại điều kiện/dữ liệu đầu của case bằng đường được phép; giữ các reset/fixture độc lập đã nêu trong thủ tục.</t>
        </is>
      </c>
    </row>
    <row r="863" ht="180" customHeight="1">
      <c r="A863" s="24">
        <f>HYPERLINK("#'Kiểm thử'!A"&amp;(MATCH("TC-RS-BR-027 / Base",'Kiểm thử'!$A$5:$A$573,0)+4),"TC-RS-BR-027 / Base")</f>
        <v/>
      </c>
      <c r="B863" s="18" t="inlineStr">
        <is>
          <t>Điều kiện / thao tác</t>
        </is>
      </c>
      <c r="C863"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64" ht="299" customHeight="1">
      <c r="A864" s="24">
        <f>HYPERLINK("#'Kiểm thử'!A"&amp;(MATCH("TC-RS-BR-037 / delete-unit",'Kiểm thử'!$A$5:$A$573,0)+4),"TC-RS-BR-037 / delete-unit")</f>
        <v/>
      </c>
      <c r="B864" s="18" t="inlineStr">
        <is>
          <t>Điều kiện / thao tác</t>
        </is>
      </c>
      <c r="C864" s="18" t="inlineStr">
        <is>
          <t xml:space="preserve">Cấu hình: mục điểm đơn vị (đơn vị U1 có M riêng 40) có quy tắc “Cố định 30” (dưới 30). S06 (G-B): U1 = 25, U2 = 35 đã đăng ký; U1 đang Đỏ, U2 Không đỏ (như case “Ô điểm đơn vị được xét riêng theo từng đơn vị”).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quy tắc “Cố định 30” (dưới 30); các lớp học phần G-A, G-B, G-C; học sinh S06 (điểm dự kiến 24)
Nhánh delete-unit trong thủ tục và Expected của case; thực hiện các bước chuẩn bị chung trước nhánh
Thao tác: 1. Xác nhận U1 Đỏ ở ba đầu ra.
2. Biến thể (a): xóa điểm U1 của S06 thành trống rồi lưu.
3. Khôi phục/rebuild fixture U1 Đỏ, U2 Không đỏ; biến thể (b): thôi dùng đơn vị U1 cho lớp G-B </t>
        </is>
      </c>
    </row>
    <row r="865" ht="231" customHeight="1">
      <c r="A865" s="24">
        <f>HYPERLINK("#'Kiểm thử'!A"&amp;(MATCH("TC-RS-BR-037 / delete-unit",'Kiểm thử'!$A$5:$A$573,0)+4),"TC-RS-BR-037 / delete-unit")</f>
        <v/>
      </c>
      <c r="B865" s="18" t="inlineStr">
        <is>
          <t>Điều kiện / thao tác</t>
        </is>
      </c>
      <c r="C865" s="18" t="inlineStr">
        <is>
          <t>theo thao tác hiện có (nếu màn hỗ trợ), rồi đăng ký lại hoặc chạy nút cam cho G-B.
4. Xem ba đầu ra và bộ lọc đỏ của trích xuất.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66" ht="299" customHeight="1">
      <c r="A866" s="24">
        <f>HYPERLINK("#'Kiểm thử'!A"&amp;(MATCH("TC-RS-BR-037 / disable-unit",'Kiểm thử'!$A$5:$A$573,0)+4),"TC-RS-BR-037 / disable-unit")</f>
        <v/>
      </c>
      <c r="B866" s="18" t="inlineStr">
        <is>
          <t>Điều kiện / thao tác</t>
        </is>
      </c>
      <c r="C866" s="18" t="inlineStr">
        <is>
          <t xml:space="preserve">Cấu hình: mục điểm đơn vị (đơn vị U1 có M riêng 40) có quy tắc “Cố định 30” (dưới 30). S06 (G-B): U1 = 25, U2 = 35 đã đăng ký; U1 đang Đỏ, U2 Không đỏ (như case “Ô điểm đơn vị được xét riêng theo từng đơn vị”).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quy tắc “Cố định 30” (dưới 30); các lớp học phần G-A, G-B, G-C; học sinh S06 (điểm dự kiến 24)
Nhánh disable-unit trong thủ tục và Expected của case; thực hiện các bước chuẩn bị chung trước nhánh
Thao tác: 1. Xác nhận U1 Đỏ ở ba đầu ra.
2. Biến thể (a): xóa điểm U1 của S06 thành trống rồi lưu.
3. Khôi phục/rebuild fixture U1 Đỏ, U2 Không đỏ; biến thể (b): thôi dùng đơn vị U1 cho lớp G-B </t>
        </is>
      </c>
    </row>
    <row r="867" ht="231" customHeight="1">
      <c r="A867" s="24">
        <f>HYPERLINK("#'Kiểm thử'!A"&amp;(MATCH("TC-RS-BR-037 / disable-unit",'Kiểm thử'!$A$5:$A$573,0)+4),"TC-RS-BR-037 / disable-unit")</f>
        <v/>
      </c>
      <c r="B867" s="18" t="inlineStr">
        <is>
          <t>Điều kiện / thao tác</t>
        </is>
      </c>
      <c r="C867" s="18" t="inlineStr">
        <is>
          <t>theo thao tác hiện có (nếu màn hỗ trợ), rồi đăng ký lại hoặc chạy nút cam cho G-B.
4. Xem ba đầu ra và bộ lọc đỏ của trích xuất.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68" ht="299" customHeight="1">
      <c r="A868" s="24">
        <f>HYPERLINK("#'Kiểm thử'!A"&amp;(MATCH("TC-RS-ERR-012 / Base",'Kiểm thử'!$A$5:$A$573,0)+4),"TC-RS-ERR-012 / Base")</f>
        <v/>
      </c>
      <c r="B868" s="18" t="inlineStr">
        <is>
          <t>Điều kiện / thao tác</t>
        </is>
      </c>
      <c r="C868" s="18" t="inlineStr">
        <is>
          <t>Cấu hình: mục điểm đơn vị (đơn vị U1 có M riêng 40), quy tắc tỷ lệ 30% (30%); S06 U1=14 Không đỏ với M=40.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quy tắc tỷ lệ 30%; CSV gán lựa chọn M=50 cho lớp G-B
Toàn bộ thủ tục theo đúng thứ tự; các đối chứng cùng fixture được kiểm trong cùng lượt, không bỏ bước
Thao tác: 1. Nhập CSV lựa chọn điểm tối đa.
2. Xem kết quả S06 U1.
Khôi phục: Trước mỗi biến thể, dựng lại điều kiện/dữ liệu đầu của case bằng đường được phép; giữ các reset/fixture độc lập đã nêu trong thủ tục.</t>
        </is>
      </c>
    </row>
    <row r="869" ht="231" customHeight="1">
      <c r="A869" s="24">
        <f>HYPERLINK("#'Kiểm thử'!A"&amp;(MATCH("TC-RS-ERR-012 / Base",'Kiểm thử'!$A$5:$A$573,0)+4),"TC-RS-ERR-012 / Base")</f>
        <v/>
      </c>
      <c r="B869" s="18" t="inlineStr">
        <is>
          <t>Điều kiện / thao tác</t>
        </is>
      </c>
      <c r="C869"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Chờ xác nhận
Chuẩn bị: Đang chuẩn bị
Chỉ là quan sát; kỳ vọng hoặc điều kiện kiểm chưa được xác nhận.
Khoảng trống: Phần kỳ vọng chưa chốt trong bản nguồn: TBD (chưa chốt): có cần xét lại ngay (`T=15` → Đỏ) hay giữ kết quả trước tới lần chạy lại. Ghi hành vi thực tế.
TC-RS-ERR-012: giữ Awaiting decision; xác định oracle trước khi đánh giá PASS/FAIL.
Khoảng trống: Chưa có xác minh fixture, đường thực hiện và phép quan sát trên build của từng case chưa đánh giá.
Giữ Draft; chỉ chuyển Ready khi chuẩn bị và seam của đúng case đã được xác minh.</t>
        </is>
      </c>
    </row>
    <row r="870" ht="299" customHeight="1">
      <c r="A870" s="24">
        <f>HYPERLINK("#'Kiểm thử'!A"&amp;(MATCH("TC-RS-ERR-015 / recreate35",'Kiểm thử'!$A$5:$A$573,0)+4),"TC-RS-ERR-015 / recreate35")</f>
        <v/>
      </c>
      <c r="B870" s="18" t="inlineStr">
        <is>
          <t>Điều kiện / thao tác</t>
        </is>
      </c>
      <c r="C870" s="18" t="inlineStr">
        <is>
          <t>Cấu hình: S01 Đỏ ở mục điểm đơn vị (đơn vị U1 có M riêng 40) U1.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Bước 1–3 xóa rồi tạo lại 35
Thao tác: 1. Bỏ sử dụng đơn vị U1 cho lớp (hoặc thay khung điểm theo thao tác hiện có) để ô bị xóa/ngừng hoạt động.
2. Tạo lại ô, nhập 35, lưu.
3. Xem đầu ra.
4. Đưa ô về Đỏ (nhập 29, lưu). Xóa ô (hoặc xóa mềm theo thao tác hiện có), rồi kích hoạt lại/tạo lại ô với **cùng giá trị 29** nhưng không qua đường xét (nếu có thao tác như vậy, ví dụ khôi phục); xem đầu ra. Sau đó đăng ký lại điểm và xem.</t>
        </is>
      </c>
    </row>
    <row r="871" ht="248" customHeight="1">
      <c r="A871" s="24">
        <f>HYPERLINK("#'Kiểm thử'!A"&amp;(MATCH("TC-RS-ERR-015 / recreate35",'Kiểm thử'!$A$5:$A$573,0)+4),"TC-RS-ERR-015 / recreate35")</f>
        <v/>
      </c>
      <c r="B871" s="18" t="inlineStr">
        <is>
          <t>Điều kiện / thao tác</t>
        </is>
      </c>
      <c r="C871" s="18" t="inlineStr">
        <is>
          <t xml:space="preserve">
5. Bắt đầu batch cho lớp khi ô đang Đỏ; khi batch chưa xong, xóa ô rồi tạo lại và nhập 35. Chờ batch cũ xong, xem đầu ra và SELECT.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72" ht="214" customHeight="1">
      <c r="A872" s="24">
        <f>HYPERLINK("#'Kiểm thử'!A"&amp;(MATCH("TC-RS-ERR-015 / recreate35",'Kiểm thử'!$A$5:$A$573,0)+4),"TC-RS-ERR-015 / recreate35")</f>
        <v/>
      </c>
      <c r="B872" s="18" t="inlineStr">
        <is>
          <t>Kết quả mong đợi</t>
        </is>
      </c>
      <c r="C872" s="18" t="inlineStr">
        <is>
          <t>Sau bước 1: không còn dấu đỏ của ô cũ. Sau bước 2: ô mới được xét theo 35 → Không đỏ; không mang kết quả Đỏ cũ.
4. Kích hoạt lại/nhập lại cùng giá trị không làm kết quả Đỏ trước khi xóa sống lại; ô chỉ có kết quả của lần xét sau khi tạo lại.
5. Lượt batch cũ không ghi kết quả vào ô đã tạo lại; ô giữ kết quả của lần đăng ký 35 (Không đỏ). (PROPOSED theo thiết kế DB v2 mục 4.4 “Cập nhật và hiệu lực kết quả”, mục 6.3 “Xóa/tạo lại, nguồn tham chiếu và lỗi”) Khi xóa: `cell_generation` mới, `judgment_status`=4 và thông tin quy tắc/ngưỡng/nguồn cũ bị xóa trong cùng transaction; dòng điều khiển được giữ; tạo lại dùng thế hệ mới.
Bảo toàn: Giữ điểm, cấu hình và đối tượng không đích theo expected; chỉ thay phần thủ tục yêu cầu, không tự đổi oracle hoặc mở rộng phạm vi.</t>
        </is>
      </c>
    </row>
    <row r="873" ht="299" customHeight="1">
      <c r="A873" s="24">
        <f>HYPERLINK("#'Kiểm thử'!A"&amp;(MATCH("TC-RS-ERR-015 / same29",'Kiểm thử'!$A$5:$A$573,0)+4),"TC-RS-ERR-015 / same29")</f>
        <v/>
      </c>
      <c r="B873" s="18" t="inlineStr">
        <is>
          <t>Điều kiện / thao tác</t>
        </is>
      </c>
      <c r="C873" s="18" t="inlineStr">
        <is>
          <t>Cấu hình: S01 Đỏ ở mục điểm đơn vị (đơn vị U1 có M riêng 40) U1.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Bước 4 xóa rồi khôi phục cùng 29
Thao tác: 1. Bỏ sử dụng đơn vị U1 cho lớp (hoặc thay khung điểm theo thao tác hiện có) để ô bị xóa/ngừng hoạt động.
2. Tạo lại ô, nhập 35, lưu.
3. Xem đầu ra.
4. Đưa ô về Đỏ (nhập 29, lưu). Xóa ô (hoặc xóa mềm theo thao tác hiện có), rồi kích hoạt lại/tạo lại ô với **cùng giá trị 29** nhưng không qua đường xét (nếu có thao tác như vậy, ví dụ khôi phục); xem đầu ra. Sau đó đăng ký lại điểm và xem.</t>
        </is>
      </c>
    </row>
    <row r="874" ht="248" customHeight="1">
      <c r="A874" s="24">
        <f>HYPERLINK("#'Kiểm thử'!A"&amp;(MATCH("TC-RS-ERR-015 / same29",'Kiểm thử'!$A$5:$A$573,0)+4),"TC-RS-ERR-015 / same29")</f>
        <v/>
      </c>
      <c r="B874" s="18" t="inlineStr">
        <is>
          <t>Điều kiện / thao tác</t>
        </is>
      </c>
      <c r="C874" s="18" t="inlineStr">
        <is>
          <t xml:space="preserve">
5. Bắt đầu batch cho lớp khi ô đang Đỏ; khi batch chưa xong, xóa ô rồi tạo lại và nhập 35. Chờ batch cũ xong, xem đầu ra và SELECT.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75" ht="214" customHeight="1">
      <c r="A875" s="24">
        <f>HYPERLINK("#'Kiểm thử'!A"&amp;(MATCH("TC-RS-ERR-015 / same29",'Kiểm thử'!$A$5:$A$573,0)+4),"TC-RS-ERR-015 / same29")</f>
        <v/>
      </c>
      <c r="B875" s="18" t="inlineStr">
        <is>
          <t>Kết quả mong đợi</t>
        </is>
      </c>
      <c r="C875" s="18" t="inlineStr">
        <is>
          <t>Sau bước 1: không còn dấu đỏ của ô cũ. Sau bước 2: ô mới được xét theo 35 → Không đỏ; không mang kết quả Đỏ cũ.
4. Kích hoạt lại/nhập lại cùng giá trị không làm kết quả Đỏ trước khi xóa sống lại; ô chỉ có kết quả của lần xét sau khi tạo lại.
5. Lượt batch cũ không ghi kết quả vào ô đã tạo lại; ô giữ kết quả của lần đăng ký 35 (Không đỏ). (PROPOSED theo thiết kế DB v2 mục 4.4 “Cập nhật và hiệu lực kết quả”, mục 6.3 “Xóa/tạo lại, nguồn tham chiếu và lỗi”) Khi xóa: `cell_generation` mới, `judgment_status`=4 và thông tin quy tắc/ngưỡng/nguồn cũ bị xóa trong cùng transaction; dòng điều khiển được giữ; tạo lại dùng thế hệ mới.
Bảo toàn: Giữ điểm, cấu hình và đối tượng không đích theo expected; chỉ thay phần thủ tục yêu cầu, không tự đổi oracle hoặc mở rộng phạm vi.</t>
        </is>
      </c>
    </row>
    <row r="876" ht="299" customHeight="1">
      <c r="A876" s="24">
        <f>HYPERLINK("#'Kiểm thử'!A"&amp;(MATCH("TC-RS-ERR-015 / old-batch",'Kiểm thử'!$A$5:$A$573,0)+4),"TC-RS-ERR-015 / old-batch")</f>
        <v/>
      </c>
      <c r="B876" s="18" t="inlineStr">
        <is>
          <t>Điều kiện / thao tác</t>
        </is>
      </c>
      <c r="C876" s="18" t="inlineStr">
        <is>
          <t>Cấu hình: S01 Đỏ ở mục điểm đơn vị (đơn vị U1 có M riêng 40) U1.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Bước 5 batch cũ sau tạo lại
Thao tác: 1. Bỏ sử dụng đơn vị U1 cho lớp (hoặc thay khung điểm theo thao tác hiện có) để ô bị xóa/ngừng hoạt động.
2. Tạo lại ô, nhập 35, lưu.
3. Xem đầu ra.
4. Đưa ô về Đỏ (nhập 29, lưu). Xóa ô (hoặc xóa mềm theo thao tác hiện có), rồi kích hoạt lại/tạo lại ô với **cùng giá trị 29** nhưng không qua đường xét (nếu có thao tác như vậy, ví dụ khôi phục); xem đầu ra. Sau đó đăng ký lại điểm và xem.</t>
        </is>
      </c>
    </row>
    <row r="877" ht="248" customHeight="1">
      <c r="A877" s="24">
        <f>HYPERLINK("#'Kiểm thử'!A"&amp;(MATCH("TC-RS-ERR-015 / old-batch",'Kiểm thử'!$A$5:$A$573,0)+4),"TC-RS-ERR-015 / old-batch")</f>
        <v/>
      </c>
      <c r="B877" s="18" t="inlineStr">
        <is>
          <t>Điều kiện / thao tác</t>
        </is>
      </c>
      <c r="C877" s="18" t="inlineStr">
        <is>
          <t xml:space="preserve">
5. Bắt đầu batch cho lớp khi ô đang Đỏ; khi batch chưa xong, xóa ô rồi tạo lại và nhập 35. Chờ batch cũ xong, xem đầu ra và SELECT.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78" ht="214" customHeight="1">
      <c r="A878" s="24">
        <f>HYPERLINK("#'Kiểm thử'!A"&amp;(MATCH("TC-RS-ERR-015 / old-batch",'Kiểm thử'!$A$5:$A$573,0)+4),"TC-RS-ERR-015 / old-batch")</f>
        <v/>
      </c>
      <c r="B878" s="18" t="inlineStr">
        <is>
          <t>Kết quả mong đợi</t>
        </is>
      </c>
      <c r="C878" s="18" t="inlineStr">
        <is>
          <t>Sau bước 1: không còn dấu đỏ của ô cũ. Sau bước 2: ô mới được xét theo 35 → Không đỏ; không mang kết quả Đỏ cũ.
4. Kích hoạt lại/nhập lại cùng giá trị không làm kết quả Đỏ trước khi xóa sống lại; ô chỉ có kết quả của lần xét sau khi tạo lại.
5. Lượt batch cũ không ghi kết quả vào ô đã tạo lại; ô giữ kết quả của lần đăng ký 35 (Không đỏ). (PROPOSED theo thiết kế DB v2 mục 4.4 “Cập nhật và hiệu lực kết quả”, mục 6.3 “Xóa/tạo lại, nguồn tham chiếu và lỗi”) Khi xóa: `cell_generation` mới, `judgment_status`=4 và thông tin quy tắc/ngưỡng/nguồn cũ bị xóa trong cùng transaction; dòng điều khiển được giữ; tạo lại dùng thế hệ mới.
Bảo toàn: Giữ điểm, cấu hình và đối tượng không đích theo expected; chỉ thay phần thủ tục yêu cầu, không tự đổi oracle hoặc mở rộng phạm vi.</t>
        </is>
      </c>
    </row>
    <row r="879" ht="44" customHeight="1">
      <c r="A879" s="24">
        <f>HYPERLINK("#'Kiểm thử'!A"&amp;(MATCH("TC-RS-FUNC-022 / filter-color",'Kiểm thử'!$A$5:$A$573,0)+4),"TC-RS-FUNC-022 / filter-color")</f>
        <v/>
      </c>
      <c r="B879" s="18" t="inlineStr">
        <is>
          <t>Màn hình / chức năng</t>
        </is>
      </c>
      <c r="C879" s="18" t="inlineStr">
        <is>
          <t>Trích xuất thành tích（成績抽出） — Trích xuất thành tích（成績抽出）
Trích xuất thành tích（成績抽出）: các tùy chọn đỏ được lưu và mở lại đúng</t>
        </is>
      </c>
    </row>
    <row r="880" ht="299" customHeight="1">
      <c r="A880" s="24">
        <f>HYPERLINK("#'Kiểm thử'!A"&amp;(MATCH("TC-RS-FUNC-022 / filter-color",'Kiểm thử'!$A$5:$A$573,0)+4),"TC-RS-FUNC-022 / filter-color")</f>
        <v/>
      </c>
      <c r="B880" s="18" t="inlineStr">
        <is>
          <t>Điều kiện / thao tác</t>
        </is>
      </c>
      <c r="C880" s="18" t="inlineStr">
        <is>
          <t>Cấu hình: mục số nguyên (M=100) có quy tắc “Cố định 30” (dưới 30). Đăng nhập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cấu hình trích xuất: lọc, ký hiệu “*” phía trước, tô màu, cấu hình trích xuất chỉ ký hiệu (“※” trước, “!” sau)
Cấu hình lọc và màu
Thao tác: 1. Mở thiết lập hiển thị của trích xuất, khung Thiết lập chi tiết thông tin lớp học（授業情報の詳細設定）, phần điều kiện đỏ.
2. Cấu hình cấu hình trích xuất: lọc, ký hiệu “*” phía trước, tô màu, lưu, mở lại.
3. Cấu hình cấu hình trích xuất chỉ ký hiệu (“※” trước, “!” sau) (hai ký hiệu cùng bật), lưu, mở lại.</t>
        </is>
      </c>
    </row>
    <row r="881" ht="282" customHeight="1">
      <c r="A881" s="24">
        <f>HYPERLINK("#'Kiểm thử'!A"&amp;(MATCH("TC-RS-FUNC-022 / filter-color",'Kiểm thử'!$A$5:$A$573,0)+4),"TC-RS-FUNC-022 / filter-color")</f>
        <v/>
      </c>
      <c r="B881" s="18" t="inlineStr">
        <is>
          <t>Điều kiện / thao tác</t>
        </is>
      </c>
      <c r="C881" s="18" t="inlineStr">
        <is>
          <t xml:space="preserve">
4. (PROPOSED) Chạy SELECT cột `extract_setting` của dòng `grade_extract_conf` tương ứng mẫu vừa lưu, lọc theo trường/năm test.
5. (PROPOSED) Nếu màn có chức năng sao chép thiết lập trích xuất hiện có: sao chép mẫu cấu hình trích xuất: lọc, ký hiệu “*” phía trước, tô màu, mở bản sao.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82" ht="197" customHeight="1">
      <c r="A882" s="24">
        <f>HYPERLINK("#'Kiểm thử'!A"&amp;(MATCH("TC-RS-FUNC-022 / filter-color",'Kiểm thử'!$A$5:$A$573,0)+4),"TC-RS-FUNC-022 / filter-color")</f>
        <v/>
      </c>
      <c r="B882" s="18" t="inlineStr">
        <is>
          <t>Kết quả mong đợi</t>
        </is>
      </c>
      <c r="C882" s="18" t="inlineStr">
        <is>
          <t>1. Có bốn tùy chọn độc lập: lọc học sinh có điểm đỏ, ký hiệu phía trước, ký hiệu phía sau, tô màu ô.
2. Ký hiệu trước và sau cùng bật được.
3. Màu chỉ chọn từ bảng màu hiện có (không có bộ chọn màu tự do).
4. Mở lại giữ đúng giá trị.
5. (PROPOSED) JSON `extract_setting` chứa phần điều kiện đỏ với các khóa `use_target_extract`, `use_prefix_mark`, `prefix_mark`, `use_suffix_mark`, `suffix_mark`, `use_cell_coloring`, `cell_color` khớp giá trị trên màn; không có cột/bảng mới cho thiết lập này.
6. (PROPOSED) Bản sao giữ nguyên bốn tùy chọn, ký hiệu và màu.
Bảo toàn: Giữ điểm, cấu hình và đối tượng không đích theo expected; chỉ thay phần thủ tục yêu cầu, không tự đổi oracle hoặc mở rộng phạm vi.</t>
        </is>
      </c>
    </row>
    <row r="883" ht="44" customHeight="1">
      <c r="A883" s="24">
        <f>HYPERLINK("#'Kiểm thử'!A"&amp;(MATCH("TC-RS-FUNC-022 / prefix-suffix",'Kiểm thử'!$A$5:$A$573,0)+4),"TC-RS-FUNC-022 / prefix-suffix")</f>
        <v/>
      </c>
      <c r="B883" s="18" t="inlineStr">
        <is>
          <t>Màn hình / chức năng</t>
        </is>
      </c>
      <c r="C883" s="18" t="inlineStr">
        <is>
          <t>Trích xuất thành tích（成績抽出） — Trích xuất thành tích（成績抽出）
Trích xuất thành tích（成績抽出）: các tùy chọn đỏ được lưu và mở lại đúng</t>
        </is>
      </c>
    </row>
    <row r="884" ht="299" customHeight="1">
      <c r="A884" s="24">
        <f>HYPERLINK("#'Kiểm thử'!A"&amp;(MATCH("TC-RS-FUNC-022 / prefix-suffix",'Kiểm thử'!$A$5:$A$573,0)+4),"TC-RS-FUNC-022 / prefix-suffix")</f>
        <v/>
      </c>
      <c r="B884" s="18" t="inlineStr">
        <is>
          <t>Điều kiện / thao tác</t>
        </is>
      </c>
      <c r="C884" s="18" t="inlineStr">
        <is>
          <t>Cấu hình: mục số nguyên (M=100) có quy tắc “Cố định 30” (dưới 30). Đăng nhập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cấu hình trích xuất: lọc, ký hiệu “*” phía trước, tô màu, cấu hình trích xuất chỉ ký hiệu (“※” trước, “!” sau)
Cấu hình ký hiệu trước/sau
Thao tác: 1. Mở thiết lập hiển thị của trích xuất, khung Thiết lập chi tiết thông tin lớp học（授業情報の詳細設定）, phần điều kiện đỏ.
2. Cấu hình cấu hình trích xuất: lọc, ký hiệu “*” phía trước, tô màu, lưu, mở lại.
3. Cấu hình cấu hình trích xuất chỉ ký hiệu (“※” trước, “!” sau) (hai ký hiệu cùng bật), lưu, mở lại.</t>
        </is>
      </c>
    </row>
    <row r="885" ht="282" customHeight="1">
      <c r="A885" s="24">
        <f>HYPERLINK("#'Kiểm thử'!A"&amp;(MATCH("TC-RS-FUNC-022 / prefix-suffix",'Kiểm thử'!$A$5:$A$573,0)+4),"TC-RS-FUNC-022 / prefix-suffix")</f>
        <v/>
      </c>
      <c r="B885" s="18" t="inlineStr">
        <is>
          <t>Điều kiện / thao tác</t>
        </is>
      </c>
      <c r="C885" s="18" t="inlineStr">
        <is>
          <t xml:space="preserve">
4. (PROPOSED) Chạy SELECT cột `extract_setting` của dòng `grade_extract_conf` tương ứng mẫu vừa lưu, lọc theo trường/năm test.
5. (PROPOSED) Nếu màn có chức năng sao chép thiết lập trích xuất hiện có: sao chép mẫu cấu hình trích xuất: lọc, ký hiệu “*” phía trước, tô màu, mở bản sao.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86" ht="197" customHeight="1">
      <c r="A886" s="24">
        <f>HYPERLINK("#'Kiểm thử'!A"&amp;(MATCH("TC-RS-FUNC-022 / prefix-suffix",'Kiểm thử'!$A$5:$A$573,0)+4),"TC-RS-FUNC-022 / prefix-suffix")</f>
        <v/>
      </c>
      <c r="B886" s="18" t="inlineStr">
        <is>
          <t>Kết quả mong đợi</t>
        </is>
      </c>
      <c r="C886" s="18" t="inlineStr">
        <is>
          <t>1. Có bốn tùy chọn độc lập: lọc học sinh có điểm đỏ, ký hiệu phía trước, ký hiệu phía sau, tô màu ô.
2. Ký hiệu trước và sau cùng bật được.
3. Màu chỉ chọn từ bảng màu hiện có (không có bộ chọn màu tự do).
4. Mở lại giữ đúng giá trị.
5. (PROPOSED) JSON `extract_setting` chứa phần điều kiện đỏ với các khóa `use_target_extract`, `use_prefix_mark`, `prefix_mark`, `use_suffix_mark`, `suffix_mark`, `use_cell_coloring`, `cell_color` khớp giá trị trên màn; không có cột/bảng mới cho thiết lập này.
6. (PROPOSED) Bản sao giữ nguyên bốn tùy chọn, ký hiệu và màu.
Bảo toàn: Giữ điểm, cấu hình và đối tượng không đích theo expected; chỉ thay phần thủ tục yêu cầu, không tự đổi oracle hoặc mở rộng phạm vi.</t>
        </is>
      </c>
    </row>
    <row r="887" ht="44" customHeight="1">
      <c r="A887" s="24">
        <f>HYPERLINK("#'Kiểm thử'!A"&amp;(MATCH("TC-RS-FUNC-022 / copy",'Kiểm thử'!$A$5:$A$573,0)+4),"TC-RS-FUNC-022 / copy")</f>
        <v/>
      </c>
      <c r="B887" s="18" t="inlineStr">
        <is>
          <t>Màn hình / chức năng</t>
        </is>
      </c>
      <c r="C887" s="18" t="inlineStr">
        <is>
          <t>Trích xuất thành tích（成績抽出） — Trích xuất thành tích（成績抽出）
Trích xuất thành tích（成績抽出）: các tùy chọn đỏ được lưu và mở lại đúng</t>
        </is>
      </c>
    </row>
    <row r="888" ht="299" customHeight="1">
      <c r="A888" s="24">
        <f>HYPERLINK("#'Kiểm thử'!A"&amp;(MATCH("TC-RS-FUNC-022 / copy",'Kiểm thử'!$A$5:$A$573,0)+4),"TC-RS-FUNC-022 / copy")</f>
        <v/>
      </c>
      <c r="B888" s="18" t="inlineStr">
        <is>
          <t>Điều kiện / thao tác</t>
        </is>
      </c>
      <c r="C888" s="18" t="inlineStr">
        <is>
          <t>Cấu hình: mục số nguyên (M=100) có quy tắc “Cố định 30” (dưới 30). Đăng nhập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cấu hình trích xuất: lọc, ký hiệu “*” phía trước, tô màu, cấu hình trích xuất chỉ ký hiệu (“※” trước, “!” sau)
Sao chép cấu hình theo phần đề xuất
Thao tác: 1. Mở thiết lập hiển thị của trích xuất, khung Thiết lập chi tiết thông tin lớp học（授業情報の詳細設定）, phần điều kiện đỏ.
2. Cấu hình cấu hình trích xuất: lọc, ký hiệu “*” phía trước, tô màu, lưu, mở lại.
3. Cấu hình cấu hình trích xuất chỉ ký hiệu (“※” trước, “!” sau) (hai ký hiệu cùng bật), lưu, mở lại.</t>
        </is>
      </c>
    </row>
    <row r="889" ht="282" customHeight="1">
      <c r="A889" s="24">
        <f>HYPERLINK("#'Kiểm thử'!A"&amp;(MATCH("TC-RS-FUNC-022 / copy",'Kiểm thử'!$A$5:$A$573,0)+4),"TC-RS-FUNC-022 / copy")</f>
        <v/>
      </c>
      <c r="B889" s="18" t="inlineStr">
        <is>
          <t>Điều kiện / thao tác</t>
        </is>
      </c>
      <c r="C889" s="18" t="inlineStr">
        <is>
          <t xml:space="preserve">
4. (PROPOSED) Chạy SELECT cột `extract_setting` của dòng `grade_extract_conf` tương ứng mẫu vừa lưu, lọc theo trường/năm test.
5. (PROPOSED) Nếu màn có chức năng sao chép thiết lập trích xuất hiện có: sao chép mẫu cấu hình trích xuất: lọc, ký hiệu “*” phía trước, tô màu, mở bản sao.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890" ht="197" customHeight="1">
      <c r="A890" s="24">
        <f>HYPERLINK("#'Kiểm thử'!A"&amp;(MATCH("TC-RS-FUNC-022 / copy",'Kiểm thử'!$A$5:$A$573,0)+4),"TC-RS-FUNC-022 / copy")</f>
        <v/>
      </c>
      <c r="B890" s="18" t="inlineStr">
        <is>
          <t>Kết quả mong đợi</t>
        </is>
      </c>
      <c r="C890" s="18" t="inlineStr">
        <is>
          <t>1. Có bốn tùy chọn độc lập: lọc học sinh có điểm đỏ, ký hiệu phía trước, ký hiệu phía sau, tô màu ô.
2. Ký hiệu trước và sau cùng bật được.
3. Màu chỉ chọn từ bảng màu hiện có (không có bộ chọn màu tự do).
4. Mở lại giữ đúng giá trị.
5. (PROPOSED) JSON `extract_setting` chứa phần điều kiện đỏ với các khóa `use_target_extract`, `use_prefix_mark`, `prefix_mark`, `use_suffix_mark`, `suffix_mark`, `use_cell_coloring`, `cell_color` khớp giá trị trên màn; không có cột/bảng mới cho thiết lập này.
6. (PROPOSED) Bản sao giữ nguyên bốn tùy chọn, ký hiệu và màu.
Bảo toàn: Giữ điểm, cấu hình và đối tượng không đích theo expected; chỉ thay phần thủ tục yêu cầu, không tự đổi oracle hoặc mở rộng phạm vi.</t>
        </is>
      </c>
    </row>
    <row r="891" ht="44" customHeight="1">
      <c r="A891" s="24">
        <f>HYPERLINK("#'Kiểm thử'!A"&amp;(MATCH("TC-RS-FUNC-023 / multi-red-scope",'Kiểm thử'!$A$5:$A$573,0)+4),"TC-RS-FUNC-023 / multi-red-scope")</f>
        <v/>
      </c>
      <c r="B891" s="18" t="inlineStr">
        <is>
          <t>Màn hình / chức năng</t>
        </is>
      </c>
      <c r="C891" s="18" t="inlineStr">
        <is>
          <t>Trích xuất thành tích（成績抽出） — Trích xuất thành tích（成績抽出）
Trích xuất: lọc giữ học sinh có ít nhất một ô đỏ trong phạm vi đang xét</t>
        </is>
      </c>
    </row>
    <row r="892" ht="299" customHeight="1">
      <c r="A892" s="24">
        <f>HYPERLINK("#'Kiểm thử'!A"&amp;(MATCH("TC-RS-FUNC-023 / multi-red-scope",'Kiểm thử'!$A$5:$A$573,0)+4),"TC-RS-FUNC-023 / multi-red-scope")</f>
        <v/>
      </c>
      <c r="B892" s="18" t="inlineStr">
        <is>
          <t>Điều kiện / thao tác</t>
        </is>
      </c>
      <c r="C892" s="18" t="inlineStr">
        <is>
          <t>Cấu hình: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
Bước 1, S10 có hai ô đỏ trong phạm vi
Thao tác: 1. Chạy trích xuất với cấu hình trích xuất: lọc, ký hiệu “*” phía trước, tô màu, phạm vi gồm Toán và Ngữ văn.
2. Chạy lại với phạm vi chỉ Ngữ văn.</t>
        </is>
      </c>
    </row>
    <row r="893" ht="299" customHeight="1">
      <c r="A893" s="24">
        <f>HYPERLINK("#'Kiểm thử'!A"&amp;(MATCH("TC-RS-FUNC-023 / multi-red-scope",'Kiểm thử'!$A$5:$A$573,0)+4),"TC-RS-FUNC-023 / multi-red-scope")</f>
        <v/>
      </c>
      <c r="B893" s="18" t="inlineStr">
        <is>
          <t>Điều kiện / thao tác</t>
        </is>
      </c>
      <c r="C893" s="18" t="inlineStr">
        <is>
          <t xml:space="preserve">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t>
        </is>
      </c>
    </row>
    <row r="894" ht="44" customHeight="1">
      <c r="A894" s="24">
        <f>HYPERLINK("#'Kiểm thử'!A"&amp;(MATCH("TC-RS-FUNC-023 / multi-red-scope",'Kiểm thử'!$A$5:$A$573,0)+4),"TC-RS-FUNC-023 / multi-red-scope")</f>
        <v/>
      </c>
      <c r="B894" s="18" t="inlineStr">
        <is>
          <t>Điều kiện / thao tác</t>
        </is>
      </c>
      <c r="C894" s="18" t="inlineStr">
        <is>
          <t xml:space="preserve">
Giữ Draft; chỉ chuyển Ready khi chuẩn bị và seam của đúng case đã được xác minh.</t>
        </is>
      </c>
    </row>
    <row r="895" ht="163" customHeight="1">
      <c r="A895" s="24">
        <f>HYPERLINK("#'Kiểm thử'!A"&amp;(MATCH("TC-RS-FUNC-023 / multi-red-scope",'Kiểm thử'!$A$5:$A$573,0)+4),"TC-RS-FUNC-023 / multi-red-scope")</f>
        <v/>
      </c>
      <c r="B895" s="18" t="inlineStr">
        <is>
          <t>Kết quả mong đợi</t>
        </is>
      </c>
      <c r="C895" s="18"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
Bảo toàn: Giữ điểm, cấu hình và đối tượng không đích theo expected; chỉ thay phần thủ tục yêu cầu, không tự đổi oracle hoặc mở rộng phạm vi.</t>
        </is>
      </c>
    </row>
    <row r="896" ht="44" customHeight="1">
      <c r="A896" s="24">
        <f>HYPERLINK("#'Kiểm thử'!A"&amp;(MATCH("TC-RS-FUNC-023 / one-red-in-scope",'Kiểm thử'!$A$5:$A$573,0)+4),"TC-RS-FUNC-023 / one-red-in-scope")</f>
        <v/>
      </c>
      <c r="B896" s="18" t="inlineStr">
        <is>
          <t>Màn hình / chức năng</t>
        </is>
      </c>
      <c r="C896" s="18" t="inlineStr">
        <is>
          <t>Trích xuất thành tích（成績抽出） — Trích xuất thành tích（成績抽出）
Trích xuất: lọc giữ học sinh có ít nhất một ô đỏ trong phạm vi đang xét</t>
        </is>
      </c>
    </row>
    <row r="897" ht="299" customHeight="1">
      <c r="A897" s="24">
        <f>HYPERLINK("#'Kiểm thử'!A"&amp;(MATCH("TC-RS-FUNC-023 / one-red-in-scope",'Kiểm thử'!$A$5:$A$573,0)+4),"TC-RS-FUNC-023 / one-red-in-scope")</f>
        <v/>
      </c>
      <c r="B897" s="18" t="inlineStr">
        <is>
          <t>Điều kiện / thao tác</t>
        </is>
      </c>
      <c r="C897" s="18" t="inlineStr">
        <is>
          <t>Cấu hình: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
Bước 2, S10 chỉ còn Ngữ văn trong phạm vi
Thao tác: 1. Chạy trích xuất với cấu hình trích xuất: lọc, ký hiệu “*” phía trước, tô màu, phạm vi gồm Toán và Ngữ văn.
2. Chạy lại với phạm vi chỉ Ngữ văn.</t>
        </is>
      </c>
    </row>
    <row r="898" ht="299" customHeight="1">
      <c r="A898" s="24">
        <f>HYPERLINK("#'Kiểm thử'!A"&amp;(MATCH("TC-RS-FUNC-023 / one-red-in-scope",'Kiểm thử'!$A$5:$A$573,0)+4),"TC-RS-FUNC-023 / one-red-in-scope")</f>
        <v/>
      </c>
      <c r="B898" s="18" t="inlineStr">
        <is>
          <t>Điều kiện / thao tác</t>
        </is>
      </c>
      <c r="C898" s="18" t="inlineStr">
        <is>
          <t xml:space="preserve">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t>
        </is>
      </c>
    </row>
    <row r="899" ht="44" customHeight="1">
      <c r="A899" s="24">
        <f>HYPERLINK("#'Kiểm thử'!A"&amp;(MATCH("TC-RS-FUNC-023 / one-red-in-scope",'Kiểm thử'!$A$5:$A$573,0)+4),"TC-RS-FUNC-023 / one-red-in-scope")</f>
        <v/>
      </c>
      <c r="B899" s="18" t="inlineStr">
        <is>
          <t>Điều kiện / thao tác</t>
        </is>
      </c>
      <c r="C899" s="18" t="inlineStr">
        <is>
          <t xml:space="preserve">
Giữ Draft; chỉ chuyển Ready khi chuẩn bị và seam của đúng case đã được xác minh.</t>
        </is>
      </c>
    </row>
    <row r="900" ht="163" customHeight="1">
      <c r="A900" s="24">
        <f>HYPERLINK("#'Kiểm thử'!A"&amp;(MATCH("TC-RS-FUNC-023 / one-red-in-scope",'Kiểm thử'!$A$5:$A$573,0)+4),"TC-RS-FUNC-023 / one-red-in-scope")</f>
        <v/>
      </c>
      <c r="B900" s="18" t="inlineStr">
        <is>
          <t>Kết quả mong đợi</t>
        </is>
      </c>
      <c r="C900" s="18"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
Bảo toàn: Giữ điểm, cấu hình và đối tượng không đích theo expected; chỉ thay phần thủ tục yêu cầu, không tự đổi oracle hoặc mở rộng phạm vi.</t>
        </is>
      </c>
    </row>
    <row r="901" ht="44" customHeight="1">
      <c r="A901" s="24">
        <f>HYPERLINK("#'Kiểm thử'!A"&amp;(MATCH("TC-RS-FUNC-023 / no-red-in-scope",'Kiểm thử'!$A$5:$A$573,0)+4),"TC-RS-FUNC-023 / no-red-in-scope")</f>
        <v/>
      </c>
      <c r="B901" s="18" t="inlineStr">
        <is>
          <t>Màn hình / chức năng</t>
        </is>
      </c>
      <c r="C901" s="18" t="inlineStr">
        <is>
          <t>Trích xuất thành tích（成績抽出） — Trích xuất thành tích（成績抽出）
Trích xuất: lọc giữ học sinh có ít nhất một ô đỏ trong phạm vi đang xét</t>
        </is>
      </c>
    </row>
    <row r="902" ht="299" customHeight="1">
      <c r="A902" s="24">
        <f>HYPERLINK("#'Kiểm thử'!A"&amp;(MATCH("TC-RS-FUNC-023 / no-red-in-scope",'Kiểm thử'!$A$5:$A$573,0)+4),"TC-RS-FUNC-023 / no-red-in-scope")</f>
        <v/>
      </c>
      <c r="B902" s="18" t="inlineStr">
        <is>
          <t>Điều kiện / thao tác</t>
        </is>
      </c>
      <c r="C902" s="18" t="inlineStr">
        <is>
          <t>Cấu hình: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
Đối chứng S03 của bước 1, không ô nào đỏ
Thao tác: 1. Chạy trích xuất với cấu hình trích xuất: lọc, ký hiệu “*” phía trước, tô màu, phạm vi gồm Toán và Ngữ văn.
2. Chạy lại với phạm vi chỉ Ngữ văn.</t>
        </is>
      </c>
    </row>
    <row r="903" ht="299" customHeight="1">
      <c r="A903" s="24">
        <f>HYPERLINK("#'Kiểm thử'!A"&amp;(MATCH("TC-RS-FUNC-023 / no-red-in-scope",'Kiểm thử'!$A$5:$A$573,0)+4),"TC-RS-FUNC-023 / no-red-in-scope")</f>
        <v/>
      </c>
      <c r="B903" s="18" t="inlineStr">
        <is>
          <t>Điều kiện / thao tác</t>
        </is>
      </c>
      <c r="C903" s="18" t="inlineStr">
        <is>
          <t xml:space="preserve">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t>
        </is>
      </c>
    </row>
    <row r="904" ht="44" customHeight="1">
      <c r="A904" s="24">
        <f>HYPERLINK("#'Kiểm thử'!A"&amp;(MATCH("TC-RS-FUNC-023 / no-red-in-scope",'Kiểm thử'!$A$5:$A$573,0)+4),"TC-RS-FUNC-023 / no-red-in-scope")</f>
        <v/>
      </c>
      <c r="B904" s="18" t="inlineStr">
        <is>
          <t>Điều kiện / thao tác</t>
        </is>
      </c>
      <c r="C904" s="18" t="inlineStr">
        <is>
          <t xml:space="preserve">
Giữ Draft; chỉ chuyển Ready khi chuẩn bị và seam của đúng case đã được xác minh.</t>
        </is>
      </c>
    </row>
    <row r="905" ht="163" customHeight="1">
      <c r="A905" s="24">
        <f>HYPERLINK("#'Kiểm thử'!A"&amp;(MATCH("TC-RS-FUNC-023 / no-red-in-scope",'Kiểm thử'!$A$5:$A$573,0)+4),"TC-RS-FUNC-023 / no-red-in-scope")</f>
        <v/>
      </c>
      <c r="B905" s="18" t="inlineStr">
        <is>
          <t>Kết quả mong đợi</t>
        </is>
      </c>
      <c r="C905" s="18"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
Bảo toàn: Giữ điểm, cấu hình và đối tượng không đích theo expected; chỉ thay phần thủ tục yêu cầu, không tự đổi oracle hoặc mở rộng phạm vi.</t>
        </is>
      </c>
    </row>
    <row r="906" ht="44" customHeight="1">
      <c r="A906" s="24">
        <f>HYPERLINK("#'Kiểm thử'!A"&amp;(MATCH("TC-RS-FUNC-023 / filter-off",'Kiểm thử'!$A$5:$A$573,0)+4),"TC-RS-FUNC-023 / filter-off")</f>
        <v/>
      </c>
      <c r="B906" s="18" t="inlineStr">
        <is>
          <t>Màn hình / chức năng</t>
        </is>
      </c>
      <c r="C906" s="18" t="inlineStr">
        <is>
          <t>Trích xuất thành tích（成績抽出） — Trích xuất thành tích（成績抽出）
Trích xuất: lọc giữ học sinh có ít nhất một ô đỏ trong phạm vi đang xét</t>
        </is>
      </c>
    </row>
    <row r="907" ht="299" customHeight="1">
      <c r="A907" s="24">
        <f>HYPERLINK("#'Kiểm thử'!A"&amp;(MATCH("TC-RS-FUNC-023 / filter-off",'Kiểm thử'!$A$5:$A$573,0)+4),"TC-RS-FUNC-023 / filter-off")</f>
        <v/>
      </c>
      <c r="B907" s="18" t="inlineStr">
        <is>
          <t>Điều kiện / thao tác</t>
        </is>
      </c>
      <c r="C907" s="18" t="inlineStr">
        <is>
          <t>Cấu hình: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
Bước 3, chỉ ký hiệu và tắt lọc
Thao tác: 1. Chạy trích xuất với cấu hình trích xuất: lọc, ký hiệu “*” phía trước, tô màu, phạm vi gồm Toán và Ngữ văn.
2. Chạy lại với phạm vi chỉ Ngữ văn.</t>
        </is>
      </c>
    </row>
    <row r="908" ht="299" customHeight="1">
      <c r="A908" s="24">
        <f>HYPERLINK("#'Kiểm thử'!A"&amp;(MATCH("TC-RS-FUNC-023 / filter-off",'Kiểm thử'!$A$5:$A$573,0)+4),"TC-RS-FUNC-023 / filter-off")</f>
        <v/>
      </c>
      <c r="B908" s="18" t="inlineStr">
        <is>
          <t>Điều kiện / thao tác</t>
        </is>
      </c>
      <c r="C908" s="18" t="inlineStr">
        <is>
          <t xml:space="preserve">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t>
        </is>
      </c>
    </row>
    <row r="909" ht="44" customHeight="1">
      <c r="A909" s="24">
        <f>HYPERLINK("#'Kiểm thử'!A"&amp;(MATCH("TC-RS-FUNC-023 / filter-off",'Kiểm thử'!$A$5:$A$573,0)+4),"TC-RS-FUNC-023 / filter-off")</f>
        <v/>
      </c>
      <c r="B909" s="18" t="inlineStr">
        <is>
          <t>Điều kiện / thao tác</t>
        </is>
      </c>
      <c r="C909" s="18" t="inlineStr">
        <is>
          <t xml:space="preserve">
Giữ Draft; chỉ chuyển Ready khi chuẩn bị và seam của đúng case đã được xác minh.</t>
        </is>
      </c>
    </row>
    <row r="910" ht="163" customHeight="1">
      <c r="A910" s="24">
        <f>HYPERLINK("#'Kiểm thử'!A"&amp;(MATCH("TC-RS-FUNC-023 / filter-off",'Kiểm thử'!$A$5:$A$573,0)+4),"TC-RS-FUNC-023 / filter-off")</f>
        <v/>
      </c>
      <c r="B910" s="18" t="inlineStr">
        <is>
          <t>Kết quả mong đợi</t>
        </is>
      </c>
      <c r="C910" s="18"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
Bảo toàn: Giữ điểm, cấu hình và đối tượng không đích theo expected; chỉ thay phần thủ tục yêu cầu, không tự đổi oracle hoặc mở rộng phạm vi.</t>
        </is>
      </c>
    </row>
    <row r="911" ht="44" customHeight="1">
      <c r="A911" s="24">
        <f>HYPERLINK("#'Kiểm thử'!A"&amp;(MATCH("TC-RS-FUNC-023 / another-period-only",'Kiểm thử'!$A$5:$A$573,0)+4),"TC-RS-FUNC-023 / another-period-only")</f>
        <v/>
      </c>
      <c r="B911" s="18" t="inlineStr">
        <is>
          <t>Màn hình / chức năng</t>
        </is>
      </c>
      <c r="C911" s="18" t="inlineStr">
        <is>
          <t>Trích xuất thành tích（成績抽出） — Trích xuất thành tích（成績抽出）
Trích xuất: lọc giữ học sinh có ít nhất một ô đỏ trong phạm vi đang xét</t>
        </is>
      </c>
    </row>
    <row r="912" ht="299" customHeight="1">
      <c r="A912" s="24">
        <f>HYPERLINK("#'Kiểm thử'!A"&amp;(MATCH("TC-RS-FUNC-023 / another-period-only",'Kiểm thử'!$A$5:$A$573,0)+4),"TC-RS-FUNC-023 / another-period-only")</f>
        <v/>
      </c>
      <c r="B912" s="18" t="inlineStr">
        <is>
          <t>Điều kiện / thao tác</t>
        </is>
      </c>
      <c r="C912" s="18" t="inlineStr">
        <is>
          <t>Cấu hình: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
Bước 4, ô đỏ nằm ở thời điểm khác
Thao tác: 1. Chạy trích xuất với cấu hình trích xuất: lọc, ký hiệu “*” phía trước, tô màu, phạm vi gồm Toán và Ngữ văn.
2. Chạy lại với phạm vi chỉ Ngữ văn.</t>
        </is>
      </c>
    </row>
    <row r="913" ht="299" customHeight="1">
      <c r="A913" s="24">
        <f>HYPERLINK("#'Kiểm thử'!A"&amp;(MATCH("TC-RS-FUNC-023 / another-period-only",'Kiểm thử'!$A$5:$A$573,0)+4),"TC-RS-FUNC-023 / another-period-only")</f>
        <v/>
      </c>
      <c r="B913" s="18" t="inlineStr">
        <is>
          <t>Điều kiện / thao tác</t>
        </is>
      </c>
      <c r="C913" s="18" t="inlineStr">
        <is>
          <t xml:space="preserve">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t>
        </is>
      </c>
    </row>
    <row r="914" ht="44" customHeight="1">
      <c r="A914" s="24">
        <f>HYPERLINK("#'Kiểm thử'!A"&amp;(MATCH("TC-RS-FUNC-023 / another-period-only",'Kiểm thử'!$A$5:$A$573,0)+4),"TC-RS-FUNC-023 / another-period-only")</f>
        <v/>
      </c>
      <c r="B914" s="18" t="inlineStr">
        <is>
          <t>Điều kiện / thao tác</t>
        </is>
      </c>
      <c r="C914" s="18" t="inlineStr">
        <is>
          <t xml:space="preserve">
Giữ Draft; chỉ chuyển Ready khi chuẩn bị và seam của đúng case đã được xác minh.</t>
        </is>
      </c>
    </row>
    <row r="915" ht="163" customHeight="1">
      <c r="A915" s="24">
        <f>HYPERLINK("#'Kiểm thử'!A"&amp;(MATCH("TC-RS-FUNC-023 / another-period-only",'Kiểm thử'!$A$5:$A$573,0)+4),"TC-RS-FUNC-023 / another-period-only")</f>
        <v/>
      </c>
      <c r="B915" s="18" t="inlineStr">
        <is>
          <t>Kết quả mong đợi</t>
        </is>
      </c>
      <c r="C915" s="18"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
Bảo toàn: Giữ điểm, cấu hình và đối tượng không đích theo expected; chỉ thay phần thủ tục yêu cầu, không tự đổi oracle hoặc mở rộng phạm vi.</t>
        </is>
      </c>
    </row>
    <row r="916" ht="44" customHeight="1">
      <c r="A916" s="24">
        <f>HYPERLINK("#'Kiểm thử'!A"&amp;(MATCH("TC-RS-FUNC-023 / other-unit-only",'Kiểm thử'!$A$5:$A$573,0)+4),"TC-RS-FUNC-023 / other-unit-only")</f>
        <v/>
      </c>
      <c r="B916" s="18" t="inlineStr">
        <is>
          <t>Màn hình / chức năng</t>
        </is>
      </c>
      <c r="C916" s="18" t="inlineStr">
        <is>
          <t>Trích xuất thành tích（成績抽出） — Trích xuất thành tích（成績抽出）
Trích xuất: lọc giữ học sinh có ít nhất một ô đỏ trong phạm vi đang xét</t>
        </is>
      </c>
    </row>
    <row r="917" ht="299" customHeight="1">
      <c r="A917" s="24">
        <f>HYPERLINK("#'Kiểm thử'!A"&amp;(MATCH("TC-RS-FUNC-023 / other-unit-only",'Kiểm thử'!$A$5:$A$573,0)+4),"TC-RS-FUNC-023 / other-unit-only")</f>
        <v/>
      </c>
      <c r="B917" s="18" t="inlineStr">
        <is>
          <t>Điều kiện / thao tác</t>
        </is>
      </c>
      <c r="C917" s="18" t="inlineStr">
        <is>
          <t>Cấu hình: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
Bước 5, chỉ U2 Không đỏ
Thao tác: 1. Chạy trích xuất với cấu hình trích xuất: lọc, ký hiệu “*” phía trước, tô màu, phạm vi gồm Toán và Ngữ văn.
2. Chạy lại với phạm vi chỉ Ngữ văn.</t>
        </is>
      </c>
    </row>
    <row r="918" ht="299" customHeight="1">
      <c r="A918" s="24">
        <f>HYPERLINK("#'Kiểm thử'!A"&amp;(MATCH("TC-RS-FUNC-023 / other-unit-only",'Kiểm thử'!$A$5:$A$573,0)+4),"TC-RS-FUNC-023 / other-unit-only")</f>
        <v/>
      </c>
      <c r="B918" s="18" t="inlineStr">
        <is>
          <t>Điều kiện / thao tác</t>
        </is>
      </c>
      <c r="C918" s="18" t="inlineStr">
        <is>
          <t xml:space="preserve">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t>
        </is>
      </c>
    </row>
    <row r="919" ht="44" customHeight="1">
      <c r="A919" s="24">
        <f>HYPERLINK("#'Kiểm thử'!A"&amp;(MATCH("TC-RS-FUNC-023 / other-unit-only",'Kiểm thử'!$A$5:$A$573,0)+4),"TC-RS-FUNC-023 / other-unit-only")</f>
        <v/>
      </c>
      <c r="B919" s="18" t="inlineStr">
        <is>
          <t>Điều kiện / thao tác</t>
        </is>
      </c>
      <c r="C919" s="18" t="inlineStr">
        <is>
          <t xml:space="preserve">
Giữ Draft; chỉ chuyển Ready khi chuẩn bị và seam của đúng case đã được xác minh.</t>
        </is>
      </c>
    </row>
    <row r="920" ht="163" customHeight="1">
      <c r="A920" s="24">
        <f>HYPERLINK("#'Kiểm thử'!A"&amp;(MATCH("TC-RS-FUNC-023 / other-unit-only",'Kiểm thử'!$A$5:$A$573,0)+4),"TC-RS-FUNC-023 / other-unit-only")</f>
        <v/>
      </c>
      <c r="B920" s="18" t="inlineStr">
        <is>
          <t>Kết quả mong đợi</t>
        </is>
      </c>
      <c r="C920" s="18"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
Bảo toàn: Giữ điểm, cấu hình và đối tượng không đích theo expected; chỉ thay phần thủ tục yêu cầu, không tự đổi oracle hoặc mở rộng phạm vi.</t>
        </is>
      </c>
    </row>
    <row r="921" ht="44" customHeight="1">
      <c r="A921" s="24">
        <f>HYPERLINK("#'Kiểm thử'!A"&amp;(MATCH("TC-RS-FUNC-023 / after-delete",'Kiểm thử'!$A$5:$A$573,0)+4),"TC-RS-FUNC-023 / after-delete")</f>
        <v/>
      </c>
      <c r="B921" s="18" t="inlineStr">
        <is>
          <t>Màn hình / chức năng</t>
        </is>
      </c>
      <c r="C921" s="18" t="inlineStr">
        <is>
          <t>Trích xuất thành tích（成績抽出） — Trích xuất thành tích（成績抽出）
Trích xuất: lọc giữ học sinh có ít nhất một ô đỏ trong phạm vi đang xét</t>
        </is>
      </c>
    </row>
    <row r="922" ht="299" customHeight="1">
      <c r="A922" s="24">
        <f>HYPERLINK("#'Kiểm thử'!A"&amp;(MATCH("TC-RS-FUNC-023 / after-delete",'Kiểm thử'!$A$5:$A$573,0)+4),"TC-RS-FUNC-023 / after-delete")</f>
        <v/>
      </c>
      <c r="B922" s="18" t="inlineStr">
        <is>
          <t>Điều kiện / thao tác</t>
        </is>
      </c>
      <c r="C922" s="18" t="inlineStr">
        <is>
          <t>Cấu hình: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
Bước 6 sau baseline bước 1, xóa Toán nhưng giữ Ngữ văn
Thao tác: 1. Chạy trích xuất với cấu hình trích xuất: lọc, ký hiệu “*” phía trước, tô màu, phạm vi gồm Toán và Ngữ văn.
2. Chạy lại với phạm vi chỉ Ngữ văn.</t>
        </is>
      </c>
    </row>
    <row r="923" ht="299" customHeight="1">
      <c r="A923" s="24">
        <f>HYPERLINK("#'Kiểm thử'!A"&amp;(MATCH("TC-RS-FUNC-023 / after-delete",'Kiểm thử'!$A$5:$A$573,0)+4),"TC-RS-FUNC-023 / after-delete")</f>
        <v/>
      </c>
      <c r="B923" s="18" t="inlineStr">
        <is>
          <t>Điều kiện / thao tác</t>
        </is>
      </c>
      <c r="C923" s="18" t="inlineStr">
        <is>
          <t xml:space="preserve">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t>
        </is>
      </c>
    </row>
    <row r="924" ht="44" customHeight="1">
      <c r="A924" s="24">
        <f>HYPERLINK("#'Kiểm thử'!A"&amp;(MATCH("TC-RS-FUNC-023 / after-delete",'Kiểm thử'!$A$5:$A$573,0)+4),"TC-RS-FUNC-023 / after-delete")</f>
        <v/>
      </c>
      <c r="B924" s="18" t="inlineStr">
        <is>
          <t>Điều kiện / thao tác</t>
        </is>
      </c>
      <c r="C924" s="18" t="inlineStr">
        <is>
          <t xml:space="preserve">
Giữ Draft; chỉ chuyển Ready khi chuẩn bị và seam của đúng case đã được xác minh.</t>
        </is>
      </c>
    </row>
    <row r="925" ht="163" customHeight="1">
      <c r="A925" s="24">
        <f>HYPERLINK("#'Kiểm thử'!A"&amp;(MATCH("TC-RS-FUNC-023 / after-delete",'Kiểm thử'!$A$5:$A$573,0)+4),"TC-RS-FUNC-023 / after-delete")</f>
        <v/>
      </c>
      <c r="B925" s="18" t="inlineStr">
        <is>
          <t>Kết quả mong đợi</t>
        </is>
      </c>
      <c r="C925" s="18"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
Bảo toàn: Giữ điểm, cấu hình và đối tượng không đích theo expected; chỉ thay phần thủ tục yêu cầu, không tự đổi oracle hoặc mở rộng phạm vi.</t>
        </is>
      </c>
    </row>
    <row r="926" ht="44" customHeight="1">
      <c r="A926" s="24">
        <f>HYPERLINK("#'Kiểm thử'!A"&amp;(MATCH("TC-RS-FUNC-024 / prefix-color",'Kiểm thử'!$A$5:$A$573,0)+4),"TC-RS-FUNC-024 / prefix-color")</f>
        <v/>
      </c>
      <c r="B926" s="18" t="inlineStr">
        <is>
          <t>Màn hình / chức năng</t>
        </is>
      </c>
      <c r="C926" s="18" t="inlineStr">
        <is>
          <t>Trích xuất thành tích（成績抽出） — Trích xuất thành tích（成績抽出）
Trích xuất: chỉ ô đỏ được thêm ký hiệu/tô màu</t>
        </is>
      </c>
    </row>
    <row r="927" ht="299" customHeight="1">
      <c r="A927" s="24">
        <f>HYPERLINK("#'Kiểm thử'!A"&amp;(MATCH("TC-RS-FUNC-024 / prefix-color",'Kiểm thử'!$A$5:$A$573,0)+4),"TC-RS-FUNC-024 / prefix-color")</f>
        <v/>
      </c>
      <c r="B927" s="18" t="inlineStr">
        <is>
          <t>Điều kiện / thao tác</t>
        </is>
      </c>
      <c r="C927" s="18" t="inlineStr">
        <is>
          <t>Cấu hình: fixture riêng S10, Toán=24 Đỏ và Ngữ văn=70 Không đỏ; ngưỡng cố định 30, dấu nhỏ hơn, M=100 ở cả hai mục. Không kế thừa Ngữ văn=20 của FUNC-023.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cấu hình trích xuất: lọc, ký hiệu “*” phía trước, tô màu, cấu hình trích xuất chỉ ký hiệu (“※” trước, “!” sau)
Ký hiệu trước và màu
Thao tác: 1. Chạy trích xuất cấu hình trích xuất: lọc, ký hiệu “*” phía trước, tô màu, xem dòng S10.
2. Chạy cấu hình trích xuất chỉ ký hiệu (“※” trước, “!” sau), xem dòng S10.
Khôi phục: Trước mỗi biến thể, dựng lại điều kiện/dữ liệu đầu của case bằng đường được phép; giữ các reset/fixture độc lập đã nêu trong thủ tục.</t>
        </is>
      </c>
    </row>
    <row r="928" ht="180" customHeight="1">
      <c r="A928" s="24">
        <f>HYPERLINK("#'Kiểm thử'!A"&amp;(MATCH("TC-RS-FUNC-024 / prefix-color",'Kiểm thử'!$A$5:$A$573,0)+4),"TC-RS-FUNC-024 / prefix-color")</f>
        <v/>
      </c>
      <c r="B928" s="18" t="inlineStr">
        <is>
          <t>Điều kiện / thao tác</t>
        </is>
      </c>
      <c r="C928"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29" ht="95" customHeight="1">
      <c r="A929" s="24">
        <f>HYPERLINK("#'Kiểm thử'!A"&amp;(MATCH("TC-RS-FUNC-024 / prefix-color",'Kiểm thử'!$A$5:$A$573,0)+4),"TC-RS-FUNC-024 / prefix-color")</f>
        <v/>
      </c>
      <c r="B929" s="18" t="inlineStr">
        <is>
          <t>Kết quả mong đợi</t>
        </is>
      </c>
      <c r="C929" s="18" t="inlineStr">
        <is>
          <t>1. cấu hình trích xuất: lọc, ký hiệu “*” phía trước, tô màu: ô Toán hiện `*24` với nền màu Đỏ（赤） của bảng màu; ô Ngữ văn `70` không ký hiệu, không màu; không tô cả dòng.
2. cấu hình trích xuất chỉ ký hiệu (“※” trước, “!” sau): ô Toán `※24!`; ô Ngữ văn `70`.
Bảo toàn: Giữ điểm, cấu hình và đối tượng không đích theo expected; chỉ thay phần thủ tục yêu cầu, không tự đổi oracle hoặc mở rộng phạm vi.</t>
        </is>
      </c>
    </row>
    <row r="930" ht="44" customHeight="1">
      <c r="A930" s="24">
        <f>HYPERLINK("#'Kiểm thử'!A"&amp;(MATCH("TC-RS-FUNC-024 / prefix-suffix",'Kiểm thử'!$A$5:$A$573,0)+4),"TC-RS-FUNC-024 / prefix-suffix")</f>
        <v/>
      </c>
      <c r="B930" s="18" t="inlineStr">
        <is>
          <t>Màn hình / chức năng</t>
        </is>
      </c>
      <c r="C930" s="18" t="inlineStr">
        <is>
          <t>Trích xuất thành tích（成績抽出） — Trích xuất thành tích（成績抽出）
Trích xuất: chỉ ô đỏ được thêm ký hiệu/tô màu</t>
        </is>
      </c>
    </row>
    <row r="931" ht="299" customHeight="1">
      <c r="A931" s="24">
        <f>HYPERLINK("#'Kiểm thử'!A"&amp;(MATCH("TC-RS-FUNC-024 / prefix-suffix",'Kiểm thử'!$A$5:$A$573,0)+4),"TC-RS-FUNC-024 / prefix-suffix")</f>
        <v/>
      </c>
      <c r="B931" s="18" t="inlineStr">
        <is>
          <t>Điều kiện / thao tác</t>
        </is>
      </c>
      <c r="C931" s="18" t="inlineStr">
        <is>
          <t>Cấu hình: fixture riêng S10, Toán=24 Đỏ và Ngữ văn=70 Không đỏ; ngưỡng cố định 30, dấu nhỏ hơn, M=100 ở cả hai mục. Không kế thừa Ngữ văn=20 của FUNC-023.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S10 (học lớp G-B và G-C), cấu hình trích xuất: lọc, ký hiệu “*” phía trước, tô màu, cấu hình trích xuất chỉ ký hiệu (“※” trước, “!” sau)
Ký hiệu trước và sau
Thao tác: 1. Chạy trích xuất cấu hình trích xuất: lọc, ký hiệu “*” phía trước, tô màu, xem dòng S10.
2. Chạy cấu hình trích xuất chỉ ký hiệu (“※” trước, “!” sau), xem dòng S10.
Khôi phục: Trước mỗi biến thể, dựng lại điều kiện/dữ liệu đầu của case bằng đường được phép; giữ các reset/fixture độc lập đã nêu trong thủ tục.</t>
        </is>
      </c>
    </row>
    <row r="932" ht="180" customHeight="1">
      <c r="A932" s="24">
        <f>HYPERLINK("#'Kiểm thử'!A"&amp;(MATCH("TC-RS-FUNC-024 / prefix-suffix",'Kiểm thử'!$A$5:$A$573,0)+4),"TC-RS-FUNC-024 / prefix-suffix")</f>
        <v/>
      </c>
      <c r="B932" s="18" t="inlineStr">
        <is>
          <t>Điều kiện / thao tác</t>
        </is>
      </c>
      <c r="C932"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33" ht="95" customHeight="1">
      <c r="A933" s="24">
        <f>HYPERLINK("#'Kiểm thử'!A"&amp;(MATCH("TC-RS-FUNC-024 / prefix-suffix",'Kiểm thử'!$A$5:$A$573,0)+4),"TC-RS-FUNC-024 / prefix-suffix")</f>
        <v/>
      </c>
      <c r="B933" s="18" t="inlineStr">
        <is>
          <t>Kết quả mong đợi</t>
        </is>
      </c>
      <c r="C933" s="18" t="inlineStr">
        <is>
          <t>1. cấu hình trích xuất: lọc, ký hiệu “*” phía trước, tô màu: ô Toán hiện `*24` với nền màu Đỏ（赤） của bảng màu; ô Ngữ văn `70` không ký hiệu, không màu; không tô cả dòng.
2. cấu hình trích xuất chỉ ký hiệu (“※” trước, “!” sau): ô Toán `※24!`; ô Ngữ văn `70`.
Bảo toàn: Giữ điểm, cấu hình và đối tượng không đích theo expected; chỉ thay phần thủ tục yêu cầu, không tự đổi oracle hoặc mở rộng phạm vi.</t>
        </is>
      </c>
    </row>
    <row r="934" ht="299" customHeight="1">
      <c r="A934" s="24">
        <f>HYPERLINK("#'Kiểm thử'!A"&amp;(MATCH("TC-RS-FUNC-025 / filter-on",'Kiểm thử'!$A$5:$A$573,0)+4),"TC-RS-FUNC-025 / filter-on")</f>
        <v/>
      </c>
      <c r="B934" s="18" t="inlineStr">
        <is>
          <t>Điều kiện / thao tác</t>
        </is>
      </c>
      <c r="C934" s="18" t="inlineStr">
        <is>
          <t>Cấu hình: Như case “Trích xuất: chỉ ô đỏ được thêm ký hiệu/tô màu”; S05 có ô trống.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trích xuất chỉ ký hiệu (“※” trước, “!” sau), học sinh S05 (ô trống), học sinh S10 (học lớp G-B và G-C)
Lượt ban đầu bật lọc
Thao tác: 1. Chạy trích xuất, chụp màn kết quả.
2. Xuất Excel, mở file.
3. Lặp bước 1–2 với: (a) cấu hình trích xuất chỉ ký hiệu (“※” trước, “!” sau) (lọc đỏ TẮT); (b) phạm vi không có ô đỏ nào (0 kết quả); (c) sau khi một ô Đỏ bị ngừng kết quả cũ (như case “Chưa có kết quả tổng hợp → Chưa xét được, không thay bằng 0 hay nhóm khác”, Chưa xét được); (d) mục có điểm bị ẩn theo thiết lập ẩn mục nhập (như case “Mục bị ẩn theo thiết lập ẩn mục nhập”).</t>
        </is>
      </c>
    </row>
    <row r="935" ht="214" customHeight="1">
      <c r="A935" s="24">
        <f>HYPERLINK("#'Kiểm thử'!A"&amp;(MATCH("TC-RS-FUNC-025 / filter-on",'Kiểm thử'!$A$5:$A$573,0)+4),"TC-RS-FUNC-025 / filter-on")</f>
        <v/>
      </c>
      <c r="B935" s="18" t="inlineStr">
        <is>
          <t>Điều kiện / thao tác</t>
        </is>
      </c>
      <c r="C935"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36" ht="163" customHeight="1">
      <c r="A936" s="24">
        <f>HYPERLINK("#'Kiểm thử'!A"&amp;(MATCH("TC-RS-FUNC-025 / filter-on",'Kiểm thử'!$A$5:$A$573,0)+4),"TC-RS-FUNC-025 / filter-on")</f>
        <v/>
      </c>
      <c r="B936" s="18" t="inlineStr">
        <is>
          <t>Kết quả mong đợi</t>
        </is>
      </c>
      <c r="C936" s="18" t="inlineStr">
        <is>
          <t>1–2. Danh sách học sinh trong Excel giống màn hình (lọc đỏ đang bật). Cùng ô: ký hiệu, màu nền, số liệu, ô trống trong Excel giống màn hình. Ô trống không hiện số 0. Tải Excel không kích hoạt xét.
3. Mỗi biến thể: file Excel khớp màn hình cùng lần — (a) đủ học sinh, chỉ ô đỏ có ký hiệu/màu; (b) Excel không có học sinh giống màn hình; (c) ô bị ngừng kết quả cũ không còn ký hiệu/màu; (d) điểm ẩn không hiện lại trong Excel.
Bảo toàn: Giữ điểm, cấu hình và đối tượng không đích theo expected; chỉ thay phần thủ tục yêu cầu, không tự đổi oracle hoặc mở rộng phạm vi.</t>
        </is>
      </c>
    </row>
    <row r="937" ht="299" customHeight="1">
      <c r="A937" s="24">
        <f>HYPERLINK("#'Kiểm thử'!A"&amp;(MATCH("TC-RS-FUNC-025 / filter-off",'Kiểm thử'!$A$5:$A$573,0)+4),"TC-RS-FUNC-025 / filter-off")</f>
        <v/>
      </c>
      <c r="B937" s="18" t="inlineStr">
        <is>
          <t>Điều kiện / thao tác</t>
        </is>
      </c>
      <c r="C937" s="18" t="inlineStr">
        <is>
          <t>Cấu hình: Như case “Trích xuất: chỉ ô đỏ được thêm ký hiệu/tô màu”; S05 có ô trống.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trích xuất chỉ ký hiệu (“※” trước, “!” sau), học sinh S05 (ô trống), học sinh S10 (học lớp G-B và G-C)
Nhánh a tắt lọc
Thao tác: 1. Chạy trích xuất, chụp màn kết quả.
2. Xuất Excel, mở file.
3. Lặp bước 1–2 với: (a) cấu hình trích xuất chỉ ký hiệu (“※” trước, “!” sau) (lọc đỏ TẮT); (b) phạm vi không có ô đỏ nào (0 kết quả); (c) sau khi một ô Đỏ bị ngừng kết quả cũ (như case “Chưa có kết quả tổng hợp → Chưa xét được, không thay bằng 0 hay nhóm khác”, Chưa xét được); (d) mục có điểm bị ẩn theo thiết lập ẩn mục nhập (như case “Mục bị ẩn theo thiết lập ẩn mục nhập”).</t>
        </is>
      </c>
    </row>
    <row r="938" ht="214" customHeight="1">
      <c r="A938" s="24">
        <f>HYPERLINK("#'Kiểm thử'!A"&amp;(MATCH("TC-RS-FUNC-025 / filter-off",'Kiểm thử'!$A$5:$A$573,0)+4),"TC-RS-FUNC-025 / filter-off")</f>
        <v/>
      </c>
      <c r="B938" s="18" t="inlineStr">
        <is>
          <t>Điều kiện / thao tác</t>
        </is>
      </c>
      <c r="C938"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39" ht="163" customHeight="1">
      <c r="A939" s="24">
        <f>HYPERLINK("#'Kiểm thử'!A"&amp;(MATCH("TC-RS-FUNC-025 / filter-off",'Kiểm thử'!$A$5:$A$573,0)+4),"TC-RS-FUNC-025 / filter-off")</f>
        <v/>
      </c>
      <c r="B939" s="18" t="inlineStr">
        <is>
          <t>Kết quả mong đợi</t>
        </is>
      </c>
      <c r="C939" s="18" t="inlineStr">
        <is>
          <t>1–2. Danh sách học sinh trong Excel giống màn hình (lọc đỏ đang bật). Cùng ô: ký hiệu, màu nền, số liệu, ô trống trong Excel giống màn hình. Ô trống không hiện số 0. Tải Excel không kích hoạt xét.
3. Mỗi biến thể: file Excel khớp màn hình cùng lần — (a) đủ học sinh, chỉ ô đỏ có ký hiệu/màu; (b) Excel không có học sinh giống màn hình; (c) ô bị ngừng kết quả cũ không còn ký hiệu/màu; (d) điểm ẩn không hiện lại trong Excel.
Bảo toàn: Giữ điểm, cấu hình và đối tượng không đích theo expected; chỉ thay phần thủ tục yêu cầu, không tự đổi oracle hoặc mở rộng phạm vi.</t>
        </is>
      </c>
    </row>
    <row r="940" ht="299" customHeight="1">
      <c r="A940" s="24">
        <f>HYPERLINK("#'Kiểm thử'!A"&amp;(MATCH("TC-RS-FUNC-025 / empty",'Kiểm thử'!$A$5:$A$573,0)+4),"TC-RS-FUNC-025 / empty")</f>
        <v/>
      </c>
      <c r="B940" s="18" t="inlineStr">
        <is>
          <t>Điều kiện / thao tác</t>
        </is>
      </c>
      <c r="C940" s="18" t="inlineStr">
        <is>
          <t>Cấu hình: Như case “Trích xuất: chỉ ô đỏ được thêm ký hiệu/tô màu”; S05 có ô trống.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trích xuất chỉ ký hiệu (“※” trước, “!” sau), học sinh S05 (ô trống), học sinh S10 (học lớp G-B và G-C)
Nhánh b không có ô đỏ
Thao tác: 1. Chạy trích xuất, chụp màn kết quả.
2. Xuất Excel, mở file.
3. Lặp bước 1–2 với: (a) cấu hình trích xuất chỉ ký hiệu (“※” trước, “!” sau) (lọc đỏ TẮT); (b) phạm vi không có ô đỏ nào (0 kết quả); (c) sau khi một ô Đỏ bị ngừng kết quả cũ (như case “Chưa có kết quả tổng hợp → Chưa xét được, không thay bằng 0 hay nhóm khác”, Chưa xét được); (d) mục có điểm bị ẩn theo thiết lập ẩn mục nhập (như case “Mục bị ẩn theo thiết lập ẩn mục nhập”).</t>
        </is>
      </c>
    </row>
    <row r="941" ht="214" customHeight="1">
      <c r="A941" s="24">
        <f>HYPERLINK("#'Kiểm thử'!A"&amp;(MATCH("TC-RS-FUNC-025 / empty",'Kiểm thử'!$A$5:$A$573,0)+4),"TC-RS-FUNC-025 / empty")</f>
        <v/>
      </c>
      <c r="B941" s="18" t="inlineStr">
        <is>
          <t>Điều kiện / thao tác</t>
        </is>
      </c>
      <c r="C941"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42" ht="163" customHeight="1">
      <c r="A942" s="24">
        <f>HYPERLINK("#'Kiểm thử'!A"&amp;(MATCH("TC-RS-FUNC-025 / empty",'Kiểm thử'!$A$5:$A$573,0)+4),"TC-RS-FUNC-025 / empty")</f>
        <v/>
      </c>
      <c r="B942" s="18" t="inlineStr">
        <is>
          <t>Kết quả mong đợi</t>
        </is>
      </c>
      <c r="C942" s="18" t="inlineStr">
        <is>
          <t>1–2. Danh sách học sinh trong Excel giống màn hình (lọc đỏ đang bật). Cùng ô: ký hiệu, màu nền, số liệu, ô trống trong Excel giống màn hình. Ô trống không hiện số 0. Tải Excel không kích hoạt xét.
3. Mỗi biến thể: file Excel khớp màn hình cùng lần — (a) đủ học sinh, chỉ ô đỏ có ký hiệu/màu; (b) Excel không có học sinh giống màn hình; (c) ô bị ngừng kết quả cũ không còn ký hiệu/màu; (d) điểm ẩn không hiện lại trong Excel.
Bảo toàn: Giữ điểm, cấu hình và đối tượng không đích theo expected; chỉ thay phần thủ tục yêu cầu, không tự đổi oracle hoặc mở rộng phạm vi.</t>
        </is>
      </c>
    </row>
    <row r="943" ht="299" customHeight="1">
      <c r="A943" s="24">
        <f>HYPERLINK("#'Kiểm thử'!A"&amp;(MATCH("TC-RS-FUNC-025 / stale",'Kiểm thử'!$A$5:$A$573,0)+4),"TC-RS-FUNC-025 / stale")</f>
        <v/>
      </c>
      <c r="B943" s="18" t="inlineStr">
        <is>
          <t>Điều kiện / thao tác</t>
        </is>
      </c>
      <c r="C943" s="18" t="inlineStr">
        <is>
          <t>Cấu hình: Như case “Trích xuất: chỉ ô đỏ được thêm ký hiệu/tô màu”; S05 có ô trống.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trích xuất chỉ ký hiệu (“※” trước, “!” sau), học sinh S05 (ô trống), học sinh S10 (học lớp G-B và G-C)
Nhánh c kết quả không còn hiệu lực
Thao tác: 1. Chạy trích xuất, chụp màn kết quả.
2. Xuất Excel, mở file.
3. Lặp bước 1–2 với: (a) cấu hình trích xuất chỉ ký hiệu (“※” trước, “!” sau) (lọc đỏ TẮT); (b) phạm vi không có ô đỏ nào (0 kết quả); (c) sau khi một ô Đỏ bị ngừng kết quả cũ (như case “Chưa có kết quả tổng hợp → Chưa xét được, không thay bằng 0 hay nhóm khác”, Chưa xét được); (d) mục có điểm bị ẩn theo thiết lập ẩn mục nhập (như case “Mục bị ẩn theo thiết lập ẩn mục nhập”).</t>
        </is>
      </c>
    </row>
    <row r="944" ht="214" customHeight="1">
      <c r="A944" s="24">
        <f>HYPERLINK("#'Kiểm thử'!A"&amp;(MATCH("TC-RS-FUNC-025 / stale",'Kiểm thử'!$A$5:$A$573,0)+4),"TC-RS-FUNC-025 / stale")</f>
        <v/>
      </c>
      <c r="B944" s="18" t="inlineStr">
        <is>
          <t>Điều kiện / thao tác</t>
        </is>
      </c>
      <c r="C944"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45" ht="163" customHeight="1">
      <c r="A945" s="24">
        <f>HYPERLINK("#'Kiểm thử'!A"&amp;(MATCH("TC-RS-FUNC-025 / stale",'Kiểm thử'!$A$5:$A$573,0)+4),"TC-RS-FUNC-025 / stale")</f>
        <v/>
      </c>
      <c r="B945" s="18" t="inlineStr">
        <is>
          <t>Kết quả mong đợi</t>
        </is>
      </c>
      <c r="C945" s="18" t="inlineStr">
        <is>
          <t>1–2. Danh sách học sinh trong Excel giống màn hình (lọc đỏ đang bật). Cùng ô: ký hiệu, màu nền, số liệu, ô trống trong Excel giống màn hình. Ô trống không hiện số 0. Tải Excel không kích hoạt xét.
3. Mỗi biến thể: file Excel khớp màn hình cùng lần — (a) đủ học sinh, chỉ ô đỏ có ký hiệu/màu; (b) Excel không có học sinh giống màn hình; (c) ô bị ngừng kết quả cũ không còn ký hiệu/màu; (d) điểm ẩn không hiện lại trong Excel.
Bảo toàn: Giữ điểm, cấu hình và đối tượng không đích theo expected; chỉ thay phần thủ tục yêu cầu, không tự đổi oracle hoặc mở rộng phạm vi.</t>
        </is>
      </c>
    </row>
    <row r="946" ht="299" customHeight="1">
      <c r="A946" s="24">
        <f>HYPERLINK("#'Kiểm thử'!A"&amp;(MATCH("TC-RS-FUNC-025 / hidden",'Kiểm thử'!$A$5:$A$573,0)+4),"TC-RS-FUNC-025 / hidden")</f>
        <v/>
      </c>
      <c r="B946" s="18" t="inlineStr">
        <is>
          <t>Điều kiện / thao tác</t>
        </is>
      </c>
      <c r="C946" s="18" t="inlineStr">
        <is>
          <t>Cấu hình: Như case “Trích xuất: chỉ ô đỏ được thêm ký hiệu/tô màu”; S05 có ô trống.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trích xuất chỉ ký hiệu (“※” trước, “!” sau), học sinh S05 (ô trống), học sinh S10 (học lớp G-B và G-C)
Nhánh d điểm ẩn
Thao tác: 1. Chạy trích xuất, chụp màn kết quả.
2. Xuất Excel, mở file.
3. Lặp bước 1–2 với: (a) cấu hình trích xuất chỉ ký hiệu (“※” trước, “!” sau) (lọc đỏ TẮT); (b) phạm vi không có ô đỏ nào (0 kết quả); (c) sau khi một ô Đỏ bị ngừng kết quả cũ (như case “Chưa có kết quả tổng hợp → Chưa xét được, không thay bằng 0 hay nhóm khác”, Chưa xét được); (d) mục có điểm bị ẩn theo thiết lập ẩn mục nhập (như case “Mục bị ẩn theo thiết lập ẩn mục nhập”).</t>
        </is>
      </c>
    </row>
    <row r="947" ht="214" customHeight="1">
      <c r="A947" s="24">
        <f>HYPERLINK("#'Kiểm thử'!A"&amp;(MATCH("TC-RS-FUNC-025 / hidden",'Kiểm thử'!$A$5:$A$573,0)+4),"TC-RS-FUNC-025 / hidden")</f>
        <v/>
      </c>
      <c r="B947" s="18" t="inlineStr">
        <is>
          <t>Điều kiện / thao tác</t>
        </is>
      </c>
      <c r="C947"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48" ht="163" customHeight="1">
      <c r="A948" s="24">
        <f>HYPERLINK("#'Kiểm thử'!A"&amp;(MATCH("TC-RS-FUNC-025 / hidden",'Kiểm thử'!$A$5:$A$573,0)+4),"TC-RS-FUNC-025 / hidden")</f>
        <v/>
      </c>
      <c r="B948" s="18" t="inlineStr">
        <is>
          <t>Kết quả mong đợi</t>
        </is>
      </c>
      <c r="C948" s="18" t="inlineStr">
        <is>
          <t>1–2. Danh sách học sinh trong Excel giống màn hình (lọc đỏ đang bật). Cùng ô: ký hiệu, màu nền, số liệu, ô trống trong Excel giống màn hình. Ô trống không hiện số 0. Tải Excel không kích hoạt xét.
3. Mỗi biến thể: file Excel khớp màn hình cùng lần — (a) đủ học sinh, chỉ ô đỏ có ký hiệu/màu; (b) Excel không có học sinh giống màn hình; (c) ô bị ngừng kết quả cũ không còn ký hiệu/màu; (d) điểm ẩn không hiện lại trong Excel.
Bảo toàn: Giữ điểm, cấu hình và đối tượng không đích theo expected; chỉ thay phần thủ tục yêu cầu, không tự đổi oracle hoặc mở rộng phạm vi.</t>
        </is>
      </c>
    </row>
    <row r="949" ht="44" customHeight="1">
      <c r="A949" s="24">
        <f>HYPERLINK("#'Kiểm thử'!A"&amp;(MATCH("TC-RS-VAL-017 / prefix",'Kiểm thử'!$A$5:$A$573,0)+4),"TC-RS-VAL-017 / prefix")</f>
        <v/>
      </c>
      <c r="B949" s="18" t="inlineStr">
        <is>
          <t>Màn hình / chức năng</t>
        </is>
      </c>
      <c r="C949" s="18" t="inlineStr">
        <is>
          <t>Trích xuất thành tích（成績抽出） — Trích xuất thành tích（成績抽出）
Trích xuất: bật ký hiệu thì bắt buộc nhập ký hiệu</t>
        </is>
      </c>
    </row>
    <row r="950" ht="299" customHeight="1">
      <c r="A950" s="24">
        <f>HYPERLINK("#'Kiểm thử'!A"&amp;(MATCH("TC-RS-VAL-017 / prefix",'Kiểm thử'!$A$5:$A$573,0)+4),"TC-RS-VAL-017 / prefix")</f>
        <v/>
      </c>
      <c r="B950" s="18" t="inlineStr">
        <is>
          <t>Điều kiện / thao tác</t>
        </is>
      </c>
      <c r="C950" s="18" t="inlineStr">
        <is>
          <t>Cấu hình: Mở Trích xuất thành tích（成績抽出）,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Ký hiệu đầu BẬT, ô trống; ký hiệu cuối BẬT, ô trống
Ký hiệu trước trống
Thao tác: Chạy trích xuất với từng biến thể.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951" ht="129" customHeight="1">
      <c r="A951" s="24">
        <f>HYPERLINK("#'Kiểm thử'!A"&amp;(MATCH("TC-RS-VAL-017 / prefix",'Kiểm thử'!$A$5:$A$573,0)+4),"TC-RS-VAL-017 / prefix")</f>
        <v/>
      </c>
      <c r="B951" s="18" t="inlineStr">
        <is>
          <t>Điều kiện / thao tác</t>
        </is>
      </c>
      <c r="C951"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52" ht="44" customHeight="1">
      <c r="A952" s="24">
        <f>HYPERLINK("#'Kiểm thử'!A"&amp;(MATCH("TC-RS-VAL-017 / suffix",'Kiểm thử'!$A$5:$A$573,0)+4),"TC-RS-VAL-017 / suffix")</f>
        <v/>
      </c>
      <c r="B952" s="18" t="inlineStr">
        <is>
          <t>Màn hình / chức năng</t>
        </is>
      </c>
      <c r="C952" s="18" t="inlineStr">
        <is>
          <t>Trích xuất thành tích（成績抽出） — Trích xuất thành tích（成績抽出）
Trích xuất: bật ký hiệu thì bắt buộc nhập ký hiệu</t>
        </is>
      </c>
    </row>
    <row r="953" ht="299" customHeight="1">
      <c r="A953" s="24">
        <f>HYPERLINK("#'Kiểm thử'!A"&amp;(MATCH("TC-RS-VAL-017 / suffix",'Kiểm thử'!$A$5:$A$573,0)+4),"TC-RS-VAL-017 / suffix")</f>
        <v/>
      </c>
      <c r="B953" s="18" t="inlineStr">
        <is>
          <t>Điều kiện / thao tác</t>
        </is>
      </c>
      <c r="C953" s="18" t="inlineStr">
        <is>
          <t>Cấu hình: Mở Trích xuất thành tích（成績抽出）,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Ký hiệu đầu BẬT, ô trống; ký hiệu cuối BẬT, ô trống
Ký hiệu sau trống
Thao tác: Chạy trích xuất với từng biến thể.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954" ht="129" customHeight="1">
      <c r="A954" s="24">
        <f>HYPERLINK("#'Kiểm thử'!A"&amp;(MATCH("TC-RS-VAL-017 / suffix",'Kiểm thử'!$A$5:$A$573,0)+4),"TC-RS-VAL-017 / suffix")</f>
        <v/>
      </c>
      <c r="B954" s="18" t="inlineStr">
        <is>
          <t>Điều kiện / thao tác</t>
        </is>
      </c>
      <c r="C954"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55" ht="299" customHeight="1">
      <c r="A955" s="24">
        <f>HYPERLINK("#'Kiểm thử'!A"&amp;(MATCH("TC-RS-UI-020 / Base",'Kiểm thử'!$A$5:$A$573,0)+4),"TC-RS-UI-020 / Base")</f>
        <v/>
      </c>
      <c r="B955" s="18" t="inlineStr">
        <is>
          <t>Điều kiện / thao tác</t>
        </is>
      </c>
      <c r="C955" s="18" t="inlineStr">
        <is>
          <t>Cấu hình: tài khoản phụ trách đầu ra (trích xuất, công khai, phiếu điểm); mục số nguyên (M=100) có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cấu hình trích xuất: lọc, ký hiệu “*” phía trước, tô màu
Toàn bộ thủ tục theo đúng thứ tự; các đối chứng cùng fixture được kiểm trong cùng lượt, không bỏ bước
Thao tác: 1. Mở Trích xuất thành tích（成績抽出）→ Thiết lập mục hiển thị（表示項目設定）→ chi tiết mục Điểm đánh giá（評点） kỳ Cuối kỳ học kỳ 1（1学期期末）.
2. Ghi lại vị trí và nhãn các tùy chọn đỏ.
Khôi phục: Trước mỗi biến thể, dựng lại điều kiện/dữ liệu đầu của case bằng đường được phép; giữ các reset/fixture độc lập đã nêu trong thủ tục.</t>
        </is>
      </c>
    </row>
    <row r="956" ht="180" customHeight="1">
      <c r="A956" s="24">
        <f>HYPERLINK("#'Kiểm thử'!A"&amp;(MATCH("TC-RS-UI-020 / Base",'Kiểm thử'!$A$5:$A$573,0)+4),"TC-RS-UI-020 / Base")</f>
        <v/>
      </c>
      <c r="B956" s="18" t="inlineStr">
        <is>
          <t>Điều kiện / thao tác</t>
        </is>
      </c>
      <c r="C956"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57" ht="146" customHeight="1">
      <c r="A957" s="24">
        <f>HYPERLINK("#'Kiểm thử'!A"&amp;(MATCH("TC-RS-UI-020 / Base",'Kiểm thử'!$A$5:$A$573,0)+4),"TC-RS-UI-020 / Base")</f>
        <v/>
      </c>
      <c r="B957" s="18" t="inlineStr">
        <is>
          <t>Kết quả mong đợi</t>
        </is>
      </c>
      <c r="C957" s="18" t="inlineStr">
        <is>
          <t>Theo specification v2 mục 9.1, có bốn tùy chọn độc lập: lọc học sinh có điểm đỏ, ký hiệu phía trước, ký hiệu phía sau và tô màu ô; màu chỉ chọn từ bảng màu hiện có. Vị trí và nhãn cụ thể trên UI theo Figma chỉ là tham khảo, không thay đổi oracle nghiệp vụ.
Không đánh giá nhãn/vị trí cụ thể của Figma như một oracle riêng; chỉ kiểm tra đủ bốn tùy chọn nghiệp vụ và việc lưu/mở lại đúng giá trị.
Bảo toàn: Giữ điểm, cấu hình và đối tượng không đích theo expected; chỉ thay phần thủ tục yêu cầu, không tự đổi oracle hoặc mở rộng phạm vi.</t>
        </is>
      </c>
    </row>
    <row r="958" ht="44" customHeight="1">
      <c r="A958" s="24">
        <f>HYPERLINK("#'Kiểm thử'!A"&amp;(MATCH("TC-RS-UI-021 / empty",'Kiểm thử'!$A$5:$A$573,0)+4),"TC-RS-UI-021 / empty")</f>
        <v/>
      </c>
      <c r="B958" s="18" t="inlineStr">
        <is>
          <t>Màn hình / chức năng</t>
        </is>
      </c>
      <c r="C958" s="18" t="inlineStr">
        <is>
          <t>Trích xuất thành tích（成績抽出） — Trích xuất thành tích（成績抽出）
Trích xuất: kết quả 0 học sinh và hiển thị ô đỏ số thập phân</t>
        </is>
      </c>
    </row>
    <row r="959" ht="299" customHeight="1">
      <c r="A959" s="24">
        <f>HYPERLINK("#'Kiểm thử'!A"&amp;(MATCH("TC-RS-UI-021 / empty",'Kiểm thử'!$A$5:$A$573,0)+4),"TC-RS-UI-021 / empty")</f>
        <v/>
      </c>
      <c r="B959" s="18" t="inlineStr">
        <is>
          <t>Điều kiện / thao tác</t>
        </is>
      </c>
      <c r="C959" s="18" t="inlineStr">
        <is>
          <t>Cấu hình: cấu hình trích xuất: lọc, ký hiệu “*” phía trước, tô màu.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(a) Không ô đỏ nào; (b) học sinh điểm 23.9 Đỏ (mục thập phân)
Fixture a không ô đỏ
Thao tác: Chạy trích xuất cho (a), (b).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960" ht="129" customHeight="1">
      <c r="A960" s="24">
        <f>HYPERLINK("#'Kiểm thử'!A"&amp;(MATCH("TC-RS-UI-021 / empty",'Kiểm thử'!$A$5:$A$573,0)+4),"TC-RS-UI-021 / empty")</f>
        <v/>
      </c>
      <c r="B960" s="18" t="inlineStr">
        <is>
          <t>Điều kiện / thao tác</t>
        </is>
      </c>
      <c r="C960"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61" ht="44" customHeight="1">
      <c r="A961" s="24">
        <f>HYPERLINK("#'Kiểm thử'!A"&amp;(MATCH("TC-RS-UI-021 / decimal",'Kiểm thử'!$A$5:$A$573,0)+4),"TC-RS-UI-021 / decimal")</f>
        <v/>
      </c>
      <c r="B961" s="18" t="inlineStr">
        <is>
          <t>Màn hình / chức năng</t>
        </is>
      </c>
      <c r="C961" s="18" t="inlineStr">
        <is>
          <t>Trích xuất thành tích（成績抽出） — Trích xuất thành tích（成績抽出）
Trích xuất: kết quả 0 học sinh và hiển thị ô đỏ số thập phân</t>
        </is>
      </c>
    </row>
    <row r="962" ht="299" customHeight="1">
      <c r="A962" s="24">
        <f>HYPERLINK("#'Kiểm thử'!A"&amp;(MATCH("TC-RS-UI-021 / decimal",'Kiểm thử'!$A$5:$A$573,0)+4),"TC-RS-UI-021 / decimal")</f>
        <v/>
      </c>
      <c r="B962" s="18" t="inlineStr">
        <is>
          <t>Điều kiện / thao tác</t>
        </is>
      </c>
      <c r="C962" s="18" t="inlineStr">
        <is>
          <t>Cấu hình: cấu hình trích xuất: lọc, ký hiệu “*” phía trước, tô màu.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(a) Không ô đỏ nào; (b) học sinh điểm 23.9 Đỏ (mục thập phân)
Fixture b điểm thập phân 23.9
Thao tác: Chạy trích xuất cho (a), (b).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963" ht="129" customHeight="1">
      <c r="A963" s="24">
        <f>HYPERLINK("#'Kiểm thử'!A"&amp;(MATCH("TC-RS-UI-021 / decimal",'Kiểm thử'!$A$5:$A$573,0)+4),"TC-RS-UI-021 / decimal")</f>
        <v/>
      </c>
      <c r="B963" s="18" t="inlineStr">
        <is>
          <t>Điều kiện / thao tác</t>
        </is>
      </c>
      <c r="C963" s="18" t="inlineStr">
        <is>
          <t xml:space="preserve">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64" ht="44" customHeight="1">
      <c r="A964" s="24">
        <f>HYPERLINK("#'Kiểm thử'!A"&amp;(MATCH("TC-RS-ERR-013 / Base",'Kiểm thử'!$A$5:$A$573,0)+4),"TC-RS-ERR-013 / Base")</f>
        <v/>
      </c>
      <c r="B964" s="18" t="inlineStr">
        <is>
          <t>Màn hình / chức năng</t>
        </is>
      </c>
      <c r="C964" s="18" t="inlineStr">
        <is>
          <t>Trích xuất thành tích（成績抽出） — Trích xuất thành tích（成績抽出）
Trích xuất: ô vừa thỏa điều kiện màu khác vừa là ô đỏ</t>
        </is>
      </c>
    </row>
    <row r="965" ht="299" customHeight="1">
      <c r="A965" s="24">
        <f>HYPERLINK("#'Kiểm thử'!A"&amp;(MATCH("TC-RS-ERR-013 / Base",'Kiểm thử'!$A$5:$A$573,0)+4),"TC-RS-ERR-013 / Base")</f>
        <v/>
      </c>
      <c r="B965" s="18" t="inlineStr">
        <is>
          <t>Điều kiện / thao tác</t>
        </is>
      </c>
      <c r="C965" s="18" t="inlineStr">
        <is>
          <t>Cấu hình: Mục có điều kiện Khoảng điểm（点数範囲） 0–30 tô Vàng（黄） và điều kiện đỏ tô Đỏ（赤）, ký hiệu `*`.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(29)
Toàn bộ thủ tục theo đúng thứ tự; các đối chứng cùng fixture được kiểm trong cùng lượt, không bỏ bước
Thao tác: Chạy trích xuất, xuất Excel.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966" ht="197" customHeight="1">
      <c r="A966" s="24">
        <f>HYPERLINK("#'Kiểm thử'!A"&amp;(MATCH("TC-RS-ERR-013 / Base",'Kiểm thử'!$A$5:$A$573,0)+4),"TC-RS-ERR-013 / Base")</f>
        <v/>
      </c>
      <c r="B966" s="18" t="inlineStr">
        <is>
          <t>Điều kiện / thao tác</t>
        </is>
      </c>
      <c r="C966" s="18" t="inlineStr">
        <is>
          <t>ược kết luận đã chạy.
Kỳ vọng: Chờ xác nhận
Chuẩn bị: Đang chuẩn bị
Chỉ là quan sát; kỳ vọng hoặc điều kiện kiểm chưa được xác nhận.
Khoảng trống: Phần kỳ vọng chưa chốt trong bản nguồn: TBD (chưa chốt) cho màu cuối. CONFIRMED phần không tranh chấp: điều kiện Khoảng điểm vẫn giữ nghĩa cũ; màn hình và Excel cho cùng kết quả.
TC-RS-ERR-013: giữ Awaiting decision; xác định oracle trước khi đánh giá PASS/FAIL.
Khoảng trống: Chưa có xác minh fixture, đường thực hiện và phép quan sát trên build của từng case chưa đánh giá.
Giữ Draft; chỉ chuyển Ready khi chuẩn bị và seam của đúng case đã được xác minh.</t>
        </is>
      </c>
    </row>
    <row r="967" ht="44" customHeight="1">
      <c r="A967" s="24">
        <f>HYPERLINK("#'Kiểm thử'!A"&amp;(MATCH("TC-RS-REG-006 / color",'Kiểm thử'!$A$5:$A$573,0)+4),"TC-RS-REG-006 / color")</f>
        <v/>
      </c>
      <c r="B967" s="18" t="inlineStr">
        <is>
          <t>Màn hình / chức năng</t>
        </is>
      </c>
      <c r="C967" s="18" t="inlineStr">
        <is>
          <t>Trích xuất thành tích（成績抽出） — Trích xuất thành tích（成績抽出）
Trích xuất: mẫu hiện có không cấu hình đỏ cho kết quả như trước</t>
        </is>
      </c>
    </row>
    <row r="968" ht="299" customHeight="1">
      <c r="A968" s="24">
        <f>HYPERLINK("#'Kiểm thử'!A"&amp;(MATCH("TC-RS-REG-006 / color",'Kiểm thử'!$A$5:$A$573,0)+4),"TC-RS-REG-006 / color")</f>
        <v/>
      </c>
      <c r="B968" s="18" t="inlineStr">
        <is>
          <t>Điều kiện / thao tác</t>
        </is>
      </c>
      <c r="C968" s="18" t="inlineStr">
        <is>
          <t xml:space="preserve">Cấu hình: Ba mẫu trích xuất hiện có (có Khoảng điểm（点数範囲） tô màu, có lọc, có ký hiệu). Baseline màn và Excel. Mục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S01–S10
Mẫu tô màu
Thao tác: 1. Chạy lại ba mẫu, xuất Excel, so với baseline.
2. Mở màn tạo mẫu trích xuất mới, Thiết lập công khai thành tích（成績公開設定） chưa từng lưu hiệu ứng đỏ, và dòng Thiết lập điểm đỏ（赤点設定） của một bảng phiếu điểm mới.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969" ht="146" customHeight="1">
      <c r="A969" s="24">
        <f>HYPERLINK("#'Kiểm thử'!A"&amp;(MATCH("TC-RS-REG-006 / color",'Kiểm thử'!$A$5:$A$573,0)+4),"TC-RS-REG-006 / color")</f>
        <v/>
      </c>
      <c r="B969" s="18" t="inlineStr">
        <is>
          <t>Điều kiện / thao tác</t>
        </is>
      </c>
      <c r="C969"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70" ht="129" customHeight="1">
      <c r="A970" s="24">
        <f>HYPERLINK("#'Kiểm thử'!A"&amp;(MATCH("TC-RS-REG-006 / color",'Kiểm thử'!$A$5:$A$573,0)+4),"TC-RS-REG-006 / color")</f>
        <v/>
      </c>
      <c r="B970" s="18" t="inlineStr">
        <is>
          <t>Kết quả mong đợi</t>
        </is>
      </c>
      <c r="C970" s="18" t="inlineStr">
        <is>
          <t>1. Danh sách học sinh, giá trị, ký hiệu, màu và định dạng Excel bằng baseline (mẫu chưa bật tùy chọn đỏ).
2. (PROPOSED) Trích xuất: lọc đỏ và các hiệu ứng đỏ mặc định TẮT; công khai: chưa chọn hiệu ứng đỏ nào, và khi chưa cấu hình thì màn học sinh vẫn hiển thị như hiện có dù mục có ô Đỏ; phiếu điểm: Nguyên trạng（そのまま表示）.
Bảo toàn: Giữ điểm, cấu hình và đối tượng không đích theo expected; chỉ thay phần thủ tục yêu cầu, không tự đổi oracle hoặc mở rộng phạm vi.</t>
        </is>
      </c>
    </row>
    <row r="971" ht="44" customHeight="1">
      <c r="A971" s="24">
        <f>HYPERLINK("#'Kiểm thử'!A"&amp;(MATCH("TC-RS-REG-006 / filter",'Kiểm thử'!$A$5:$A$573,0)+4),"TC-RS-REG-006 / filter")</f>
        <v/>
      </c>
      <c r="B971" s="18" t="inlineStr">
        <is>
          <t>Màn hình / chức năng</t>
        </is>
      </c>
      <c r="C971" s="18" t="inlineStr">
        <is>
          <t>Trích xuất thành tích（成績抽出） — Trích xuất thành tích（成績抽出）
Trích xuất: mẫu hiện có không cấu hình đỏ cho kết quả như trước</t>
        </is>
      </c>
    </row>
    <row r="972" ht="299" customHeight="1">
      <c r="A972" s="24">
        <f>HYPERLINK("#'Kiểm thử'!A"&amp;(MATCH("TC-RS-REG-006 / filter",'Kiểm thử'!$A$5:$A$573,0)+4),"TC-RS-REG-006 / filter")</f>
        <v/>
      </c>
      <c r="B972" s="18" t="inlineStr">
        <is>
          <t>Điều kiện / thao tác</t>
        </is>
      </c>
      <c r="C972" s="18" t="inlineStr">
        <is>
          <t xml:space="preserve">Cấu hình: Ba mẫu trích xuất hiện có (có Khoảng điểm（点数範囲） tô màu, có lọc, có ký hiệu). Baseline màn và Excel. Mục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S01–S10
Mẫu lọc
Thao tác: 1. Chạy lại ba mẫu, xuất Excel, so với baseline.
2. Mở màn tạo mẫu trích xuất mới, Thiết lập công khai thành tích（成績公開設定） chưa từng lưu hiệu ứng đỏ, và dòng Thiết lập điểm đỏ（赤点設定） của một bảng phiếu điểm mới.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973" ht="146" customHeight="1">
      <c r="A973" s="24">
        <f>HYPERLINK("#'Kiểm thử'!A"&amp;(MATCH("TC-RS-REG-006 / filter",'Kiểm thử'!$A$5:$A$573,0)+4),"TC-RS-REG-006 / filter")</f>
        <v/>
      </c>
      <c r="B973" s="18" t="inlineStr">
        <is>
          <t>Điều kiện / thao tác</t>
        </is>
      </c>
      <c r="C97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74" ht="129" customHeight="1">
      <c r="A974" s="24">
        <f>HYPERLINK("#'Kiểm thử'!A"&amp;(MATCH("TC-RS-REG-006 / filter",'Kiểm thử'!$A$5:$A$573,0)+4),"TC-RS-REG-006 / filter")</f>
        <v/>
      </c>
      <c r="B974" s="18" t="inlineStr">
        <is>
          <t>Kết quả mong đợi</t>
        </is>
      </c>
      <c r="C974" s="18" t="inlineStr">
        <is>
          <t>1. Danh sách học sinh, giá trị, ký hiệu, màu và định dạng Excel bằng baseline (mẫu chưa bật tùy chọn đỏ).
2. (PROPOSED) Trích xuất: lọc đỏ và các hiệu ứng đỏ mặc định TẮT; công khai: chưa chọn hiệu ứng đỏ nào, và khi chưa cấu hình thì màn học sinh vẫn hiển thị như hiện có dù mục có ô Đỏ; phiếu điểm: Nguyên trạng（そのまま表示）.
Bảo toàn: Giữ điểm, cấu hình và đối tượng không đích theo expected; chỉ thay phần thủ tục yêu cầu, không tự đổi oracle hoặc mở rộng phạm vi.</t>
        </is>
      </c>
    </row>
    <row r="975" ht="44" customHeight="1">
      <c r="A975" s="24">
        <f>HYPERLINK("#'Kiểm thử'!A"&amp;(MATCH("TC-RS-REG-006 / symbol",'Kiểm thử'!$A$5:$A$573,0)+4),"TC-RS-REG-006 / symbol")</f>
        <v/>
      </c>
      <c r="B975" s="18" t="inlineStr">
        <is>
          <t>Màn hình / chức năng</t>
        </is>
      </c>
      <c r="C975" s="18" t="inlineStr">
        <is>
          <t>Trích xuất thành tích（成績抽出） — Trích xuất thành tích（成績抽出）
Trích xuất: mẫu hiện có không cấu hình đỏ cho kết quả như trước</t>
        </is>
      </c>
    </row>
    <row r="976" ht="299" customHeight="1">
      <c r="A976" s="24">
        <f>HYPERLINK("#'Kiểm thử'!A"&amp;(MATCH("TC-RS-REG-006 / symbol",'Kiểm thử'!$A$5:$A$573,0)+4),"TC-RS-REG-006 / symbol")</f>
        <v/>
      </c>
      <c r="B976" s="18" t="inlineStr">
        <is>
          <t>Điều kiện / thao tác</t>
        </is>
      </c>
      <c r="C976" s="18" t="inlineStr">
        <is>
          <t xml:space="preserve">Cấu hình: Ba mẫu trích xuất hiện có (có Khoảng điểm（点数範囲） tô màu, có lọc, có ký hiệu). Baseline màn và Excel. Mục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S01–S10
Mẫu ký hiệu
Thao tác: 1. Chạy lại ba mẫu, xuất Excel, so với baseline.
2. Mở màn tạo mẫu trích xuất mới, Thiết lập công khai thành tích（成績公開設定） chưa từng lưu hiệu ứng đỏ, và dòng Thiết lập điểm đỏ（赤点設定） của một bảng phiếu điểm mới.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977" ht="146" customHeight="1">
      <c r="A977" s="24">
        <f>HYPERLINK("#'Kiểm thử'!A"&amp;(MATCH("TC-RS-REG-006 / symbol",'Kiểm thử'!$A$5:$A$573,0)+4),"TC-RS-REG-006 / symbol")</f>
        <v/>
      </c>
      <c r="B977" s="18" t="inlineStr">
        <is>
          <t>Điều kiện / thao tác</t>
        </is>
      </c>
      <c r="C977"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78" ht="129" customHeight="1">
      <c r="A978" s="24">
        <f>HYPERLINK("#'Kiểm thử'!A"&amp;(MATCH("TC-RS-REG-006 / symbol",'Kiểm thử'!$A$5:$A$573,0)+4),"TC-RS-REG-006 / symbol")</f>
        <v/>
      </c>
      <c r="B978" s="18" t="inlineStr">
        <is>
          <t>Kết quả mong đợi</t>
        </is>
      </c>
      <c r="C978" s="18" t="inlineStr">
        <is>
          <t>1. Danh sách học sinh, giá trị, ký hiệu, màu và định dạng Excel bằng baseline (mẫu chưa bật tùy chọn đỏ).
2. (PROPOSED) Trích xuất: lọc đỏ và các hiệu ứng đỏ mặc định TẮT; công khai: chưa chọn hiệu ứng đỏ nào, và khi chưa cấu hình thì màn học sinh vẫn hiển thị như hiện có dù mục có ô Đỏ; phiếu điểm: Nguyên trạng（そのまま表示）.
Bảo toàn: Giữ điểm, cấu hình và đối tượng không đích theo expected; chỉ thay phần thủ tục yêu cầu, không tự đổi oracle hoặc mở rộng phạm vi.</t>
        </is>
      </c>
    </row>
    <row r="979" ht="44" customHeight="1">
      <c r="A979" s="24">
        <f>HYPERLINK("#'Kiểm thử'!A"&amp;(MATCH("TC-RS-REG-006 / defaults",'Kiểm thử'!$A$5:$A$573,0)+4),"TC-RS-REG-006 / defaults")</f>
        <v/>
      </c>
      <c r="B979" s="18" t="inlineStr">
        <is>
          <t>Màn hình / chức năng</t>
        </is>
      </c>
      <c r="C979" s="18" t="inlineStr">
        <is>
          <t>Trích xuất thành tích（成績抽出） — Trích xuất thành tích（成績抽出）
Trích xuất: mẫu hiện có không cấu hình đỏ cho kết quả như trước</t>
        </is>
      </c>
    </row>
    <row r="980" ht="299" customHeight="1">
      <c r="A980" s="24">
        <f>HYPERLINK("#'Kiểm thử'!A"&amp;(MATCH("TC-RS-REG-006 / defaults",'Kiểm thử'!$A$5:$A$573,0)+4),"TC-RS-REG-006 / defaults")</f>
        <v/>
      </c>
      <c r="B980" s="18" t="inlineStr">
        <is>
          <t>Điều kiện / thao tác</t>
        </is>
      </c>
      <c r="C980" s="18" t="inlineStr">
        <is>
          <t xml:space="preserve">Cấu hình: Ba mẫu trích xuất hiện có (có Khoảng điểm（点数範囲） tô màu, có lọc, có ký hiệu). Baseline màn và Excel. Mục có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S01–S10
Bước 2 các cấu hình mới, phần đề xuất
Thao tác: 1. Chạy lại ba mẫu, xuất Excel, so với baseline.
2. Mở màn tạo mẫu trích xuất mới, Thiết lập công khai thành tích（成績公開設定） chưa từng lưu hiệu ứng đỏ, và dòng Thiết lập điểm đỏ（赤点設定） của một bảng phiếu điểm mới.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981" ht="146" customHeight="1">
      <c r="A981" s="24">
        <f>HYPERLINK("#'Kiểm thử'!A"&amp;(MATCH("TC-RS-REG-006 / defaults",'Kiểm thử'!$A$5:$A$573,0)+4),"TC-RS-REG-006 / defaults")</f>
        <v/>
      </c>
      <c r="B981" s="18" t="inlineStr">
        <is>
          <t>Điều kiện / thao tác</t>
        </is>
      </c>
      <c r="C981"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82" ht="129" customHeight="1">
      <c r="A982" s="24">
        <f>HYPERLINK("#'Kiểm thử'!A"&amp;(MATCH("TC-RS-REG-006 / defaults",'Kiểm thử'!$A$5:$A$573,0)+4),"TC-RS-REG-006 / defaults")</f>
        <v/>
      </c>
      <c r="B982" s="18" t="inlineStr">
        <is>
          <t>Kết quả mong đợi</t>
        </is>
      </c>
      <c r="C982" s="18" t="inlineStr">
        <is>
          <t>1. Danh sách học sinh, giá trị, ký hiệu, màu và định dạng Excel bằng baseline (mẫu chưa bật tùy chọn đỏ).
2. (PROPOSED) Trích xuất: lọc đỏ và các hiệu ứng đỏ mặc định TẮT; công khai: chưa chọn hiệu ứng đỏ nào, và khi chưa cấu hình thì màn học sinh vẫn hiển thị như hiện có dù mục có ô Đỏ; phiếu điểm: Nguyên trạng（そのまま表示）.
Bảo toàn: Giữ điểm, cấu hình và đối tượng không đích theo expected; chỉ thay phần thủ tục yêu cầu, không tự đổi oracle hoặc mở rộng phạm vi.</t>
        </is>
      </c>
    </row>
    <row r="983" ht="44" customHeight="1">
      <c r="A983" s="24">
        <f>HYPERLINK("#'Kiểm thử'!A"&amp;(MATCH("TC-RS-FUNC-026 / parentheses",'Kiểm thử'!$A$5:$A$573,0)+4),"TC-RS-FUNC-026 / parentheses")</f>
        <v/>
      </c>
      <c r="B983" s="18" t="inlineStr">
        <is>
          <t>Màn hình / chức năng</t>
        </is>
      </c>
      <c r="C983" s="18" t="inlineStr">
        <is>
          <t>Công khai thành tích（成績公開） — Công khai thành tích（成績公開）
Công khai thành tích（成績公開）: ba hiệu ứng đỏ hiển thị đúng ở màn học sinh</t>
        </is>
      </c>
    </row>
    <row r="984" ht="299" customHeight="1">
      <c r="A984" s="24">
        <f>HYPERLINK("#'Kiểm thử'!A"&amp;(MATCH("TC-RS-FUNC-026 / parentheses",'Kiểm thử'!$A$5:$A$573,0)+4),"TC-RS-FUNC-026 / parentheses")</f>
        <v/>
      </c>
      <c r="B984" s="18" t="inlineStr">
        <is>
          <t>Điều kiện / thao tác</t>
        </is>
      </c>
      <c r="C984" s="18" t="inlineStr">
        <is>
          <t>Cấu hình: S01 Đỏ (29), không phải điểm dự kiến. Lịch công khai đang mở.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điểm đơn vị (đơn vị U1 có M riêng 40); học sinh S01 (điểm 29), học sinh S06 (điểm dự kiến 24), tài khoản học sinh S01, tài khoản phụ trách đầu ra (trích xuất, công khai, phiếu điểm)
Hiệu ứng ngoặc
Thao tác: 1. Ở Thiết lập công khai thành tích（成績公開設定）, mục mục số nguyên (M=100), chọn hiệu ứng đỏ Ngoặc（括弧）, lưu. Đăng nhập S01 xem Xác nhận thành tích（成績確認）.
2. Lặp với `*` phía trước.
3. Lặp với `*` phía sau.
4. Mở lại Thiết lập công khai thành tích.</t>
        </is>
      </c>
    </row>
    <row r="985" ht="248" customHeight="1">
      <c r="A985" s="24">
        <f>HYPERLINK("#'Kiểm thử'!A"&amp;(MATCH("TC-RS-FUNC-026 / parentheses",'Kiểm thử'!$A$5:$A$573,0)+4),"TC-RS-FUNC-026 / parentheses")</f>
        <v/>
      </c>
      <c r="B985" s="18" t="inlineStr">
        <is>
          <t>Điều kiện / thao tác</t>
        </is>
      </c>
      <c r="C985" s="18" t="inlineStr">
        <is>
          <t xml:space="preserve">
5. Với mục điểm đơn vị mục điểm đơn vị (đơn vị U1 có M riêng 40) (S06 U1 = 25 Đỏ), chọn `*` phía trước, lưu; đăng nhập S06 xem.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86" ht="112" customHeight="1">
      <c r="A986" s="24">
        <f>HYPERLINK("#'Kiểm thử'!A"&amp;(MATCH("TC-RS-FUNC-026 / parentheses",'Kiểm thử'!$A$5:$A$573,0)+4),"TC-RS-FUNC-026 / parentheses")</f>
        <v/>
      </c>
      <c r="B986" s="18" t="inlineStr">
        <is>
          <t>Kết quả mong đợi</t>
        </is>
      </c>
      <c r="C986" s="18" t="inlineStr">
        <is>
          <t>1–3. Lần lượt `(29)`, `*29`, `29*`. Không có nền màu riêng cho ô đỏ.
4. Hiệu ứng đã lưu gần nhất (`*` phía sau) được chọn sẵn.
5. Ô U1 hiện `*25`; ô U2 không ký hiệu.
Bảo toàn: Giữ điểm, cấu hình và đối tượng không đích theo expected; chỉ thay phần thủ tục yêu cầu, không tự đổi oracle hoặc mở rộng phạm vi.</t>
        </is>
      </c>
    </row>
    <row r="987" ht="44" customHeight="1">
      <c r="A987" s="24">
        <f>HYPERLINK("#'Kiểm thử'!A"&amp;(MATCH("TC-RS-FUNC-026 / prefix",'Kiểm thử'!$A$5:$A$573,0)+4),"TC-RS-FUNC-026 / prefix")</f>
        <v/>
      </c>
      <c r="B987" s="18" t="inlineStr">
        <is>
          <t>Màn hình / chức năng</t>
        </is>
      </c>
      <c r="C987" s="18" t="inlineStr">
        <is>
          <t>Công khai thành tích（成績公開） — Công khai thành tích（成績公開）
Công khai thành tích（成績公開）: ba hiệu ứng đỏ hiển thị đúng ở màn học sinh</t>
        </is>
      </c>
    </row>
    <row r="988" ht="299" customHeight="1">
      <c r="A988" s="24">
        <f>HYPERLINK("#'Kiểm thử'!A"&amp;(MATCH("TC-RS-FUNC-026 / prefix",'Kiểm thử'!$A$5:$A$573,0)+4),"TC-RS-FUNC-026 / prefix")</f>
        <v/>
      </c>
      <c r="B988" s="18" t="inlineStr">
        <is>
          <t>Điều kiện / thao tác</t>
        </is>
      </c>
      <c r="C988" s="18" t="inlineStr">
        <is>
          <t>Cấu hình: S01 Đỏ (29), không phải điểm dự kiến. Lịch công khai đang mở.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điểm đơn vị (đơn vị U1 có M riêng 40); học sinh S01 (điểm 29), học sinh S06 (điểm dự kiến 24), tài khoản học sinh S01, tài khoản phụ trách đầu ra (trích xuất, công khai, phiếu điểm)
Hiệu ứng phía trước
Thao tác: 1. Ở Thiết lập công khai thành tích（成績公開設定）, mục mục số nguyên (M=100), chọn hiệu ứng đỏ Ngoặc（括弧）, lưu. Đăng nhập S01 xem Xác nhận thành tích（成績確認）.
2. Lặp với `*` phía trước.
3. Lặp với `*` phía sau.
4. Mở lại Thiết lập công khai thành tích.</t>
        </is>
      </c>
    </row>
    <row r="989" ht="248" customHeight="1">
      <c r="A989" s="24">
        <f>HYPERLINK("#'Kiểm thử'!A"&amp;(MATCH("TC-RS-FUNC-026 / prefix",'Kiểm thử'!$A$5:$A$573,0)+4),"TC-RS-FUNC-026 / prefix")</f>
        <v/>
      </c>
      <c r="B989" s="18" t="inlineStr">
        <is>
          <t>Điều kiện / thao tác</t>
        </is>
      </c>
      <c r="C989" s="18" t="inlineStr">
        <is>
          <t xml:space="preserve">
5. Với mục điểm đơn vị mục điểm đơn vị (đơn vị U1 có M riêng 40) (S06 U1 = 25 Đỏ), chọn `*` phía trước, lưu; đăng nhập S06 xem.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90" ht="112" customHeight="1">
      <c r="A990" s="24">
        <f>HYPERLINK("#'Kiểm thử'!A"&amp;(MATCH("TC-RS-FUNC-026 / prefix",'Kiểm thử'!$A$5:$A$573,0)+4),"TC-RS-FUNC-026 / prefix")</f>
        <v/>
      </c>
      <c r="B990" s="18" t="inlineStr">
        <is>
          <t>Kết quả mong đợi</t>
        </is>
      </c>
      <c r="C990" s="18" t="inlineStr">
        <is>
          <t>1–3. Lần lượt `(29)`, `*29`, `29*`. Không có nền màu riêng cho ô đỏ.
4. Hiệu ứng đã lưu gần nhất (`*` phía sau) được chọn sẵn.
5. Ô U1 hiện `*25`; ô U2 không ký hiệu.
Bảo toàn: Giữ điểm, cấu hình và đối tượng không đích theo expected; chỉ thay phần thủ tục yêu cầu, không tự đổi oracle hoặc mở rộng phạm vi.</t>
        </is>
      </c>
    </row>
    <row r="991" ht="44" customHeight="1">
      <c r="A991" s="24">
        <f>HYPERLINK("#'Kiểm thử'!A"&amp;(MATCH("TC-RS-FUNC-026 / suffix-reopen",'Kiểm thử'!$A$5:$A$573,0)+4),"TC-RS-FUNC-026 / suffix-reopen")</f>
        <v/>
      </c>
      <c r="B991" s="18" t="inlineStr">
        <is>
          <t>Màn hình / chức năng</t>
        </is>
      </c>
      <c r="C991" s="18" t="inlineStr">
        <is>
          <t>Công khai thành tích（成績公開） — Công khai thành tích（成績公開）
Công khai thành tích（成績公開）: ba hiệu ứng đỏ hiển thị đúng ở màn học sinh</t>
        </is>
      </c>
    </row>
    <row r="992" ht="299" customHeight="1">
      <c r="A992" s="24">
        <f>HYPERLINK("#'Kiểm thử'!A"&amp;(MATCH("TC-RS-FUNC-026 / suffix-reopen",'Kiểm thử'!$A$5:$A$573,0)+4),"TC-RS-FUNC-026 / suffix-reopen")</f>
        <v/>
      </c>
      <c r="B992" s="18" t="inlineStr">
        <is>
          <t>Điều kiện / thao tác</t>
        </is>
      </c>
      <c r="C992" s="18" t="inlineStr">
        <is>
          <t>Cấu hình: S01 Đỏ (29), không phải điểm dự kiến. Lịch công khai đang mở.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điểm đơn vị (đơn vị U1 có M riêng 40); học sinh S01 (điểm 29), học sinh S06 (điểm dự kiến 24), tài khoản học sinh S01, tài khoản phụ trách đầu ra (trích xuất, công khai, phiếu điểm)
Hiệu ứng phía sau và mở lại
Thao tác: 1. Ở Thiết lập công khai thành tích（成績公開設定）, mục mục số nguyên (M=100), chọn hiệu ứng đỏ Ngoặc（括弧）, lưu. Đăng nhập S01 xem Xác nhận thành tích（成績確認）.
2. Lặp với `*` phía trước.
3. Lặp với `*` phía sau.
4. Mở lại Thiết lập công khai thành tích.</t>
        </is>
      </c>
    </row>
    <row r="993" ht="248" customHeight="1">
      <c r="A993" s="24">
        <f>HYPERLINK("#'Kiểm thử'!A"&amp;(MATCH("TC-RS-FUNC-026 / suffix-reopen",'Kiểm thử'!$A$5:$A$573,0)+4),"TC-RS-FUNC-026 / suffix-reopen")</f>
        <v/>
      </c>
      <c r="B993" s="18" t="inlineStr">
        <is>
          <t>Điều kiện / thao tác</t>
        </is>
      </c>
      <c r="C993" s="18" t="inlineStr">
        <is>
          <t xml:space="preserve">
5. Với mục điểm đơn vị mục điểm đơn vị (đơn vị U1 có M riêng 40) (S06 U1 = 25 Đỏ), chọn `*` phía trước, lưu; đăng nhập S06 xem.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94" ht="112" customHeight="1">
      <c r="A994" s="24">
        <f>HYPERLINK("#'Kiểm thử'!A"&amp;(MATCH("TC-RS-FUNC-026 / suffix-reopen",'Kiểm thử'!$A$5:$A$573,0)+4),"TC-RS-FUNC-026 / suffix-reopen")</f>
        <v/>
      </c>
      <c r="B994" s="18" t="inlineStr">
        <is>
          <t>Kết quả mong đợi</t>
        </is>
      </c>
      <c r="C994" s="18" t="inlineStr">
        <is>
          <t>1–3. Lần lượt `(29)`, `*29`, `29*`. Không có nền màu riêng cho ô đỏ.
4. Hiệu ứng đã lưu gần nhất (`*` phía sau) được chọn sẵn.
5. Ô U1 hiện `*25`; ô U2 không ký hiệu.
Bảo toàn: Giữ điểm, cấu hình và đối tượng không đích theo expected; chỉ thay phần thủ tục yêu cầu, không tự đổi oracle hoặc mở rộng phạm vi.</t>
        </is>
      </c>
    </row>
    <row r="995" ht="44" customHeight="1">
      <c r="A995" s="24">
        <f>HYPERLINK("#'Kiểm thử'!A"&amp;(MATCH("TC-RS-FUNC-026 / unit-prefix",'Kiểm thử'!$A$5:$A$573,0)+4),"TC-RS-FUNC-026 / unit-prefix")</f>
        <v/>
      </c>
      <c r="B995" s="18" t="inlineStr">
        <is>
          <t>Màn hình / chức năng</t>
        </is>
      </c>
      <c r="C995" s="18" t="inlineStr">
        <is>
          <t>Công khai thành tích（成績公開） — Công khai thành tích（成績公開）
Công khai thành tích（成績公開）: ba hiệu ứng đỏ hiển thị đúng ở màn học sinh</t>
        </is>
      </c>
    </row>
    <row r="996" ht="299" customHeight="1">
      <c r="A996" s="24">
        <f>HYPERLINK("#'Kiểm thử'!A"&amp;(MATCH("TC-RS-FUNC-026 / unit-prefix",'Kiểm thử'!$A$5:$A$573,0)+4),"TC-RS-FUNC-026 / unit-prefix")</f>
        <v/>
      </c>
      <c r="B996" s="18" t="inlineStr">
        <is>
          <t>Điều kiện / thao tác</t>
        </is>
      </c>
      <c r="C996" s="18" t="inlineStr">
        <is>
          <t>Cấu hình: S01 Đỏ (29), không phải điểm dự kiến. Lịch công khai đang mở.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điểm đơn vị (đơn vị U1 có M riêng 40); học sinh S01 (điểm 29), học sinh S06 (điểm dự kiến 24), tài khoản học sinh S01, tài khoản phụ trách đầu ra (trích xuất, công khai, phiếu điểm)
Điểm đơn vị với hiệu ứng phía trước
Thao tác: 1. Ở Thiết lập công khai thành tích（成績公開設定）, mục mục số nguyên (M=100), chọn hiệu ứng đỏ Ngoặc（括弧）, lưu. Đăng nhập S01 xem Xác nhận thành tích（成績確認）.
2. Lặp với `*` phía trước.
3. Lặp với `*` phía sau.
4. Mở lại Thiết lập công khai thành tích.</t>
        </is>
      </c>
    </row>
    <row r="997" ht="248" customHeight="1">
      <c r="A997" s="24">
        <f>HYPERLINK("#'Kiểm thử'!A"&amp;(MATCH("TC-RS-FUNC-026 / unit-prefix",'Kiểm thử'!$A$5:$A$573,0)+4),"TC-RS-FUNC-026 / unit-prefix")</f>
        <v/>
      </c>
      <c r="B997" s="18" t="inlineStr">
        <is>
          <t>Điều kiện / thao tác</t>
        </is>
      </c>
      <c r="C997" s="18" t="inlineStr">
        <is>
          <t xml:space="preserve">
5. Với mục điểm đơn vị mục điểm đơn vị (đơn vị U1 có M riêng 40) (S06 U1 = 25 Đỏ), chọn `*` phía trước, lưu; đăng nhập S06 xem.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998" ht="112" customHeight="1">
      <c r="A998" s="24">
        <f>HYPERLINK("#'Kiểm thử'!A"&amp;(MATCH("TC-RS-FUNC-026 / unit-prefix",'Kiểm thử'!$A$5:$A$573,0)+4),"TC-RS-FUNC-026 / unit-prefix")</f>
        <v/>
      </c>
      <c r="B998" s="18" t="inlineStr">
        <is>
          <t>Kết quả mong đợi</t>
        </is>
      </c>
      <c r="C998" s="18" t="inlineStr">
        <is>
          <t>1–3. Lần lượt `(29)`, `*29`, `29*`. Không có nền màu riêng cho ô đỏ.
4. Hiệu ứng đã lưu gần nhất (`*` phía sau) được chọn sẵn.
5. Ô U1 hiện `*25`; ô U2 không ký hiệu.
Bảo toàn: Giữ điểm, cấu hình và đối tượng không đích theo expected; chỉ thay phần thủ tục yêu cầu, không tự đổi oracle hoặc mở rộng phạm vi.</t>
        </is>
      </c>
    </row>
    <row r="999" ht="44" customHeight="1">
      <c r="A999" s="24">
        <f>HYPERLINK("#'Kiểm thử'!A"&amp;(MATCH("TC-RS-FUNC-027 / a",'Kiểm thử'!$A$5:$A$573,0)+4),"TC-RS-FUNC-027 / a")</f>
        <v/>
      </c>
      <c r="B999" s="18" t="inlineStr">
        <is>
          <t>Màn hình / chức năng</t>
        </is>
      </c>
      <c r="C999" s="18" t="inlineStr">
        <is>
          <t>Công khai thành tích（成績公開） — Công khai thành tích（成績公開）
Công khai: kết hợp hiệu ứng Điểm dự kiến（見込点） và điểm đỏ, khử trùng</t>
        </is>
      </c>
    </row>
    <row r="1000" ht="299" customHeight="1">
      <c r="A1000" s="24">
        <f>HYPERLINK("#'Kiểm thử'!A"&amp;(MATCH("TC-RS-FUNC-027 / a",'Kiểm thử'!$A$5:$A$573,0)+4),"TC-RS-FUNC-027 / a")</f>
        <v/>
      </c>
      <c r="B1000" s="18" t="inlineStr">
        <is>
          <t>Điều kiện / thao tác</t>
        </is>
      </c>
      <c r="C1000" s="18" t="inlineStr">
        <is>
          <t>Cấu hình: S06 = 24, vừa là Điểm dự kiến（見込点） vừa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fixture quyền phải map đúng học sinh S06, không dùng tài khoản S01 để xem dữ liệu S06.
Thực hiện tổ hợp (a)
Thao tác: Với mỗi dòng của bảng dưới, cấu hình hiệu ứng dự kiến và hiệu ứng đỏ, lưu, xem màn học sinh của S06.
(a) Ngoặc + `*` trước; (b) `*` trước + `*` trước; (c) Ngoặc + Ngoặc; (d) `*` trước + `*` sau; (e) không trang trí + Ngoặc; (f) điểm bị ẩn theo thiết lập hiện có（表示しない） + `*` trước.
Khôi phục: Trước mỗi biến thể, dựng lại điều kiện/dữ liệu đầu của case bằng đường được phép; giữ các reset/fixture độc lập đã nêu trong thủ tục.</t>
        </is>
      </c>
    </row>
    <row r="1001" ht="180" customHeight="1">
      <c r="A1001" s="24">
        <f>HYPERLINK("#'Kiểm thử'!A"&amp;(MATCH("TC-RS-FUNC-027 / a",'Kiểm thử'!$A$5:$A$573,0)+4),"TC-RS-FUNC-027 / a")</f>
        <v/>
      </c>
      <c r="B1001" s="18" t="inlineStr">
        <is>
          <t>Điều kiện / thao tác</t>
        </is>
      </c>
      <c r="C1001"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02" ht="44" customHeight="1">
      <c r="A1002" s="24">
        <f>HYPERLINK("#'Kiểm thử'!A"&amp;(MATCH("TC-RS-FUNC-027 / b",'Kiểm thử'!$A$5:$A$573,0)+4),"TC-RS-FUNC-027 / b")</f>
        <v/>
      </c>
      <c r="B1002" s="18" t="inlineStr">
        <is>
          <t>Màn hình / chức năng</t>
        </is>
      </c>
      <c r="C1002" s="18" t="inlineStr">
        <is>
          <t>Công khai thành tích（成績公開） — Công khai thành tích（成績公開）
Công khai: kết hợp hiệu ứng Điểm dự kiến（見込点） và điểm đỏ, khử trùng</t>
        </is>
      </c>
    </row>
    <row r="1003" ht="299" customHeight="1">
      <c r="A1003" s="24">
        <f>HYPERLINK("#'Kiểm thử'!A"&amp;(MATCH("TC-RS-FUNC-027 / b",'Kiểm thử'!$A$5:$A$573,0)+4),"TC-RS-FUNC-027 / b")</f>
        <v/>
      </c>
      <c r="B1003" s="18" t="inlineStr">
        <is>
          <t>Điều kiện / thao tác</t>
        </is>
      </c>
      <c r="C1003" s="18" t="inlineStr">
        <is>
          <t>Cấu hình: S06 = 24, vừa là Điểm dự kiến（見込点） vừa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fixture quyền phải map đúng học sinh S06, không dùng tài khoản S01 để xem dữ liệu S06.
Thực hiện tổ hợp (b)
Thao tác: Với mỗi dòng của bảng dưới, cấu hình hiệu ứng dự kiến và hiệu ứng đỏ, lưu, xem màn học sinh của S06.
(a) Ngoặc + `*` trước; (b) `*` trước + `*` trước; (c) Ngoặc + Ngoặc; (d) `*` trước + `*` sau; (e) không trang trí + Ngoặc; (f) điểm bị ẩn theo thiết lập hiện có（表示しない） + `*` trước.
Khôi phục: Trước mỗi biến thể, dựng lại điều kiện/dữ liệu đầu của case bằng đường được phép; giữ các reset/fixture độc lập đã nêu trong thủ tục.</t>
        </is>
      </c>
    </row>
    <row r="1004" ht="180" customHeight="1">
      <c r="A1004" s="24">
        <f>HYPERLINK("#'Kiểm thử'!A"&amp;(MATCH("TC-RS-FUNC-027 / b",'Kiểm thử'!$A$5:$A$573,0)+4),"TC-RS-FUNC-027 / b")</f>
        <v/>
      </c>
      <c r="B1004" s="18" t="inlineStr">
        <is>
          <t>Điều kiện / thao tác</t>
        </is>
      </c>
      <c r="C1004"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05" ht="44" customHeight="1">
      <c r="A1005" s="24">
        <f>HYPERLINK("#'Kiểm thử'!A"&amp;(MATCH("TC-RS-FUNC-027 / c",'Kiểm thử'!$A$5:$A$573,0)+4),"TC-RS-FUNC-027 / c")</f>
        <v/>
      </c>
      <c r="B1005" s="18" t="inlineStr">
        <is>
          <t>Màn hình / chức năng</t>
        </is>
      </c>
      <c r="C1005" s="18" t="inlineStr">
        <is>
          <t>Công khai thành tích（成績公開） — Công khai thành tích（成績公開）
Công khai: kết hợp hiệu ứng Điểm dự kiến（見込点） và điểm đỏ, khử trùng</t>
        </is>
      </c>
    </row>
    <row r="1006" ht="299" customHeight="1">
      <c r="A1006" s="24">
        <f>HYPERLINK("#'Kiểm thử'!A"&amp;(MATCH("TC-RS-FUNC-027 / c",'Kiểm thử'!$A$5:$A$573,0)+4),"TC-RS-FUNC-027 / c")</f>
        <v/>
      </c>
      <c r="B1006" s="18" t="inlineStr">
        <is>
          <t>Điều kiện / thao tác</t>
        </is>
      </c>
      <c r="C1006" s="18" t="inlineStr">
        <is>
          <t>Cấu hình: S06 = 24, vừa là Điểm dự kiến（見込点） vừa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fixture quyền phải map đúng học sinh S06, không dùng tài khoản S01 để xem dữ liệu S06.
Thực hiện tổ hợp (c)
Thao tác: Với mỗi dòng của bảng dưới, cấu hình hiệu ứng dự kiến và hiệu ứng đỏ, lưu, xem màn học sinh của S06.
(a) Ngoặc + `*` trước; (b) `*` trước + `*` trước; (c) Ngoặc + Ngoặc; (d) `*` trước + `*` sau; (e) không trang trí + Ngoặc; (f) điểm bị ẩn theo thiết lập hiện có（表示しない） + `*` trước.
Khôi phục: Trước mỗi biến thể, dựng lại điều kiện/dữ liệu đầu của case bằng đường được phép; giữ các reset/fixture độc lập đã nêu trong thủ tục.</t>
        </is>
      </c>
    </row>
    <row r="1007" ht="180" customHeight="1">
      <c r="A1007" s="24">
        <f>HYPERLINK("#'Kiểm thử'!A"&amp;(MATCH("TC-RS-FUNC-027 / c",'Kiểm thử'!$A$5:$A$573,0)+4),"TC-RS-FUNC-027 / c")</f>
        <v/>
      </c>
      <c r="B1007" s="18" t="inlineStr">
        <is>
          <t>Điều kiện / thao tác</t>
        </is>
      </c>
      <c r="C1007"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08" ht="44" customHeight="1">
      <c r="A1008" s="24">
        <f>HYPERLINK("#'Kiểm thử'!A"&amp;(MATCH("TC-RS-FUNC-027 / d",'Kiểm thử'!$A$5:$A$573,0)+4),"TC-RS-FUNC-027 / d")</f>
        <v/>
      </c>
      <c r="B1008" s="18" t="inlineStr">
        <is>
          <t>Màn hình / chức năng</t>
        </is>
      </c>
      <c r="C1008" s="18" t="inlineStr">
        <is>
          <t>Công khai thành tích（成績公開） — Công khai thành tích（成績公開）
Công khai: kết hợp hiệu ứng Điểm dự kiến（見込点） và điểm đỏ, khử trùng</t>
        </is>
      </c>
    </row>
    <row r="1009" ht="299" customHeight="1">
      <c r="A1009" s="24">
        <f>HYPERLINK("#'Kiểm thử'!A"&amp;(MATCH("TC-RS-FUNC-027 / d",'Kiểm thử'!$A$5:$A$573,0)+4),"TC-RS-FUNC-027 / d")</f>
        <v/>
      </c>
      <c r="B1009" s="18" t="inlineStr">
        <is>
          <t>Điều kiện / thao tác</t>
        </is>
      </c>
      <c r="C1009" s="18" t="inlineStr">
        <is>
          <t>Cấu hình: S06 = 24, vừa là Điểm dự kiến（見込点） vừa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fixture quyền phải map đúng học sinh S06, không dùng tài khoản S01 để xem dữ liệu S06.
Thực hiện tổ hợp (d)
Thao tác: Với mỗi dòng của bảng dưới, cấu hình hiệu ứng dự kiến và hiệu ứng đỏ, lưu, xem màn học sinh của S06.
(a) Ngoặc + `*` trước; (b) `*` trước + `*` trước; (c) Ngoặc + Ngoặc; (d) `*` trước + `*` sau; (e) không trang trí + Ngoặc; (f) điểm bị ẩn theo thiết lập hiện có（表示しない） + `*` trước.
Khôi phục: Trước mỗi biến thể, dựng lại điều kiện/dữ liệu đầu của case bằng đường được phép; giữ các reset/fixture độc lập đã nêu trong thủ tục.</t>
        </is>
      </c>
    </row>
    <row r="1010" ht="180" customHeight="1">
      <c r="A1010" s="24">
        <f>HYPERLINK("#'Kiểm thử'!A"&amp;(MATCH("TC-RS-FUNC-027 / d",'Kiểm thử'!$A$5:$A$573,0)+4),"TC-RS-FUNC-027 / d")</f>
        <v/>
      </c>
      <c r="B1010" s="18" t="inlineStr">
        <is>
          <t>Điều kiện / thao tác</t>
        </is>
      </c>
      <c r="C1010"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11" ht="44" customHeight="1">
      <c r="A1011" s="24">
        <f>HYPERLINK("#'Kiểm thử'!A"&amp;(MATCH("TC-RS-FUNC-027 / e",'Kiểm thử'!$A$5:$A$573,0)+4),"TC-RS-FUNC-027 / e")</f>
        <v/>
      </c>
      <c r="B1011" s="18" t="inlineStr">
        <is>
          <t>Màn hình / chức năng</t>
        </is>
      </c>
      <c r="C1011" s="18" t="inlineStr">
        <is>
          <t>Công khai thành tích（成績公開） — Công khai thành tích（成績公開）
Công khai: kết hợp hiệu ứng Điểm dự kiến（見込点） và điểm đỏ, khử trùng</t>
        </is>
      </c>
    </row>
    <row r="1012" ht="299" customHeight="1">
      <c r="A1012" s="24">
        <f>HYPERLINK("#'Kiểm thử'!A"&amp;(MATCH("TC-RS-FUNC-027 / e",'Kiểm thử'!$A$5:$A$573,0)+4),"TC-RS-FUNC-027 / e")</f>
        <v/>
      </c>
      <c r="B1012" s="18" t="inlineStr">
        <is>
          <t>Điều kiện / thao tác</t>
        </is>
      </c>
      <c r="C1012" s="18" t="inlineStr">
        <is>
          <t>Cấu hình: S06 = 24, vừa là Điểm dự kiến（見込点） vừa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fixture quyền phải map đúng học sinh S06, không dùng tài khoản S01 để xem dữ liệu S06.
Thực hiện tổ hợp (e)
Thao tác: Với mỗi dòng của bảng dưới, cấu hình hiệu ứng dự kiến và hiệu ứng đỏ, lưu, xem màn học sinh của S06.
(a) Ngoặc + `*` trước; (b) `*` trước + `*` trước; (c) Ngoặc + Ngoặc; (d) `*` trước + `*` sau; (e) không trang trí + Ngoặc; (f) điểm bị ẩn theo thiết lập hiện có（表示しない） + `*` trước.
Khôi phục: Trước mỗi biến thể, dựng lại điều kiện/dữ liệu đầu của case bằng đường được phép; giữ các reset/fixture độc lập đã nêu trong thủ tục.</t>
        </is>
      </c>
    </row>
    <row r="1013" ht="180" customHeight="1">
      <c r="A1013" s="24">
        <f>HYPERLINK("#'Kiểm thử'!A"&amp;(MATCH("TC-RS-FUNC-027 / e",'Kiểm thử'!$A$5:$A$573,0)+4),"TC-RS-FUNC-027 / e")</f>
        <v/>
      </c>
      <c r="B1013" s="18" t="inlineStr">
        <is>
          <t>Điều kiện / thao tác</t>
        </is>
      </c>
      <c r="C1013"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14" ht="44" customHeight="1">
      <c r="A1014" s="24">
        <f>HYPERLINK("#'Kiểm thử'!A"&amp;(MATCH("TC-RS-FUNC-027 / f",'Kiểm thử'!$A$5:$A$573,0)+4),"TC-RS-FUNC-027 / f")</f>
        <v/>
      </c>
      <c r="B1014" s="18" t="inlineStr">
        <is>
          <t>Màn hình / chức năng</t>
        </is>
      </c>
      <c r="C1014" s="18" t="inlineStr">
        <is>
          <t>Công khai thành tích（成績公開） — Công khai thành tích（成績公開）
Công khai: kết hợp hiệu ứng Điểm dự kiến（見込点） và điểm đỏ, khử trùng</t>
        </is>
      </c>
    </row>
    <row r="1015" ht="299" customHeight="1">
      <c r="A1015" s="24">
        <f>HYPERLINK("#'Kiểm thử'!A"&amp;(MATCH("TC-RS-FUNC-027 / f",'Kiểm thử'!$A$5:$A$573,0)+4),"TC-RS-FUNC-027 / f")</f>
        <v/>
      </c>
      <c r="B1015" s="18" t="inlineStr">
        <is>
          <t>Điều kiện / thao tác</t>
        </is>
      </c>
      <c r="C1015" s="18" t="inlineStr">
        <is>
          <t>Cấu hình: S06 = 24, vừa là Điểm dự kiến（見込点） vừa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fixture quyền phải map đúng học sinh S06, không dùng tài khoản S01 để xem dữ liệu S06.
Thực hiện tổ hợp (f)
Thao tác: Với mỗi dòng của bảng dưới, cấu hình hiệu ứng dự kiến và hiệu ứng đỏ, lưu, xem màn học sinh của S06.
(a) Ngoặc + `*` trước; (b) `*` trước + `*` trước; (c) Ngoặc + Ngoặc; (d) `*` trước + `*` sau; (e) không trang trí + Ngoặc; (f) điểm bị ẩn theo thiết lập hiện có（表示しない） + `*` trước.
Khôi phục: Trước mỗi biến thể, dựng lại điều kiện/dữ liệu đầu của case bằng đường được phép; giữ các reset/fixture độc lập đã nêu trong thủ tục.</t>
        </is>
      </c>
    </row>
    <row r="1016" ht="180" customHeight="1">
      <c r="A1016" s="24">
        <f>HYPERLINK("#'Kiểm thử'!A"&amp;(MATCH("TC-RS-FUNC-027 / f",'Kiểm thử'!$A$5:$A$573,0)+4),"TC-RS-FUNC-027 / f")</f>
        <v/>
      </c>
      <c r="B1016" s="18" t="inlineStr">
        <is>
          <t>Điều kiện / thao tác</t>
        </is>
      </c>
      <c r="C1016"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17" ht="44" customHeight="1">
      <c r="A1017" s="24">
        <f>HYPERLINK("#'Kiểm thử'!A"&amp;(MATCH("TC-RS-FUNC-028 / web",'Kiểm thử'!$A$5:$A$573,0)+4),"TC-RS-FUNC-028 / web")</f>
        <v/>
      </c>
      <c r="B1017" s="18" t="inlineStr">
        <is>
          <t>Màn hình / chức năng</t>
        </is>
      </c>
      <c r="C1017" s="18" t="inlineStr">
        <is>
          <t>Công khai thành tích（成績公開） — Công khai thành tích（成績公開）
Công khai: web, API và PDF học sinh dùng cùng kết quả và cùng hiệu ứng</t>
        </is>
      </c>
    </row>
    <row r="1018" ht="299" customHeight="1">
      <c r="A1018" s="24">
        <f>HYPERLINK("#'Kiểm thử'!A"&amp;(MATCH("TC-RS-FUNC-028 / web",'Kiểm thử'!$A$5:$A$573,0)+4),"TC-RS-FUNC-028 / web")</f>
        <v/>
      </c>
      <c r="B1018" s="18" t="inlineStr">
        <is>
          <t>Điều kiện / thao tác</t>
        </is>
      </c>
      <c r="C1018" s="18" t="inlineStr">
        <is>
          <t xml:space="preserve">Cấu hình: Như case “Công khai thành tích（成績公開）: ba hiệu ứng đỏ hiển thị đúng ở màn học sinh” với hiệu ứng `*` trước.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tài khoản học sinh S01
Màn web
Thao tác: 1. Xem màn web Xác nhận thành tích（成績確認） của S01.
2. Gọi API công khai thành tích của S01 bằng phiên học sinh.
3. Tải PDF công khai của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019" ht="146" customHeight="1">
      <c r="A1019" s="24">
        <f>HYPERLINK("#'Kiểm thử'!A"&amp;(MATCH("TC-RS-FUNC-028 / web",'Kiểm thử'!$A$5:$A$573,0)+4),"TC-RS-FUNC-028 / web")</f>
        <v/>
      </c>
      <c r="B1019" s="18" t="inlineStr">
        <is>
          <t>Điều kiện / thao tác</t>
        </is>
      </c>
      <c r="C1019"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20" ht="44" customHeight="1">
      <c r="A1020" s="24">
        <f>HYPERLINK("#'Kiểm thử'!A"&amp;(MATCH("TC-RS-FUNC-028 / api",'Kiểm thử'!$A$5:$A$573,0)+4),"TC-RS-FUNC-028 / api")</f>
        <v/>
      </c>
      <c r="B1020" s="18" t="inlineStr">
        <is>
          <t>Màn hình / chức năng</t>
        </is>
      </c>
      <c r="C1020" s="18" t="inlineStr">
        <is>
          <t>Công khai thành tích（成績公開） — Công khai thành tích（成績公開）
Công khai: web, API và PDF học sinh dùng cùng kết quả và cùng hiệu ứng</t>
        </is>
      </c>
    </row>
    <row r="1021" ht="299" customHeight="1">
      <c r="A1021" s="24">
        <f>HYPERLINK("#'Kiểm thử'!A"&amp;(MATCH("TC-RS-FUNC-028 / api",'Kiểm thử'!$A$5:$A$573,0)+4),"TC-RS-FUNC-028 / api")</f>
        <v/>
      </c>
      <c r="B1021" s="18" t="inlineStr">
        <is>
          <t>Điều kiện / thao tác</t>
        </is>
      </c>
      <c r="C1021" s="18" t="inlineStr">
        <is>
          <t xml:space="preserve">Cấu hình: Như case “Công khai thành tích（成績公開）: ba hiệu ứng đỏ hiển thị đúng ở màn học sinh” với hiệu ứng `*` trước.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tài khoản học sinh S01
Response API
Thao tác: 1. Xem màn web Xác nhận thành tích（成績確認） của S01.
2. Gọi API công khai thành tích của S01 bằng phiên học sinh.
3. Tải PDF công khai của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022" ht="146" customHeight="1">
      <c r="A1022" s="24">
        <f>HYPERLINK("#'Kiểm thử'!A"&amp;(MATCH("TC-RS-FUNC-028 / api",'Kiểm thử'!$A$5:$A$573,0)+4),"TC-RS-FUNC-028 / api")</f>
        <v/>
      </c>
      <c r="B1022" s="18" t="inlineStr">
        <is>
          <t>Điều kiện / thao tác</t>
        </is>
      </c>
      <c r="C102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23" ht="44" customHeight="1">
      <c r="A1023" s="24">
        <f>HYPERLINK("#'Kiểm thử'!A"&amp;(MATCH("TC-RS-FUNC-028 / pdf",'Kiểm thử'!$A$5:$A$573,0)+4),"TC-RS-FUNC-028 / pdf")</f>
        <v/>
      </c>
      <c r="B1023" s="18" t="inlineStr">
        <is>
          <t>Màn hình / chức năng</t>
        </is>
      </c>
      <c r="C1023" s="18" t="inlineStr">
        <is>
          <t>Công khai thành tích（成績公開） — Công khai thành tích（成績公開）
Công khai: web, API và PDF học sinh dùng cùng kết quả và cùng hiệu ứng</t>
        </is>
      </c>
    </row>
    <row r="1024" ht="299" customHeight="1">
      <c r="A1024" s="24">
        <f>HYPERLINK("#'Kiểm thử'!A"&amp;(MATCH("TC-RS-FUNC-028 / pdf",'Kiểm thử'!$A$5:$A$573,0)+4),"TC-RS-FUNC-028 / pdf")</f>
        <v/>
      </c>
      <c r="B1024" s="18" t="inlineStr">
        <is>
          <t>Điều kiện / thao tác</t>
        </is>
      </c>
      <c r="C1024" s="18" t="inlineStr">
        <is>
          <t xml:space="preserve">Cấu hình: Như case “Công khai thành tích（成績公開）: ba hiệu ứng đỏ hiển thị đúng ở màn học sinh” với hiệu ứng `*` trước.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tài khoản học sinh S01
File PDF
Thao tác: 1. Xem màn web Xác nhận thành tích（成績確認） của S01.
2. Gọi API công khai thành tích của S01 bằng phiên học sinh.
3. Tải PDF công khai của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025" ht="146" customHeight="1">
      <c r="A1025" s="24">
        <f>HYPERLINK("#'Kiểm thử'!A"&amp;(MATCH("TC-RS-FUNC-028 / pdf",'Kiểm thử'!$A$5:$A$573,0)+4),"TC-RS-FUNC-028 / pdf")</f>
        <v/>
      </c>
      <c r="B1025" s="18" t="inlineStr">
        <is>
          <t>Điều kiện / thao tác</t>
        </is>
      </c>
      <c r="C1025"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26" ht="44" customHeight="1">
      <c r="A1026" s="24">
        <f>HYPERLINK("#'Kiểm thử'!A"&amp;(MATCH("TC-RS-FUNC-037 / web",'Kiểm thử'!$A$5:$A$573,0)+4),"TC-RS-FUNC-037 / web")</f>
        <v/>
      </c>
      <c r="B1026" s="18" t="inlineStr">
        <is>
          <t>Màn hình / chức năng</t>
        </is>
      </c>
      <c r="C1026" s="18" t="inlineStr">
        <is>
          <t>Công khai thành tích（成績公開） — Công khai thành tích（成績公開）
Công khai: cùng mục dùng hiệu ứng đỏ khác nhau ở hai cấu hình công khai</t>
        </is>
      </c>
    </row>
    <row r="1027" ht="299" customHeight="1">
      <c r="A1027" s="24">
        <f>HYPERLINK("#'Kiểm thử'!A"&amp;(MATCH("TC-RS-FUNC-037 / web",'Kiểm thử'!$A$5:$A$573,0)+4),"TC-RS-FUNC-037 / web")</f>
        <v/>
      </c>
      <c r="B1027" s="18" t="inlineStr">
        <is>
          <t>Điều kiện / thao tác</t>
        </is>
      </c>
      <c r="C1027" s="18" t="inlineStr">
        <is>
          <t>Cấu hình: Hai cấu hình Thiết lập công khai thành tích（成績公開設定） X và Y cùng chứa mục số nguyên (M=100); S01 Đỏ (29), không phải điểm dự kiến; lịch công khai của cả hai đang mở cho S01.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
Bước 1–3 xem X/Y trên web
Thao tác: 1. Ở X chọn hiệu ứng đỏ Ngoặc（括弧） cho mục số nguyên (M=100), lưu; ở Y chọn `*` phía trước（前に「*」） cho cùng mục, lưu.
2. Mở lại X và Y.
3. Đăng nhập S01, xem Xác nhận thành tích（成績確認） theo từng cấu hình; gọi API và xuất PDF t</t>
        </is>
      </c>
    </row>
    <row r="1028" ht="282" customHeight="1">
      <c r="A1028" s="24">
        <f>HYPERLINK("#'Kiểm thử'!A"&amp;(MATCH("TC-RS-FUNC-037 / web",'Kiểm thử'!$A$5:$A$573,0)+4),"TC-RS-FUNC-037 / web")</f>
        <v/>
      </c>
      <c r="B1028" s="18" t="inlineStr">
        <is>
          <t>Điều kiện / thao tác</t>
        </is>
      </c>
      <c r="C1028" s="18" t="inlineStr">
        <is>
          <t>ương ứng nếu có.
4. Sao chép X thành X' (theo chức năng sao chép cấu hình hiện có); mở X'.
5. Ở X, mục số nguyên (M=100) (điểm thường（通常）) chọn Ngoặc; mục điểm đơn vị (đơn vị U1 có M riêng 40) (điểm đơn vị（単元）) chọn `*` phía sau; lưu, mở lại.
6. Ở Y, đổi sang `*` phía sau và giả lập lỗi lưu; mở lại Y.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29" ht="129" customHeight="1">
      <c r="A1029" s="24">
        <f>HYPERLINK("#'Kiểm thử'!A"&amp;(MATCH("TC-RS-FUNC-037 / web",'Kiểm thử'!$A$5:$A$573,0)+4),"TC-RS-FUNC-037 / web")</f>
        <v/>
      </c>
      <c r="B1029" s="18" t="inlineStr">
        <is>
          <t>Kết quả mong đợi</t>
        </is>
      </c>
      <c r="C1029" s="18" t="inlineStr">
        <is>
          <t>1–2. X giữ Ngoặc, Y giữ `*` phía trước; lưu cấu hình này không đổi cấu hình kia.
3. Theo X: `(29)`; theo Y: `*29`. Web, API và PDF của cùng cấu hình cho cùng cách hiển thị.
4. X' giữ Ngoặc cho mục số nguyên (M=100); không sao chép kết quả xét của học sinh.
5. Mỗi phân loại thường/đơn vị mở lại đúng lựa chọn của mình; không trộn.
6. Có thông báo lỗi; Y vẫn là `*` phía trước (cấu hình cũ được giữ).
Bảo toàn: Giữ điểm, cấu hình và đối tượng không đích theo expected; chỉ thay phần thủ tục yêu cầu, không tự đổi oracle hoặc mở rộng phạm vi.</t>
        </is>
      </c>
    </row>
    <row r="1030" ht="44" customHeight="1">
      <c r="A1030" s="24">
        <f>HYPERLINK("#'Kiểm thử'!A"&amp;(MATCH("TC-RS-FUNC-037 / api",'Kiểm thử'!$A$5:$A$573,0)+4),"TC-RS-FUNC-037 / api")</f>
        <v/>
      </c>
      <c r="B1030" s="18" t="inlineStr">
        <is>
          <t>Màn hình / chức năng</t>
        </is>
      </c>
      <c r="C1030" s="18" t="inlineStr">
        <is>
          <t>Công khai thành tích（成績公開） — Công khai thành tích（成績公開）
Công khai: cùng mục dùng hiệu ứng đỏ khác nhau ở hai cấu hình công khai</t>
        </is>
      </c>
    </row>
    <row r="1031" ht="299" customHeight="1">
      <c r="A1031" s="24">
        <f>HYPERLINK("#'Kiểm thử'!A"&amp;(MATCH("TC-RS-FUNC-037 / api",'Kiểm thử'!$A$5:$A$573,0)+4),"TC-RS-FUNC-037 / api")</f>
        <v/>
      </c>
      <c r="B1031" s="18" t="inlineStr">
        <is>
          <t>Điều kiện / thao tác</t>
        </is>
      </c>
      <c r="C1031" s="18" t="inlineStr">
        <is>
          <t>Cấu hình: Hai cấu hình Thiết lập công khai thành tích（成績公開設定） X và Y cùng chứa mục số nguyên (M=100); S01 Đỏ (29), không phải điểm dự kiến; lịch công khai của cả hai đang mở cho S01.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
Bước 1–3 đọc API X/Y
Thao tác: 1. Ở X chọn hiệu ứng đỏ Ngoặc（括弧） cho mục số nguyên (M=100), lưu; ở Y chọn `*` phía trước（前に「*」） cho cùng mục, lưu.
2. Mở lại X và Y.
3. Đăng nhập S01, xem Xác nhận thành tích（成績確認） theo từng cấu hình; gọi API và xuất PDF t</t>
        </is>
      </c>
    </row>
    <row r="1032" ht="282" customHeight="1">
      <c r="A1032" s="24">
        <f>HYPERLINK("#'Kiểm thử'!A"&amp;(MATCH("TC-RS-FUNC-037 / api",'Kiểm thử'!$A$5:$A$573,0)+4),"TC-RS-FUNC-037 / api")</f>
        <v/>
      </c>
      <c r="B1032" s="18" t="inlineStr">
        <is>
          <t>Điều kiện / thao tác</t>
        </is>
      </c>
      <c r="C1032" s="18" t="inlineStr">
        <is>
          <t>ương ứng nếu có.
4. Sao chép X thành X' (theo chức năng sao chép cấu hình hiện có); mở X'.
5. Ở X, mục số nguyên (M=100) (điểm thường（通常）) chọn Ngoặc; mục điểm đơn vị (đơn vị U1 có M riêng 40) (điểm đơn vị（単元）) chọn `*` phía sau; lưu, mở lại.
6. Ở Y, đổi sang `*` phía sau và giả lập lỗi lưu; mở lại Y.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33" ht="129" customHeight="1">
      <c r="A1033" s="24">
        <f>HYPERLINK("#'Kiểm thử'!A"&amp;(MATCH("TC-RS-FUNC-037 / api",'Kiểm thử'!$A$5:$A$573,0)+4),"TC-RS-FUNC-037 / api")</f>
        <v/>
      </c>
      <c r="B1033" s="18" t="inlineStr">
        <is>
          <t>Kết quả mong đợi</t>
        </is>
      </c>
      <c r="C1033" s="18" t="inlineStr">
        <is>
          <t>1–2. X giữ Ngoặc, Y giữ `*` phía trước; lưu cấu hình này không đổi cấu hình kia.
3. Theo X: `(29)`; theo Y: `*29`. Web, API và PDF của cùng cấu hình cho cùng cách hiển thị.
4. X' giữ Ngoặc cho mục số nguyên (M=100); không sao chép kết quả xét của học sinh.
5. Mỗi phân loại thường/đơn vị mở lại đúng lựa chọn của mình; không trộn.
6. Có thông báo lỗi; Y vẫn là `*` phía trước (cấu hình cũ được giữ).
Bảo toàn: Giữ điểm, cấu hình và đối tượng không đích theo expected; chỉ thay phần thủ tục yêu cầu, không tự đổi oracle hoặc mở rộng phạm vi.</t>
        </is>
      </c>
    </row>
    <row r="1034" ht="44" customHeight="1">
      <c r="A1034" s="24">
        <f>HYPERLINK("#'Kiểm thử'!A"&amp;(MATCH("TC-RS-FUNC-037 / pdf",'Kiểm thử'!$A$5:$A$573,0)+4),"TC-RS-FUNC-037 / pdf")</f>
        <v/>
      </c>
      <c r="B1034" s="18" t="inlineStr">
        <is>
          <t>Màn hình / chức năng</t>
        </is>
      </c>
      <c r="C1034" s="18" t="inlineStr">
        <is>
          <t>Công khai thành tích（成績公開） — Công khai thành tích（成績公開）
Công khai: cùng mục dùng hiệu ứng đỏ khác nhau ở hai cấu hình công khai</t>
        </is>
      </c>
    </row>
    <row r="1035" ht="299" customHeight="1">
      <c r="A1035" s="24">
        <f>HYPERLINK("#'Kiểm thử'!A"&amp;(MATCH("TC-RS-FUNC-037 / pdf",'Kiểm thử'!$A$5:$A$573,0)+4),"TC-RS-FUNC-037 / pdf")</f>
        <v/>
      </c>
      <c r="B1035" s="18" t="inlineStr">
        <is>
          <t>Điều kiện / thao tác</t>
        </is>
      </c>
      <c r="C1035" s="18" t="inlineStr">
        <is>
          <t>Cấu hình: Hai cấu hình Thiết lập công khai thành tích（成績公開設定） X và Y cùng chứa mục số nguyên (M=100); S01 Đỏ (29), không phải điểm dự kiến; lịch công khai của cả hai đang mở cho S01.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
Bước 1–3 PDF X/Y
Thao tác: 1. Ở X chọn hiệu ứng đỏ Ngoặc（括弧） cho mục số nguyên (M=100), lưu; ở Y chọn `*` phía trước（前に「*」） cho cùng mục, lưu.
2. Mở lại X và Y.
3. Đăng nhập S01, xem Xác nhận thành tích（成績確認） theo từng cấu hình; gọi API và xuất PDF t</t>
        </is>
      </c>
    </row>
    <row r="1036" ht="282" customHeight="1">
      <c r="A1036" s="24">
        <f>HYPERLINK("#'Kiểm thử'!A"&amp;(MATCH("TC-RS-FUNC-037 / pdf",'Kiểm thử'!$A$5:$A$573,0)+4),"TC-RS-FUNC-037 / pdf")</f>
        <v/>
      </c>
      <c r="B1036" s="18" t="inlineStr">
        <is>
          <t>Điều kiện / thao tác</t>
        </is>
      </c>
      <c r="C1036" s="18" t="inlineStr">
        <is>
          <t>ương ứng nếu có.
4. Sao chép X thành X' (theo chức năng sao chép cấu hình hiện có); mở X'.
5. Ở X, mục số nguyên (M=100) (điểm thường（通常）) chọn Ngoặc; mục điểm đơn vị (đơn vị U1 có M riêng 40) (điểm đơn vị（単元）) chọn `*` phía sau; lưu, mở lại.
6. Ở Y, đổi sang `*` phía sau và giả lập lỗi lưu; mở lại Y.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37" ht="129" customHeight="1">
      <c r="A1037" s="24">
        <f>HYPERLINK("#'Kiểm thử'!A"&amp;(MATCH("TC-RS-FUNC-037 / pdf",'Kiểm thử'!$A$5:$A$573,0)+4),"TC-RS-FUNC-037 / pdf")</f>
        <v/>
      </c>
      <c r="B1037" s="18" t="inlineStr">
        <is>
          <t>Kết quả mong đợi</t>
        </is>
      </c>
      <c r="C1037" s="18" t="inlineStr">
        <is>
          <t>1–2. X giữ Ngoặc, Y giữ `*` phía trước; lưu cấu hình này không đổi cấu hình kia.
3. Theo X: `(29)`; theo Y: `*29`. Web, API và PDF của cùng cấu hình cho cùng cách hiển thị.
4. X' giữ Ngoặc cho mục số nguyên (M=100); không sao chép kết quả xét của học sinh.
5. Mỗi phân loại thường/đơn vị mở lại đúng lựa chọn của mình; không trộn.
6. Có thông báo lỗi; Y vẫn là `*` phía trước (cấu hình cũ được giữ).
Bảo toàn: Giữ điểm, cấu hình và đối tượng không đích theo expected; chỉ thay phần thủ tục yêu cầu, không tự đổi oracle hoặc mở rộng phạm vi.</t>
        </is>
      </c>
    </row>
    <row r="1038" ht="44" customHeight="1">
      <c r="A1038" s="24">
        <f>HYPERLINK("#'Kiểm thử'!A"&amp;(MATCH("TC-RS-FUNC-037 / copy",'Kiểm thử'!$A$5:$A$573,0)+4),"TC-RS-FUNC-037 / copy")</f>
        <v/>
      </c>
      <c r="B1038" s="18" t="inlineStr">
        <is>
          <t>Màn hình / chức năng</t>
        </is>
      </c>
      <c r="C1038" s="18" t="inlineStr">
        <is>
          <t>Công khai thành tích（成績公開） — Công khai thành tích（成績公開）
Công khai: cùng mục dùng hiệu ứng đỏ khác nhau ở hai cấu hình công khai</t>
        </is>
      </c>
    </row>
    <row r="1039" ht="299" customHeight="1">
      <c r="A1039" s="24">
        <f>HYPERLINK("#'Kiểm thử'!A"&amp;(MATCH("TC-RS-FUNC-037 / copy",'Kiểm thử'!$A$5:$A$573,0)+4),"TC-RS-FUNC-037 / copy")</f>
        <v/>
      </c>
      <c r="B1039" s="18" t="inlineStr">
        <is>
          <t>Điều kiện / thao tác</t>
        </is>
      </c>
      <c r="C1039" s="18" t="inlineStr">
        <is>
          <t>Cấu hình: Hai cấu hình Thiết lập công khai thành tích（成績公開設定） X và Y cùng chứa mục số nguyên (M=100); S01 Đỏ (29), không phải điểm dự kiến; lịch công khai của cả hai đang mở cho S01.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
Bước 4 sau setup X
Thao tác: 1. Ở X chọn hiệu ứng đỏ Ngoặc（括弧） cho mục số nguyên (M=100), lưu; ở Y chọn `*` phía trước（前に「*」） cho cùng mục, lưu.
2. Mở lại X và Y.
3. Đăng nhập S01, xem Xác nhận thành tích（成績確認） theo từng cấu hình; gọi API và xuất PDF t</t>
        </is>
      </c>
    </row>
    <row r="1040" ht="282" customHeight="1">
      <c r="A1040" s="24">
        <f>HYPERLINK("#'Kiểm thử'!A"&amp;(MATCH("TC-RS-FUNC-037 / copy",'Kiểm thử'!$A$5:$A$573,0)+4),"TC-RS-FUNC-037 / copy")</f>
        <v/>
      </c>
      <c r="B1040" s="18" t="inlineStr">
        <is>
          <t>Điều kiện / thao tác</t>
        </is>
      </c>
      <c r="C1040" s="18" t="inlineStr">
        <is>
          <t>ương ứng nếu có.
4. Sao chép X thành X' (theo chức năng sao chép cấu hình hiện có); mở X'.
5. Ở X, mục số nguyên (M=100) (điểm thường（通常）) chọn Ngoặc; mục điểm đơn vị (đơn vị U1 có M riêng 40) (điểm đơn vị（単元）) chọn `*` phía sau; lưu, mở lại.
6. Ở Y, đổi sang `*` phía sau và giả lập lỗi lưu; mở lại Y.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41" ht="129" customHeight="1">
      <c r="A1041" s="24">
        <f>HYPERLINK("#'Kiểm thử'!A"&amp;(MATCH("TC-RS-FUNC-037 / copy",'Kiểm thử'!$A$5:$A$573,0)+4),"TC-RS-FUNC-037 / copy")</f>
        <v/>
      </c>
      <c r="B1041" s="18" t="inlineStr">
        <is>
          <t>Kết quả mong đợi</t>
        </is>
      </c>
      <c r="C1041" s="18" t="inlineStr">
        <is>
          <t>1–2. X giữ Ngoặc, Y giữ `*` phía trước; lưu cấu hình này không đổi cấu hình kia.
3. Theo X: `(29)`; theo Y: `*29`. Web, API và PDF của cùng cấu hình cho cùng cách hiển thị.
4. X' giữ Ngoặc cho mục số nguyên (M=100); không sao chép kết quả xét của học sinh.
5. Mỗi phân loại thường/đơn vị mở lại đúng lựa chọn của mình; không trộn.
6. Có thông báo lỗi; Y vẫn là `*` phía trước (cấu hình cũ được giữ).
Bảo toàn: Giữ điểm, cấu hình và đối tượng không đích theo expected; chỉ thay phần thủ tục yêu cầu, không tự đổi oracle hoặc mở rộng phạm vi.</t>
        </is>
      </c>
    </row>
    <row r="1042" ht="44" customHeight="1">
      <c r="A1042" s="24">
        <f>HYPERLINK("#'Kiểm thử'!A"&amp;(MATCH("TC-RS-FUNC-037 / item-types",'Kiểm thử'!$A$5:$A$573,0)+4),"TC-RS-FUNC-037 / item-types")</f>
        <v/>
      </c>
      <c r="B1042" s="18" t="inlineStr">
        <is>
          <t>Màn hình / chức năng</t>
        </is>
      </c>
      <c r="C1042" s="18" t="inlineStr">
        <is>
          <t>Công khai thành tích（成績公開） — Công khai thành tích（成績公開）
Công khai: cùng mục dùng hiệu ứng đỏ khác nhau ở hai cấu hình công khai</t>
        </is>
      </c>
    </row>
    <row r="1043" ht="299" customHeight="1">
      <c r="A1043" s="24">
        <f>HYPERLINK("#'Kiểm thử'!A"&amp;(MATCH("TC-RS-FUNC-037 / item-types",'Kiểm thử'!$A$5:$A$573,0)+4),"TC-RS-FUNC-037 / item-types")</f>
        <v/>
      </c>
      <c r="B1043" s="18" t="inlineStr">
        <is>
          <t>Điều kiện / thao tác</t>
        </is>
      </c>
      <c r="C1043" s="18" t="inlineStr">
        <is>
          <t>Cấu hình: Hai cấu hình Thiết lập công khai thành tích（成績公開設定） X và Y cùng chứa mục số nguyên (M=100); S01 Đỏ (29), không phải điểm dự kiến; lịch công khai của cả hai đang mở cho S01.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
Bước 5
Thao tác: 1. Ở X chọn hiệu ứng đỏ Ngoặc（括弧） cho mục số nguyên (M=100), lưu; ở Y chọn `*` phía trước（前に「*」） cho cùng mục, lưu.
2. Mở lại X và Y.
3. Đăng nhập S01, xem Xác nhận thành tích（成績確認） theo từng cấu hình; gọi API và xuất PDF t</t>
        </is>
      </c>
    </row>
    <row r="1044" ht="282" customHeight="1">
      <c r="A1044" s="24">
        <f>HYPERLINK("#'Kiểm thử'!A"&amp;(MATCH("TC-RS-FUNC-037 / item-types",'Kiểm thử'!$A$5:$A$573,0)+4),"TC-RS-FUNC-037 / item-types")</f>
        <v/>
      </c>
      <c r="B1044" s="18" t="inlineStr">
        <is>
          <t>Điều kiện / thao tác</t>
        </is>
      </c>
      <c r="C1044" s="18" t="inlineStr">
        <is>
          <t>ương ứng nếu có.
4. Sao chép X thành X' (theo chức năng sao chép cấu hình hiện có); mở X'.
5. Ở X, mục số nguyên (M=100) (điểm thường（通常）) chọn Ngoặc; mục điểm đơn vị (đơn vị U1 có M riêng 40) (điểm đơn vị（単元）) chọn `*` phía sau; lưu, mở lại.
6. Ở Y, đổi sang `*` phía sau và giả lập lỗi lưu; mở lại Y.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45" ht="129" customHeight="1">
      <c r="A1045" s="24">
        <f>HYPERLINK("#'Kiểm thử'!A"&amp;(MATCH("TC-RS-FUNC-037 / item-types",'Kiểm thử'!$A$5:$A$573,0)+4),"TC-RS-FUNC-037 / item-types")</f>
        <v/>
      </c>
      <c r="B1045" s="18" t="inlineStr">
        <is>
          <t>Kết quả mong đợi</t>
        </is>
      </c>
      <c r="C1045" s="18" t="inlineStr">
        <is>
          <t>1–2. X giữ Ngoặc, Y giữ `*` phía trước; lưu cấu hình này không đổi cấu hình kia.
3. Theo X: `(29)`; theo Y: `*29`. Web, API và PDF của cùng cấu hình cho cùng cách hiển thị.
4. X' giữ Ngoặc cho mục số nguyên (M=100); không sao chép kết quả xét của học sinh.
5. Mỗi phân loại thường/đơn vị mở lại đúng lựa chọn của mình; không trộn.
6. Có thông báo lỗi; Y vẫn là `*` phía trước (cấu hình cũ được giữ).
Bảo toàn: Giữ điểm, cấu hình và đối tượng không đích theo expected; chỉ thay phần thủ tục yêu cầu, không tự đổi oracle hoặc mở rộng phạm vi.</t>
        </is>
      </c>
    </row>
    <row r="1046" ht="44" customHeight="1">
      <c r="A1046" s="24">
        <f>HYPERLINK("#'Kiểm thử'!A"&amp;(MATCH("TC-RS-FUNC-037 / save-failure",'Kiểm thử'!$A$5:$A$573,0)+4),"TC-RS-FUNC-037 / save-failure")</f>
        <v/>
      </c>
      <c r="B1046" s="18" t="inlineStr">
        <is>
          <t>Màn hình / chức năng</t>
        </is>
      </c>
      <c r="C1046" s="18" t="inlineStr">
        <is>
          <t>Công khai thành tích（成績公開） — Công khai thành tích（成績公開）
Công khai: cùng mục dùng hiệu ứng đỏ khác nhau ở hai cấu hình công khai</t>
        </is>
      </c>
    </row>
    <row r="1047" ht="299" customHeight="1">
      <c r="A1047" s="24">
        <f>HYPERLINK("#'Kiểm thử'!A"&amp;(MATCH("TC-RS-FUNC-037 / save-failure",'Kiểm thử'!$A$5:$A$573,0)+4),"TC-RS-FUNC-037 / save-failure")</f>
        <v/>
      </c>
      <c r="B1047" s="18" t="inlineStr">
        <is>
          <t>Điều kiện / thao tác</t>
        </is>
      </c>
      <c r="C1047" s="18" t="inlineStr">
        <is>
          <t>Cấu hình: Hai cấu hình Thiết lập công khai thành tích（成績公開設定） X và Y cùng chứa mục số nguyên (M=100); S01 Đỏ (29), không phải điểm dự kiến; lịch công khai của cả hai đang mở cho S01.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
Bước 6 sau setup Y
Thao tác: 1. Ở X chọn hiệu ứng đỏ Ngoặc（括弧） cho mục số nguyên (M=100), lưu; ở Y chọn `*` phía trước（前に「*」） cho cùng mục, lưu.
2. Mở lại X và Y.
3. Đăng nhập S01, xem Xác nhận thành tích（成績確認） theo từng cấu hình; gọi API và xuất PDF t</t>
        </is>
      </c>
    </row>
    <row r="1048" ht="282" customHeight="1">
      <c r="A1048" s="24">
        <f>HYPERLINK("#'Kiểm thử'!A"&amp;(MATCH("TC-RS-FUNC-037 / save-failure",'Kiểm thử'!$A$5:$A$573,0)+4),"TC-RS-FUNC-037 / save-failure")</f>
        <v/>
      </c>
      <c r="B1048" s="18" t="inlineStr">
        <is>
          <t>Điều kiện / thao tác</t>
        </is>
      </c>
      <c r="C1048" s="18" t="inlineStr">
        <is>
          <t>ương ứng nếu có.
4. Sao chép X thành X' (theo chức năng sao chép cấu hình hiện có); mở X'.
5. Ở X, mục số nguyên (M=100) (điểm thường（通常）) chọn Ngoặc; mục điểm đơn vị (đơn vị U1 có M riêng 40) (điểm đơn vị（単元）) chọn `*` phía sau; lưu, mở lại.
6. Ở Y, đổi sang `*` phía sau và giả lập lỗi lưu; mở lại Y.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49" ht="129" customHeight="1">
      <c r="A1049" s="24">
        <f>HYPERLINK("#'Kiểm thử'!A"&amp;(MATCH("TC-RS-FUNC-037 / save-failure",'Kiểm thử'!$A$5:$A$573,0)+4),"TC-RS-FUNC-037 / save-failure")</f>
        <v/>
      </c>
      <c r="B1049" s="18" t="inlineStr">
        <is>
          <t>Kết quả mong đợi</t>
        </is>
      </c>
      <c r="C1049" s="18" t="inlineStr">
        <is>
          <t>1–2. X giữ Ngoặc, Y giữ `*` phía trước; lưu cấu hình này không đổi cấu hình kia.
3. Theo X: `(29)`; theo Y: `*29`. Web, API và PDF của cùng cấu hình cho cùng cách hiển thị.
4. X' giữ Ngoặc cho mục số nguyên (M=100); không sao chép kết quả xét của học sinh.
5. Mỗi phân loại thường/đơn vị mở lại đúng lựa chọn của mình; không trộn.
6. Có thông báo lỗi; Y vẫn là `*` phía trước (cấu hình cũ được giữ).
Bảo toàn: Giữ điểm, cấu hình và đối tượng không đích theo expected; chỉ thay phần thủ tục yêu cầu, không tự đổi oracle hoặc mở rộng phạm vi.</t>
        </is>
      </c>
    </row>
    <row r="1050" ht="44" customHeight="1">
      <c r="A1050" s="24">
        <f>HYPERLINK("#'Kiểm thử'!A"&amp;(MATCH("TC-RS-BR-025 / extract",'Kiểm thử'!$A$5:$A$573,0)+4),"TC-RS-BR-025 / extract")</f>
        <v/>
      </c>
      <c r="B1050" s="18" t="inlineStr">
        <is>
          <t>Màn hình / chức năng</t>
        </is>
      </c>
      <c r="C1050" s="18" t="inlineStr">
        <is>
          <t>Công khai thành tích（成績公開） — Công khai thành tích（成績公開）
Đầu ra không bị chặn vì chưa có hoặc chưa xét được kết quả đỏ</t>
        </is>
      </c>
    </row>
    <row r="1051" ht="299" customHeight="1">
      <c r="A1051" s="24">
        <f>HYPERLINK("#'Kiểm thử'!A"&amp;(MATCH("TC-RS-BR-025 / extract",'Kiểm thử'!$A$5:$A$573,0)+4),"TC-RS-BR-025 / extract")</f>
        <v/>
      </c>
      <c r="B1051" s="18" t="inlineStr">
        <is>
          <t>Điều kiện / thao tác</t>
        </is>
      </c>
      <c r="C1051" s="18" t="inlineStr">
        <is>
          <t xml:space="preserve">Cấu hình: Một số ô Chưa từng xét, một số Chưa xét được.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Trích xuất
Thao tác: 1. Chạy trích xuất và xuất Excel.
2. Công khai cho học sinh, xem màn học sinh.
3. Xuất PDF phiếu.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052" ht="146" customHeight="1">
      <c r="A1052" s="24">
        <f>HYPERLINK("#'Kiểm thử'!A"&amp;(MATCH("TC-RS-BR-025 / extract",'Kiểm thử'!$A$5:$A$573,0)+4),"TC-RS-BR-025 / extract")</f>
        <v/>
      </c>
      <c r="B1052" s="18" t="inlineStr">
        <is>
          <t>Điều kiện / thao tác</t>
        </is>
      </c>
      <c r="C105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53" ht="44" customHeight="1">
      <c r="A1053" s="24">
        <f>HYPERLINK("#'Kiểm thử'!A"&amp;(MATCH("TC-RS-BR-025 / excel",'Kiểm thử'!$A$5:$A$573,0)+4),"TC-RS-BR-025 / excel")</f>
        <v/>
      </c>
      <c r="B1053" s="18" t="inlineStr">
        <is>
          <t>Màn hình / chức năng</t>
        </is>
      </c>
      <c r="C1053" s="18" t="inlineStr">
        <is>
          <t>Công khai thành tích（成績公開） — Công khai thành tích（成績公開）
Đầu ra không bị chặn vì chưa có hoặc chưa xét được kết quả đỏ</t>
        </is>
      </c>
    </row>
    <row r="1054" ht="299" customHeight="1">
      <c r="A1054" s="24">
        <f>HYPERLINK("#'Kiểm thử'!A"&amp;(MATCH("TC-RS-BR-025 / excel",'Kiểm thử'!$A$5:$A$573,0)+4),"TC-RS-BR-025 / excel")</f>
        <v/>
      </c>
      <c r="B1054" s="18" t="inlineStr">
        <is>
          <t>Điều kiện / thao tác</t>
        </is>
      </c>
      <c r="C1054" s="18" t="inlineStr">
        <is>
          <t xml:space="preserve">Cấu hình: Một số ô Chưa từng xét, một số Chưa xét được.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Excel
Thao tác: 1. Chạy trích xuất và xuất Excel.
2. Công khai cho học sinh, xem màn học sinh.
3. Xuất PDF phiếu.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055" ht="146" customHeight="1">
      <c r="A1055" s="24">
        <f>HYPERLINK("#'Kiểm thử'!A"&amp;(MATCH("TC-RS-BR-025 / excel",'Kiểm thử'!$A$5:$A$573,0)+4),"TC-RS-BR-025 / excel")</f>
        <v/>
      </c>
      <c r="B1055" s="18" t="inlineStr">
        <is>
          <t>Điều kiện / thao tác</t>
        </is>
      </c>
      <c r="C1055"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56" ht="44" customHeight="1">
      <c r="A1056" s="24">
        <f>HYPERLINK("#'Kiểm thử'!A"&amp;(MATCH("TC-RS-BR-025 / publish",'Kiểm thử'!$A$5:$A$573,0)+4),"TC-RS-BR-025 / publish")</f>
        <v/>
      </c>
      <c r="B1056" s="18" t="inlineStr">
        <is>
          <t>Màn hình / chức năng</t>
        </is>
      </c>
      <c r="C1056" s="18" t="inlineStr">
        <is>
          <t>Công khai thành tích（成績公開） — Công khai thành tích（成績公開）
Đầu ra không bị chặn vì chưa có hoặc chưa xét được kết quả đỏ</t>
        </is>
      </c>
    </row>
    <row r="1057" ht="299" customHeight="1">
      <c r="A1057" s="24">
        <f>HYPERLINK("#'Kiểm thử'!A"&amp;(MATCH("TC-RS-BR-025 / publish",'Kiểm thử'!$A$5:$A$573,0)+4),"TC-RS-BR-025 / publish")</f>
        <v/>
      </c>
      <c r="B1057" s="18" t="inlineStr">
        <is>
          <t>Điều kiện / thao tác</t>
        </is>
      </c>
      <c r="C1057" s="18" t="inlineStr">
        <is>
          <t xml:space="preserve">Cấu hình: Một số ô Chưa từng xét, một số Chưa xét được.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Công khai
Thao tác: 1. Chạy trích xuất và xuất Excel.
2. Công khai cho học sinh, xem màn học sinh.
3. Xuất PDF phiếu.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058" ht="146" customHeight="1">
      <c r="A1058" s="24">
        <f>HYPERLINK("#'Kiểm thử'!A"&amp;(MATCH("TC-RS-BR-025 / publish",'Kiểm thử'!$A$5:$A$573,0)+4),"TC-RS-BR-025 / publish")</f>
        <v/>
      </c>
      <c r="B1058" s="18" t="inlineStr">
        <is>
          <t>Điều kiện / thao tác</t>
        </is>
      </c>
      <c r="C105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59" ht="44" customHeight="1">
      <c r="A1059" s="24">
        <f>HYPERLINK("#'Kiểm thử'!A"&amp;(MATCH("TC-RS-BR-025 / report",'Kiểm thử'!$A$5:$A$573,0)+4),"TC-RS-BR-025 / report")</f>
        <v/>
      </c>
      <c r="B1059" s="18" t="inlineStr">
        <is>
          <t>Màn hình / chức năng</t>
        </is>
      </c>
      <c r="C1059" s="18" t="inlineStr">
        <is>
          <t>Công khai thành tích（成績公開） — Công khai thành tích（成績公開）
Đầu ra không bị chặn vì chưa có hoặc chưa xét được kết quả đỏ</t>
        </is>
      </c>
    </row>
    <row r="1060" ht="299" customHeight="1">
      <c r="A1060" s="24">
        <f>HYPERLINK("#'Kiểm thử'!A"&amp;(MATCH("TC-RS-BR-025 / report",'Kiểm thử'!$A$5:$A$573,0)+4),"TC-RS-BR-025 / report")</f>
        <v/>
      </c>
      <c r="B1060" s="18" t="inlineStr">
        <is>
          <t>Điều kiện / thao tác</t>
        </is>
      </c>
      <c r="C1060" s="18" t="inlineStr">
        <is>
          <t xml:space="preserve">Cấu hình: Một số ô Chưa từng xét, một số Chưa xét được.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Phiếu điểm
Thao tác: 1. Chạy trích xuất và xuất Excel.
2. Công khai cho học sinh, xem màn học sinh.
3. Xuất PDF phiếu.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061" ht="146" customHeight="1">
      <c r="A1061" s="24">
        <f>HYPERLINK("#'Kiểm thử'!A"&amp;(MATCH("TC-RS-BR-025 / report",'Kiểm thử'!$A$5:$A$573,0)+4),"TC-RS-BR-025 / report")</f>
        <v/>
      </c>
      <c r="B1061" s="18" t="inlineStr">
        <is>
          <t>Điều kiện / thao tác</t>
        </is>
      </c>
      <c r="C1061"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62" ht="61" customHeight="1">
      <c r="A1062" s="24">
        <f>HYPERLINK("#'Kiểm thử'!A"&amp;(MATCH("TC-RS-UI-022 / Base",'Kiểm thử'!$A$5:$A$573,0)+4),"TC-RS-UI-022 / Base")</f>
        <v/>
      </c>
      <c r="B1062" s="18" t="inlineStr">
        <is>
          <t>Màn hình / chức năng</t>
        </is>
      </c>
      <c r="C1062" s="18" t="inlineStr">
        <is>
          <t>Công khai thành tích（成績公開） — Công khai thành tích（成績公開）
Công khai: dòng cách hiển thị đỏ theo mục có thiết lập, kể cả khi 0 học sinh đỏ hoặc vừa xóa thiết lập cuối</t>
        </is>
      </c>
    </row>
    <row r="1063" ht="299" customHeight="1">
      <c r="A1063" s="24">
        <f>HYPERLINK("#'Kiểm thử'!A"&amp;(MATCH("TC-RS-UI-022 / Base",'Kiểm thử'!$A$5:$A$573,0)+4),"TC-RS-UI-022 / Base")</f>
        <v/>
      </c>
      <c r="B1063" s="18" t="inlineStr">
        <is>
          <t>Điều kiện / thao tác</t>
        </is>
      </c>
      <c r="C1063" s="18" t="inlineStr">
        <is>
          <t>Cấu hình: mục số nguyên (M=100) có quy tắc nhưng không ô nào đỏ; mục Tri thức – kỹ năng（知識・技能） chưa từng có quy tắc và chưa từng đặt cách hiển thị đỏ.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Toàn bộ thủ tục theo đúng thứ tự; các đối chứng cùng fixture được kiểm trong cùng lượt, không bỏ bước
Thao tác: 1. Mở Thiết lập công khai thành tích（成績公開設定）→ khung Thành tích（成績）.
2. Ở dòng của Điểm đánh giá（評点）, chọn `*` phía trước, bấm Đăng ký（登録する）.
3. Xóa quy tắc cuối của mục số nguyên (M=100) (chỉ còn quy tắc “Cố định 30” (dưới 30) thì xóa quy tắc “Cố định 30” (dưới 30)), **không** chạy lại; mở lại khung Thành tích（成績）.</t>
        </is>
      </c>
    </row>
    <row r="1064" ht="214" customHeight="1">
      <c r="A1064" s="24">
        <f>HYPERLINK("#'Kiểm thử'!A"&amp;(MATCH("TC-RS-UI-022 / Base",'Kiểm thử'!$A$5:$A$573,0)+4),"TC-RS-UI-022 / Base")</f>
        <v/>
      </c>
      <c r="B1064" s="18" t="inlineStr">
        <is>
          <t>Điều kiện / thao tác</t>
        </is>
      </c>
      <c r="C1064"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65" ht="129" customHeight="1">
      <c r="A1065" s="24">
        <f>HYPERLINK("#'Kiểm thử'!A"&amp;(MATCH("TC-RS-UI-022 / Base",'Kiểm thử'!$A$5:$A$573,0)+4),"TC-RS-UI-022 / Base")</f>
        <v/>
      </c>
      <c r="B1065" s="18" t="inlineStr">
        <is>
          <t>Kết quả mong đợi</t>
        </is>
      </c>
      <c r="C1065" s="18" t="inlineStr">
        <is>
          <t>1. Mục Điểm đánh giá（評点） có dòng cách hiển thị đỏ dù 0 học sinh đỏ; mục Tri thức – kỹ năng（知識・技能） không có dòng.
2. Lưu được; mở lại vẫn là `*` phía trước.
3. Dòng của Điểm đánh giá（評点） vẫn hiện với lựa chọn `*` phía trước đã lưu; cấu hình trình bày không bị xóa theo thao tác xóa quy tắc.
Bảo toàn: Giữ điểm, cấu hình và đối tượng không đích theo expected; chỉ thay phần thủ tục yêu cầu, không tự đổi oracle hoặc mở rộng phạm vi.</t>
        </is>
      </c>
    </row>
    <row r="1066" ht="299" customHeight="1">
      <c r="A1066" s="24">
        <f>HYPERLINK("#'Kiểm thử'!A"&amp;(MATCH("TC-RS-UI-023 / Base",'Kiểm thử'!$A$5:$A$573,0)+4),"TC-RS-UI-023 / Base")</f>
        <v/>
      </c>
      <c r="B1066" s="18" t="inlineStr">
        <is>
          <t>Điều kiện / thao tác</t>
        </is>
      </c>
      <c r="C1066" s="18" t="inlineStr">
        <is>
          <t>Cấu hình: Như UI-022.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Toàn bộ thủ tục theo đúng thứ tự; các đối chứng cùng fixture được kiểm trong cùng lượt, không bỏ bước
Thao tác: Mở danh sách chọn của dòng đỏ.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067" ht="129" customHeight="1">
      <c r="A1067" s="24">
        <f>HYPERLINK("#'Kiểm thử'!A"&amp;(MATCH("TC-RS-UI-023 / Base",'Kiểm thử'!$A$5:$A$573,0)+4),"TC-RS-UI-023 / Base")</f>
        <v/>
      </c>
      <c r="B1067" s="18" t="inlineStr">
        <is>
          <t>Điều kiện / thao tác</t>
        </is>
      </c>
      <c r="C1067"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68" ht="95" customHeight="1">
      <c r="A1068" s="24">
        <f>HYPERLINK("#'Kiểm thử'!A"&amp;(MATCH("TC-RS-UI-023 / Base",'Kiểm thử'!$A$5:$A$573,0)+4),"TC-RS-UI-023 / Base")</f>
        <v/>
      </c>
      <c r="B1068" s="18" t="inlineStr">
        <is>
          <t>Kết quả mong đợi</t>
        </is>
      </c>
      <c r="C1068" s="18" t="inlineStr">
        <is>
          <t>Theo specification v2 mục 10.1 và Q&amp;A Q16, danh sách chỉ có Kèm ngoặc, `*` phía trước và `*` phía sau; không có ô chữ tự do và không có màu nền riêng. Không đưa tùy chọn Nguyên trạng（そのまま表示） vào oracle vì không thuộc danh sách đã chốt trong specification/Q&amp;A.
Bảo toàn: Giữ điểm, cấu hình và đối tượng không đích theo expected; chỉ thay phần thủ tục yêu cầu, không tự đổi oracle hoặc mở rộng phạm vi.</t>
        </is>
      </c>
    </row>
    <row r="1069" ht="44" customHeight="1">
      <c r="A1069" s="24">
        <f>HYPERLINK("#'Kiểm thử'!A"&amp;(MATCH("TC-RS-UI-026 / Base",'Kiểm thử'!$A$5:$A$573,0)+4),"TC-RS-UI-026 / Base")</f>
        <v/>
      </c>
      <c r="B1069" s="18" t="inlineStr">
        <is>
          <t>Màn hình / chức năng</t>
        </is>
      </c>
      <c r="C1069" s="18" t="inlineStr">
        <is>
          <t>Công khai thành tích（成績公開） — Công khai thành tích（成績公開）
Bộ chọn hiệu ứng đỏ của điểm thường và điểm đơn vị hiển thị độc lập</t>
        </is>
      </c>
    </row>
    <row r="1070" ht="299" customHeight="1">
      <c r="A1070" s="24">
        <f>HYPERLINK("#'Kiểm thử'!A"&amp;(MATCH("TC-RS-UI-026 / Base",'Kiểm thử'!$A$5:$A$573,0)+4),"TC-RS-UI-026 / Base")</f>
        <v/>
      </c>
      <c r="B1070" s="18" t="inlineStr">
        <is>
          <t>Điều kiện / thao tác</t>
        </is>
      </c>
      <c r="C1070" s="18" t="inlineStr">
        <is>
          <t>Cấu hình: Có một cấu hình công khai chứa cả mục điểm thường và mục điểm đơn vị; tài khoản có quyền sửa cấu hình công khai.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thường và mục đơn vị cùng có kết quả đỏ; lựa chọn hiển thị khác nhau cho hai loại.
Toàn bộ thủ tục theo đúng thứ tự; các đối chứng cùng fixture được kiểm trong cùng lượt, không bỏ bước
Thao tác: 1. Mở màn hình cấu hình công khai và đến khu vực hiển thị điểm đỏ.
2. Kiểm tra panel điểm thường và panel điểm đơn vị.
3. Chọn hiệu ứng khác nhau cho hai panel, lưu, đóng và mở lại.
Khôi phục: Trước mỗi biến thể, dựng lại điều kiện/dữ liệu đầu của case bằng đường được phép; giữ các reset/fixture độc lập đã nêu trong thủ tục.</t>
        </is>
      </c>
    </row>
    <row r="1071" ht="180" customHeight="1">
      <c r="A1071" s="24">
        <f>HYPERLINK("#'Kiểm thử'!A"&amp;(MATCH("TC-RS-UI-026 / Base",'Kiểm thử'!$A$5:$A$573,0)+4),"TC-RS-UI-026 / Base")</f>
        <v/>
      </c>
      <c r="B1071" s="18" t="inlineStr">
        <is>
          <t>Điều kiện / thao tác</t>
        </is>
      </c>
      <c r="C1071"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72" ht="129" customHeight="1">
      <c r="A1072" s="24">
        <f>HYPERLINK("#'Kiểm thử'!A"&amp;(MATCH("TC-RS-UI-026 / Base",'Kiểm thử'!$A$5:$A$573,0)+4),"TC-RS-UI-026 / Base")</f>
        <v/>
      </c>
      <c r="B1072" s="18" t="inlineStr">
        <is>
          <t>Kết quả mong đợi</t>
        </is>
      </c>
      <c r="C1072" s="18" t="inlineStr">
        <is>
          <t>1. Cả hai panel đều hiển thị bộ chọn tương ứng; panel điểm đơn vị không bị nền hoặc lớp khác che.
2. Có thể thao tác hai bộ chọn độc lập.
3. Sau khi mở lại, mỗi panel giữ đúng lựa chọn của mình; lựa chọn điểm thường không ghi đè lựa chọn điểm đơn vị và ngược lại.
Bảo toàn: Giữ điểm, cấu hình và đối tượng không đích theo expected; chỉ thay phần thủ tục yêu cầu, không tự đổi oracle hoặc mở rộng phạm vi.</t>
        </is>
      </c>
    </row>
    <row r="1073" ht="44" customHeight="1">
      <c r="A1073" s="24">
        <f>HYPERLINK("#'Kiểm thử'!A"&amp;(MATCH("TC-RS-REG-007 / Base",'Kiểm thử'!$A$5:$A$573,0)+4),"TC-RS-REG-007 / Base")</f>
        <v/>
      </c>
      <c r="B1073" s="18" t="inlineStr">
        <is>
          <t>Màn hình / chức năng</t>
        </is>
      </c>
      <c r="C1073" s="18" t="inlineStr">
        <is>
          <t>Công khai thành tích（成績公開） — Công khai thành tích（成績公開）
Công khai: hiệu ứng Điểm dự kiến（見込点） và thiết lập khác được giữ</t>
        </is>
      </c>
    </row>
    <row r="1074" ht="299" customHeight="1">
      <c r="A1074" s="24">
        <f>HYPERLINK("#'Kiểm thử'!A"&amp;(MATCH("TC-RS-REG-007 / Base",'Kiểm thử'!$A$5:$A$573,0)+4),"TC-RS-REG-007 / Base")</f>
        <v/>
      </c>
      <c r="B1074" s="18" t="inlineStr">
        <is>
          <t>Điều kiện / thao tác</t>
        </is>
      </c>
      <c r="C1074" s="18" t="inlineStr">
        <is>
          <t>Cấu hình: cấu hình công khai: “*” phía trước. S06 (dự kiến, Đỏ). Một học sinh khác có điểm dự kiến, Không đỏ. Baseline màn học sinh.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công khai: “*” phía trước; học sinh S06 (điểm dự kiến 24)
Toàn bộ thủ tục theo đúng thứ tự; các đối chứng cùng fixture được kiểm trong cùng lượt, không bỏ bước
Thao tác: 1. Xem màn học sinh.
2. Làm S06 chuyển Chưa xét được (như case “Chưa có kết quả tổng hợp → Chưa xét được, không thay bằng 0 hay nhóm khác”), xem lại.
3. Xóa quy tắc cuối, mở Thiết lập công khai thành tích（成績公開設定）.
Khôi phục: Trước mỗi biến thể, dựng lại điều kiện/dữ liệu đầu của case bằng đường được phép; gi</t>
        </is>
      </c>
    </row>
    <row r="1075" ht="180" customHeight="1">
      <c r="A1075" s="24">
        <f>HYPERLINK("#'Kiểm thử'!A"&amp;(MATCH("TC-RS-REG-007 / Base",'Kiểm thử'!$A$5:$A$573,0)+4),"TC-RS-REG-007 / Base")</f>
        <v/>
      </c>
      <c r="B1075" s="18" t="inlineStr">
        <is>
          <t>Điều kiện / thao tác</t>
        </is>
      </c>
      <c r="C1075"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76" ht="44" customHeight="1">
      <c r="A1076" s="24">
        <f>HYPERLINK("#'Kiểm thử'!A"&amp;(MATCH("TC-RS-REG-008 / web-open",'Kiểm thử'!$A$5:$A$573,0)+4),"TC-RS-REG-008 / web-open")</f>
        <v/>
      </c>
      <c r="B1076" s="18" t="inlineStr">
        <is>
          <t>Màn hình / chức năng</t>
        </is>
      </c>
      <c r="C1076" s="18" t="inlineStr">
        <is>
          <t>Công khai thành tích（成績公開） — Công khai thành tích（成績公開）
Công khai: điểm ẩn, lịch và đối tượng công khai được giữ</t>
        </is>
      </c>
    </row>
    <row r="1077" ht="299" customHeight="1">
      <c r="A1077" s="24">
        <f>HYPERLINK("#'Kiểm thử'!A"&amp;(MATCH("TC-RS-REG-008 / web-open",'Kiểm thử'!$A$5:$A$573,0)+4),"TC-RS-REG-008 / web-open")</f>
        <v/>
      </c>
      <c r="B1077" s="18" t="inlineStr">
        <is>
          <t>Điều kiện / thao tác</t>
        </is>
      </c>
      <c r="C1077" s="18" t="inlineStr">
        <is>
          <t>Cấu hình: S06 Đỏ, mục đặt Không hiển thị（表示しない） cho điểm dự kiến; lịch công khai đang mở cho HR2; một lịch đã đóng.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theo TD-ROLE-06; TD-ROLE-05 thuộc S01 và không dùng cho case này.
Màn web lịch mở
Thao tác: 1. Xem màn học sinh, API, PDF của S06.
2. Xem khi lịch đóng.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078" ht="61" customHeight="1">
      <c r="A1078" s="24">
        <f>HYPERLINK("#'Kiểm thử'!A"&amp;(MATCH("TC-RS-REG-008 / web-open",'Kiểm thử'!$A$5:$A$573,0)+4),"TC-RS-REG-008 / web-open")</f>
        <v/>
      </c>
      <c r="B1078" s="18" t="inlineStr">
        <is>
          <t>Điều kiện / thao tác</t>
        </is>
      </c>
      <c r="C1078" s="18" t="inlineStr">
        <is>
          <t>ược kết luận đã chạy.
Kỳ vọng: Đã xác nhận
Chuẩn bị: Sẵn sàng</t>
        </is>
      </c>
    </row>
    <row r="1079" ht="44" customHeight="1">
      <c r="A1079" s="24">
        <f>HYPERLINK("#'Kiểm thử'!A"&amp;(MATCH("TC-RS-REG-008 / api-open",'Kiểm thử'!$A$5:$A$573,0)+4),"TC-RS-REG-008 / api-open")</f>
        <v/>
      </c>
      <c r="B1079" s="18" t="inlineStr">
        <is>
          <t>Màn hình / chức năng</t>
        </is>
      </c>
      <c r="C1079" s="18" t="inlineStr">
        <is>
          <t>Công khai thành tích（成績公開） — Công khai thành tích（成績公開）
Công khai: điểm ẩn, lịch và đối tượng công khai được giữ</t>
        </is>
      </c>
    </row>
    <row r="1080" ht="299" customHeight="1">
      <c r="A1080" s="24">
        <f>HYPERLINK("#'Kiểm thử'!A"&amp;(MATCH("TC-RS-REG-008 / api-open",'Kiểm thử'!$A$5:$A$573,0)+4),"TC-RS-REG-008 / api-open")</f>
        <v/>
      </c>
      <c r="B1080" s="18" t="inlineStr">
        <is>
          <t>Điều kiện / thao tác</t>
        </is>
      </c>
      <c r="C1080" s="18" t="inlineStr">
        <is>
          <t>Cấu hình: S06 Đỏ, mục đặt Không hiển thị（表示しない） cho điểm dự kiến; lịch công khai đang mở cho HR2; một lịch đã đóng.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theo TD-ROLE-06; TD-ROLE-05 thuộc S01 và không dùng cho case này.
API lịch mở
Thao tác: 1. Xem màn học sinh, API, PDF của S06.
2. Xem khi lịch đóng.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081" ht="61" customHeight="1">
      <c r="A1081" s="24">
        <f>HYPERLINK("#'Kiểm thử'!A"&amp;(MATCH("TC-RS-REG-008 / api-open",'Kiểm thử'!$A$5:$A$573,0)+4),"TC-RS-REG-008 / api-open")</f>
        <v/>
      </c>
      <c r="B1081" s="18" t="inlineStr">
        <is>
          <t>Điều kiện / thao tác</t>
        </is>
      </c>
      <c r="C1081" s="18" t="inlineStr">
        <is>
          <t>ược kết luận đã chạy.
Kỳ vọng: Đã xác nhận
Chuẩn bị: Sẵn sàng</t>
        </is>
      </c>
    </row>
    <row r="1082" ht="44" customHeight="1">
      <c r="A1082" s="24">
        <f>HYPERLINK("#'Kiểm thử'!A"&amp;(MATCH("TC-RS-REG-008 / pdf-open",'Kiểm thử'!$A$5:$A$573,0)+4),"TC-RS-REG-008 / pdf-open")</f>
        <v/>
      </c>
      <c r="B1082" s="18" t="inlineStr">
        <is>
          <t>Màn hình / chức năng</t>
        </is>
      </c>
      <c r="C1082" s="18" t="inlineStr">
        <is>
          <t>Công khai thành tích（成績公開） — Công khai thành tích（成績公開）
Công khai: điểm ẩn, lịch và đối tượng công khai được giữ</t>
        </is>
      </c>
    </row>
    <row r="1083" ht="299" customHeight="1">
      <c r="A1083" s="24">
        <f>HYPERLINK("#'Kiểm thử'!A"&amp;(MATCH("TC-RS-REG-008 / pdf-open",'Kiểm thử'!$A$5:$A$573,0)+4),"TC-RS-REG-008 / pdf-open")</f>
        <v/>
      </c>
      <c r="B1083" s="18" t="inlineStr">
        <is>
          <t>Điều kiện / thao tác</t>
        </is>
      </c>
      <c r="C1083" s="18" t="inlineStr">
        <is>
          <t>Cấu hình: S06 Đỏ, mục đặt Không hiển thị（表示しない） cho điểm dự kiến; lịch công khai đang mở cho HR2; một lịch đã đóng.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theo TD-ROLE-06; TD-ROLE-05 thuộc S01 và không dùng cho case này.
PDF lịch mở
Thao tác: 1. Xem màn học sinh, API, PDF của S06.
2. Xem khi lịch đóng.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084" ht="61" customHeight="1">
      <c r="A1084" s="24">
        <f>HYPERLINK("#'Kiểm thử'!A"&amp;(MATCH("TC-RS-REG-008 / pdf-open",'Kiểm thử'!$A$5:$A$573,0)+4),"TC-RS-REG-008 / pdf-open")</f>
        <v/>
      </c>
      <c r="B1084" s="18" t="inlineStr">
        <is>
          <t>Điều kiện / thao tác</t>
        </is>
      </c>
      <c r="C1084" s="18" t="inlineStr">
        <is>
          <t>ược kết luận đã chạy.
Kỳ vọng: Đã xác nhận
Chuẩn bị: Sẵn sàng</t>
        </is>
      </c>
    </row>
    <row r="1085" ht="44" customHeight="1">
      <c r="A1085" s="24">
        <f>HYPERLINK("#'Kiểm thử'!A"&amp;(MATCH("TC-RS-REG-008 / web-closed",'Kiểm thử'!$A$5:$A$573,0)+4),"TC-RS-REG-008 / web-closed")</f>
        <v/>
      </c>
      <c r="B1085" s="18" t="inlineStr">
        <is>
          <t>Màn hình / chức năng</t>
        </is>
      </c>
      <c r="C1085" s="18" t="inlineStr">
        <is>
          <t>Công khai thành tích（成績公開） — Công khai thành tích（成績公開）
Công khai: điểm ẩn, lịch và đối tượng công khai được giữ</t>
        </is>
      </c>
    </row>
    <row r="1086" ht="299" customHeight="1">
      <c r="A1086" s="24">
        <f>HYPERLINK("#'Kiểm thử'!A"&amp;(MATCH("TC-RS-REG-008 / web-closed",'Kiểm thử'!$A$5:$A$573,0)+4),"TC-RS-REG-008 / web-closed")</f>
        <v/>
      </c>
      <c r="B1086" s="18" t="inlineStr">
        <is>
          <t>Điều kiện / thao tác</t>
        </is>
      </c>
      <c r="C1086" s="18" t="inlineStr">
        <is>
          <t>Cấu hình: S06 Đỏ, mục đặt Không hiển thị（表示しない） cho điểm dự kiến; lịch công khai đang mở cho HR2; một lịch đã đóng.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theo TD-ROLE-06; TD-ROLE-05 thuộc S01 và không dùng cho case này.
Màn web lịch đóng
Thao tác: 1. Xem màn học sinh, API, PDF của S06.
2. Xem khi lịch đóng.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087" ht="61" customHeight="1">
      <c r="A1087" s="24">
        <f>HYPERLINK("#'Kiểm thử'!A"&amp;(MATCH("TC-RS-REG-008 / web-closed",'Kiểm thử'!$A$5:$A$573,0)+4),"TC-RS-REG-008 / web-closed")</f>
        <v/>
      </c>
      <c r="B1087" s="18" t="inlineStr">
        <is>
          <t>Điều kiện / thao tác</t>
        </is>
      </c>
      <c r="C1087" s="18" t="inlineStr">
        <is>
          <t>ược kết luận đã chạy.
Kỳ vọng: Đã xác nhận
Chuẩn bị: Sẵn sàng</t>
        </is>
      </c>
    </row>
    <row r="1088" ht="44" customHeight="1">
      <c r="A1088" s="24">
        <f>HYPERLINK("#'Kiểm thử'!A"&amp;(MATCH("TC-RS-REG-008 / api-closed",'Kiểm thử'!$A$5:$A$573,0)+4),"TC-RS-REG-008 / api-closed")</f>
        <v/>
      </c>
      <c r="B1088" s="18" t="inlineStr">
        <is>
          <t>Màn hình / chức năng</t>
        </is>
      </c>
      <c r="C1088" s="18" t="inlineStr">
        <is>
          <t>Công khai thành tích（成績公開） — Công khai thành tích（成績公開）
Công khai: điểm ẩn, lịch và đối tượng công khai được giữ</t>
        </is>
      </c>
    </row>
    <row r="1089" ht="299" customHeight="1">
      <c r="A1089" s="24">
        <f>HYPERLINK("#'Kiểm thử'!A"&amp;(MATCH("TC-RS-REG-008 / api-closed",'Kiểm thử'!$A$5:$A$573,0)+4),"TC-RS-REG-008 / api-closed")</f>
        <v/>
      </c>
      <c r="B1089" s="18" t="inlineStr">
        <is>
          <t>Điều kiện / thao tác</t>
        </is>
      </c>
      <c r="C1089" s="18" t="inlineStr">
        <is>
          <t>Cấu hình: S06 Đỏ, mục đặt Không hiển thị（表示しない） cho điểm dự kiến; lịch công khai đang mở cho HR2; một lịch đã đóng.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theo TD-ROLE-06; TD-ROLE-05 thuộc S01 và không dùng cho case này.
API lịch đóng
Thao tác: 1. Xem màn học sinh, API, PDF của S06.
2. Xem khi lịch đóng.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090" ht="61" customHeight="1">
      <c r="A1090" s="24">
        <f>HYPERLINK("#'Kiểm thử'!A"&amp;(MATCH("TC-RS-REG-008 / api-closed",'Kiểm thử'!$A$5:$A$573,0)+4),"TC-RS-REG-008 / api-closed")</f>
        <v/>
      </c>
      <c r="B1090" s="18" t="inlineStr">
        <is>
          <t>Điều kiện / thao tác</t>
        </is>
      </c>
      <c r="C1090" s="18" t="inlineStr">
        <is>
          <t>ược kết luận đã chạy.
Kỳ vọng: Đã xác nhận
Chuẩn bị: Sẵn sàng</t>
        </is>
      </c>
    </row>
    <row r="1091" ht="44" customHeight="1">
      <c r="A1091" s="24">
        <f>HYPERLINK("#'Kiểm thử'!A"&amp;(MATCH("TC-RS-REG-008 / pdf-closed",'Kiểm thử'!$A$5:$A$573,0)+4),"TC-RS-REG-008 / pdf-closed")</f>
        <v/>
      </c>
      <c r="B1091" s="18" t="inlineStr">
        <is>
          <t>Màn hình / chức năng</t>
        </is>
      </c>
      <c r="C1091" s="18" t="inlineStr">
        <is>
          <t>Công khai thành tích（成績公開） — Công khai thành tích（成績公開）
Công khai: điểm ẩn, lịch và đối tượng công khai được giữ</t>
        </is>
      </c>
    </row>
    <row r="1092" ht="299" customHeight="1">
      <c r="A1092" s="24">
        <f>HYPERLINK("#'Kiểm thử'!A"&amp;(MATCH("TC-RS-REG-008 / pdf-closed",'Kiểm thử'!$A$5:$A$573,0)+4),"TC-RS-REG-008 / pdf-closed")</f>
        <v/>
      </c>
      <c r="B1092" s="18" t="inlineStr">
        <is>
          <t>Điều kiện / thao tác</t>
        </is>
      </c>
      <c r="C1092" s="18" t="inlineStr">
        <is>
          <t>Cấu hình: S06 Đỏ, mục đặt Không hiển thị（表示しない） cho điểm dự kiến; lịch công khai đang mở cho HR2; một lịch đã đóng.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Người có quyền cấu hình công khai; xem bằng tài khoản học sinh S06 đúng trường/năm/lịch mở.
Dữ liệu: học sinh S06 (điểm dự kiến 24), tài khoản học sinh S06 theo TD-ROLE-06; TD-ROLE-05 thuộc S01 và không dùng cho case này.
PDF lịch đóng
Thao tác: 1. Xem màn học sinh, API, PDF của S06.
2. Xem khi lịch đóng.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093" ht="61" customHeight="1">
      <c r="A1093" s="24">
        <f>HYPERLINK("#'Kiểm thử'!A"&amp;(MATCH("TC-RS-REG-008 / pdf-closed",'Kiểm thử'!$A$5:$A$573,0)+4),"TC-RS-REG-008 / pdf-closed")</f>
        <v/>
      </c>
      <c r="B1093" s="18" t="inlineStr">
        <is>
          <t>Điều kiện / thao tác</t>
        </is>
      </c>
      <c r="C1093" s="18" t="inlineStr">
        <is>
          <t>ược kết luận đã chạy.
Kỳ vọng: Đã xác nhận
Chuẩn bị: Sẵn sàng</t>
        </is>
      </c>
    </row>
    <row r="1094" ht="44" customHeight="1">
      <c r="A1094" s="24">
        <f>HYPERLINK("#'Kiểm thử'!A"&amp;(MATCH("TC-RS-FUNC-029 / unchanged",'Kiểm thử'!$A$5:$A$573,0)+4),"TC-RS-FUNC-029 / unchanged")</f>
        <v/>
      </c>
      <c r="B1094" s="18" t="inlineStr">
        <is>
          <t>Màn hình / chức năng</t>
        </is>
      </c>
      <c r="C1094" s="18" t="inlineStr">
        <is>
          <t>Công cụ phiếu điểm（通知表ツール） và PDF — Công cụ phiếu điểm（通知表ツール）
Công cụ phiếu điểm（通知表ツール）: bốn cách hiển thị đỏ trên PDF</t>
        </is>
      </c>
    </row>
    <row r="1095" ht="299" customHeight="1">
      <c r="A1095" s="24">
        <f>HYPERLINK("#'Kiểm thử'!A"&amp;(MATCH("TC-RS-FUNC-029 / unchanged",'Kiểm thử'!$A$5:$A$573,0)+4),"TC-RS-FUNC-029 / unchanged")</f>
        <v/>
      </c>
      <c r="B1095" s="18" t="inlineStr">
        <is>
          <t>Điều kiện / thao tác</t>
        </is>
      </c>
      <c r="C1095" s="18" t="inlineStr">
        <is>
          <t>Cấu hình: S01 Đỏ (29), không điểm dự kiến, không cờ nào. Các dòng khác của hộp tùy chọn chọn Nguyên trạng（そのまま表示）.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cấu hình phiếu điểm: ký tự “※” phía trước, tài khoản phụ trách đầu ra (trích xuất, công khai, phiếu điểm)
Nguyên trạng
Thao tác: Với từng cách hiển thị: chọn ở dòng Thiết lập điểm đỏ（赤点設定）, đóng hộp, bấm Cập nhật（更新する）, xuất PDF phiếu của S01.
(a) Nguyên trạng（そのまま表示）; (b) Kèm ngoặc（カッコ付き）; (c) Ký tự phía trước（前に任意の文字） `※`; (d) Ký tự phía sau（後ろに任意の文字） `※`.</t>
        </is>
      </c>
    </row>
    <row r="1096" ht="214" customHeight="1">
      <c r="A1096" s="24">
        <f>HYPERLINK("#'Kiểm thử'!A"&amp;(MATCH("TC-RS-FUNC-029 / unchanged",'Kiểm thử'!$A$5:$A$573,0)+4),"TC-RS-FUNC-029 / unchanged")</f>
        <v/>
      </c>
      <c r="B1096" s="18" t="inlineStr">
        <is>
          <t>Điều kiện / thao tác</t>
        </is>
      </c>
      <c r="C1096"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097" ht="44" customHeight="1">
      <c r="A1097" s="24">
        <f>HYPERLINK("#'Kiểm thử'!A"&amp;(MATCH("TC-RS-FUNC-029 / parentheses",'Kiểm thử'!$A$5:$A$573,0)+4),"TC-RS-FUNC-029 / parentheses")</f>
        <v/>
      </c>
      <c r="B1097" s="18" t="inlineStr">
        <is>
          <t>Màn hình / chức năng</t>
        </is>
      </c>
      <c r="C1097" s="18" t="inlineStr">
        <is>
          <t>Công cụ phiếu điểm（通知表ツール） và PDF — Công cụ phiếu điểm（通知表ツール）
Công cụ phiếu điểm（通知表ツール）: bốn cách hiển thị đỏ trên PDF</t>
        </is>
      </c>
    </row>
    <row r="1098" ht="299" customHeight="1">
      <c r="A1098" s="24">
        <f>HYPERLINK("#'Kiểm thử'!A"&amp;(MATCH("TC-RS-FUNC-029 / parentheses",'Kiểm thử'!$A$5:$A$573,0)+4),"TC-RS-FUNC-029 / parentheses")</f>
        <v/>
      </c>
      <c r="B1098" s="18" t="inlineStr">
        <is>
          <t>Điều kiện / thao tác</t>
        </is>
      </c>
      <c r="C1098" s="18" t="inlineStr">
        <is>
          <t>Cấu hình: S01 Đỏ (29), không điểm dự kiến, không cờ nào. Các dòng khác của hộp tùy chọn chọn Nguyên trạng（そのまま表示）.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cấu hình phiếu điểm: ký tự “※” phía trước, tài khoản phụ trách đầu ra (trích xuất, công khai, phiếu điểm)
Kèm ngoặc
Thao tác: Với từng cách hiển thị: chọn ở dòng Thiết lập điểm đỏ（赤点設定）, đóng hộp, bấm Cập nhật（更新する）, xuất PDF phiếu của S01.
(a) Nguyên trạng（そのまま表示）; (b) Kèm ngoặc（カッコ付き）; (c) Ký tự phía trước（前に任意の文字） `※`; (d) Ký tự phía sau（後ろに任意の文字） `※`.</t>
        </is>
      </c>
    </row>
    <row r="1099" ht="214" customHeight="1">
      <c r="A1099" s="24">
        <f>HYPERLINK("#'Kiểm thử'!A"&amp;(MATCH("TC-RS-FUNC-029 / parentheses",'Kiểm thử'!$A$5:$A$573,0)+4),"TC-RS-FUNC-029 / parentheses")</f>
        <v/>
      </c>
      <c r="B1099" s="18" t="inlineStr">
        <is>
          <t>Điều kiện / thao tác</t>
        </is>
      </c>
      <c r="C1099"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00" ht="44" customHeight="1">
      <c r="A1100" s="24">
        <f>HYPERLINK("#'Kiểm thử'!A"&amp;(MATCH("TC-RS-FUNC-029 / prefix",'Kiểm thử'!$A$5:$A$573,0)+4),"TC-RS-FUNC-029 / prefix")</f>
        <v/>
      </c>
      <c r="B1100" s="18" t="inlineStr">
        <is>
          <t>Màn hình / chức năng</t>
        </is>
      </c>
      <c r="C1100" s="18" t="inlineStr">
        <is>
          <t>Công cụ phiếu điểm（通知表ツール） và PDF — Công cụ phiếu điểm（通知表ツール）
Công cụ phiếu điểm（通知表ツール）: bốn cách hiển thị đỏ trên PDF</t>
        </is>
      </c>
    </row>
    <row r="1101" ht="299" customHeight="1">
      <c r="A1101" s="24">
        <f>HYPERLINK("#'Kiểm thử'!A"&amp;(MATCH("TC-RS-FUNC-029 / prefix",'Kiểm thử'!$A$5:$A$573,0)+4),"TC-RS-FUNC-029 / prefix")</f>
        <v/>
      </c>
      <c r="B1101" s="18" t="inlineStr">
        <is>
          <t>Điều kiện / thao tác</t>
        </is>
      </c>
      <c r="C1101" s="18" t="inlineStr">
        <is>
          <t>Cấu hình: S01 Đỏ (29), không điểm dự kiến, không cờ nào. Các dòng khác của hộp tùy chọn chọn Nguyên trạng（そのまま表示）.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cấu hình phiếu điểm: ký tự “※” phía trước, tài khoản phụ trách đầu ra (trích xuất, công khai, phiếu điểm)
Ký tự phía trước
Thao tác: Với từng cách hiển thị: chọn ở dòng Thiết lập điểm đỏ（赤点設定）, đóng hộp, bấm Cập nhật（更新する）, xuất PDF phiếu của S01.
(a) Nguyên trạng（そのまま表示）; (b) Kèm ngoặc（カッコ付き）; (c) Ký tự phía trước（前に任意の文字） `※`; (d) Ký tự phía sau（後ろに任意の文字） `※`.</t>
        </is>
      </c>
    </row>
    <row r="1102" ht="214" customHeight="1">
      <c r="A1102" s="24">
        <f>HYPERLINK("#'Kiểm thử'!A"&amp;(MATCH("TC-RS-FUNC-029 / prefix",'Kiểm thử'!$A$5:$A$573,0)+4),"TC-RS-FUNC-029 / prefix")</f>
        <v/>
      </c>
      <c r="B1102" s="18" t="inlineStr">
        <is>
          <t>Điều kiện / thao tác</t>
        </is>
      </c>
      <c r="C1102"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03" ht="44" customHeight="1">
      <c r="A1103" s="24">
        <f>HYPERLINK("#'Kiểm thử'!A"&amp;(MATCH("TC-RS-FUNC-029 / suffix",'Kiểm thử'!$A$5:$A$573,0)+4),"TC-RS-FUNC-029 / suffix")</f>
        <v/>
      </c>
      <c r="B1103" s="18" t="inlineStr">
        <is>
          <t>Màn hình / chức năng</t>
        </is>
      </c>
      <c r="C1103" s="18" t="inlineStr">
        <is>
          <t>Công cụ phiếu điểm（通知表ツール） và PDF — Công cụ phiếu điểm（通知表ツール）
Công cụ phiếu điểm（通知表ツール）: bốn cách hiển thị đỏ trên PDF</t>
        </is>
      </c>
    </row>
    <row r="1104" ht="299" customHeight="1">
      <c r="A1104" s="24">
        <f>HYPERLINK("#'Kiểm thử'!A"&amp;(MATCH("TC-RS-FUNC-029 / suffix",'Kiểm thử'!$A$5:$A$573,0)+4),"TC-RS-FUNC-029 / suffix")</f>
        <v/>
      </c>
      <c r="B1104" s="18" t="inlineStr">
        <is>
          <t>Điều kiện / thao tác</t>
        </is>
      </c>
      <c r="C1104" s="18" t="inlineStr">
        <is>
          <t>Cấu hình: S01 Đỏ (29), không điểm dự kiến, không cờ nào. Các dòng khác của hộp tùy chọn chọn Nguyên trạng（そのまま表示）.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cấu hình phiếu điểm: ký tự “※” phía trước, tài khoản phụ trách đầu ra (trích xuất, công khai, phiếu điểm)
Ký tự phía sau
Thao tác: Với từng cách hiển thị: chọn ở dòng Thiết lập điểm đỏ（赤点設定）, đóng hộp, bấm Cập nhật（更新する）, xuất PDF phiếu của S01.
(a) Nguyên trạng（そのまま表示）; (b) Kèm ngoặc（カッコ付き）; (c) Ký tự phía trước（前に任意の文字） `※`; (d) Ký tự phía sau（後ろに任意の文字） `※`.</t>
        </is>
      </c>
    </row>
    <row r="1105" ht="214" customHeight="1">
      <c r="A1105" s="24">
        <f>HYPERLINK("#'Kiểm thử'!A"&amp;(MATCH("TC-RS-FUNC-029 / suffix",'Kiểm thử'!$A$5:$A$573,0)+4),"TC-RS-FUNC-029 / suffix")</f>
        <v/>
      </c>
      <c r="B1105" s="18" t="inlineStr">
        <is>
          <t>Điều kiện / thao tác</t>
        </is>
      </c>
      <c r="C1105"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06" ht="44" customHeight="1">
      <c r="A1106" s="24">
        <f>HYPERLINK("#'Kiểm thử'!A"&amp;(MATCH("TC-RS-FUNC-030 / a",'Kiểm thử'!$A$5:$A$573,0)+4),"TC-RS-FUNC-030 / a")</f>
        <v/>
      </c>
      <c r="B1106" s="18" t="inlineStr">
        <is>
          <t>Màn hình / chức năng</t>
        </is>
      </c>
      <c r="C1106" s="18" t="inlineStr">
        <is>
          <t>Công cụ phiếu điểm（通知表ツール） và PDF — Công cụ phiếu điểm（通知表ツール）
Phiếu điểm: thứ tự điều kiện và dừng ở điều kiện khớp đầu tiên</t>
        </is>
      </c>
    </row>
    <row r="1107" ht="299" customHeight="1">
      <c r="A1107" s="24">
        <f>HYPERLINK("#'Kiểm thử'!A"&amp;(MATCH("TC-RS-FUNC-030 / a",'Kiểm thử'!$A$5:$A$573,0)+4),"TC-RS-FUNC-030 / a")</f>
        <v/>
      </c>
      <c r="B1107" s="18" t="inlineStr">
        <is>
          <t>Điều kiện / thao tác</t>
        </is>
      </c>
      <c r="C1107" s="18" t="inlineStr">
        <is>
          <t xml:space="preserve">Cấu hình: S06 = 24 vừa dự kiến vừa Đỏ; S01 = 29 Đỏ, không cờ; S05 ô trống, trước đó từng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S06 (điểm dự kiến 24), học sinh S01 (điểm 29), học sinh S05 (ô trống), cấu hình phiếu điểm: ký tự “※” phía trước
Tổ hợp a
Thao tác: Cấu hình hộp tùy chọn theo từng dòng, bấm Cập nhật（更新する）, xuất PDF.
(a) Dự kiến = Kèm ngoặc; đỏ = `※` trước → xem S06.
(b) Dự kiến = Nguyên trạng; đỏ = `※` trước → xem S06.
</t>
        </is>
      </c>
    </row>
    <row r="1108" ht="299" customHeight="1">
      <c r="A1108" s="24">
        <f>HYPERLINK("#'Kiểm thử'!A"&amp;(MATCH("TC-RS-FUNC-030 / a",'Kiểm thử'!$A$5:$A$573,0)+4),"TC-RS-FUNC-030 / a")</f>
        <v/>
      </c>
      <c r="B1108" s="18" t="inlineStr">
        <is>
          <t>Điều kiện / thao tác</t>
        </is>
      </c>
      <c r="C1108" s="18" t="inlineStr">
        <is>
          <t xml:space="preserve">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09" ht="129" customHeight="1">
      <c r="A1109" s="24">
        <f>HYPERLINK("#'Kiểm thử'!A"&amp;(MATCH("TC-RS-FUNC-030 / a",'Kiểm thử'!$A$5:$A$573,0)+4),"TC-RS-FUNC-030 / a")</f>
        <v/>
      </c>
      <c r="B1109" s="18" t="inlineStr">
        <is>
          <t>Điều kiện / thao tác</t>
        </is>
      </c>
      <c r="C110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10" ht="112" customHeight="1">
      <c r="A1110" s="24">
        <f>HYPERLINK("#'Kiểm thử'!A"&amp;(MATCH("TC-RS-FUNC-030 / a",'Kiểm thử'!$A$5:$A$573,0)+4),"TC-RS-FUNC-030 / a")</f>
        <v/>
      </c>
      <c r="B1110" s="18" t="inlineStr">
        <is>
          <t>Kết quả mong đợi</t>
        </is>
      </c>
      <c r="C1110" s="1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
Bảo toàn: Giữ điểm, cấu hình và đối tượng không đích theo expected; chỉ thay phần thủ tục yêu cầu, không tự đổi oracle hoặc mở rộng phạm vi.</t>
        </is>
      </c>
    </row>
    <row r="1111" ht="44" customHeight="1">
      <c r="A1111" s="24">
        <f>HYPERLINK("#'Kiểm thử'!A"&amp;(MATCH("TC-RS-FUNC-030 / b",'Kiểm thử'!$A$5:$A$573,0)+4),"TC-RS-FUNC-030 / b")</f>
        <v/>
      </c>
      <c r="B1111" s="18" t="inlineStr">
        <is>
          <t>Màn hình / chức năng</t>
        </is>
      </c>
      <c r="C1111" s="18" t="inlineStr">
        <is>
          <t>Công cụ phiếu điểm（通知表ツール） và PDF — Công cụ phiếu điểm（通知表ツール）
Phiếu điểm: thứ tự điều kiện và dừng ở điều kiện khớp đầu tiên</t>
        </is>
      </c>
    </row>
    <row r="1112" ht="299" customHeight="1">
      <c r="A1112" s="24">
        <f>HYPERLINK("#'Kiểm thử'!A"&amp;(MATCH("TC-RS-FUNC-030 / b",'Kiểm thử'!$A$5:$A$573,0)+4),"TC-RS-FUNC-030 / b")</f>
        <v/>
      </c>
      <c r="B1112" s="18" t="inlineStr">
        <is>
          <t>Điều kiện / thao tác</t>
        </is>
      </c>
      <c r="C1112" s="18" t="inlineStr">
        <is>
          <t xml:space="preserve">Cấu hình: S06 = 24 vừa dự kiến vừa Đỏ; S01 = 29 Đỏ, không cờ; S05 ô trống, trước đó từng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S06 (điểm dự kiến 24), học sinh S01 (điểm 29), học sinh S05 (ô trống), cấu hình phiếu điểm: ký tự “※” phía trước
Tổ hợp b
Thao tác: Cấu hình hộp tùy chọn theo từng dòng, bấm Cập nhật（更新する）, xuất PDF.
(a) Dự kiến = Kèm ngoặc; đỏ = `※` trước → xem S06.
(b) Dự kiến = Nguyên trạng; đỏ = `※` trước → xem S06.
</t>
        </is>
      </c>
    </row>
    <row r="1113" ht="299" customHeight="1">
      <c r="A1113" s="24">
        <f>HYPERLINK("#'Kiểm thử'!A"&amp;(MATCH("TC-RS-FUNC-030 / b",'Kiểm thử'!$A$5:$A$573,0)+4),"TC-RS-FUNC-030 / b")</f>
        <v/>
      </c>
      <c r="B1113" s="18" t="inlineStr">
        <is>
          <t>Điều kiện / thao tác</t>
        </is>
      </c>
      <c r="C1113" s="18" t="inlineStr">
        <is>
          <t xml:space="preserve">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14" ht="129" customHeight="1">
      <c r="A1114" s="24">
        <f>HYPERLINK("#'Kiểm thử'!A"&amp;(MATCH("TC-RS-FUNC-030 / b",'Kiểm thử'!$A$5:$A$573,0)+4),"TC-RS-FUNC-030 / b")</f>
        <v/>
      </c>
      <c r="B1114" s="18" t="inlineStr">
        <is>
          <t>Điều kiện / thao tác</t>
        </is>
      </c>
      <c r="C1114"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15" ht="112" customHeight="1">
      <c r="A1115" s="24">
        <f>HYPERLINK("#'Kiểm thử'!A"&amp;(MATCH("TC-RS-FUNC-030 / b",'Kiểm thử'!$A$5:$A$573,0)+4),"TC-RS-FUNC-030 / b")</f>
        <v/>
      </c>
      <c r="B1115" s="18" t="inlineStr">
        <is>
          <t>Kết quả mong đợi</t>
        </is>
      </c>
      <c r="C1115" s="1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
Bảo toàn: Giữ điểm, cấu hình và đối tượng không đích theo expected; chỉ thay phần thủ tục yêu cầu, không tự đổi oracle hoặc mở rộng phạm vi.</t>
        </is>
      </c>
    </row>
    <row r="1116" ht="44" customHeight="1">
      <c r="A1116" s="24">
        <f>HYPERLINK("#'Kiểm thử'!A"&amp;(MATCH("TC-RS-FUNC-030 / c-hidden",'Kiểm thử'!$A$5:$A$573,0)+4),"TC-RS-FUNC-030 / c-hidden")</f>
        <v/>
      </c>
      <c r="B1116" s="18" t="inlineStr">
        <is>
          <t>Màn hình / chức năng</t>
        </is>
      </c>
      <c r="C1116" s="18" t="inlineStr">
        <is>
          <t>Công cụ phiếu điểm（通知表ツール） và PDF — Công cụ phiếu điểm（通知表ツール）
Phiếu điểm: thứ tự điều kiện và dừng ở điều kiện khớp đầu tiên</t>
        </is>
      </c>
    </row>
    <row r="1117" ht="299" customHeight="1">
      <c r="A1117" s="24">
        <f>HYPERLINK("#'Kiểm thử'!A"&amp;(MATCH("TC-RS-FUNC-030 / c-hidden",'Kiểm thử'!$A$5:$A$573,0)+4),"TC-RS-FUNC-030 / c-hidden")</f>
        <v/>
      </c>
      <c r="B1117" s="18" t="inlineStr">
        <is>
          <t>Điều kiện / thao tác</t>
        </is>
      </c>
      <c r="C1117" s="18" t="inlineStr">
        <is>
          <t xml:space="preserve">Cấu hình: S06 = 24 vừa dự kiến vừa Đỏ; S01 = 29 Đỏ, không cờ; S05 ô trống, trước đó từng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S06 (điểm dự kiến 24), học sinh S01 (điểm 29), học sinh S05 (ô trống), cấu hình phiếu điểm: ký tự “※” phía trước
Tổ hợp c với Ẩn
Thao tác: Cấu hình hộp tùy chọn theo từng dòng, bấm Cập nhật（更新する）, xuất PDF.
(a) Dự kiến = Kèm ngoặc; đỏ = `※` trước → xem S06.
(b) Dự kiến = Nguyên trạng; đỏ = `※` trước → xem S06.
</t>
        </is>
      </c>
    </row>
    <row r="1118" ht="299" customHeight="1">
      <c r="A1118" s="24">
        <f>HYPERLINK("#'Kiểm thử'!A"&amp;(MATCH("TC-RS-FUNC-030 / c-hidden",'Kiểm thử'!$A$5:$A$573,0)+4),"TC-RS-FUNC-030 / c-hidden")</f>
        <v/>
      </c>
      <c r="B1118" s="18" t="inlineStr">
        <is>
          <t>Điều kiện / thao tác</t>
        </is>
      </c>
      <c r="C1118" s="18" t="inlineStr">
        <is>
          <t xml:space="preserve">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19" ht="129" customHeight="1">
      <c r="A1119" s="24">
        <f>HYPERLINK("#'Kiểm thử'!A"&amp;(MATCH("TC-RS-FUNC-030 / c-hidden",'Kiểm thử'!$A$5:$A$573,0)+4),"TC-RS-FUNC-030 / c-hidden")</f>
        <v/>
      </c>
      <c r="B1119" s="18" t="inlineStr">
        <is>
          <t>Điều kiện / thao tác</t>
        </is>
      </c>
      <c r="C111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20" ht="112" customHeight="1">
      <c r="A1120" s="24">
        <f>HYPERLINK("#'Kiểm thử'!A"&amp;(MATCH("TC-RS-FUNC-030 / c-hidden",'Kiểm thử'!$A$5:$A$573,0)+4),"TC-RS-FUNC-030 / c-hidden")</f>
        <v/>
      </c>
      <c r="B1120" s="18" t="inlineStr">
        <is>
          <t>Kết quả mong đợi</t>
        </is>
      </c>
      <c r="C1120" s="1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
Bảo toàn: Giữ điểm, cấu hình và đối tượng không đích theo expected; chỉ thay phần thủ tục yêu cầu, không tự đổi oracle hoặc mở rộng phạm vi.</t>
        </is>
      </c>
    </row>
    <row r="1121" ht="44" customHeight="1">
      <c r="A1121" s="24">
        <f>HYPERLINK("#'Kiểm thử'!A"&amp;(MATCH("TC-RS-FUNC-030 / c-slash",'Kiểm thử'!$A$5:$A$573,0)+4),"TC-RS-FUNC-030 / c-slash")</f>
        <v/>
      </c>
      <c r="B1121" s="18" t="inlineStr">
        <is>
          <t>Màn hình / chức năng</t>
        </is>
      </c>
      <c r="C1121" s="18" t="inlineStr">
        <is>
          <t>Công cụ phiếu điểm（通知表ツール） và PDF — Công cụ phiếu điểm（通知表ツール）
Phiếu điểm: thứ tự điều kiện và dừng ở điều kiện khớp đầu tiên</t>
        </is>
      </c>
    </row>
    <row r="1122" ht="299" customHeight="1">
      <c r="A1122" s="24">
        <f>HYPERLINK("#'Kiểm thử'!A"&amp;(MATCH("TC-RS-FUNC-030 / c-slash",'Kiểm thử'!$A$5:$A$573,0)+4),"TC-RS-FUNC-030 / c-slash")</f>
        <v/>
      </c>
      <c r="B1122" s="18" t="inlineStr">
        <is>
          <t>Điều kiện / thao tác</t>
        </is>
      </c>
      <c r="C1122" s="18" t="inlineStr">
        <is>
          <t xml:space="preserve">Cấu hình: S06 = 24 vừa dự kiến vừa Đỏ; S01 = 29 Đỏ, không cờ; S05 ô trống, trước đó từng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S06 (điểm dự kiến 24), học sinh S01 (điểm 29), học sinh S05 (ô trống), cấu hình phiếu điểm: ký tự “※” phía trước
Tổ hợp c với Gạch chéo
Thao tác: Cấu hình hộp tùy chọn theo từng dòng, bấm Cập nhật（更新する）, xuất PDF.
(a) Dự kiến = Kèm ngoặc; đỏ = `※` trước → xem S06.
(b) Dự kiến = Nguyên trạng; đỏ = `※` trước → xem S06.
</t>
        </is>
      </c>
    </row>
    <row r="1123" ht="299" customHeight="1">
      <c r="A1123" s="24">
        <f>HYPERLINK("#'Kiểm thử'!A"&amp;(MATCH("TC-RS-FUNC-030 / c-slash",'Kiểm thử'!$A$5:$A$573,0)+4),"TC-RS-FUNC-030 / c-slash")</f>
        <v/>
      </c>
      <c r="B1123" s="18" t="inlineStr">
        <is>
          <t>Điều kiện / thao tác</t>
        </is>
      </c>
      <c r="C1123" s="18" t="inlineStr">
        <is>
          <t xml:space="preserve">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24" ht="129" customHeight="1">
      <c r="A1124" s="24">
        <f>HYPERLINK("#'Kiểm thử'!A"&amp;(MATCH("TC-RS-FUNC-030 / c-slash",'Kiểm thử'!$A$5:$A$573,0)+4),"TC-RS-FUNC-030 / c-slash")</f>
        <v/>
      </c>
      <c r="B1124" s="18" t="inlineStr">
        <is>
          <t>Điều kiện / thao tác</t>
        </is>
      </c>
      <c r="C1124"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25" ht="112" customHeight="1">
      <c r="A1125" s="24">
        <f>HYPERLINK("#'Kiểm thử'!A"&amp;(MATCH("TC-RS-FUNC-030 / c-slash",'Kiểm thử'!$A$5:$A$573,0)+4),"TC-RS-FUNC-030 / c-slash")</f>
        <v/>
      </c>
      <c r="B1125" s="18" t="inlineStr">
        <is>
          <t>Kết quả mong đợi</t>
        </is>
      </c>
      <c r="C1125" s="1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
Bảo toàn: Giữ điểm, cấu hình và đối tượng không đích theo expected; chỉ thay phần thủ tục yêu cầu, không tự đổi oracle hoặc mở rộng phạm vi.</t>
        </is>
      </c>
    </row>
    <row r="1126" ht="44" customHeight="1">
      <c r="A1126" s="24">
        <f>HYPERLINK("#'Kiểm thử'!A"&amp;(MATCH("TC-RS-FUNC-030 / d",'Kiểm thử'!$A$5:$A$573,0)+4),"TC-RS-FUNC-030 / d")</f>
        <v/>
      </c>
      <c r="B1126" s="18" t="inlineStr">
        <is>
          <t>Màn hình / chức năng</t>
        </is>
      </c>
      <c r="C1126" s="18" t="inlineStr">
        <is>
          <t>Công cụ phiếu điểm（通知表ツール） và PDF — Công cụ phiếu điểm（通知表ツール）
Phiếu điểm: thứ tự điều kiện và dừng ở điều kiện khớp đầu tiên</t>
        </is>
      </c>
    </row>
    <row r="1127" ht="299" customHeight="1">
      <c r="A1127" s="24">
        <f>HYPERLINK("#'Kiểm thử'!A"&amp;(MATCH("TC-RS-FUNC-030 / d",'Kiểm thử'!$A$5:$A$573,0)+4),"TC-RS-FUNC-030 / d")</f>
        <v/>
      </c>
      <c r="B1127" s="18" t="inlineStr">
        <is>
          <t>Điều kiện / thao tác</t>
        </is>
      </c>
      <c r="C1127" s="18" t="inlineStr">
        <is>
          <t xml:space="preserve">Cấu hình: S06 = 24 vừa dự kiến vừa Đỏ; S01 = 29 Đỏ, không cờ; S05 ô trống, trước đó từng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S06 (điểm dự kiến 24), học sinh S01 (điểm 29), học sinh S05 (ô trống), cấu hình phiếu điểm: ký tự “※” phía trước
Tổ hợp d
Thao tác: Cấu hình hộp tùy chọn theo từng dòng, bấm Cập nhật（更新する）, xuất PDF.
(a) Dự kiến = Kèm ngoặc; đỏ = `※` trước → xem S06.
(b) Dự kiến = Nguyên trạng; đỏ = `※` trước → xem S06.
</t>
        </is>
      </c>
    </row>
    <row r="1128" ht="299" customHeight="1">
      <c r="A1128" s="24">
        <f>HYPERLINK("#'Kiểm thử'!A"&amp;(MATCH("TC-RS-FUNC-030 / d",'Kiểm thử'!$A$5:$A$573,0)+4),"TC-RS-FUNC-030 / d")</f>
        <v/>
      </c>
      <c r="B1128" s="18" t="inlineStr">
        <is>
          <t>Điều kiện / thao tác</t>
        </is>
      </c>
      <c r="C1128" s="18" t="inlineStr">
        <is>
          <t xml:space="preserve">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29" ht="129" customHeight="1">
      <c r="A1129" s="24">
        <f>HYPERLINK("#'Kiểm thử'!A"&amp;(MATCH("TC-RS-FUNC-030 / d",'Kiểm thử'!$A$5:$A$573,0)+4),"TC-RS-FUNC-030 / d")</f>
        <v/>
      </c>
      <c r="B1129" s="18" t="inlineStr">
        <is>
          <t>Điều kiện / thao tác</t>
        </is>
      </c>
      <c r="C112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30" ht="112" customHeight="1">
      <c r="A1130" s="24">
        <f>HYPERLINK("#'Kiểm thử'!A"&amp;(MATCH("TC-RS-FUNC-030 / d",'Kiểm thử'!$A$5:$A$573,0)+4),"TC-RS-FUNC-030 / d")</f>
        <v/>
      </c>
      <c r="B1130" s="18" t="inlineStr">
        <is>
          <t>Kết quả mong đợi</t>
        </is>
      </c>
      <c r="C1130" s="1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
Bảo toàn: Giữ điểm, cấu hình và đối tượng không đích theo expected; chỉ thay phần thủ tục yêu cầu, không tự đổi oracle hoặc mở rộng phạm vi.</t>
        </is>
      </c>
    </row>
    <row r="1131" ht="44" customHeight="1">
      <c r="A1131" s="24">
        <f>HYPERLINK("#'Kiểm thử'!A"&amp;(MATCH("TC-RS-FUNC-030 / e",'Kiểm thử'!$A$5:$A$573,0)+4),"TC-RS-FUNC-030 / e")</f>
        <v/>
      </c>
      <c r="B1131" s="18" t="inlineStr">
        <is>
          <t>Màn hình / chức năng</t>
        </is>
      </c>
      <c r="C1131" s="18" t="inlineStr">
        <is>
          <t>Công cụ phiếu điểm（通知表ツール） và PDF — Công cụ phiếu điểm（通知表ツール）
Phiếu điểm: thứ tự điều kiện và dừng ở điều kiện khớp đầu tiên</t>
        </is>
      </c>
    </row>
    <row r="1132" ht="299" customHeight="1">
      <c r="A1132" s="24">
        <f>HYPERLINK("#'Kiểm thử'!A"&amp;(MATCH("TC-RS-FUNC-030 / e",'Kiểm thử'!$A$5:$A$573,0)+4),"TC-RS-FUNC-030 / e")</f>
        <v/>
      </c>
      <c r="B1132" s="18" t="inlineStr">
        <is>
          <t>Điều kiện / thao tác</t>
        </is>
      </c>
      <c r="C1132" s="18" t="inlineStr">
        <is>
          <t xml:space="preserve">Cấu hình: S06 = 24 vừa dự kiến vừa Đỏ; S01 = 29 Đỏ, không cờ; S05 ô trống, trước đó từng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S06 (điểm dự kiến 24), học sinh S01 (điểm 29), học sinh S05 (ô trống), cấu hình phiếu điểm: ký tự “※” phía trước
Tổ hợp e
Thao tác: Cấu hình hộp tùy chọn theo từng dòng, bấm Cập nhật（更新する）, xuất PDF.
(a) Dự kiến = Kèm ngoặc; đỏ = `※` trước → xem S06.
(b) Dự kiến = Nguyên trạng; đỏ = `※` trước → xem S06.
</t>
        </is>
      </c>
    </row>
    <row r="1133" ht="299" customHeight="1">
      <c r="A1133" s="24">
        <f>HYPERLINK("#'Kiểm thử'!A"&amp;(MATCH("TC-RS-FUNC-030 / e",'Kiểm thử'!$A$5:$A$573,0)+4),"TC-RS-FUNC-030 / e")</f>
        <v/>
      </c>
      <c r="B1133" s="18" t="inlineStr">
        <is>
          <t>Điều kiện / thao tác</t>
        </is>
      </c>
      <c r="C1133" s="18" t="inlineStr">
        <is>
          <t xml:space="preserve">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34" ht="129" customHeight="1">
      <c r="A1134" s="24">
        <f>HYPERLINK("#'Kiểm thử'!A"&amp;(MATCH("TC-RS-FUNC-030 / e",'Kiểm thử'!$A$5:$A$573,0)+4),"TC-RS-FUNC-030 / e")</f>
        <v/>
      </c>
      <c r="B1134" s="18" t="inlineStr">
        <is>
          <t>Điều kiện / thao tác</t>
        </is>
      </c>
      <c r="C1134"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35" ht="112" customHeight="1">
      <c r="A1135" s="24">
        <f>HYPERLINK("#'Kiểm thử'!A"&amp;(MATCH("TC-RS-FUNC-030 / e",'Kiểm thử'!$A$5:$A$573,0)+4),"TC-RS-FUNC-030 / e")</f>
        <v/>
      </c>
      <c r="B1135" s="18" t="inlineStr">
        <is>
          <t>Kết quả mong đợi</t>
        </is>
      </c>
      <c r="C1135" s="1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
Bảo toàn: Giữ điểm, cấu hình và đối tượng không đích theo expected; chỉ thay phần thủ tục yêu cầu, không tự đổi oracle hoặc mở rộng phạm vi.</t>
        </is>
      </c>
    </row>
    <row r="1136" ht="44" customHeight="1">
      <c r="A1136" s="24">
        <f>HYPERLINK("#'Kiểm thử'!A"&amp;(MATCH("TC-RS-FUNC-030 / f",'Kiểm thử'!$A$5:$A$573,0)+4),"TC-RS-FUNC-030 / f")</f>
        <v/>
      </c>
      <c r="B1136" s="18" t="inlineStr">
        <is>
          <t>Màn hình / chức năng</t>
        </is>
      </c>
      <c r="C1136" s="18" t="inlineStr">
        <is>
          <t>Công cụ phiếu điểm（通知表ツール） và PDF — Công cụ phiếu điểm（通知表ツール）
Phiếu điểm: thứ tự điều kiện và dừng ở điều kiện khớp đầu tiên</t>
        </is>
      </c>
    </row>
    <row r="1137" ht="299" customHeight="1">
      <c r="A1137" s="24">
        <f>HYPERLINK("#'Kiểm thử'!A"&amp;(MATCH("TC-RS-FUNC-030 / f",'Kiểm thử'!$A$5:$A$573,0)+4),"TC-RS-FUNC-030 / f")</f>
        <v/>
      </c>
      <c r="B1137" s="18" t="inlineStr">
        <is>
          <t>Điều kiện / thao tác</t>
        </is>
      </c>
      <c r="C1137" s="18" t="inlineStr">
        <is>
          <t xml:space="preserve">Cấu hình: S06 = 24 vừa dự kiến vừa Đỏ; S01 = 29 Đỏ, không cờ; S05 ô trống, trước đó từng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S06 (điểm dự kiến 24), học sinh S01 (điểm 29), học sinh S05 (ô trống), cấu hình phiếu điểm: ký tự “※” phía trước
Tổ hợp f
Thao tác: Cấu hình hộp tùy chọn theo từng dòng, bấm Cập nhật（更新する）, xuất PDF.
(a) Dự kiến = Kèm ngoặc; đỏ = `※` trước → xem S06.
(b) Dự kiến = Nguyên trạng; đỏ = `※` trước → xem S06.
</t>
        </is>
      </c>
    </row>
    <row r="1138" ht="299" customHeight="1">
      <c r="A1138" s="24">
        <f>HYPERLINK("#'Kiểm thử'!A"&amp;(MATCH("TC-RS-FUNC-030 / f",'Kiểm thử'!$A$5:$A$573,0)+4),"TC-RS-FUNC-030 / f")</f>
        <v/>
      </c>
      <c r="B1138" s="18" t="inlineStr">
        <is>
          <t>Điều kiện / thao tác</t>
        </is>
      </c>
      <c r="C1138" s="18" t="inlineStr">
        <is>
          <t xml:space="preserve">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39" ht="129" customHeight="1">
      <c r="A1139" s="24">
        <f>HYPERLINK("#'Kiểm thử'!A"&amp;(MATCH("TC-RS-FUNC-030 / f",'Kiểm thử'!$A$5:$A$573,0)+4),"TC-RS-FUNC-030 / f")</f>
        <v/>
      </c>
      <c r="B1139" s="18" t="inlineStr">
        <is>
          <t>Điều kiện / thao tác</t>
        </is>
      </c>
      <c r="C113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40" ht="112" customHeight="1">
      <c r="A1140" s="24">
        <f>HYPERLINK("#'Kiểm thử'!A"&amp;(MATCH("TC-RS-FUNC-030 / f",'Kiểm thử'!$A$5:$A$573,0)+4),"TC-RS-FUNC-030 / f")</f>
        <v/>
      </c>
      <c r="B1140" s="18" t="inlineStr">
        <is>
          <t>Kết quả mong đợi</t>
        </is>
      </c>
      <c r="C1140" s="1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
Bảo toàn: Giữ điểm, cấu hình và đối tượng không đích theo expected; chỉ thay phần thủ tục yêu cầu, không tự đổi oracle hoặc mở rộng phạm vi.</t>
        </is>
      </c>
    </row>
    <row r="1141" ht="44" customHeight="1">
      <c r="A1141" s="24">
        <f>HYPERLINK("#'Kiểm thử'!A"&amp;(MATCH("TC-RS-FUNC-030 / g",'Kiểm thử'!$A$5:$A$573,0)+4),"TC-RS-FUNC-030 / g")</f>
        <v/>
      </c>
      <c r="B1141" s="18" t="inlineStr">
        <is>
          <t>Màn hình / chức năng</t>
        </is>
      </c>
      <c r="C1141" s="18" t="inlineStr">
        <is>
          <t>Công cụ phiếu điểm（通知表ツール） và PDF — Công cụ phiếu điểm（通知表ツール）
Phiếu điểm: thứ tự điều kiện và dừng ở điều kiện khớp đầu tiên</t>
        </is>
      </c>
    </row>
    <row r="1142" ht="299" customHeight="1">
      <c r="A1142" s="24">
        <f>HYPERLINK("#'Kiểm thử'!A"&amp;(MATCH("TC-RS-FUNC-030 / g",'Kiểm thử'!$A$5:$A$573,0)+4),"TC-RS-FUNC-030 / g")</f>
        <v/>
      </c>
      <c r="B1142" s="18" t="inlineStr">
        <is>
          <t>Điều kiện / thao tác</t>
        </is>
      </c>
      <c r="C1142" s="18" t="inlineStr">
        <is>
          <t xml:space="preserve">Cấu hình: S06 = 24 vừa dự kiến vừa Đỏ; S01 = 29 Đỏ, không cờ; S05 ô trống, trước đó từng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S06 (điểm dự kiến 24), học sinh S01 (điểm 29), học sinh S05 (ô trống), cấu hình phiếu điểm: ký tự “※” phía trước
Tổ hợp g
Thao tác: Cấu hình hộp tùy chọn theo từng dòng, bấm Cập nhật（更新する）, xuất PDF.
(a) Dự kiến = Kèm ngoặc; đỏ = `※` trước → xem S06.
(b) Dự kiến = Nguyên trạng; đỏ = `※` trước → xem S06.
</t>
        </is>
      </c>
    </row>
    <row r="1143" ht="299" customHeight="1">
      <c r="A1143" s="24">
        <f>HYPERLINK("#'Kiểm thử'!A"&amp;(MATCH("TC-RS-FUNC-030 / g",'Kiểm thử'!$A$5:$A$573,0)+4),"TC-RS-FUNC-030 / g")</f>
        <v/>
      </c>
      <c r="B1143" s="18" t="inlineStr">
        <is>
          <t>Điều kiện / thao tác</t>
        </is>
      </c>
      <c r="C1143" s="18" t="inlineStr">
        <is>
          <t xml:space="preserve">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44" ht="129" customHeight="1">
      <c r="A1144" s="24">
        <f>HYPERLINK("#'Kiểm thử'!A"&amp;(MATCH("TC-RS-FUNC-030 / g",'Kiểm thử'!$A$5:$A$573,0)+4),"TC-RS-FUNC-030 / g")</f>
        <v/>
      </c>
      <c r="B1144" s="18" t="inlineStr">
        <is>
          <t>Điều kiện / thao tác</t>
        </is>
      </c>
      <c r="C1144"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45" ht="112" customHeight="1">
      <c r="A1145" s="24">
        <f>HYPERLINK("#'Kiểm thử'!A"&amp;(MATCH("TC-RS-FUNC-030 / g",'Kiểm thử'!$A$5:$A$573,0)+4),"TC-RS-FUNC-030 / g")</f>
        <v/>
      </c>
      <c r="B1145" s="18" t="inlineStr">
        <is>
          <t>Kết quả mong đợi</t>
        </is>
      </c>
      <c r="C1145" s="1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
Bảo toàn: Giữ điểm, cấu hình và đối tượng không đích theo expected; chỉ thay phần thủ tục yêu cầu, không tự đổi oracle hoặc mở rộng phạm vi.</t>
        </is>
      </c>
    </row>
    <row r="1146" ht="61" customHeight="1">
      <c r="A1146" s="24">
        <f>HYPERLINK("#'Kiểm thử'!A"&amp;(MATCH("TC-RS-FUNC-031 / unsaved",'Kiểm thử'!$A$5:$A$573,0)+4),"TC-RS-FUNC-031 / unsaved")</f>
        <v/>
      </c>
      <c r="B1146" s="18" t="inlineStr">
        <is>
          <t>Màn hình / chức năng</t>
        </is>
      </c>
      <c r="C1146" s="18" t="inlineStr">
        <is>
          <t>Công cụ phiếu điểm（通知表ツール） và PDF — Công cụ phiếu điểm（通知表ツール）
Phiếu điểm: lưu qua Cập nhật（更新する）, mở lại giữ lựa chọn; chỉ dùng điều kiện đỏ vẫn được ghi nhận</t>
        </is>
      </c>
    </row>
    <row r="1147" ht="299" customHeight="1">
      <c r="A1147" s="24">
        <f>HYPERLINK("#'Kiểm thử'!A"&amp;(MATCH("TC-RS-FUNC-031 / unsaved",'Kiểm thử'!$A$5:$A$573,0)+4),"TC-RS-FUNC-031 / unsaved")</f>
        <v/>
      </c>
      <c r="B1147" s="18" t="inlineStr">
        <is>
          <t>Điều kiện / thao tác</t>
        </is>
      </c>
      <c r="C1147" s="18" t="inlineStr">
        <is>
          <t>Cấu hình: Bảng điểm（成績表） chưa dùng điều kiện nào (Thiết lập điều kiện hiển thị（表示条件を設定）= Không thiết lập（設定しない）).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phiếu điểm: ký tự “※” phía trước
Bước 1 không cập nhật
Thao tác: 1. Mở hộp tùy chọn, chọn Thiết lập（設定する）, chỉ chọn dòng đỏ = `※` trước, các dòng khác Nguyên trạng. Đóng hộp, **không** bấm Cập nhật; tải lại trang.
2. Lặp lại, lần này bấm Cập nhật（更新する）; tải lại, mở hộp.
3. Xuất PDF.
Khôi phục: Trước mỗi biến thể, dựng lại điều kiện/dữ liệu đầu của case bằng đường được phép; giữ các reset/fixture độc lập đã nêu trong thủ tục.</t>
        </is>
      </c>
    </row>
    <row r="1148" ht="180" customHeight="1">
      <c r="A1148" s="24">
        <f>HYPERLINK("#'Kiểm thử'!A"&amp;(MATCH("TC-RS-FUNC-031 / unsaved",'Kiểm thử'!$A$5:$A$573,0)+4),"TC-RS-FUNC-031 / unsaved")</f>
        <v/>
      </c>
      <c r="B1148" s="18" t="inlineStr">
        <is>
          <t>Điều kiện / thao tác</t>
        </is>
      </c>
      <c r="C1148"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49" ht="112" customHeight="1">
      <c r="A1149" s="24">
        <f>HYPERLINK("#'Kiểm thử'!A"&amp;(MATCH("TC-RS-FUNC-031 / unsaved",'Kiểm thử'!$A$5:$A$573,0)+4),"TC-RS-FUNC-031 / unsaved")</f>
        <v/>
      </c>
      <c r="B1149" s="18" t="inlineStr">
        <is>
          <t>Kết quả mong đợi</t>
        </is>
      </c>
      <c r="C1149" s="18" t="inlineStr">
        <is>
          <t>1. Không bấm Cập nhật: thay đổi không được lưu (hành vi hiện có).
2. Có bấm Cập nhật: mở lại thấy dòng đỏ = `※` trước; bảng được ghi nhận là có dùng điều kiện dù chỉ điều kiện đỏ được chọn.
3. PDF áp dụng điều kiện đỏ.
Bảo toàn: Giữ điểm, cấu hình và đối tượng không đích theo expected; chỉ thay phần thủ tục yêu cầu, không tự đổi oracle hoặc mở rộng phạm vi.</t>
        </is>
      </c>
    </row>
    <row r="1150" ht="61" customHeight="1">
      <c r="A1150" s="24">
        <f>HYPERLINK("#'Kiểm thử'!A"&amp;(MATCH("TC-RS-FUNC-031 / saved-pdf",'Kiểm thử'!$A$5:$A$573,0)+4),"TC-RS-FUNC-031 / saved-pdf")</f>
        <v/>
      </c>
      <c r="B1150" s="18" t="inlineStr">
        <is>
          <t>Màn hình / chức năng</t>
        </is>
      </c>
      <c r="C1150" s="18" t="inlineStr">
        <is>
          <t>Công cụ phiếu điểm（通知表ツール） và PDF — Công cụ phiếu điểm（通知表ツール）
Phiếu điểm: lưu qua Cập nhật（更新する）, mở lại giữ lựa chọn; chỉ dùng điều kiện đỏ vẫn được ghi nhận</t>
        </is>
      </c>
    </row>
    <row r="1151" ht="299" customHeight="1">
      <c r="A1151" s="24">
        <f>HYPERLINK("#'Kiểm thử'!A"&amp;(MATCH("TC-RS-FUNC-031 / saved-pdf",'Kiểm thử'!$A$5:$A$573,0)+4),"TC-RS-FUNC-031 / saved-pdf")</f>
        <v/>
      </c>
      <c r="B1151" s="18" t="inlineStr">
        <is>
          <t>Điều kiện / thao tác</t>
        </is>
      </c>
      <c r="C1151" s="18" t="inlineStr">
        <is>
          <t>Cấu hình: Bảng điểm（成績表） chưa dùng điều kiện nào (Thiết lập điều kiện hiển thị（表示条件を設定）= Không thiết lập（設定しない）).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phiếu điểm: ký tự “※” phía trước
Bước 2–3 lưu, mở lại và PDF
Thao tác: 1. Mở hộp tùy chọn, chọn Thiết lập（設定する）, chỉ chọn dòng đỏ = `※` trước, các dòng khác Nguyên trạng. Đóng hộp, **không** bấm Cập nhật; tải lại trang.
2. Lặp lại, lần này bấm Cập nhật（更新する）; tải lại, mở hộp.
3. Xuất PDF.
Khôi phục: Trước mỗi biến thể, dựng lại điều kiện/dữ liệu đầu của case bằng đường được phép; giữ các reset/fixture độc lập đã nêu trong thủ tục.</t>
        </is>
      </c>
    </row>
    <row r="1152" ht="180" customHeight="1">
      <c r="A1152" s="24">
        <f>HYPERLINK("#'Kiểm thử'!A"&amp;(MATCH("TC-RS-FUNC-031 / saved-pdf",'Kiểm thử'!$A$5:$A$573,0)+4),"TC-RS-FUNC-031 / saved-pdf")</f>
        <v/>
      </c>
      <c r="B1152" s="18" t="inlineStr">
        <is>
          <t>Điều kiện / thao tác</t>
        </is>
      </c>
      <c r="C1152"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53" ht="112" customHeight="1">
      <c r="A1153" s="24">
        <f>HYPERLINK("#'Kiểm thử'!A"&amp;(MATCH("TC-RS-FUNC-031 / saved-pdf",'Kiểm thử'!$A$5:$A$573,0)+4),"TC-RS-FUNC-031 / saved-pdf")</f>
        <v/>
      </c>
      <c r="B1153" s="18" t="inlineStr">
        <is>
          <t>Kết quả mong đợi</t>
        </is>
      </c>
      <c r="C1153" s="18" t="inlineStr">
        <is>
          <t>1. Không bấm Cập nhật: thay đổi không được lưu (hành vi hiện có).
2. Có bấm Cập nhật: mở lại thấy dòng đỏ = `※` trước; bảng được ghi nhận là có dùng điều kiện dù chỉ điều kiện đỏ được chọn.
3. PDF áp dụng điều kiện đỏ.
Bảo toàn: Giữ điểm, cấu hình và đối tượng không đích theo expected; chỉ thay phần thủ tục yêu cầu, không tự đổi oracle hoặc mở rộng phạm vi.</t>
        </is>
      </c>
    </row>
    <row r="1154" ht="44" customHeight="1">
      <c r="A1154" s="24">
        <f>HYPERLINK("#'Kiểm thử'!A"&amp;(MATCH("TC-RS-VAL-018 / unchanged",'Kiểm thử'!$A$5:$A$573,0)+4),"TC-RS-VAL-018 / unchanged")</f>
        <v/>
      </c>
      <c r="B1154" s="18" t="inlineStr">
        <is>
          <t>Màn hình / chức năng</t>
        </is>
      </c>
      <c r="C1154" s="18" t="inlineStr">
        <is>
          <t>Công cụ phiếu điểm（通知表ツール） và PDF — Công cụ phiếu điểm（通知表ツール）
Phiếu điểm: chỉ bắt buộc ký tự khi chọn phía trước/phía sau</t>
        </is>
      </c>
    </row>
    <row r="1155" ht="299" customHeight="1">
      <c r="A1155" s="24">
        <f>HYPERLINK("#'Kiểm thử'!A"&amp;(MATCH("TC-RS-VAL-018 / unchanged",'Kiểm thử'!$A$5:$A$573,0)+4),"TC-RS-VAL-018 / unchanged")</f>
        <v/>
      </c>
      <c r="B1155" s="18" t="inlineStr">
        <is>
          <t>Điều kiện / thao tác</t>
        </is>
      </c>
      <c r="C1155" s="18" t="inlineStr">
        <is>
          <t>Cấu hình: Công cụ phiếu điểm（通知表ツール）, dòng Thiết lập điểm đỏ（赤点設定）.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Nguyên trạng（そのまま表示）, Kèm ngoặc（カッコ付き）, Ký tự phía trước（前に任意の文字） để trống, Ký tự phía sau（後ろに任意の文字） để trống
Nguyên trạng
Thao tác: Chọn từng lựa chọn ở dòng Thiết lập điểm đỏ（赤点設定）, bấm Cập nhật（更新する）.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56" ht="129" customHeight="1">
      <c r="A1156" s="24">
        <f>HYPERLINK("#'Kiểm thử'!A"&amp;(MATCH("TC-RS-VAL-018 / unchanged",'Kiểm thử'!$A$5:$A$573,0)+4),"TC-RS-VAL-018 / unchanged")</f>
        <v/>
      </c>
      <c r="B1156" s="18" t="inlineStr">
        <is>
          <t>Điều kiện / thao tác</t>
        </is>
      </c>
      <c r="C1156"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57" ht="44" customHeight="1">
      <c r="A1157" s="24">
        <f>HYPERLINK("#'Kiểm thử'!A"&amp;(MATCH("TC-RS-VAL-018 / parentheses",'Kiểm thử'!$A$5:$A$573,0)+4),"TC-RS-VAL-018 / parentheses")</f>
        <v/>
      </c>
      <c r="B1157" s="18" t="inlineStr">
        <is>
          <t>Màn hình / chức năng</t>
        </is>
      </c>
      <c r="C1157" s="18" t="inlineStr">
        <is>
          <t>Công cụ phiếu điểm（通知表ツール） và PDF — Công cụ phiếu điểm（通知表ツール）
Phiếu điểm: chỉ bắt buộc ký tự khi chọn phía trước/phía sau</t>
        </is>
      </c>
    </row>
    <row r="1158" ht="299" customHeight="1">
      <c r="A1158" s="24">
        <f>HYPERLINK("#'Kiểm thử'!A"&amp;(MATCH("TC-RS-VAL-018 / parentheses",'Kiểm thử'!$A$5:$A$573,0)+4),"TC-RS-VAL-018 / parentheses")</f>
        <v/>
      </c>
      <c r="B1158" s="18" t="inlineStr">
        <is>
          <t>Điều kiện / thao tác</t>
        </is>
      </c>
      <c r="C1158" s="18" t="inlineStr">
        <is>
          <t>Cấu hình: Công cụ phiếu điểm（通知表ツール）, dòng Thiết lập điểm đỏ（赤点設定）.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Nguyên trạng（そのまま表示）, Kèm ngoặc（カッコ付き）, Ký tự phía trước（前に任意の文字） để trống, Ký tự phía sau（後ろに任意の文字） để trống
Kèm ngoặc
Thao tác: Chọn từng lựa chọn ở dòng Thiết lập điểm đỏ（赤点設定）, bấm Cập nhật（更新する）.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59" ht="129" customHeight="1">
      <c r="A1159" s="24">
        <f>HYPERLINK("#'Kiểm thử'!A"&amp;(MATCH("TC-RS-VAL-018 / parentheses",'Kiểm thử'!$A$5:$A$573,0)+4),"TC-RS-VAL-018 / parentheses")</f>
        <v/>
      </c>
      <c r="B1159" s="18" t="inlineStr">
        <is>
          <t>Điều kiện / thao tác</t>
        </is>
      </c>
      <c r="C115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60" ht="44" customHeight="1">
      <c r="A1160" s="24">
        <f>HYPERLINK("#'Kiểm thử'!A"&amp;(MATCH("TC-RS-VAL-018 / prefix",'Kiểm thử'!$A$5:$A$573,0)+4),"TC-RS-VAL-018 / prefix")</f>
        <v/>
      </c>
      <c r="B1160" s="18" t="inlineStr">
        <is>
          <t>Màn hình / chức năng</t>
        </is>
      </c>
      <c r="C1160" s="18" t="inlineStr">
        <is>
          <t>Công cụ phiếu điểm（通知表ツール） và PDF — Công cụ phiếu điểm（通知表ツール）
Phiếu điểm: chỉ bắt buộc ký tự khi chọn phía trước/phía sau</t>
        </is>
      </c>
    </row>
    <row r="1161" ht="299" customHeight="1">
      <c r="A1161" s="24">
        <f>HYPERLINK("#'Kiểm thử'!A"&amp;(MATCH("TC-RS-VAL-018 / prefix",'Kiểm thử'!$A$5:$A$573,0)+4),"TC-RS-VAL-018 / prefix")</f>
        <v/>
      </c>
      <c r="B1161" s="18" t="inlineStr">
        <is>
          <t>Điều kiện / thao tác</t>
        </is>
      </c>
      <c r="C1161" s="18" t="inlineStr">
        <is>
          <t>Cấu hình: Công cụ phiếu điểm（通知表ツール）, dòng Thiết lập điểm đỏ（赤点設定）.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Nguyên trạng（そのまま表示）, Kèm ngoặc（カッコ付き）, Ký tự phía trước（前に任意の文字） để trống, Ký tự phía sau（後ろに任意の文字） để trống
Ký tự trước trống
Thao tác: Chọn từng lựa chọn ở dòng Thiết lập điểm đỏ（赤点設定）, bấm Cập nhật（更新する）.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62" ht="129" customHeight="1">
      <c r="A1162" s="24">
        <f>HYPERLINK("#'Kiểm thử'!A"&amp;(MATCH("TC-RS-VAL-018 / prefix",'Kiểm thử'!$A$5:$A$573,0)+4),"TC-RS-VAL-018 / prefix")</f>
        <v/>
      </c>
      <c r="B1162" s="18" t="inlineStr">
        <is>
          <t>Điều kiện / thao tác</t>
        </is>
      </c>
      <c r="C1162"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63" ht="44" customHeight="1">
      <c r="A1163" s="24">
        <f>HYPERLINK("#'Kiểm thử'!A"&amp;(MATCH("TC-RS-VAL-018 / suffix",'Kiểm thử'!$A$5:$A$573,0)+4),"TC-RS-VAL-018 / suffix")</f>
        <v/>
      </c>
      <c r="B1163" s="18" t="inlineStr">
        <is>
          <t>Màn hình / chức năng</t>
        </is>
      </c>
      <c r="C1163" s="18" t="inlineStr">
        <is>
          <t>Công cụ phiếu điểm（通知表ツール） và PDF — Công cụ phiếu điểm（通知表ツール）
Phiếu điểm: chỉ bắt buộc ký tự khi chọn phía trước/phía sau</t>
        </is>
      </c>
    </row>
    <row r="1164" ht="299" customHeight="1">
      <c r="A1164" s="24">
        <f>HYPERLINK("#'Kiểm thử'!A"&amp;(MATCH("TC-RS-VAL-018 / suffix",'Kiểm thử'!$A$5:$A$573,0)+4),"TC-RS-VAL-018 / suffix")</f>
        <v/>
      </c>
      <c r="B1164" s="18" t="inlineStr">
        <is>
          <t>Điều kiện / thao tác</t>
        </is>
      </c>
      <c r="C1164" s="18" t="inlineStr">
        <is>
          <t>Cấu hình: Công cụ phiếu điểm（通知表ツール）, dòng Thiết lập điểm đỏ（赤点設定）.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Nguyên trạng（そのまま表示）, Kèm ngoặc（カッコ付き）, Ký tự phía trước（前に任意の文字） để trống, Ký tự phía sau（後ろに任意の文字） để trống
Ký tự sau trống
Thao tác: Chọn từng lựa chọn ở dòng Thiết lập điểm đỏ（赤点設定）, bấm Cập nhật（更新する）.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165" ht="129" customHeight="1">
      <c r="A1165" s="24">
        <f>HYPERLINK("#'Kiểm thử'!A"&amp;(MATCH("TC-RS-VAL-018 / suffix",'Kiểm thử'!$A$5:$A$573,0)+4),"TC-RS-VAL-018 / suffix")</f>
        <v/>
      </c>
      <c r="B1165" s="18" t="inlineStr">
        <is>
          <t>Điều kiện / thao tác</t>
        </is>
      </c>
      <c r="C116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66" ht="44" customHeight="1">
      <c r="A1166" s="24">
        <f>HYPERLINK("#'Kiểm thử'!A"&amp;(MATCH("TC-RS-DATA-010 / template-a",'Kiểm thử'!$A$5:$A$573,0)+4),"TC-RS-DATA-010 / template-a")</f>
        <v/>
      </c>
      <c r="B1166" s="18" t="inlineStr">
        <is>
          <t>Màn hình / chức năng</t>
        </is>
      </c>
      <c r="C1166" s="18" t="inlineStr">
        <is>
          <t>Công cụ phiếu điểm（通知表ツール） và PDF — Công cụ phiếu điểm（通知表ツール）
Sao chép mẫu phiếu điểm giữ lựa chọn hiển thị đỏ</t>
        </is>
      </c>
    </row>
    <row r="1167" ht="299" customHeight="1">
      <c r="A1167" s="24">
        <f>HYPERLINK("#'Kiểm thử'!A"&amp;(MATCH("TC-RS-DATA-010 / template-a",'Kiểm thử'!$A$5:$A$573,0)+4),"TC-RS-DATA-010 / template-a")</f>
        <v/>
      </c>
      <c r="B1167" s="18" t="inlineStr">
        <is>
          <t>Điều kiện / thao tác</t>
        </is>
      </c>
      <c r="C1167" s="18" t="inlineStr">
        <is>
          <t xml:space="preserve">Cấu hình: Mẫu phiếu A có cấu hình phiếu điểm: ký tự “※” phía trước; mẫu phiếu B chỉ bật điều kiện đỏ (các dòng khác không dùng).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phiếu điểm: ký tự “※” phía trước
Sao chép và xuất mẫu A
Thao tác: 1. Sao chép mẫu A và mẫu B.
2. Mở dòng Thiết lập điểm đỏ（赤点設定） ở từng bản sao.
3. Xuất PDF bản sao với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168" ht="146" customHeight="1">
      <c r="A1168" s="24">
        <f>HYPERLINK("#'Kiểm thử'!A"&amp;(MATCH("TC-RS-DATA-010 / template-a",'Kiểm thử'!$A$5:$A$573,0)+4),"TC-RS-DATA-010 / template-a")</f>
        <v/>
      </c>
      <c r="B1168" s="18" t="inlineStr">
        <is>
          <t>Điều kiện / thao tác</t>
        </is>
      </c>
      <c r="C116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69" ht="112" customHeight="1">
      <c r="A1169" s="24">
        <f>HYPERLINK("#'Kiểm thử'!A"&amp;(MATCH("TC-RS-DATA-010 / template-a",'Kiểm thử'!$A$5:$A$573,0)+4),"TC-RS-DATA-010 / template-a")</f>
        <v/>
      </c>
      <c r="B1169" s="18" t="inlineStr">
        <is>
          <t>Kết quả mong đợi</t>
        </is>
      </c>
      <c r="C1169" s="18" t="inlineStr">
        <is>
          <t>1–2. Bản sao giữ lựa chọn Ký tự phía trước（前に任意の文字） `※`; mẫu chỉ dùng điều kiện đỏ vẫn còn hiệu lực.
3. PDF: ô S01 hiển thị `※29`. Không sao chép kết quả xét của học sinh.
Bảo toàn: Giữ điểm, cấu hình và đối tượng không đích theo expected; chỉ thay phần thủ tục yêu cầu, không tự đổi oracle hoặc mở rộng phạm vi.</t>
        </is>
      </c>
    </row>
    <row r="1170" ht="44" customHeight="1">
      <c r="A1170" s="24">
        <f>HYPERLINK("#'Kiểm thử'!A"&amp;(MATCH("TC-RS-DATA-010 / template-b",'Kiểm thử'!$A$5:$A$573,0)+4),"TC-RS-DATA-010 / template-b")</f>
        <v/>
      </c>
      <c r="B1170" s="18" t="inlineStr">
        <is>
          <t>Màn hình / chức năng</t>
        </is>
      </c>
      <c r="C1170" s="18" t="inlineStr">
        <is>
          <t>Công cụ phiếu điểm（通知表ツール） và PDF — Công cụ phiếu điểm（通知表ツール）
Sao chép mẫu phiếu điểm giữ lựa chọn hiển thị đỏ</t>
        </is>
      </c>
    </row>
    <row r="1171" ht="299" customHeight="1">
      <c r="A1171" s="24">
        <f>HYPERLINK("#'Kiểm thử'!A"&amp;(MATCH("TC-RS-DATA-010 / template-b",'Kiểm thử'!$A$5:$A$573,0)+4),"TC-RS-DATA-010 / template-b")</f>
        <v/>
      </c>
      <c r="B1171" s="18" t="inlineStr">
        <is>
          <t>Điều kiện / thao tác</t>
        </is>
      </c>
      <c r="C1171" s="18" t="inlineStr">
        <is>
          <t xml:space="preserve">Cấu hình: Mẫu phiếu A có cấu hình phiếu điểm: ký tự “※” phía trước; mẫu phiếu B chỉ bật điều kiện đỏ (các dòng khác không dùng).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phiếu điểm: ký tự “※” phía trước
Sao chép và xuất mẫu B
Thao tác: 1. Sao chép mẫu A và mẫu B.
2. Mở dòng Thiết lập điểm đỏ（赤点設定） ở từng bản sao.
3. Xuất PDF bản sao với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172" ht="146" customHeight="1">
      <c r="A1172" s="24">
        <f>HYPERLINK("#'Kiểm thử'!A"&amp;(MATCH("TC-RS-DATA-010 / template-b",'Kiểm thử'!$A$5:$A$573,0)+4),"TC-RS-DATA-010 / template-b")</f>
        <v/>
      </c>
      <c r="B1172" s="18" t="inlineStr">
        <is>
          <t>Điều kiện / thao tác</t>
        </is>
      </c>
      <c r="C117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73" ht="112" customHeight="1">
      <c r="A1173" s="24">
        <f>HYPERLINK("#'Kiểm thử'!A"&amp;(MATCH("TC-RS-DATA-010 / template-b",'Kiểm thử'!$A$5:$A$573,0)+4),"TC-RS-DATA-010 / template-b")</f>
        <v/>
      </c>
      <c r="B1173" s="18" t="inlineStr">
        <is>
          <t>Kết quả mong đợi</t>
        </is>
      </c>
      <c r="C1173" s="18" t="inlineStr">
        <is>
          <t>1–2. Bản sao giữ lựa chọn Ký tự phía trước（前に任意の文字） `※`; mẫu chỉ dùng điều kiện đỏ vẫn còn hiệu lực.
3. PDF: ô S01 hiển thị `※29`. Không sao chép kết quả xét của học sinh.
Bảo toàn: Giữ điểm, cấu hình và đối tượng không đích theo expected; chỉ thay phần thủ tục yêu cầu, không tự đổi oracle hoặc mở rộng phạm vi.</t>
        </is>
      </c>
    </row>
    <row r="1174" ht="44" customHeight="1">
      <c r="A1174" s="24">
        <f>HYPERLINK("#'Kiểm thử'!A"&amp;(MATCH("TC-RS-UI-024 / Base",'Kiểm thử'!$A$5:$A$573,0)+4),"TC-RS-UI-024 / Base")</f>
        <v/>
      </c>
      <c r="B1174" s="18" t="inlineStr">
        <is>
          <t>Màn hình / chức năng</t>
        </is>
      </c>
      <c r="C1174" s="18" t="inlineStr">
        <is>
          <t>Công cụ phiếu điểm（通知表ツール） và PDF — Công cụ phiếu điểm（通知表ツール）
Phiếu điểm: hộp Thiết lập hiển thị tùy chọn mục đăng ký điểm（成績登録項目オプション表示設定）</t>
        </is>
      </c>
    </row>
    <row r="1175" ht="299" customHeight="1">
      <c r="A1175" s="24">
        <f>HYPERLINK("#'Kiểm thử'!A"&amp;(MATCH("TC-RS-UI-024 / Base",'Kiểm thử'!$A$5:$A$573,0)+4),"TC-RS-UI-024 / Base")</f>
        <v/>
      </c>
      <c r="B1175" s="18" t="inlineStr">
        <is>
          <t>Điều kiện / thao tác</t>
        </is>
      </c>
      <c r="C1175" s="18" t="inlineStr">
        <is>
          <t xml:space="preserve">Cấu hình: tài khoản phụ trách đầu ra (trích xuất, công khai, phiếu điểm); mẫu phiếu có ô Điểm đánh giá（評点）.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phiếu điểm: ký tự “※” phía trước
Toàn bộ thủ tục theo đúng thứ tự; các đối chứng cùng fixture được kiểm trong cùng lượt, không bỏ bước
Thao tác: 1. Mở hộp tùy chọn của ô, chọn Thiết lập（設定する）.
2. Ghi lại thứ tự dòng và các lựa chọn của dòng Thiết lập điểm đỏ（赤点設定）.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176" ht="146" customHeight="1">
      <c r="A1176" s="24">
        <f>HYPERLINK("#'Kiểm thử'!A"&amp;(MATCH("TC-RS-UI-024 / Base",'Kiểm thử'!$A$5:$A$573,0)+4),"TC-RS-UI-024 / Base")</f>
        <v/>
      </c>
      <c r="B1176" s="18" t="inlineStr">
        <is>
          <t>Điều kiện / thao tác</t>
        </is>
      </c>
      <c r="C117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77" ht="129" customHeight="1">
      <c r="A1177" s="24">
        <f>HYPERLINK("#'Kiểm thử'!A"&amp;(MATCH("TC-RS-UI-024 / Base",'Kiểm thử'!$A$5:$A$573,0)+4),"TC-RS-UI-024 / Base")</f>
        <v/>
      </c>
      <c r="B1177" s="18" t="inlineStr">
        <is>
          <t>Kết quả mong đợi</t>
        </is>
      </c>
      <c r="C1177" s="18" t="inlineStr">
        <is>
          <t>CONFIRMED: dòng đỏ nằm sau các dòng checkbox và trước Trường hợp ô trống（空欄の場合）; lựa chọn của dòng đỏ là Nguyên trạng（そのまま表示）, Kèm ngoặc（カッコ付き）, Ký tự phía trước（前に任意の文字）, Ký tự phía sau（後ろに任意の文字）; không có Ẩn（表示しない）/Gạch chéo（斜線）.
PROPOSED: nhãn dòng 「赤点設定」 (thiết lập điểm đỏ) và câu ghi chú.
Bảo toàn: Giữ điểm, cấu hình và đối tượng không đích theo expected; chỉ thay phần thủ tục yêu cầu, không tự đổi oracle hoặc mở rộng phạm vi.</t>
        </is>
      </c>
    </row>
    <row r="1178" ht="44" customHeight="1">
      <c r="A1178" s="24">
        <f>HYPERLINK("#'Kiểm thử'!A"&amp;(MATCH("TC-RS-REG-009 / subject-empty",'Kiểm thử'!$A$5:$A$573,0)+4),"TC-RS-REG-009 / subject-empty")</f>
        <v/>
      </c>
      <c r="B1178" s="18" t="inlineStr">
        <is>
          <t>Màn hình / chức năng</t>
        </is>
      </c>
      <c r="C1178" s="18" t="inlineStr">
        <is>
          <t>Công cụ phiếu điểm（通知表ツール） và PDF — Công cụ phiếu điểm（通知表ツール）
Phiếu điểm: các điều kiện hiển thị hiện có giữ hành vi</t>
        </is>
      </c>
    </row>
    <row r="1179" ht="299" customHeight="1">
      <c r="A1179" s="24">
        <f>HYPERLINK("#'Kiểm thử'!A"&amp;(MATCH("TC-RS-REG-009 / subject-empty",'Kiểm thử'!$A$5:$A$573,0)+4),"TC-RS-REG-009 / subject-empty")</f>
        <v/>
      </c>
      <c r="B1179" s="18" t="inlineStr">
        <is>
          <t>Điều kiện / thao tác</t>
        </is>
      </c>
      <c r="C1179" s="18" t="inlineStr">
        <is>
          <t xml:space="preserve">Cấu hình: Hai bảng điểm hiện có: (a) dùng điều kiện môn cụ thể và ô trống; (b) dùng checkbox Chưa dự thi（未受験） với ẩn. Baseline PDF. Mục có quy tắc “Cố định 30” (dưới 30); hai bảng chưa bật dòng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S05 (ô trống), học sinh S07 (điểm 35, cờ Chưa dự thi（未受験）)
Bảng a môn cụ thể và ô trống
Thao tác: Xuất PDF hai bảng, so với baseline.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180" ht="146" customHeight="1">
      <c r="A1180" s="24">
        <f>HYPERLINK("#'Kiểm thử'!A"&amp;(MATCH("TC-RS-REG-009 / subject-empty",'Kiểm thử'!$A$5:$A$573,0)+4),"TC-RS-REG-009 / subject-empty")</f>
        <v/>
      </c>
      <c r="B1180" s="18" t="inlineStr">
        <is>
          <t>Điều kiện / thao tác</t>
        </is>
      </c>
      <c r="C1180"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81" ht="44" customHeight="1">
      <c r="A1181" s="24">
        <f>HYPERLINK("#'Kiểm thử'!A"&amp;(MATCH("TC-RS-REG-009 / notexam-hidden",'Kiểm thử'!$A$5:$A$573,0)+4),"TC-RS-REG-009 / notexam-hidden")</f>
        <v/>
      </c>
      <c r="B1181" s="18" t="inlineStr">
        <is>
          <t>Màn hình / chức năng</t>
        </is>
      </c>
      <c r="C1181" s="18" t="inlineStr">
        <is>
          <t>Công cụ phiếu điểm（通知表ツール） và PDF — Công cụ phiếu điểm（通知表ツール）
Phiếu điểm: các điều kiện hiển thị hiện có giữ hành vi</t>
        </is>
      </c>
    </row>
    <row r="1182" ht="299" customHeight="1">
      <c r="A1182" s="24">
        <f>HYPERLINK("#'Kiểm thử'!A"&amp;(MATCH("TC-RS-REG-009 / notexam-hidden",'Kiểm thử'!$A$5:$A$573,0)+4),"TC-RS-REG-009 / notexam-hidden")</f>
        <v/>
      </c>
      <c r="B1182" s="18" t="inlineStr">
        <is>
          <t>Điều kiện / thao tác</t>
        </is>
      </c>
      <c r="C1182" s="18" t="inlineStr">
        <is>
          <t xml:space="preserve">Cấu hình: Hai bảng điểm hiện có: (a) dùng điều kiện môn cụ thể và ô trống; (b) dùng checkbox Chưa dự thi（未受験） với ẩn. Baseline PDF. Mục có quy tắc “Cố định 30” (dưới 30); hai bảng chưa bật dòng đỏ.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S05 (ô trống), học sinh S07 (điểm 35, cờ Chưa dự thi（未受験）)
Bảng b chưa dự thi và ẩn
Thao tác: Xuất PDF hai bảng, so với baseline.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183" ht="146" customHeight="1">
      <c r="A1183" s="24">
        <f>HYPERLINK("#'Kiểm thử'!A"&amp;(MATCH("TC-RS-REG-009 / notexam-hidden",'Kiểm thử'!$A$5:$A$573,0)+4),"TC-RS-REG-009 / notexam-hidden")</f>
        <v/>
      </c>
      <c r="B1183" s="18" t="inlineStr">
        <is>
          <t>Điều kiện / thao tác</t>
        </is>
      </c>
      <c r="C118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84" ht="44" customHeight="1">
      <c r="A1184" s="24">
        <f>HYPERLINK("#'Kiểm thử'!A"&amp;(MATCH("TC-RS-REG-010 / Base",'Kiểm thử'!$A$5:$A$573,0)+4),"TC-RS-REG-010 / Base")</f>
        <v/>
      </c>
      <c r="B1184" s="18" t="inlineStr">
        <is>
          <t>Màn hình / chức năng</t>
        </is>
      </c>
      <c r="C1184" s="18" t="inlineStr">
        <is>
          <t>Công cụ phiếu điểm（通知表ツール） và PDF — Công cụ phiếu điểm（通知表ツール）
PDF phiếu: bố cục template không đổi khi có dấu đỏ</t>
        </is>
      </c>
    </row>
    <row r="1185" ht="299" customHeight="1">
      <c r="A1185" s="24">
        <f>HYPERLINK("#'Kiểm thử'!A"&amp;(MATCH("TC-RS-REG-010 / Base",'Kiểm thử'!$A$5:$A$573,0)+4),"TC-RS-REG-010 / Base")</f>
        <v/>
      </c>
      <c r="B1185" s="18" t="inlineStr">
        <is>
          <t>Điều kiện / thao tác</t>
        </is>
      </c>
      <c r="C1185" s="18" t="inlineStr">
        <is>
          <t xml:space="preserve">Cấu hình: cấu hình phiếu điểm: ký tự “※” phía trước với ký tự `※`; ô hẹp nhất của template chứa điểm 3 chữ số (ví dụ 100 nếu có quy tắc `≤100`, hoặc 29.5 cho mục thập phân).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phiếu điểm: ký tự “※” phía trước; học sinh S01 (điểm 29), học sinh S09 (mục số thập phân 29.5)
Toàn bộ thủ tục theo đúng thứ tự; các đối chứng cùng fixture được kiểm trong cùng lượt, không bỏ bước
Thao tác: Xuất PDF; so với baseline.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186" ht="146" customHeight="1">
      <c r="A1186" s="24">
        <f>HYPERLINK("#'Kiểm thử'!A"&amp;(MATCH("TC-RS-REG-010 / Base",'Kiểm thử'!$A$5:$A$573,0)+4),"TC-RS-REG-010 / Base")</f>
        <v/>
      </c>
      <c r="B1186" s="18" t="inlineStr">
        <is>
          <t>Điều kiện / thao tác</t>
        </is>
      </c>
      <c r="C118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87" ht="299" customHeight="1">
      <c r="A1187" s="24">
        <f>HYPERLINK("#'Kiểm thử'!A"&amp;(MATCH("TC-RS-FUNC-032 / extract-off",'Kiểm thử'!$A$5:$A$573,0)+4),"TC-RS-FUNC-032 / extract-off")</f>
        <v/>
      </c>
      <c r="B1187" s="18" t="inlineStr">
        <is>
          <t>Điều kiện / thao tác</t>
        </is>
      </c>
      <c r="C1187" s="18" t="inlineStr">
        <is>
          <t>Cấu hình: cùng một lượt xét đã lưu kết quả S01 Đỏ, S03 Không đỏ, S05 Không có điểm; actor có quyền xem trích xuất, công khai và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`S=29`, S03 `S=31`, S05 ô trống; cấu hình trích xuất lọc + “*” + tô màu; công khai “*”; phiếu điểm “※”.
Bước 1 và 5, không lọc
Thao tác: 1. Chạy một lượt đối chứng không lọc để S01, S03 và S05 đều có mặt; lưu file Excel làm baseline.
2. Chạy lại trích xuất với lọc bật và lưu file Excel trước/sau khi xem lại.
3. Mở màn học sinh công khai của cùng kỳ và cùng lượt xét.
4. Xuất PDF phiếu điểm của cùng học sinh/kỳ.</t>
        </is>
      </c>
    </row>
    <row r="1188" ht="248" customHeight="1">
      <c r="A1188" s="24">
        <f>HYPERLINK("#'Kiểm thử'!A"&amp;(MATCH("TC-RS-FUNC-032 / extract-off",'Kiểm thử'!$A$5:$A$573,0)+4),"TC-RS-FUNC-032 / extract-off")</f>
        <v/>
      </c>
      <c r="B1188" s="18" t="inlineStr">
        <is>
          <t>Điều kiện / thao tác</t>
        </is>
      </c>
      <c r="C1188" s="18" t="inlineStr">
        <is>
          <t xml:space="preserve">
5. Đối chiếu ba output với kết quả đã lưu, không chỉ đối chiếu giao diện; không loại S03/S05 khỏi fixture trước khi kiểm tra.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89" ht="112" customHeight="1">
      <c r="A1189" s="24">
        <f>HYPERLINK("#'Kiểm thử'!A"&amp;(MATCH("TC-RS-FUNC-032 / extract-off",'Kiểm thử'!$A$5:$A$573,0)+4),"TC-RS-FUNC-032 / extract-off")</f>
        <v/>
      </c>
      <c r="B1189" s="18" t="inlineStr">
        <is>
          <t>Kết quả mong đợi</t>
        </is>
      </c>
      <c r="C1189" s="18" t="inlineStr">
        <is>
          <t>Cả ba đầu ra đều dùng cùng kết quả đã lưu: S01 có dấu đỏ theo cấu hình riêng của từng output; S03 không có dấu đỏ; S05 không bị coi là điểm 0 và không có dấu đỏ. Excel phải giữ nguyên dữ liệu; màn công khai và PDF không được tự chọn lại rule hoặc tính lại ngưỡng. Nếu chạy lại sau khi chỉ xem/xuất, kết quả và bằng chứng phải không đổi.
Bảo toàn: Giữ điểm, cấu hình và đối tượng không đích theo expected; chỉ thay phần thủ tục yêu cầu, không tự đổi oracle hoặc mở rộng phạm vi.</t>
        </is>
      </c>
    </row>
    <row r="1190" ht="299" customHeight="1">
      <c r="A1190" s="24">
        <f>HYPERLINK("#'Kiểm thử'!A"&amp;(MATCH("TC-RS-FUNC-032 / extract-on",'Kiểm thử'!$A$5:$A$573,0)+4),"TC-RS-FUNC-032 / extract-on")</f>
        <v/>
      </c>
      <c r="B1190" s="18" t="inlineStr">
        <is>
          <t>Điều kiện / thao tác</t>
        </is>
      </c>
      <c r="C1190" s="18" t="inlineStr">
        <is>
          <t>Cấu hình: cùng một lượt xét đã lưu kết quả S01 Đỏ, S03 Không đỏ, S05 Không có điểm; actor có quyền xem trích xuất, công khai và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`S=29`, S03 `S=31`, S05 ô trống; cấu hình trích xuất lọc + “*” + tô màu; công khai “*”; phiếu điểm “※”.
Bước 2 và 5, bật lọc
Thao tác: 1. Chạy một lượt đối chứng không lọc để S01, S03 và S05 đều có mặt; lưu file Excel làm baseline.
2. Chạy lại trích xuất với lọc bật và lưu file Excel trước/sau khi xem lại.
3. Mở màn học sinh công khai của cùng kỳ và cùng lượt xét.
4. Xuất PDF phiếu điểm của cùng học sinh/kỳ.</t>
        </is>
      </c>
    </row>
    <row r="1191" ht="248" customHeight="1">
      <c r="A1191" s="24">
        <f>HYPERLINK("#'Kiểm thử'!A"&amp;(MATCH("TC-RS-FUNC-032 / extract-on",'Kiểm thử'!$A$5:$A$573,0)+4),"TC-RS-FUNC-032 / extract-on")</f>
        <v/>
      </c>
      <c r="B1191" s="18" t="inlineStr">
        <is>
          <t>Điều kiện / thao tác</t>
        </is>
      </c>
      <c r="C1191" s="18" t="inlineStr">
        <is>
          <t xml:space="preserve">
5. Đối chiếu ba output với kết quả đã lưu, không chỉ đối chiếu giao diện; không loại S03/S05 khỏi fixture trước khi kiểm tra.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92" ht="112" customHeight="1">
      <c r="A1192" s="24">
        <f>HYPERLINK("#'Kiểm thử'!A"&amp;(MATCH("TC-RS-FUNC-032 / extract-on",'Kiểm thử'!$A$5:$A$573,0)+4),"TC-RS-FUNC-032 / extract-on")</f>
        <v/>
      </c>
      <c r="B1192" s="18" t="inlineStr">
        <is>
          <t>Kết quả mong đợi</t>
        </is>
      </c>
      <c r="C1192" s="18" t="inlineStr">
        <is>
          <t>Cả ba đầu ra đều dùng cùng kết quả đã lưu: S01 có dấu đỏ theo cấu hình riêng của từng output; S03 không có dấu đỏ; S05 không bị coi là điểm 0 và không có dấu đỏ. Excel phải giữ nguyên dữ liệu; màn công khai và PDF không được tự chọn lại rule hoặc tính lại ngưỡng. Nếu chạy lại sau khi chỉ xem/xuất, kết quả và bằng chứng phải không đổi.
Bảo toàn: Giữ điểm, cấu hình và đối tượng không đích theo expected; chỉ thay phần thủ tục yêu cầu, không tự đổi oracle hoặc mở rộng phạm vi.</t>
        </is>
      </c>
    </row>
    <row r="1193" ht="299" customHeight="1">
      <c r="A1193" s="24">
        <f>HYPERLINK("#'Kiểm thử'!A"&amp;(MATCH("TC-RS-FUNC-032 / publish",'Kiểm thử'!$A$5:$A$573,0)+4),"TC-RS-FUNC-032 / publish")</f>
        <v/>
      </c>
      <c r="B1193" s="18" t="inlineStr">
        <is>
          <t>Điều kiện / thao tác</t>
        </is>
      </c>
      <c r="C1193" s="18" t="inlineStr">
        <is>
          <t>Cấu hình: cùng một lượt xét đã lưu kết quả S01 Đỏ, S03 Không đỏ, S05 Không có điểm; actor có quyền xem trích xuất, công khai và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`S=29`, S03 `S=31`, S05 ô trống; cấu hình trích xuất lọc + “*” + tô màu; công khai “*”; phiếu điểm “※”.
Bước 3 và 5
Thao tác: 1. Chạy một lượt đối chứng không lọc để S01, S03 và S05 đều có mặt; lưu file Excel làm baseline.
2. Chạy lại trích xuất với lọc bật và lưu file Excel trước/sau khi xem lại.
3. Mở màn học sinh công khai của cùng kỳ và cùng lượt xét.
4. Xuất PDF phiếu điểm của cùng học sinh/kỳ.</t>
        </is>
      </c>
    </row>
    <row r="1194" ht="248" customHeight="1">
      <c r="A1194" s="24">
        <f>HYPERLINK("#'Kiểm thử'!A"&amp;(MATCH("TC-RS-FUNC-032 / publish",'Kiểm thử'!$A$5:$A$573,0)+4),"TC-RS-FUNC-032 / publish")</f>
        <v/>
      </c>
      <c r="B1194" s="18" t="inlineStr">
        <is>
          <t>Điều kiện / thao tác</t>
        </is>
      </c>
      <c r="C1194" s="18" t="inlineStr">
        <is>
          <t xml:space="preserve">
5. Đối chiếu ba output với kết quả đã lưu, không chỉ đối chiếu giao diện; không loại S03/S05 khỏi fixture trước khi kiểm tra.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95" ht="112" customHeight="1">
      <c r="A1195" s="24">
        <f>HYPERLINK("#'Kiểm thử'!A"&amp;(MATCH("TC-RS-FUNC-032 / publish",'Kiểm thử'!$A$5:$A$573,0)+4),"TC-RS-FUNC-032 / publish")</f>
        <v/>
      </c>
      <c r="B1195" s="18" t="inlineStr">
        <is>
          <t>Kết quả mong đợi</t>
        </is>
      </c>
      <c r="C1195" s="18" t="inlineStr">
        <is>
          <t>Cả ba đầu ra đều dùng cùng kết quả đã lưu: S01 có dấu đỏ theo cấu hình riêng của từng output; S03 không có dấu đỏ; S05 không bị coi là điểm 0 và không có dấu đỏ. Excel phải giữ nguyên dữ liệu; màn công khai và PDF không được tự chọn lại rule hoặc tính lại ngưỡng. Nếu chạy lại sau khi chỉ xem/xuất, kết quả và bằng chứng phải không đổi.
Bảo toàn: Giữ điểm, cấu hình và đối tượng không đích theo expected; chỉ thay phần thủ tục yêu cầu, không tự đổi oracle hoặc mở rộng phạm vi.</t>
        </is>
      </c>
    </row>
    <row r="1196" ht="299" customHeight="1">
      <c r="A1196" s="24">
        <f>HYPERLINK("#'Kiểm thử'!A"&amp;(MATCH("TC-RS-FUNC-032 / report",'Kiểm thử'!$A$5:$A$573,0)+4),"TC-RS-FUNC-032 / report")</f>
        <v/>
      </c>
      <c r="B1196" s="18" t="inlineStr">
        <is>
          <t>Điều kiện / thao tác</t>
        </is>
      </c>
      <c r="C1196" s="18" t="inlineStr">
        <is>
          <t>Cấu hình: cùng một lượt xét đã lưu kết quả S01 Đỏ, S03 Không đỏ, S05 Không có điểm; actor có quyền xem trích xuất, công khai và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`S=29`, S03 `S=31`, S05 ô trống; cấu hình trích xuất lọc + “*” + tô màu; công khai “*”; phiếu điểm “※”.
Bước 4 và 5
Thao tác: 1. Chạy một lượt đối chứng không lọc để S01, S03 và S05 đều có mặt; lưu file Excel làm baseline.
2. Chạy lại trích xuất với lọc bật và lưu file Excel trước/sau khi xem lại.
3. Mở màn học sinh công khai của cùng kỳ và cùng lượt xét.
4. Xuất PDF phiếu điểm của cùng học sinh/kỳ.</t>
        </is>
      </c>
    </row>
    <row r="1197" ht="248" customHeight="1">
      <c r="A1197" s="24">
        <f>HYPERLINK("#'Kiểm thử'!A"&amp;(MATCH("TC-RS-FUNC-032 / report",'Kiểm thử'!$A$5:$A$573,0)+4),"TC-RS-FUNC-032 / report")</f>
        <v/>
      </c>
      <c r="B1197" s="18" t="inlineStr">
        <is>
          <t>Điều kiện / thao tác</t>
        </is>
      </c>
      <c r="C1197" s="18" t="inlineStr">
        <is>
          <t xml:space="preserve">
5. Đối chiếu ba output với kết quả đã lưu, không chỉ đối chiếu giao diện; không loại S03/S05 khỏi fixture trước khi kiểm tra.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198" ht="112" customHeight="1">
      <c r="A1198" s="24">
        <f>HYPERLINK("#'Kiểm thử'!A"&amp;(MATCH("TC-RS-FUNC-032 / report",'Kiểm thử'!$A$5:$A$573,0)+4),"TC-RS-FUNC-032 / report")</f>
        <v/>
      </c>
      <c r="B1198" s="18" t="inlineStr">
        <is>
          <t>Kết quả mong đợi</t>
        </is>
      </c>
      <c r="C1198" s="18" t="inlineStr">
        <is>
          <t>Cả ba đầu ra đều dùng cùng kết quả đã lưu: S01 có dấu đỏ theo cấu hình riêng của từng output; S03 không có dấu đỏ; S05 không bị coi là điểm 0 và không có dấu đỏ. Excel phải giữ nguyên dữ liệu; màn công khai và PDF không được tự chọn lại rule hoặc tính lại ngưỡng. Nếu chạy lại sau khi chỉ xem/xuất, kết quả và bằng chứng phải không đổi.
Bảo toàn: Giữ điểm, cấu hình và đối tượng không đích theo expected; chỉ thay phần thủ tục yêu cầu, không tự đổi oracle hoặc mở rộng phạm vi.</t>
        </is>
      </c>
    </row>
    <row r="1199" ht="299" customHeight="1">
      <c r="A1199" s="24">
        <f>HYPERLINK("#'Kiểm thử'!A"&amp;(MATCH("TC-RS-ERR-014 / extract",'Kiểm thử'!$A$5:$A$573,0)+4),"TC-RS-ERR-014 / extract")</f>
        <v/>
      </c>
      <c r="B1199" s="18" t="inlineStr">
        <is>
          <t>Điều kiện / thao tác</t>
        </is>
      </c>
      <c r="C1199" s="18" t="inlineStr">
        <is>
          <t>Cấu hình: mục số nguyên (M=100) có quy tắc, bị ẩn cho G-B qua Thiết lập ẩn mục nhập（入力項目の非表示設定）.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học sinh S06 (điểm dự kiến 24)
Trích xuất
Thao tác: Chạy xét; xem ba đầu ra cho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00" ht="180" customHeight="1">
      <c r="A1200" s="24">
        <f>HYPERLINK("#'Kiểm thử'!A"&amp;(MATCH("TC-RS-ERR-014 / extract",'Kiểm thử'!$A$5:$A$573,0)+4),"TC-RS-ERR-014 / extract")</f>
        <v/>
      </c>
      <c r="B1200" s="18" t="inlineStr">
        <is>
          <t>Điều kiện / thao tác</t>
        </is>
      </c>
      <c r="C1200" s="18" t="inlineStr">
        <is>
          <t xml:space="preserve">
Kỳ vọng: Chờ xác nhận
Chuẩn bị: Đang chuẩn bị
Chỉ là quan sát; kỳ vọng hoặc điều kiện kiểm chưa được xác nhận.
Khoảng trống: Phần kỳ vọng chưa chốt trong bản nguồn: Có xét hay không: TBD (chưa chốt). CONFIRMED phần không tranh chấp: không đầu ra nào làm hiện lại điểm đang bị ẩn.
TC-RS-ERR-014: giữ Awaiting decision; xác định oracle trước khi đánh giá PASS/FAIL.
Khoảng trống: Chưa có xác minh fixture, đường thực hiện và phép quan sát trên build của từng case chưa đánh giá.
Giữ Draft; chỉ chuyển Ready khi chuẩn bị và seam của đúng case đã được xác minh.</t>
        </is>
      </c>
    </row>
    <row r="1201" ht="299" customHeight="1">
      <c r="A1201" s="24">
        <f>HYPERLINK("#'Kiểm thử'!A"&amp;(MATCH("TC-RS-ERR-014 / publish",'Kiểm thử'!$A$5:$A$573,0)+4),"TC-RS-ERR-014 / publish")</f>
        <v/>
      </c>
      <c r="B1201" s="18" t="inlineStr">
        <is>
          <t>Điều kiện / thao tác</t>
        </is>
      </c>
      <c r="C1201" s="18" t="inlineStr">
        <is>
          <t>Cấu hình: mục số nguyên (M=100) có quy tắc, bị ẩn cho G-B qua Thiết lập ẩn mục nhập（入力項目の非表示設定）.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học sinh S06 (điểm dự kiến 24)
Công khai
Thao tác: Chạy xét; xem ba đầu ra cho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02" ht="180" customHeight="1">
      <c r="A1202" s="24">
        <f>HYPERLINK("#'Kiểm thử'!A"&amp;(MATCH("TC-RS-ERR-014 / publish",'Kiểm thử'!$A$5:$A$573,0)+4),"TC-RS-ERR-014 / publish")</f>
        <v/>
      </c>
      <c r="B1202" s="18" t="inlineStr">
        <is>
          <t>Điều kiện / thao tác</t>
        </is>
      </c>
      <c r="C1202" s="18" t="inlineStr">
        <is>
          <t xml:space="preserve">
Kỳ vọng: Chờ xác nhận
Chuẩn bị: Đang chuẩn bị
Chỉ là quan sát; kỳ vọng hoặc điều kiện kiểm chưa được xác nhận.
Khoảng trống: Phần kỳ vọng chưa chốt trong bản nguồn: Có xét hay không: TBD (chưa chốt). CONFIRMED phần không tranh chấp: không đầu ra nào làm hiện lại điểm đang bị ẩn.
TC-RS-ERR-014: giữ Awaiting decision; xác định oracle trước khi đánh giá PASS/FAIL.
Khoảng trống: Chưa có xác minh fixture, đường thực hiện và phép quan sát trên build của từng case chưa đánh giá.
Giữ Draft; chỉ chuyển Ready khi chuẩn bị và seam của đúng case đã được xác minh.</t>
        </is>
      </c>
    </row>
    <row r="1203" ht="299" customHeight="1">
      <c r="A1203" s="24">
        <f>HYPERLINK("#'Kiểm thử'!A"&amp;(MATCH("TC-RS-ERR-014 / report",'Kiểm thử'!$A$5:$A$573,0)+4),"TC-RS-ERR-014 / report")</f>
        <v/>
      </c>
      <c r="B1203" s="18" t="inlineStr">
        <is>
          <t>Điều kiện / thao tác</t>
        </is>
      </c>
      <c r="C1203" s="18" t="inlineStr">
        <is>
          <t>Cấu hình: mục số nguyên (M=100) có quy tắc, bị ẩn cho G-B qua Thiết lập ẩn mục nhập（入力項目の非表示設定）.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học sinh S06 (điểm dự kiến 24)
Phiếu điểm
Thao tác: Chạy xét; xem ba đầu ra cho S06.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04" ht="180" customHeight="1">
      <c r="A1204" s="24">
        <f>HYPERLINK("#'Kiểm thử'!A"&amp;(MATCH("TC-RS-ERR-014 / report",'Kiểm thử'!$A$5:$A$573,0)+4),"TC-RS-ERR-014 / report")</f>
        <v/>
      </c>
      <c r="B1204" s="18" t="inlineStr">
        <is>
          <t>Điều kiện / thao tác</t>
        </is>
      </c>
      <c r="C1204" s="18" t="inlineStr">
        <is>
          <t xml:space="preserve">
Kỳ vọng: Chờ xác nhận
Chuẩn bị: Đang chuẩn bị
Chỉ là quan sát; kỳ vọng hoặc điều kiện kiểm chưa được xác nhận.
Khoảng trống: Phần kỳ vọng chưa chốt trong bản nguồn: Có xét hay không: TBD (chưa chốt). CONFIRMED phần không tranh chấp: không đầu ra nào làm hiện lại điểm đang bị ẩn.
TC-RS-ERR-014: giữ Awaiting decision; xác định oracle trước khi đánh giá PASS/FAIL.
Khoảng trống: Chưa có xác minh fixture, đường thực hiện và phép quan sát trên build của từng case chưa đánh giá.
Giữ Draft; chỉ chuyển Ready khi chuẩn bị và seam của đúng case đã được xác minh.</t>
        </is>
      </c>
    </row>
    <row r="1205" ht="44" customHeight="1">
      <c r="A1205" s="24">
        <f>HYPERLINK("#'Kiểm thử'!A"&amp;(MATCH("TC-RS-BR-001 / priority20",'Kiểm thử'!$A$5:$A$573,0)+4),"TC-RS-BR-001 / priority20")</f>
        <v/>
      </c>
      <c r="B1205" s="18" t="inlineStr">
        <is>
          <t>Màn hình / chức năng</t>
        </is>
      </c>
      <c r="C1205" s="18" t="inlineStr">
        <is>
          <t>Chọn quy tắc và phân nhánh — Xét theo ưu tiên
Chọn quy tắc khớp đầu tiên theo ưu tiên, không lấy ngưỡng nghiêm hơn</t>
        </is>
      </c>
    </row>
    <row r="1206" ht="299" customHeight="1">
      <c r="A1206" s="24">
        <f>HYPERLINK("#'Kiểm thử'!A"&amp;(MATCH("TC-RS-BR-001 / priority20",'Kiểm thử'!$A$5:$A$573,0)+4),"TC-RS-BR-001 / priority20")</f>
        <v/>
      </c>
      <c r="B1206" s="18" t="inlineStr">
        <is>
          <t>Điều kiện / thao tác</t>
        </is>
      </c>
      <c r="C1206" s="18" t="inlineStr">
        <is>
          <t>Cấu hình: mục số nguyên (M=100) có cặp quy tắc cùng áp dụng (dưới 20 và dưới 30) (ưu tiên 1: `&lt;20`, ưu tiên 2: `&lt;30`).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cặp quy tắc cùng áp dụng (dưới 20 và dưới 30); S02 được sửa thành 25
Thứ tự ban đầu
Thao tác: 1. Đăng ký S02=25.
2. Đổi thứ tự (ưu tiên 1 là `&lt;30`), bấm chạy lại (đăng ký lại điểm hoặc nút cam).
3. Xem kết quả sau mỗi lần xét.
Khôi phục: Trước mỗi biến thể, dựng lại điều kiện/dữ liệu đầu của case bằng đường được phép; giữ các reset/fixture độc lập đã nêu trong thủ tục.</t>
        </is>
      </c>
    </row>
    <row r="1207" ht="180" customHeight="1">
      <c r="A1207" s="24">
        <f>HYPERLINK("#'Kiểm thử'!A"&amp;(MATCH("TC-RS-BR-001 / priority20",'Kiểm thử'!$A$5:$A$573,0)+4),"TC-RS-BR-001 / priority20")</f>
        <v/>
      </c>
      <c r="B1207" s="18" t="inlineStr">
        <is>
          <t>Điều kiện / thao tác</t>
        </is>
      </c>
      <c r="C1207"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08" ht="44" customHeight="1">
      <c r="A1208" s="24">
        <f>HYPERLINK("#'Kiểm thử'!A"&amp;(MATCH("TC-RS-BR-001 / priority30",'Kiểm thử'!$A$5:$A$573,0)+4),"TC-RS-BR-001 / priority30")</f>
        <v/>
      </c>
      <c r="B1208" s="18" t="inlineStr">
        <is>
          <t>Màn hình / chức năng</t>
        </is>
      </c>
      <c r="C1208" s="18" t="inlineStr">
        <is>
          <t>Chọn quy tắc và phân nhánh — Xét theo ưu tiên
Chọn quy tắc khớp đầu tiên theo ưu tiên, không lấy ngưỡng nghiêm hơn</t>
        </is>
      </c>
    </row>
    <row r="1209" ht="299" customHeight="1">
      <c r="A1209" s="24">
        <f>HYPERLINK("#'Kiểm thử'!A"&amp;(MATCH("TC-RS-BR-001 / priority30",'Kiểm thử'!$A$5:$A$573,0)+4),"TC-RS-BR-001 / priority30")</f>
        <v/>
      </c>
      <c r="B1209" s="18" t="inlineStr">
        <is>
          <t>Điều kiện / thao tác</t>
        </is>
      </c>
      <c r="C1209" s="18" t="inlineStr">
        <is>
          <t>Cấu hình: mục số nguyên (M=100) có cặp quy tắc cùng áp dụng (dưới 20 và dưới 30) (ưu tiên 1: `&lt;20`, ưu tiên 2: `&lt;30`).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cặp quy tắc cùng áp dụng (dưới 20 và dưới 30); S02 được sửa thành 25
Đổi thứ tự rồi xét lại
Thao tác: 1. Đăng ký S02=25.
2. Đổi thứ tự (ưu tiên 1 là `&lt;30`), bấm chạy lại (đăng ký lại điểm hoặc nút cam).
3. Xem kết quả sau mỗi lần xét.
Khôi phục: Trước mỗi biến thể, dựng lại điều kiện/dữ liệu đầu của case bằng đường được phép; giữ các reset/fixture độc lập đã nêu trong thủ tục.</t>
        </is>
      </c>
    </row>
    <row r="1210" ht="180" customHeight="1">
      <c r="A1210" s="24">
        <f>HYPERLINK("#'Kiểm thử'!A"&amp;(MATCH("TC-RS-BR-001 / priority30",'Kiểm thử'!$A$5:$A$573,0)+4),"TC-RS-BR-001 / priority30")</f>
        <v/>
      </c>
      <c r="B1210" s="18" t="inlineStr">
        <is>
          <t>Điều kiện / thao tác</t>
        </is>
      </c>
      <c r="C1210"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11" ht="299" customHeight="1">
      <c r="A1211" s="24">
        <f>HYPERLINK("#'Kiểm thử'!A"&amp;(MATCH("TC-RS-BR-002 / Base",'Kiểm thử'!$A$5:$A$573,0)+4),"TC-RS-BR-002 / Base")</f>
        <v/>
      </c>
      <c r="B1211" s="18" t="inlineStr">
        <is>
          <t>Điều kiện / thao tác</t>
        </is>
      </c>
      <c r="C1211" s="18" t="inlineStr">
        <is>
          <t>Cấu hình: mục số nguyên (M=100) chỉ có quy tắc có bộ lọc kết hợp (khối 1 hoặc 2, nhóm Nâng cao) (khối 1/2 và nhóm Nâng cao). S07 thuộc khối 2 nhưng không thuộc nhóm Nâng cao.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có bộ lọc kết hợp (khối 1 hoặc 2, nhóm Nâng cao), học sinh S07 (điểm 35, cờ Chưa dự thi（未受験）)
Toàn bộ thủ tục theo đúng thứ tự; các đối chứng cùng fixture được kiểm trong cùng lượt, không bỏ bước
Thao tác: 1. Đăng ký S07=20.
2. Xem kết quả ở ba đầu ra.
Khôi phục: Trước mỗi biến thể, dựng lại điều kiện/dữ liệu đầu của case bằng đường được phép; giữ các reset/fixture độc lập đã nêu trong thủ tục.</t>
        </is>
      </c>
    </row>
    <row r="1212" ht="180" customHeight="1">
      <c r="A1212" s="24">
        <f>HYPERLINK("#'Kiểm thử'!A"&amp;(MATCH("TC-RS-BR-002 / Base",'Kiểm thử'!$A$5:$A$573,0)+4),"TC-RS-BR-002 / Base")</f>
        <v/>
      </c>
      <c r="B1212" s="18" t="inlineStr">
        <is>
          <t>Điều kiện / thao tác</t>
        </is>
      </c>
      <c r="C1212"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13" ht="44" customHeight="1">
      <c r="A1213" s="24">
        <f>HYPERLINK("#'Kiểm thử'!A"&amp;(MATCH("TC-RS-BR-003 / divide-zero",'Kiểm thử'!$A$5:$A$573,0)+4),"TC-RS-BR-003 / divide-zero")</f>
        <v/>
      </c>
      <c r="B1213" s="18" t="inlineStr">
        <is>
          <t>Màn hình / chức năng</t>
        </is>
      </c>
      <c r="C1213" s="18" t="inlineStr">
        <is>
          <t>Chọn quy tắc và phân nhánh — Xét theo ưu tiên
Ưu tiên 1 khớp nhưng thiếu dữ liệu → Chưa xét được, không chuyển xuống ưu tiên 2</t>
        </is>
      </c>
    </row>
    <row r="1214" ht="299" customHeight="1">
      <c r="A1214" s="24">
        <f>HYPERLINK("#'Kiểm thử'!A"&amp;(MATCH("TC-RS-BR-003 / divide-zero",'Kiểm thử'!$A$5:$A$573,0)+4),"TC-RS-BR-003 / divide-zero")</f>
        <v/>
      </c>
      <c r="B1214" s="18" t="inlineStr">
        <is>
          <t>Điều kiện / thao tác</t>
        </is>
      </c>
      <c r="C1214" s="18" t="inlineStr">
        <is>
          <t>Cấu hình: Hai cấu hình thử: (A) ưu tiên 1 = quy tắc công thức 100 ÷ trung bình (100 ÷ A, Toàn bộ) với nguồn nhóm có trung bình 0 (`A=0`); ưu tiên 2 = quy tắc “Cố định 30” (dưới 30). (B) ưu tiên 1 = quy tắc có điều kiện `A≥60` với nguồn nguồn chưa có kết quả tổng hợp (không có tổng hợp); ưu tiên 2 = quy tắc “Cố định 30” (dưới 30). (C) ưu tiên 1 = quy tắc có bộ lọc Môn（教科・科目）= Ngữ văn và điều kiện `A≥60` (nguồn nguồn chưa có kết quả tổng hợp); ưu tiên 2 = quy tắc “Cố định 30” (dưới 30); ô đang xét là Toán.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100 ÷ trung bình, quy tắc “Cố định 30” (dưới 30), nhóm có trung bình 0, nguồn chưa có kết quả tổng hợp, học sinh S01 (điểm 29)
Fixture A chia 0
Thao tác: Với từng cấu hình (A), (B), (C): đăng ký S01=29, xem kết quả.</t>
        </is>
      </c>
    </row>
    <row r="1215" ht="214" customHeight="1">
      <c r="A1215" s="24">
        <f>HYPERLINK("#'Kiểm thử'!A"&amp;(MATCH("TC-RS-BR-003 / divide-zero",'Kiểm thử'!$A$5:$A$573,0)+4),"TC-RS-BR-003 / divide-zero")</f>
        <v/>
      </c>
      <c r="B1215" s="18" t="inlineStr">
        <is>
          <t>Điều kiện / thao tác</t>
        </is>
      </c>
      <c r="C1215"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16" ht="163" customHeight="1">
      <c r="A1216" s="24">
        <f>HYPERLINK("#'Kiểm thử'!A"&amp;(MATCH("TC-RS-BR-003 / divide-zero",'Kiểm thử'!$A$5:$A$573,0)+4),"TC-RS-BR-003 / divide-zero")</f>
        <v/>
      </c>
      <c r="B1216" s="18" t="inlineStr">
        <is>
          <t>Kết quả mong đợi</t>
        </is>
      </c>
      <c r="C1216" s="18" t="inlineStr">
        <is>
          <t>(A) Quy tắc 1 được chọn, chia 0 → Chưa xét được; không dùng ưu tiên 2.
(B) Không xác định được điều kiện trung bình → Chưa xét được; không coi thiếu dữ liệu là "không khớp" để xuống ưu tiên 2.
(C) Bộ lọc môn đã đủ chứng minh quy tắc 1 không áp dụng → được bỏ qua mà không cần nguồn; ưu tiên 2 áp dụng → Đỏ.
Bảo toàn: Giữ điểm, cấu hình và đối tượng không đích theo expected; chỉ thay phần thủ tục yêu cầu, không tự đổi oracle hoặc mở rộng phạm vi.</t>
        </is>
      </c>
    </row>
    <row r="1217" ht="44" customHeight="1">
      <c r="A1217" s="24">
        <f>HYPERLINK("#'Kiểm thử'!A"&amp;(MATCH("TC-RS-BR-003 / missing-average",'Kiểm thử'!$A$5:$A$573,0)+4),"TC-RS-BR-003 / missing-average")</f>
        <v/>
      </c>
      <c r="B1217" s="18" t="inlineStr">
        <is>
          <t>Màn hình / chức năng</t>
        </is>
      </c>
      <c r="C1217" s="18" t="inlineStr">
        <is>
          <t>Chọn quy tắc và phân nhánh — Xét theo ưu tiên
Ưu tiên 1 khớp nhưng thiếu dữ liệu → Chưa xét được, không chuyển xuống ưu tiên 2</t>
        </is>
      </c>
    </row>
    <row r="1218" ht="299" customHeight="1">
      <c r="A1218" s="24">
        <f>HYPERLINK("#'Kiểm thử'!A"&amp;(MATCH("TC-RS-BR-003 / missing-average",'Kiểm thử'!$A$5:$A$573,0)+4),"TC-RS-BR-003 / missing-average")</f>
        <v/>
      </c>
      <c r="B1218" s="18" t="inlineStr">
        <is>
          <t>Điều kiện / thao tác</t>
        </is>
      </c>
      <c r="C1218" s="18" t="inlineStr">
        <is>
          <t>Cấu hình: Hai cấu hình thử: (A) ưu tiên 1 = quy tắc công thức 100 ÷ trung bình (100 ÷ A, Toàn bộ) với nguồn nhóm có trung bình 0 (`A=0`); ưu tiên 2 = quy tắc “Cố định 30” (dưới 30). (B) ưu tiên 1 = quy tắc có điều kiện `A≥60` với nguồn nguồn chưa có kết quả tổng hợp (không có tổng hợp); ưu tiên 2 = quy tắc “Cố định 30” (dưới 30). (C) ưu tiên 1 = quy tắc có bộ lọc Môn（教科・科目）= Ngữ văn và điều kiện `A≥60` (nguồn nguồn chưa có kết quả tổng hợp); ưu tiên 2 = quy tắc “Cố định 30” (dưới 30); ô đang xét là Toán.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100 ÷ trung bình, quy tắc “Cố định 30” (dưới 30), nhóm có trung bình 0, nguồn chưa có kết quả tổng hợp, học sinh S01 (điểm 29)
Fixture B thiếu trung bình
Thao tác: Với từng cấu hình (A), (B), (C): đăng ký S01=29, xem kết quả.</t>
        </is>
      </c>
    </row>
    <row r="1219" ht="214" customHeight="1">
      <c r="A1219" s="24">
        <f>HYPERLINK("#'Kiểm thử'!A"&amp;(MATCH("TC-RS-BR-003 / missing-average",'Kiểm thử'!$A$5:$A$573,0)+4),"TC-RS-BR-003 / missing-average")</f>
        <v/>
      </c>
      <c r="B1219" s="18" t="inlineStr">
        <is>
          <t>Điều kiện / thao tác</t>
        </is>
      </c>
      <c r="C1219"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20" ht="163" customHeight="1">
      <c r="A1220" s="24">
        <f>HYPERLINK("#'Kiểm thử'!A"&amp;(MATCH("TC-RS-BR-003 / missing-average",'Kiểm thử'!$A$5:$A$573,0)+4),"TC-RS-BR-003 / missing-average")</f>
        <v/>
      </c>
      <c r="B1220" s="18" t="inlineStr">
        <is>
          <t>Kết quả mong đợi</t>
        </is>
      </c>
      <c r="C1220" s="18" t="inlineStr">
        <is>
          <t>(A) Quy tắc 1 được chọn, chia 0 → Chưa xét được; không dùng ưu tiên 2.
(B) Không xác định được điều kiện trung bình → Chưa xét được; không coi thiếu dữ liệu là "không khớp" để xuống ưu tiên 2.
(C) Bộ lọc môn đã đủ chứng minh quy tắc 1 không áp dụng → được bỏ qua mà không cần nguồn; ưu tiên 2 áp dụng → Đỏ.
Bảo toàn: Giữ điểm, cấu hình và đối tượng không đích theo expected; chỉ thay phần thủ tục yêu cầu, không tự đổi oracle hoặc mở rộng phạm vi.</t>
        </is>
      </c>
    </row>
    <row r="1221" ht="44" customHeight="1">
      <c r="A1221" s="24">
        <f>HYPERLINK("#'Kiểm thử'!A"&amp;(MATCH("TC-RS-BR-003 / filter-miss",'Kiểm thử'!$A$5:$A$573,0)+4),"TC-RS-BR-003 / filter-miss")</f>
        <v/>
      </c>
      <c r="B1221" s="18" t="inlineStr">
        <is>
          <t>Màn hình / chức năng</t>
        </is>
      </c>
      <c r="C1221" s="18" t="inlineStr">
        <is>
          <t>Chọn quy tắc và phân nhánh — Xét theo ưu tiên
Ưu tiên 1 khớp nhưng thiếu dữ liệu → Chưa xét được, không chuyển xuống ưu tiên 2</t>
        </is>
      </c>
    </row>
    <row r="1222" ht="299" customHeight="1">
      <c r="A1222" s="24">
        <f>HYPERLINK("#'Kiểm thử'!A"&amp;(MATCH("TC-RS-BR-003 / filter-miss",'Kiểm thử'!$A$5:$A$573,0)+4),"TC-RS-BR-003 / filter-miss")</f>
        <v/>
      </c>
      <c r="B1222" s="18" t="inlineStr">
        <is>
          <t>Điều kiện / thao tác</t>
        </is>
      </c>
      <c r="C1222" s="18" t="inlineStr">
        <is>
          <t>Cấu hình: Hai cấu hình thử: (A) ưu tiên 1 = quy tắc công thức 100 ÷ trung bình (100 ÷ A, Toàn bộ) với nguồn nhóm có trung bình 0 (`A=0`); ưu tiên 2 = quy tắc “Cố định 30” (dưới 30). (B) ưu tiên 1 = quy tắc có điều kiện `A≥60` với nguồn nguồn chưa có kết quả tổng hợp (không có tổng hợp); ưu tiên 2 = quy tắc “Cố định 30” (dưới 30). (C) ưu tiên 1 = quy tắc có bộ lọc Môn（教科・科目）= Ngữ văn và điều kiện `A≥60` (nguồn nguồn chưa có kết quả tổng hợp); ưu tiên 2 = quy tắc “Cố định 30” (dưới 30); ô đang xét là Toán.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100 ÷ trung bình, quy tắc “Cố định 30” (dưới 30), nhóm có trung bình 0, nguồn chưa có kết quả tổng hợp, học sinh S01 (điểm 29)
Fixture C không khớp lọc
Thao tác: Với từng cấu hình (A), (B), (C): đăng ký S01=29, xem kết quả.</t>
        </is>
      </c>
    </row>
    <row r="1223" ht="214" customHeight="1">
      <c r="A1223" s="24">
        <f>HYPERLINK("#'Kiểm thử'!A"&amp;(MATCH("TC-RS-BR-003 / filter-miss",'Kiểm thử'!$A$5:$A$573,0)+4),"TC-RS-BR-003 / filter-miss")</f>
        <v/>
      </c>
      <c r="B1223" s="18" t="inlineStr">
        <is>
          <t>Điều kiện / thao tác</t>
        </is>
      </c>
      <c r="C1223"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24" ht="163" customHeight="1">
      <c r="A1224" s="24">
        <f>HYPERLINK("#'Kiểm thử'!A"&amp;(MATCH("TC-RS-BR-003 / filter-miss",'Kiểm thử'!$A$5:$A$573,0)+4),"TC-RS-BR-003 / filter-miss")</f>
        <v/>
      </c>
      <c r="B1224" s="18" t="inlineStr">
        <is>
          <t>Kết quả mong đợi</t>
        </is>
      </c>
      <c r="C1224" s="18" t="inlineStr">
        <is>
          <t>(A) Quy tắc 1 được chọn, chia 0 → Chưa xét được; không dùng ưu tiên 2.
(B) Không xác định được điều kiện trung bình → Chưa xét được; không coi thiếu dữ liệu là "không khớp" để xuống ưu tiên 2.
(C) Bộ lọc môn đã đủ chứng minh quy tắc 1 không áp dụng → được bỏ qua mà không cần nguồn; ưu tiên 2 áp dụng → Đỏ.
Bảo toàn: Giữ điểm, cấu hình và đối tượng không đích theo expected; chỉ thay phần thủ tục yêu cầu, không tự đổi oracle hoặc mở rộng phạm vi.</t>
        </is>
      </c>
    </row>
    <row r="1225" ht="44" customHeight="1">
      <c r="A1225" s="24">
        <f>HYPERLINK("#'Kiểm thử'!A"&amp;(MATCH("TC-RS-BR-036 / Base",'Kiểm thử'!$A$5:$A$573,0)+4),"TC-RS-BR-036 / Base")</f>
        <v/>
      </c>
      <c r="B1225" s="18" t="inlineStr">
        <is>
          <t>Màn hình / chức năng</t>
        </is>
      </c>
      <c r="C1225" s="18" t="inlineStr">
        <is>
          <t>Chọn quy tắc và phân nhánh — Xét theo ưu tiên
Cùng lượt đăng ký: ô thiếu nguồn chưa xét được, ô ngưỡng cố định vẫn được xét</t>
        </is>
      </c>
    </row>
    <row r="1226" ht="299" customHeight="1">
      <c r="A1226" s="24">
        <f>HYPERLINK("#'Kiểm thử'!A"&amp;(MATCH("TC-RS-BR-036 / Base",'Kiểm thử'!$A$5:$A$573,0)+4),"TC-RS-BR-036 / Base")</f>
        <v/>
      </c>
      <c r="B1226" s="18" t="inlineStr">
        <is>
          <t>Điều kiện / thao tác</t>
        </is>
      </c>
      <c r="C1226" s="18" t="inlineStr">
        <is>
          <t>Cấu hình: Trên mục số nguyên (M=100): ưu tiên 1 = quy tắc công thức hai dòng (trung bình ÷ 2 × 0.8) (dùng trung bình, nguồn nguồn chưa có kết quả tổng hợp), ưu tiên 2 = quy tắc “Cố định 30” (dưới 30). Trên mục số thập phân (M=100): chỉ quy tắc “Cố định 30” (dưới 30). Lớp G-A có S01.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thập phân (M=100); quy tắc công thức hai dòng (trung bình ÷ 2 × 0.8); quy tắc “Cố định 30” (dưới 30); nguồn chưa có kết quả tổng hợp; các lớp học phần G-A, G-B, G-C; học sinh S01 (điểm 29); S01 mục số thập phân (M=100) = 29.5
Toàn bộ thủ tục theo đúng thứ tự; các đối chứng cùng fixture được kiểm trong cùng lượt, không bỏ bước
Thao tác: 1. Trong cùng một lượt đăng ký điểm của lớp G-A, lưu S01: mục số nguyên (M=100) = 29, mục số thập phân (M=100) = 29.5.</t>
        </is>
      </c>
    </row>
    <row r="1227" ht="231" customHeight="1">
      <c r="A1227" s="24">
        <f>HYPERLINK("#'Kiểm thử'!A"&amp;(MATCH("TC-RS-BR-036 / Base",'Kiểm thử'!$A$5:$A$573,0)+4),"TC-RS-BR-036 / Base")</f>
        <v/>
      </c>
      <c r="B1227" s="18" t="inlineStr">
        <is>
          <t>Điều kiện / thao tác</t>
        </is>
      </c>
      <c r="C1227" s="18" t="inlineStr">
        <is>
          <t xml:space="preserve">
2. Xem kết quả hai ô và thông báo.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28" ht="112" customHeight="1">
      <c r="A1228" s="24">
        <f>HYPERLINK("#'Kiểm thử'!A"&amp;(MATCH("TC-RS-BR-036 / Base",'Kiểm thử'!$A$5:$A$573,0)+4),"TC-RS-BR-036 / Base")</f>
        <v/>
      </c>
      <c r="B1228" s="18" t="inlineStr">
        <is>
          <t>Kết quả mong đợi</t>
        </is>
      </c>
      <c r="C1228" s="18" t="inlineStr">
        <is>
          <t>1. Lượt lưu không dừng hay báo lỗi chung vì ô mục số nguyên (M=100) thiếu nguồn.
2. Ô mục số nguyên (M=100): Chưa xét được; không dùng ưu tiên 2 (quy tắc “Cố định 30” (dưới 30)) thay thế, nên không Đỏ.
3. Ô mục số thập phân (M=100): Đỏ (29.5 `&lt;30`).
Bảo toàn: Giữ điểm, cấu hình và đối tượng không đích theo expected; chỉ thay phần thủ tục yêu cầu, không tự đổi oracle hoặc mở rộng phạm vi.</t>
        </is>
      </c>
    </row>
    <row r="1229" ht="44" customHeight="1">
      <c r="A1229" s="24">
        <f>HYPERLINK("#'Kiểm thử'!A"&amp;(MATCH("TC-RS-CALC-022 / a40",'Kiểm thử'!$A$5:$A$573,0)+4),"TC-RS-CALC-022 / a40")</f>
        <v/>
      </c>
      <c r="B1229" s="18" t="inlineStr">
        <is>
          <t>Màn hình / chức năng</t>
        </is>
      </c>
      <c r="C1229" s="18" t="inlineStr">
        <is>
          <t>Chọn quy tắc và phân nhánh — Xét theo ưu tiên
Phân nhánh theo trung bình: A = 40 / 50 / 49.99 (dùng A trước làm tròn)</t>
        </is>
      </c>
    </row>
    <row r="1230" ht="299" customHeight="1">
      <c r="A1230" s="24">
        <f>HYPERLINK("#'Kiểm thử'!A"&amp;(MATCH("TC-RS-CALC-022 / a40",'Kiểm thử'!$A$5:$A$573,0)+4),"TC-RS-CALC-022 / a40")</f>
        <v/>
      </c>
      <c r="B1230" s="18" t="inlineStr">
        <is>
          <t>Điều kiện / thao tác</t>
        </is>
      </c>
      <c r="C1230" s="18" t="inlineStr">
        <is>
          <t xml:space="preserve">Cấu hình: Ưu tiên 1: `A≥50` → cố định 30 `&lt;`. Ưu tiên 2: `A&lt;50` → `A×0.5`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Nguồn `A=40`, `A=50`, `A=49.99` (bản tổng hợp đã chốt (trung bình 49.99), màn tổng hợp hiện 50.0); S = 19, 20, 24.99, 25, 29, 30
A40
Thao tác: 1. Với từng nguồn, chạy nút cam, xem kết quả.
2. Với `A=49.99`: bật gần nhất p1 cho dòng `A×0.5`,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31" ht="146" customHeight="1">
      <c r="A1231" s="24">
        <f>HYPERLINK("#'Kiểm thử'!A"&amp;(MATCH("TC-RS-CALC-022 / a40",'Kiểm thử'!$A$5:$A$573,0)+4),"TC-RS-CALC-022 / a40")</f>
        <v/>
      </c>
      <c r="B1231" s="18" t="inlineStr">
        <is>
          <t>Điều kiện / thao tác</t>
        </is>
      </c>
      <c r="C1231"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32" ht="180" customHeight="1">
      <c r="A1232" s="24">
        <f>HYPERLINK("#'Kiểm thử'!A"&amp;(MATCH("TC-RS-CALC-022 / a40",'Kiểm thử'!$A$5:$A$573,0)+4),"TC-RS-CALC-022 / a40")</f>
        <v/>
      </c>
      <c r="B1232" s="18" t="inlineStr">
        <is>
          <t>Kết quả mong đợi</t>
        </is>
      </c>
      <c r="C1232" s="18" t="inlineStr">
        <is>
          <t>`A=40` → ưu tiên 2, `T=20`: 19 Đỏ; 20 Không đỏ.
`A=50` → ưu tiên 1, `T=30`: 29 Đỏ; 30 Không đỏ.
`A=49.99` → ưu tiên 2, `T=24.995`: 24.99 Đỏ; 25 Không đỏ; 29 Không đỏ (nếu dùng 50 thì 29 Đỏ — sai).
Bước 2: `T=25`, vẫn ưu tiên 2: 24.99 Đỏ; 29 Không đỏ.
Bảo toàn: Giữ điểm, cấu hình và đối tượng không đích theo expected; chỉ thay phần thủ tục yêu cầu, không tự đổi oracle hoặc mở rộng phạm vi.</t>
        </is>
      </c>
    </row>
    <row r="1233" ht="44" customHeight="1">
      <c r="A1233" s="24">
        <f>HYPERLINK("#'Kiểm thử'!A"&amp;(MATCH("TC-RS-CALC-022 / a50",'Kiểm thử'!$A$5:$A$573,0)+4),"TC-RS-CALC-022 / a50")</f>
        <v/>
      </c>
      <c r="B1233" s="18" t="inlineStr">
        <is>
          <t>Màn hình / chức năng</t>
        </is>
      </c>
      <c r="C1233" s="18" t="inlineStr">
        <is>
          <t>Chọn quy tắc và phân nhánh — Xét theo ưu tiên
Phân nhánh theo trung bình: A = 40 / 50 / 49.99 (dùng A trước làm tròn)</t>
        </is>
      </c>
    </row>
    <row r="1234" ht="299" customHeight="1">
      <c r="A1234" s="24">
        <f>HYPERLINK("#'Kiểm thử'!A"&amp;(MATCH("TC-RS-CALC-022 / a50",'Kiểm thử'!$A$5:$A$573,0)+4),"TC-RS-CALC-022 / a50")</f>
        <v/>
      </c>
      <c r="B1234" s="18" t="inlineStr">
        <is>
          <t>Điều kiện / thao tác</t>
        </is>
      </c>
      <c r="C1234" s="18" t="inlineStr">
        <is>
          <t xml:space="preserve">Cấu hình: Ưu tiên 1: `A≥50` → cố định 30 `&lt;`. Ưu tiên 2: `A&lt;50` → `A×0.5`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Nguồn `A=40`, `A=50`, `A=49.99` (bản tổng hợp đã chốt (trung bình 49.99), màn tổng hợp hiện 50.0); S = 19, 20, 24.99, 25, 29, 30
A50
Thao tác: 1. Với từng nguồn, chạy nút cam, xem kết quả.
2. Với `A=49.99`: bật gần nhất p1 cho dòng `A×0.5`,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35" ht="146" customHeight="1">
      <c r="A1235" s="24">
        <f>HYPERLINK("#'Kiểm thử'!A"&amp;(MATCH("TC-RS-CALC-022 / a50",'Kiểm thử'!$A$5:$A$573,0)+4),"TC-RS-CALC-022 / a50")</f>
        <v/>
      </c>
      <c r="B1235" s="18" t="inlineStr">
        <is>
          <t>Điều kiện / thao tác</t>
        </is>
      </c>
      <c r="C1235"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36" ht="180" customHeight="1">
      <c r="A1236" s="24">
        <f>HYPERLINK("#'Kiểm thử'!A"&amp;(MATCH("TC-RS-CALC-022 / a50",'Kiểm thử'!$A$5:$A$573,0)+4),"TC-RS-CALC-022 / a50")</f>
        <v/>
      </c>
      <c r="B1236" s="18" t="inlineStr">
        <is>
          <t>Kết quả mong đợi</t>
        </is>
      </c>
      <c r="C1236" s="18" t="inlineStr">
        <is>
          <t>`A=40` → ưu tiên 2, `T=20`: 19 Đỏ; 20 Không đỏ.
`A=50` → ưu tiên 1, `T=30`: 29 Đỏ; 30 Không đỏ.
`A=49.99` → ưu tiên 2, `T=24.995`: 24.99 Đỏ; 25 Không đỏ; 29 Không đỏ (nếu dùng 50 thì 29 Đỏ — sai).
Bước 2: `T=25`, vẫn ưu tiên 2: 24.99 Đỏ; 29 Không đỏ.
Bảo toàn: Giữ điểm, cấu hình và đối tượng không đích theo expected; chỉ thay phần thủ tục yêu cầu, không tự đổi oracle hoặc mở rộng phạm vi.</t>
        </is>
      </c>
    </row>
    <row r="1237" ht="44" customHeight="1">
      <c r="A1237" s="24">
        <f>HYPERLINK("#'Kiểm thử'!A"&amp;(MATCH("TC-RS-CALC-022 / a4999-none",'Kiểm thử'!$A$5:$A$573,0)+4),"TC-RS-CALC-022 / a4999-none")</f>
        <v/>
      </c>
      <c r="B1237" s="18" t="inlineStr">
        <is>
          <t>Màn hình / chức năng</t>
        </is>
      </c>
      <c r="C1237" s="18" t="inlineStr">
        <is>
          <t>Chọn quy tắc và phân nhánh — Xét theo ưu tiên
Phân nhánh theo trung bình: A = 40 / 50 / 49.99 (dùng A trước làm tròn)</t>
        </is>
      </c>
    </row>
    <row r="1238" ht="299" customHeight="1">
      <c r="A1238" s="24">
        <f>HYPERLINK("#'Kiểm thử'!A"&amp;(MATCH("TC-RS-CALC-022 / a4999-none",'Kiểm thử'!$A$5:$A$573,0)+4),"TC-RS-CALC-022 / a4999-none")</f>
        <v/>
      </c>
      <c r="B1238" s="18" t="inlineStr">
        <is>
          <t>Điều kiện / thao tác</t>
        </is>
      </c>
      <c r="C1238" s="18" t="inlineStr">
        <is>
          <t xml:space="preserve">Cấu hình: Ưu tiên 1: `A≥50` → cố định 30 `&lt;`. Ưu tiên 2: `A&lt;50` → `A×0.5`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Nguồn `A=40`, `A=50`, `A=49.99` (bản tổng hợp đã chốt (trung bình 49.99), màn tổng hợp hiện 50.0); S = 19, 20, 24.99, 25, 29, 30
A49.99 không làm tròn
Thao tác: 1. Với từng nguồn, chạy nút cam, xem kết quả.
2. Với `A=49.99`: bật gần nhất p1 cho dòng `A×0.5`,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39" ht="146" customHeight="1">
      <c r="A1239" s="24">
        <f>HYPERLINK("#'Kiểm thử'!A"&amp;(MATCH("TC-RS-CALC-022 / a4999-none",'Kiểm thử'!$A$5:$A$573,0)+4),"TC-RS-CALC-022 / a4999-none")</f>
        <v/>
      </c>
      <c r="B1239" s="18" t="inlineStr">
        <is>
          <t>Điều kiện / thao tác</t>
        </is>
      </c>
      <c r="C1239"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40" ht="180" customHeight="1">
      <c r="A1240" s="24">
        <f>HYPERLINK("#'Kiểm thử'!A"&amp;(MATCH("TC-RS-CALC-022 / a4999-none",'Kiểm thử'!$A$5:$A$573,0)+4),"TC-RS-CALC-022 / a4999-none")</f>
        <v/>
      </c>
      <c r="B1240" s="18" t="inlineStr">
        <is>
          <t>Kết quả mong đợi</t>
        </is>
      </c>
      <c r="C1240" s="18" t="inlineStr">
        <is>
          <t>`A=40` → ưu tiên 2, `T=20`: 19 Đỏ; 20 Không đỏ.
`A=50` → ưu tiên 1, `T=30`: 29 Đỏ; 30 Không đỏ.
`A=49.99` → ưu tiên 2, `T=24.995`: 24.99 Đỏ; 25 Không đỏ; 29 Không đỏ (nếu dùng 50 thì 29 Đỏ — sai).
Bước 2: `T=25`, vẫn ưu tiên 2: 24.99 Đỏ; 29 Không đỏ.
Bảo toàn: Giữ điểm, cấu hình và đối tượng không đích theo expected; chỉ thay phần thủ tục yêu cầu, không tự đổi oracle hoặc mở rộng phạm vi.</t>
        </is>
      </c>
    </row>
    <row r="1241" ht="44" customHeight="1">
      <c r="A1241" s="24">
        <f>HYPERLINK("#'Kiểm thử'!A"&amp;(MATCH("TC-RS-CALC-022 / a4999-round",'Kiểm thử'!$A$5:$A$573,0)+4),"TC-RS-CALC-022 / a4999-round")</f>
        <v/>
      </c>
      <c r="B1241" s="18" t="inlineStr">
        <is>
          <t>Màn hình / chức năng</t>
        </is>
      </c>
      <c r="C1241" s="18" t="inlineStr">
        <is>
          <t>Chọn quy tắc và phân nhánh — Xét theo ưu tiên
Phân nhánh theo trung bình: A = 40 / 50 / 49.99 (dùng A trước làm tròn)</t>
        </is>
      </c>
    </row>
    <row r="1242" ht="299" customHeight="1">
      <c r="A1242" s="24">
        <f>HYPERLINK("#'Kiểm thử'!A"&amp;(MATCH("TC-RS-CALC-022 / a4999-round",'Kiểm thử'!$A$5:$A$573,0)+4),"TC-RS-CALC-022 / a4999-round")</f>
        <v/>
      </c>
      <c r="B1242" s="18" t="inlineStr">
        <is>
          <t>Điều kiện / thao tác</t>
        </is>
      </c>
      <c r="C1242" s="18" t="inlineStr">
        <is>
          <t xml:space="preserve">Cấu hình: Ưu tiên 1: `A≥50` → cố định 30 `&lt;`. Ưu tiên 2: `A&lt;50` → `A×0.5`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Nguồn `A=40`, `A=50`, `A=49.99` (bản tổng hợp đã chốt (trung bình 49.99), màn tổng hợp hiện 50.0); S = 19, 20, 24.99, 25, 29, 30
A49.99 có làm tròn
Thao tác: 1. Với từng nguồn, chạy nút cam, xem kết quả.
2. Với `A=49.99`: bật gần nhất p1 cho dòng `A×0.5`,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43" ht="146" customHeight="1">
      <c r="A1243" s="24">
        <f>HYPERLINK("#'Kiểm thử'!A"&amp;(MATCH("TC-RS-CALC-022 / a4999-round",'Kiểm thử'!$A$5:$A$573,0)+4),"TC-RS-CALC-022 / a4999-round")</f>
        <v/>
      </c>
      <c r="B1243" s="18" t="inlineStr">
        <is>
          <t>Điều kiện / thao tác</t>
        </is>
      </c>
      <c r="C124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44" ht="180" customHeight="1">
      <c r="A1244" s="24">
        <f>HYPERLINK("#'Kiểm thử'!A"&amp;(MATCH("TC-RS-CALC-022 / a4999-round",'Kiểm thử'!$A$5:$A$573,0)+4),"TC-RS-CALC-022 / a4999-round")</f>
        <v/>
      </c>
      <c r="B1244" s="18" t="inlineStr">
        <is>
          <t>Kết quả mong đợi</t>
        </is>
      </c>
      <c r="C1244" s="18" t="inlineStr">
        <is>
          <t>`A=40` → ưu tiên 2, `T=20`: 19 Đỏ; 20 Không đỏ.
`A=50` → ưu tiên 1, `T=30`: 29 Đỏ; 30 Không đỏ.
`A=49.99` → ưu tiên 2, `T=24.995`: 24.99 Đỏ; 25 Không đỏ; 29 Không đỏ (nếu dùng 50 thì 29 Đỏ — sai).
Bước 2: `T=25`, vẫn ưu tiên 2: 24.99 Đỏ; 29 Không đỏ.
Bảo toàn: Giữ điểm, cấu hình và đối tượng không đích theo expected; chỉ thay phần thủ tục yêu cầu, không tự đổi oracle hoặc mở rộng phạm vi.</t>
        </is>
      </c>
    </row>
    <row r="1245" ht="299" customHeight="1">
      <c r="A1245" s="24">
        <f>HYPERLINK("#'Kiểm thử'!A"&amp;(MATCH("TC-RS-CALC-023 / a60",'Kiểm thử'!$A$5:$A$573,0)+4),"TC-RS-CALC-023 / a60")</f>
        <v/>
      </c>
      <c r="B1245" s="18" t="inlineStr">
        <is>
          <t>Điều kiện / thao tác</t>
        </is>
      </c>
      <c r="C1245" s="18" t="inlineStr">
        <is>
          <t>Cấu hình: Ưu tiên 1: `A≥60` → cố định 25 `&lt;`. Ưu tiên 2: `A&lt;60` → `A×0.5`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hai nguồn có trung bình 60 và 59.96 (`A=60.00`; `A=59.96`); S = 27, 29.99
A60
Thao tác: Chạy nút cam với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246" ht="129" customHeight="1">
      <c r="A1246" s="24">
        <f>HYPERLINK("#'Kiểm thử'!A"&amp;(MATCH("TC-RS-CALC-023 / a60",'Kiểm thử'!$A$5:$A$573,0)+4),"TC-RS-CALC-023 / a60")</f>
        <v/>
      </c>
      <c r="B1246" s="18" t="inlineStr">
        <is>
          <t>Điều kiện / thao tác</t>
        </is>
      </c>
      <c r="C1246"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47" ht="299" customHeight="1">
      <c r="A1247" s="24">
        <f>HYPERLINK("#'Kiểm thử'!A"&amp;(MATCH("TC-RS-CALC-023 / a5996",'Kiểm thử'!$A$5:$A$573,0)+4),"TC-RS-CALC-023 / a5996")</f>
        <v/>
      </c>
      <c r="B1247" s="18" t="inlineStr">
        <is>
          <t>Điều kiện / thao tác</t>
        </is>
      </c>
      <c r="C1247" s="18" t="inlineStr">
        <is>
          <t>Cấu hình: Ưu tiên 1: `A≥60` → cố định 25 `&lt;`. Ưu tiên 2: `A&lt;60` → `A×0.5` `&lt;`. mục số thập phân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hai nguồn có trung bình 60 và 59.96 (`A=60.00`; `A=59.96`); S = 27, 29.99
A59.96
Thao tác: Chạy nút cam với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248" ht="129" customHeight="1">
      <c r="A1248" s="24">
        <f>HYPERLINK("#'Kiểm thử'!A"&amp;(MATCH("TC-RS-CALC-023 / a5996",'Kiểm thử'!$A$5:$A$573,0)+4),"TC-RS-CALC-023 / a5996")</f>
        <v/>
      </c>
      <c r="B1248" s="18" t="inlineStr">
        <is>
          <t>Điều kiện / thao tác</t>
        </is>
      </c>
      <c r="C1248"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49" ht="299" customHeight="1">
      <c r="A1249" s="24">
        <f>HYPERLINK("#'Kiểm thử'!A"&amp;(MATCH("TC-RS-CALC-024 / r70",'Kiểm thử'!$A$5:$A$573,0)+4),"TC-RS-CALC-024 / r70")</f>
        <v/>
      </c>
      <c r="B1249" s="18" t="inlineStr">
        <is>
          <t>Điều kiện / thao tác</t>
        </is>
      </c>
      <c r="C1249" s="18" t="inlineStr">
        <is>
          <t>Cấu hình: quy tắc theo tỷ lệ điểm của nhóm từ 65% là quy tắc duy nhất.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theo tỷ lệ điểm của nhóm từ 65%; (a) nhóm có tỷ lệ điểm 70% (cùng M) (60/100, 80/100); (b) nguồn 50/100, 70/100; S = 60, 70, 80
R70
Thao tác: Chạy nút xanh rồi nút cam cho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50" ht="129" customHeight="1">
      <c r="A1250" s="24">
        <f>HYPERLINK("#'Kiểm thử'!A"&amp;(MATCH("TC-RS-CALC-024 / r70",'Kiểm thử'!$A$5:$A$573,0)+4),"TC-RS-CALC-024 / r70")</f>
        <v/>
      </c>
      <c r="B1250" s="18" t="inlineStr">
        <is>
          <t>Điều kiện / thao tác</t>
        </is>
      </c>
      <c r="C1250"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51" ht="299" customHeight="1">
      <c r="A1251" s="24">
        <f>HYPERLINK("#'Kiểm thử'!A"&amp;(MATCH("TC-RS-CALC-024 / r60",'Kiểm thử'!$A$5:$A$573,0)+4),"TC-RS-CALC-024 / r60")</f>
        <v/>
      </c>
      <c r="B1251" s="18" t="inlineStr">
        <is>
          <t>Điều kiện / thao tác</t>
        </is>
      </c>
      <c r="C1251" s="18" t="inlineStr">
        <is>
          <t>Cấu hình: quy tắc theo tỷ lệ điểm của nhóm từ 65% là quy tắc duy nhất.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theo tỷ lệ điểm của nhóm từ 65%; (a) nhóm có tỷ lệ điểm 70% (cùng M) (60/100, 80/100); (b) nguồn 50/100, 70/100; S = 60, 70, 80
R60
Thao tác: Chạy nút xanh rồi nút cam cho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52" ht="129" customHeight="1">
      <c r="A1252" s="24">
        <f>HYPERLINK("#'Kiểm thử'!A"&amp;(MATCH("TC-RS-CALC-024 / r60",'Kiểm thử'!$A$5:$A$573,0)+4),"TC-RS-CALC-024 / r60")</f>
        <v/>
      </c>
      <c r="B1252" s="18" t="inlineStr">
        <is>
          <t>Điều kiện / thao tác</t>
        </is>
      </c>
      <c r="C1252"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53" ht="299" customHeight="1">
      <c r="A1253" s="24">
        <f>HYPERLINK("#'Kiểm thử'!A"&amp;(MATCH("TC-RS-CALC-025 / r6499",'Kiểm thử'!$A$5:$A$573,0)+4),"TC-RS-CALC-025 / r6499")</f>
        <v/>
      </c>
      <c r="B1253" s="18" t="inlineStr">
        <is>
          <t>Điều kiện / thao tác</t>
        </is>
      </c>
      <c r="C1253" s="18" t="inlineStr">
        <is>
          <t>Cấu hình: quy tắc theo tỷ lệ điểm của nhóm từ 65%; mục thập phân.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theo tỷ lệ điểm của nhóm từ 65%; (a) Nguồn 64.98/100 và 65.00/100 → `R=64.99%`; (b) 65/100 và 65/100 → `R=65%`; S = 60
R64.99
Thao tác: Chạy nút xanh rồi nút cam cho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54" ht="129" customHeight="1">
      <c r="A1254" s="24">
        <f>HYPERLINK("#'Kiểm thử'!A"&amp;(MATCH("TC-RS-CALC-025 / r6499",'Kiểm thử'!$A$5:$A$573,0)+4),"TC-RS-CALC-025 / r6499")</f>
        <v/>
      </c>
      <c r="B1254" s="18" t="inlineStr">
        <is>
          <t>Điều kiện / thao tác</t>
        </is>
      </c>
      <c r="C1254" s="18" t="inlineStr">
        <is>
          <t xml:space="preserve">
Kỳ vọng: Đã xác nhận
Chuẩn bị: Bị chặn
Chỉ là quan sát; kỳ vọng hoặc điều kiện kiểm chưa được xác nhận.
Khoảng trống: BLOCKED — cần seam/fixture cho phép quan sát R thô 64.99; nếu chỉ trả 65.0 đã làm tròn thì không được PASS.
TC-RS-CALC-025: hoàn thiện đúng fixture/seam; giữ expected và chưa kết luận thực thi.</t>
        </is>
      </c>
    </row>
    <row r="1255" ht="112" customHeight="1">
      <c r="A1255" s="24">
        <f>HYPERLINK("#'Kiểm thử'!A"&amp;(MATCH("TC-RS-CALC-025 / r6499",'Kiểm thử'!$A$5:$A$573,0)+4),"TC-RS-CALC-025 / r6499")</f>
        <v/>
      </c>
      <c r="B1255" s="18" t="inlineStr">
        <is>
          <t>Kết quả mong đợi</t>
        </is>
      </c>
      <c r="C1255" s="18" t="inlineStr">
        <is>
          <t>(a) `R` thô = `64.99%` không khớp `≥65%` → Không áp dụng. Nếu seam chỉ cung cấp `65.0%` đã làm tròn, case bị BLOCKED/NEEDS_EVIDENCE vì thiếu dữ liệu nguồn, không được đổi oracle thành khớp.
(b) Khớp → S=60 Đỏ.
Bảo toàn: Giữ điểm, cấu hình và đối tượng không đích theo expected; chỉ thay phần thủ tục yêu cầu, không tự đổi oracle hoặc mở rộng phạm vi.</t>
        </is>
      </c>
    </row>
    <row r="1256" ht="299" customHeight="1">
      <c r="A1256" s="24">
        <f>HYPERLINK("#'Kiểm thử'!A"&amp;(MATCH("TC-RS-CALC-025 / r65",'Kiểm thử'!$A$5:$A$573,0)+4),"TC-RS-CALC-025 / r65")</f>
        <v/>
      </c>
      <c r="B1256" s="18" t="inlineStr">
        <is>
          <t>Điều kiện / thao tác</t>
        </is>
      </c>
      <c r="C1256" s="18" t="inlineStr">
        <is>
          <t>Cấu hình: quy tắc theo tỷ lệ điểm của nhóm từ 65%; mục thập phân.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theo tỷ lệ điểm của nhóm từ 65%; (a) Nguồn 64.98/100 và 65.00/100 → `R=64.99%`; (b) 65/100 và 65/100 → `R=65%`; S = 60
R65
Thao tác: Chạy nút xanh rồi nút cam cho từng nguồn.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257" ht="129" customHeight="1">
      <c r="A1257" s="24">
        <f>HYPERLINK("#'Kiểm thử'!A"&amp;(MATCH("TC-RS-CALC-025 / r65",'Kiểm thử'!$A$5:$A$573,0)+4),"TC-RS-CALC-025 / r65")</f>
        <v/>
      </c>
      <c r="B1257" s="18" t="inlineStr">
        <is>
          <t>Điều kiện / thao tác</t>
        </is>
      </c>
      <c r="C1257" s="18" t="inlineStr">
        <is>
          <t xml:space="preserve">
Kỳ vọng: Đã xác nhận
Chuẩn bị: Bị chặn
Chỉ là quan sát; kỳ vọng hoặc điều kiện kiểm chưa được xác nhận.
Khoảng trống: BLOCKED — cần seam/fixture cho phép quan sát R thô 64.99; nếu chỉ trả 65.0 đã làm tròn thì không được PASS.
TC-RS-CALC-025: hoàn thiện đúng fixture/seam; giữ expected và chưa kết luận thực thi.</t>
        </is>
      </c>
    </row>
    <row r="1258" ht="112" customHeight="1">
      <c r="A1258" s="24">
        <f>HYPERLINK("#'Kiểm thử'!A"&amp;(MATCH("TC-RS-CALC-025 / r65",'Kiểm thử'!$A$5:$A$573,0)+4),"TC-RS-CALC-025 / r65")</f>
        <v/>
      </c>
      <c r="B1258" s="18" t="inlineStr">
        <is>
          <t>Kết quả mong đợi</t>
        </is>
      </c>
      <c r="C1258" s="18" t="inlineStr">
        <is>
          <t>(a) `R` thô = `64.99%` không khớp `≥65%` → Không áp dụng. Nếu seam chỉ cung cấp `65.0%` đã làm tròn, case bị BLOCKED/NEEDS_EVIDENCE vì thiếu dữ liệu nguồn, không được đổi oracle thành khớp.
(b) Khớp → S=60 Đỏ.
Bảo toàn: Giữ điểm, cấu hình và đối tượng không đích theo expected; chỉ thay phần thủ tục yêu cầu, không tự đổi oracle hoặc mở rộng phạm vi.</t>
        </is>
      </c>
    </row>
    <row r="1259" ht="44" customHeight="1">
      <c r="A1259" s="24">
        <f>HYPERLINK("#'Kiểm thử'!A"&amp;(MATCH("TC-RS-BR-012 / projected",'Kiểm thử'!$A$5:$A$573,0)+4),"TC-RS-BR-012 / projected")</f>
        <v/>
      </c>
      <c r="B1259" s="18" t="inlineStr">
        <is>
          <t>Màn hình / chức năng</t>
        </is>
      </c>
      <c r="C1259" s="18" t="inlineStr">
        <is>
          <t>Điểm được xét — Đăng ký thành tích（成績登録）
Điểm được xét là điểm cuối đã lưu (dự kiến, sửa tay, sau giới hạn miền điểm)</t>
        </is>
      </c>
    </row>
    <row r="1260" ht="299" customHeight="1">
      <c r="A1260" s="24">
        <f>HYPERLINK("#'Kiểm thử'!A"&amp;(MATCH("TC-RS-BR-012 / projected",'Kiểm thử'!$A$5:$A$573,0)+4),"TC-RS-BR-012 / projected")</f>
        <v/>
      </c>
      <c r="B1260" s="18" t="inlineStr">
        <is>
          <t>Điều kiện / thao tác</t>
        </is>
      </c>
      <c r="C1260" s="18" t="inlineStr">
        <is>
          <t>Cấu hình: mục số nguyên (M=100) có quy tắc “Cố định 30” (dưới 30) và (cho biến thể c) mục số nguyên có thêm tính tự động có quy tắc tính tự động cho kết quả vượt 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nguyên có thêm tính tự động; học sinh S06 (điểm dự kiến 24), học sinh S08 (sửa tay 28 thành 35), quy tắc “Cố định 30” (dưới 30)
Điểm dự kiến 24
Thao tác: (a) S06 = 24 là Điểm dự kiến（見込点）: đăng ký.
(b) S08: nhập 28, lưu; sửa tay thành 35, lưu.
(c) Tạo dữ liệu mà phép tính cho 120 nhưng điểm lưu hợp lệ là 100; áp quy tắc cố định 100 `&lt;` v</t>
        </is>
      </c>
    </row>
    <row r="1261" ht="214" customHeight="1">
      <c r="A1261" s="24">
        <f>HYPERLINK("#'Kiểm thử'!A"&amp;(MATCH("TC-RS-BR-012 / projected",'Kiểm thử'!$A$5:$A$573,0)+4),"TC-RS-BR-012 / projected")</f>
        <v/>
      </c>
      <c r="B1261" s="18" t="inlineStr">
        <is>
          <t>Điều kiện / thao tác</t>
        </is>
      </c>
      <c r="C1261" s="18" t="inlineStr">
        <is>
          <t>à 100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62" ht="44" customHeight="1">
      <c r="A1262" s="24">
        <f>HYPERLINK("#'Kiểm thử'!A"&amp;(MATCH("TC-RS-BR-012 / manual",'Kiểm thử'!$A$5:$A$573,0)+4),"TC-RS-BR-012 / manual")</f>
        <v/>
      </c>
      <c r="B1262" s="18" t="inlineStr">
        <is>
          <t>Màn hình / chức năng</t>
        </is>
      </c>
      <c r="C1262" s="18" t="inlineStr">
        <is>
          <t>Điểm được xét — Đăng ký thành tích（成績登録）
Điểm được xét là điểm cuối đã lưu (dự kiến, sửa tay, sau giới hạn miền điểm)</t>
        </is>
      </c>
    </row>
    <row r="1263" ht="299" customHeight="1">
      <c r="A1263" s="24">
        <f>HYPERLINK("#'Kiểm thử'!A"&amp;(MATCH("TC-RS-BR-012 / manual",'Kiểm thử'!$A$5:$A$573,0)+4),"TC-RS-BR-012 / manual")</f>
        <v/>
      </c>
      <c r="B1263" s="18" t="inlineStr">
        <is>
          <t>Điều kiện / thao tác</t>
        </is>
      </c>
      <c r="C1263" s="18" t="inlineStr">
        <is>
          <t>Cấu hình: mục số nguyên (M=100) có quy tắc “Cố định 30” (dưới 30) và (cho biến thể c) mục số nguyên có thêm tính tự động có quy tắc tính tự động cho kết quả vượt 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nguyên có thêm tính tự động; học sinh S06 (điểm dự kiến 24), học sinh S08 (sửa tay 28 thành 35), quy tắc “Cố định 30” (dưới 30)
Chuỗi sửa tay 28 thành 35
Thao tác: (a) S06 = 24 là Điểm dự kiến（見込点）: đăng ký.
(b) S08: nhập 28, lưu; sửa tay thành 35, lưu.
(c) Tạo dữ liệu mà phép tính cho 120 nhưng điểm lưu hợp lệ là 100; áp quy tắc cố định 100 `&lt;` v</t>
        </is>
      </c>
    </row>
    <row r="1264" ht="214" customHeight="1">
      <c r="A1264" s="24">
        <f>HYPERLINK("#'Kiểm thử'!A"&amp;(MATCH("TC-RS-BR-012 / manual",'Kiểm thử'!$A$5:$A$573,0)+4),"TC-RS-BR-012 / manual")</f>
        <v/>
      </c>
      <c r="B1264" s="18" t="inlineStr">
        <is>
          <t>Điều kiện / thao tác</t>
        </is>
      </c>
      <c r="C1264" s="18" t="inlineStr">
        <is>
          <t>à 100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65" ht="44" customHeight="1">
      <c r="A1265" s="24">
        <f>HYPERLINK("#'Kiểm thử'!A"&amp;(MATCH("TC-RS-BR-012 / clamp-lt",'Kiểm thử'!$A$5:$A$573,0)+4),"TC-RS-BR-012 / clamp-lt")</f>
        <v/>
      </c>
      <c r="B1265" s="18" t="inlineStr">
        <is>
          <t>Màn hình / chức năng</t>
        </is>
      </c>
      <c r="C1265" s="18" t="inlineStr">
        <is>
          <t>Điểm được xét — Đăng ký thành tích（成績登録）
Điểm được xét là điểm cuối đã lưu (dự kiến, sửa tay, sau giới hạn miền điểm)</t>
        </is>
      </c>
    </row>
    <row r="1266" ht="299" customHeight="1">
      <c r="A1266" s="24">
        <f>HYPERLINK("#'Kiểm thử'!A"&amp;(MATCH("TC-RS-BR-012 / clamp-lt",'Kiểm thử'!$A$5:$A$573,0)+4),"TC-RS-BR-012 / clamp-lt")</f>
        <v/>
      </c>
      <c r="B1266" s="18" t="inlineStr">
        <is>
          <t>Điều kiện / thao tác</t>
        </is>
      </c>
      <c r="C1266" s="18" t="inlineStr">
        <is>
          <t>Cấu hình: mục số nguyên (M=100) có quy tắc “Cố định 30” (dưới 30) và (cho biến thể c) mục số nguyên có thêm tính tự động có quy tắc tính tự động cho kết quả vượt 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nguyên có thêm tính tự động; học sinh S06 (điểm dự kiến 24), học sinh S08 (sửa tay 28 thành 35), quy tắc “Cố định 30” (dưới 30)
Điểm sau chặn 100 với nhỏ hơn
Thao tác: (a) S06 = 24 là Điểm dự kiến（見込点）: đăng ký.
(b) S08: nhập 28, lưu; sửa tay thành 35, lưu.
(c) Tạo dữ liệu mà phép tính cho 120 nhưng điểm lưu hợp lệ là 100; áp quy tắc cố định 100 `&lt;` v</t>
        </is>
      </c>
    </row>
    <row r="1267" ht="214" customHeight="1">
      <c r="A1267" s="24">
        <f>HYPERLINK("#'Kiểm thử'!A"&amp;(MATCH("TC-RS-BR-012 / clamp-lt",'Kiểm thử'!$A$5:$A$573,0)+4),"TC-RS-BR-012 / clamp-lt")</f>
        <v/>
      </c>
      <c r="B1267" s="18" t="inlineStr">
        <is>
          <t>Điều kiện / thao tác</t>
        </is>
      </c>
      <c r="C1267" s="18" t="inlineStr">
        <is>
          <t>à 100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68" ht="44" customHeight="1">
      <c r="A1268" s="24">
        <f>HYPERLINK("#'Kiểm thử'!A"&amp;(MATCH("TC-RS-BR-012 / clamp-le",'Kiểm thử'!$A$5:$A$573,0)+4),"TC-RS-BR-012 / clamp-le")</f>
        <v/>
      </c>
      <c r="B1268" s="18" t="inlineStr">
        <is>
          <t>Màn hình / chức năng</t>
        </is>
      </c>
      <c r="C1268" s="18" t="inlineStr">
        <is>
          <t>Điểm được xét — Đăng ký thành tích（成績登録）
Điểm được xét là điểm cuối đã lưu (dự kiến, sửa tay, sau giới hạn miền điểm)</t>
        </is>
      </c>
    </row>
    <row r="1269" ht="299" customHeight="1">
      <c r="A1269" s="24">
        <f>HYPERLINK("#'Kiểm thử'!A"&amp;(MATCH("TC-RS-BR-012 / clamp-le",'Kiểm thử'!$A$5:$A$573,0)+4),"TC-RS-BR-012 / clamp-le")</f>
        <v/>
      </c>
      <c r="B1269" s="18" t="inlineStr">
        <is>
          <t>Điều kiện / thao tác</t>
        </is>
      </c>
      <c r="C1269" s="18" t="inlineStr">
        <is>
          <t>Cấu hình: mục số nguyên (M=100) có quy tắc “Cố định 30” (dưới 30) và (cho biến thể c) mục số nguyên có thêm tính tự động có quy tắc tính tự động cho kết quả vượt 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nguyên có thêm tính tự động; học sinh S06 (điểm dự kiến 24), học sinh S08 (sửa tay 28 thành 35), quy tắc “Cố định 30” (dưới 30)
Điểm sau chặn 100 với nhỏ hơn hoặc bằng
Thao tác: (a) S06 = 24 là Điểm dự kiến（見込点）: đăng ký.
(b) S08: nhập 28, lưu; sửa tay thành 35, lưu.
(c) Tạo dữ liệu mà phép tính cho 120 nhưng điểm lưu hợp lệ là 100; áp quy tắc cố định 100 `&lt;` v</t>
        </is>
      </c>
    </row>
    <row r="1270" ht="214" customHeight="1">
      <c r="A1270" s="24">
        <f>HYPERLINK("#'Kiểm thử'!A"&amp;(MATCH("TC-RS-BR-012 / clamp-le",'Kiểm thử'!$A$5:$A$573,0)+4),"TC-RS-BR-012 / clamp-le")</f>
        <v/>
      </c>
      <c r="B1270" s="18" t="inlineStr">
        <is>
          <t>Điều kiện / thao tác</t>
        </is>
      </c>
      <c r="C1270" s="18" t="inlineStr">
        <is>
          <t>à 100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71" ht="299" customHeight="1">
      <c r="A1271" s="24">
        <f>HYPERLINK("#'Kiểm thử'!A"&amp;(MATCH("TC-RS-BR-013 / notexam35",'Kiểm thử'!$A$5:$A$573,0)+4),"TC-RS-BR-013 / notexam35")</f>
        <v/>
      </c>
      <c r="B1271" s="18" t="inlineStr">
        <is>
          <t>Điều kiện / thao tác</t>
        </is>
      </c>
      <c r="C1271" s="18" t="inlineStr">
        <is>
          <t>Cấu hình: quy tắc “Cố định 30” (dưới 30) (`&lt;30`).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S07 (điểm 35, cờ Chưa dự thi（未受験）) (35, cờ Chưa dự thi) và biến thể S07 = 25 cùng cờ; học sinh S09 (mục số thập phân 29.5) (mục số thập phân (M=100) = 29.5) được thiết lập loại khỏi xếp hạng; mục số thập phân (M=100) có quy tắc “Cố định 30” (dưới 30)
Cờ chưa dự thi với điểm 35
Thao tác: 1. Đăng ký S07=35 kèm cờ Chưa dự thi（未受験）.
2. Sửa S07=25, giữ cờ.
3. Đăng ký điểm 29.5 cho S09 (học sinh bị loại khỏi xếp hạng); chạy nút xanh rồi nút cam.
Khôi phục: Trước mỗi biến thể, dựng lại điều kiện/dữ liệu đầu của case bằng đường được phép; gi</t>
        </is>
      </c>
    </row>
    <row r="1272" ht="180" customHeight="1">
      <c r="A1272" s="24">
        <f>HYPERLINK("#'Kiểm thử'!A"&amp;(MATCH("TC-RS-BR-013 / notexam35",'Kiểm thử'!$A$5:$A$573,0)+4),"TC-RS-BR-013 / notexam35")</f>
        <v/>
      </c>
      <c r="B1272" s="18" t="inlineStr">
        <is>
          <t>Điều kiện / thao tác</t>
        </is>
      </c>
      <c r="C1272"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73" ht="299" customHeight="1">
      <c r="A1273" s="24">
        <f>HYPERLINK("#'Kiểm thử'!A"&amp;(MATCH("TC-RS-BR-013 / notexam25",'Kiểm thử'!$A$5:$A$573,0)+4),"TC-RS-BR-013 / notexam25")</f>
        <v/>
      </c>
      <c r="B1273" s="18" t="inlineStr">
        <is>
          <t>Điều kiện / thao tác</t>
        </is>
      </c>
      <c r="C1273" s="18" t="inlineStr">
        <is>
          <t>Cấu hình: quy tắc “Cố định 30” (dưới 30) (`&lt;30`).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S07 (điểm 35, cờ Chưa dự thi（未受験）) (35, cờ Chưa dự thi) và biến thể S07 = 25 cùng cờ; học sinh S09 (mục số thập phân 29.5) (mục số thập phân (M=100) = 29.5) được thiết lập loại khỏi xếp hạng; mục số thập phân (M=100) có quy tắc “Cố định 30” (dưới 30)
Cờ chưa dự thi với điểm 25
Thao tác: 1. Đăng ký S07=35 kèm cờ Chưa dự thi（未受験）.
2. Sửa S07=25, giữ cờ.
3. Đăng ký điểm 29.5 cho S09 (học sinh bị loại khỏi xếp hạng); chạy nút xanh rồi nút cam.
Khôi phục: Trước mỗi biến thể, dựng lại điều kiện/dữ liệu đầu của case bằng đường được phép; gi</t>
        </is>
      </c>
    </row>
    <row r="1274" ht="180" customHeight="1">
      <c r="A1274" s="24">
        <f>HYPERLINK("#'Kiểm thử'!A"&amp;(MATCH("TC-RS-BR-013 / notexam25",'Kiểm thử'!$A$5:$A$573,0)+4),"TC-RS-BR-013 / notexam25")</f>
        <v/>
      </c>
      <c r="B1274" s="18" t="inlineStr">
        <is>
          <t>Điều kiện / thao tác</t>
        </is>
      </c>
      <c r="C1274"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75" ht="299" customHeight="1">
      <c r="A1275" s="24">
        <f>HYPERLINK("#'Kiểm thử'!A"&amp;(MATCH("TC-RS-BR-013 / ranking-excluded",'Kiểm thử'!$A$5:$A$573,0)+4),"TC-RS-BR-013 / ranking-excluded")</f>
        <v/>
      </c>
      <c r="B1275" s="18" t="inlineStr">
        <is>
          <t>Điều kiện / thao tác</t>
        </is>
      </c>
      <c r="C1275" s="18" t="inlineStr">
        <is>
          <t>Cấu hình: quy tắc “Cố định 30” (dưới 30) (`&lt;30`).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S07 (điểm 35, cờ Chưa dự thi（未受験）) (35, cờ Chưa dự thi) và biến thể S07 = 25 cùng cờ; học sinh S09 (mục số thập phân 29.5) (mục số thập phân (M=100) = 29.5) được thiết lập loại khỏi xếp hạng; mục số thập phân (M=100) có quy tắc “Cố định 30” (dưới 30)
Loại khỏi xếp hạng với điểm 29.5
Thao tác: 1. Đăng ký S07=35 kèm cờ Chưa dự thi（未受験）.
2. Sửa S07=25, giữ cờ.
3. Đăng ký điểm 29.5 cho S09 (học sinh bị loại khỏi xếp hạng); chạy nút xanh rồi nút cam.
Khôi phục: Trước mỗi biến thể, dựng lại điều kiện/dữ liệu đầu của case bằng đường được phép; gi</t>
        </is>
      </c>
    </row>
    <row r="1276" ht="180" customHeight="1">
      <c r="A1276" s="24">
        <f>HYPERLINK("#'Kiểm thử'!A"&amp;(MATCH("TC-RS-BR-013 / ranking-excluded",'Kiểm thử'!$A$5:$A$573,0)+4),"TC-RS-BR-013 / ranking-excluded")</f>
        <v/>
      </c>
      <c r="B1276" s="18" t="inlineStr">
        <is>
          <t>Điều kiện / thao tác</t>
        </is>
      </c>
      <c r="C1276"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77" ht="299" customHeight="1">
      <c r="A1277" s="24">
        <f>HYPERLINK("#'Kiểm thử'!A"&amp;(MATCH("TC-RS-BR-014 / fixed30-lt",'Kiểm thử'!$A$5:$A$573,0)+4),"TC-RS-BR-014 / fixed30-lt")</f>
        <v/>
      </c>
      <c r="B1277" s="18" t="inlineStr">
        <is>
          <t>Điều kiện / thao tác</t>
        </is>
      </c>
      <c r="C1277" s="18" t="inlineStr">
        <is>
          <t xml:space="preserve">Cấu hình: quy tắc “Cố định 30” (dưới 30) (`&lt;30`) và quy tắc cố định 30 với Nhỏ hơn hoặc bằng（以下） biến thể cố định 0 `≤`.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quy tắc cố định 30 với Nhỏ hơn hoặc bằng（以下）; học sinh S05 (ô trống) (trống), học sinh S04 (điểm 0) (0)
Ngưỡng 30 nhỏ hơn, kiểm cả trống và 0
Thao tác: 1. Với quy tắc “Cố định 30” (dưới 30): đăng ký S04=0, để S05 trống.
2. Đổi thành quy tắc cố định 0 `≤`,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78" ht="146" customHeight="1">
      <c r="A1278" s="24">
        <f>HYPERLINK("#'Kiểm thử'!A"&amp;(MATCH("TC-RS-BR-014 / fixed30-lt",'Kiểm thử'!$A$5:$A$573,0)+4),"TC-RS-BR-014 / fixed30-lt")</f>
        <v/>
      </c>
      <c r="B1278" s="18" t="inlineStr">
        <is>
          <t>Điều kiện / thao tác</t>
        </is>
      </c>
      <c r="C127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79" ht="299" customHeight="1">
      <c r="A1279" s="24">
        <f>HYPERLINK("#'Kiểm thử'!A"&amp;(MATCH("TC-RS-BR-014 / fixed0-le",'Kiểm thử'!$A$5:$A$573,0)+4),"TC-RS-BR-014 / fixed0-le")</f>
        <v/>
      </c>
      <c r="B1279" s="18" t="inlineStr">
        <is>
          <t>Điều kiện / thao tác</t>
        </is>
      </c>
      <c r="C1279" s="18" t="inlineStr">
        <is>
          <t xml:space="preserve">Cấu hình: quy tắc “Cố định 30” (dưới 30) (`&lt;30`) và quy tắc cố định 30 với Nhỏ hơn hoặc bằng（以下） biến thể cố định 0 `≤`.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quy tắc cố định 30 với Nhỏ hơn hoặc bằng（以下）; học sinh S05 (ô trống) (trống), học sinh S04 (điểm 0) (0)
Ngưỡng 0 nhỏ hơn hoặc bằng, kiểm cả trống và 0
Thao tác: 1. Với quy tắc “Cố định 30” (dưới 30): đăng ký S04=0, để S05 trống.
2. Đổi thành quy tắc cố định 0 `≤`,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80" ht="146" customHeight="1">
      <c r="A1280" s="24">
        <f>HYPERLINK("#'Kiểm thử'!A"&amp;(MATCH("TC-RS-BR-014 / fixed0-le",'Kiểm thử'!$A$5:$A$573,0)+4),"TC-RS-BR-014 / fixed0-le")</f>
        <v/>
      </c>
      <c r="B1280" s="18" t="inlineStr">
        <is>
          <t>Điều kiện / thao tác</t>
        </is>
      </c>
      <c r="C1280"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81" ht="299" customHeight="1">
      <c r="A1281" s="24">
        <f>HYPERLINK("#'Kiểm thử'!A"&amp;(MATCH("TC-RS-BR-030 / Base",'Kiểm thử'!$A$5:$A$573,0)+4),"TC-RS-BR-030 / Base")</f>
        <v/>
      </c>
      <c r="B1281" s="18" t="inlineStr">
        <is>
          <t>Điều kiện / thao tác</t>
        </is>
      </c>
      <c r="C1281" s="18" t="inlineStr">
        <is>
          <t xml:space="preserve">Cấu hình: mục điểm đơn vị (đơn vị U1 có M riêng 40) có quy tắc “Cố định 30” (dưới 30) (`&lt;30`). S06 (G-B): U1 = 25, U2 = 35.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mục điểm đơn vị (đơn vị U1 có M riêng 40)
Toàn bộ thủ tục theo đúng thứ tự; các đối chứng cùng fixture được kiểm trong cùng lượt, không bỏ bước
Thao tác: 1. Đăng ký điểm U1, U2 của S06.
2. Xem ba đầu ra ở phạm vi đơn vị.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82" ht="146" customHeight="1">
      <c r="A1282" s="24">
        <f>HYPERLINK("#'Kiểm thử'!A"&amp;(MATCH("TC-RS-BR-030 / Base",'Kiểm thử'!$A$5:$A$573,0)+4),"TC-RS-BR-030 / Base")</f>
        <v/>
      </c>
      <c r="B1282" s="18" t="inlineStr">
        <is>
          <t>Điều kiện / thao tác</t>
        </is>
      </c>
      <c r="C128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83" ht="44" customHeight="1">
      <c r="A1283" s="24">
        <f>HYPERLINK("#'Kiểm thử'!A"&amp;(MATCH("TC-RS-REG-003 / Base",'Kiểm thử'!$A$5:$A$573,0)+4),"TC-RS-REG-003 / Base")</f>
        <v/>
      </c>
      <c r="B1283" s="18" t="inlineStr">
        <is>
          <t>Màn hình / chức năng</t>
        </is>
      </c>
      <c r="C1283" s="18" t="inlineStr">
        <is>
          <t>Điểm được xét — Đăng ký thành tích（成績登録）
Ô nhập tay được AutoRating bỏ qua vẫn giữ giá trị tay và vẫn được xét đỏ</t>
        </is>
      </c>
    </row>
    <row r="1284" ht="299" customHeight="1">
      <c r="A1284" s="24">
        <f>HYPERLINK("#'Kiểm thử'!A"&amp;(MATCH("TC-RS-REG-003 / Base",'Kiểm thử'!$A$5:$A$573,0)+4),"TC-RS-REG-003 / Base")</f>
        <v/>
      </c>
      <c r="B1284" s="18" t="inlineStr">
        <is>
          <t>Điều kiện / thao tác</t>
        </is>
      </c>
      <c r="C1284" s="18" t="inlineStr">
        <is>
          <t xml:space="preserve">Cấu hình: mục số nguyên có thêm tính tự động + quy tắc “Cố định 30” (dưới 30); S08 nhập tay 28.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có thêm tính tự động, quy tắc “Cố định 30” (dưới 30); học sinh S08 (sửa tay 28 thành 35)
Toàn bộ thủ tục theo đúng thứ tự; các đối chứng cùng fixture được kiểm trong cùng lượt, không bỏ bước
Thao tác: 1. Lưu S08=28 bằng nhập tay; chạy nút cam.
2. Xem điểm và kết quả đỏ.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85" ht="146" customHeight="1">
      <c r="A1285" s="24">
        <f>HYPERLINK("#'Kiểm thử'!A"&amp;(MATCH("TC-RS-REG-003 / Base",'Kiểm thử'!$A$5:$A$573,0)+4),"TC-RS-REG-003 / Base")</f>
        <v/>
      </c>
      <c r="B1285" s="18" t="inlineStr">
        <is>
          <t>Điều kiện / thao tác</t>
        </is>
      </c>
      <c r="C1285"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86" ht="299" customHeight="1">
      <c r="A1286" s="24">
        <f>HYPERLINK("#'Kiểm thử'!A"&amp;(MATCH("TC-RS-BR-031 / add",'Kiểm thử'!$A$5:$A$573,0)+4),"TC-RS-BR-031 / add")</f>
        <v/>
      </c>
      <c r="B1286" s="18" t="inlineStr">
        <is>
          <t>Điều kiện / thao tác</t>
        </is>
      </c>
      <c r="C1286" s="18" t="inlineStr">
        <is>
          <t>Cấu hình: Đăng nhập tài khoản giáo viên có quyền sửa mục (giáo viên thường, không phải nhân viên nội bộ).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có quyền sửa mục, mục số nguyên (M=100)
Thử thêm
Thao tác: Thêm, sửa điều kiện, sửa ngưỡng, đổi thứ tự, xóa một quy tắc của mục số nguyên (M=100).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287" ht="129" customHeight="1">
      <c r="A1287" s="24">
        <f>HYPERLINK("#'Kiểm thử'!A"&amp;(MATCH("TC-RS-BR-031 / add",'Kiểm thử'!$A$5:$A$573,0)+4),"TC-RS-BR-031 / add")</f>
        <v/>
      </c>
      <c r="B1287" s="18" t="inlineStr">
        <is>
          <t>Điều kiện / thao tác</t>
        </is>
      </c>
      <c r="C1287"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88" ht="299" customHeight="1">
      <c r="A1288" s="24">
        <f>HYPERLINK("#'Kiểm thử'!A"&amp;(MATCH("TC-RS-BR-031 / condition",'Kiểm thử'!$A$5:$A$573,0)+4),"TC-RS-BR-031 / condition")</f>
        <v/>
      </c>
      <c r="B1288" s="18" t="inlineStr">
        <is>
          <t>Điều kiện / thao tác</t>
        </is>
      </c>
      <c r="C1288" s="18" t="inlineStr">
        <is>
          <t>Cấu hình: Đăng nhập tài khoản giáo viên có quyền sửa mục (giáo viên thường, không phải nhân viên nội bộ).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có quyền sửa mục, mục số nguyên (M=100)
Thử sửa điều kiện
Thao tác: Thêm, sửa điều kiện, sửa ngưỡng, đổi thứ tự, xóa một quy tắc của mục số nguyên (M=100).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289" ht="129" customHeight="1">
      <c r="A1289" s="24">
        <f>HYPERLINK("#'Kiểm thử'!A"&amp;(MATCH("TC-RS-BR-031 / condition",'Kiểm thử'!$A$5:$A$573,0)+4),"TC-RS-BR-031 / condition")</f>
        <v/>
      </c>
      <c r="B1289" s="18" t="inlineStr">
        <is>
          <t>Điều kiện / thao tác</t>
        </is>
      </c>
      <c r="C1289"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90" ht="299" customHeight="1">
      <c r="A1290" s="24">
        <f>HYPERLINK("#'Kiểm thử'!A"&amp;(MATCH("TC-RS-BR-031 / threshold",'Kiểm thử'!$A$5:$A$573,0)+4),"TC-RS-BR-031 / threshold")</f>
        <v/>
      </c>
      <c r="B1290" s="18" t="inlineStr">
        <is>
          <t>Điều kiện / thao tác</t>
        </is>
      </c>
      <c r="C1290" s="18" t="inlineStr">
        <is>
          <t>Cấu hình: Đăng nhập tài khoản giáo viên có quyền sửa mục (giáo viên thường, không phải nhân viên nội bộ).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có quyền sửa mục, mục số nguyên (M=100)
Thử sửa ngưỡng
Thao tác: Thêm, sửa điều kiện, sửa ngưỡng, đổi thứ tự, xóa một quy tắc của mục số nguyên (M=100).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291" ht="129" customHeight="1">
      <c r="A1291" s="24">
        <f>HYPERLINK("#'Kiểm thử'!A"&amp;(MATCH("TC-RS-BR-031 / threshold",'Kiểm thử'!$A$5:$A$573,0)+4),"TC-RS-BR-031 / threshold")</f>
        <v/>
      </c>
      <c r="B1291" s="18" t="inlineStr">
        <is>
          <t>Điều kiện / thao tác</t>
        </is>
      </c>
      <c r="C1291"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92" ht="299" customHeight="1">
      <c r="A1292" s="24">
        <f>HYPERLINK("#'Kiểm thử'!A"&amp;(MATCH("TC-RS-BR-031 / reorder",'Kiểm thử'!$A$5:$A$573,0)+4),"TC-RS-BR-031 / reorder")</f>
        <v/>
      </c>
      <c r="B1292" s="18" t="inlineStr">
        <is>
          <t>Điều kiện / thao tác</t>
        </is>
      </c>
      <c r="C1292" s="18" t="inlineStr">
        <is>
          <t>Cấu hình: Đăng nhập tài khoản giáo viên có quyền sửa mục (giáo viên thường, không phải nhân viên nội bộ).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có quyền sửa mục, mục số nguyên (M=100)
Thử đổi thứ tự
Thao tác: Thêm, sửa điều kiện, sửa ngưỡng, đổi thứ tự, xóa một quy tắc của mục số nguyên (M=100).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293" ht="129" customHeight="1">
      <c r="A1293" s="24">
        <f>HYPERLINK("#'Kiểm thử'!A"&amp;(MATCH("TC-RS-BR-031 / reorder",'Kiểm thử'!$A$5:$A$573,0)+4),"TC-RS-BR-031 / reorder")</f>
        <v/>
      </c>
      <c r="B1293" s="18" t="inlineStr">
        <is>
          <t>Điều kiện / thao tác</t>
        </is>
      </c>
      <c r="C1293"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94" ht="299" customHeight="1">
      <c r="A1294" s="24">
        <f>HYPERLINK("#'Kiểm thử'!A"&amp;(MATCH("TC-RS-BR-031 / delete",'Kiểm thử'!$A$5:$A$573,0)+4),"TC-RS-BR-031 / delete")</f>
        <v/>
      </c>
      <c r="B1294" s="18" t="inlineStr">
        <is>
          <t>Điều kiện / thao tác</t>
        </is>
      </c>
      <c r="C1294" s="18" t="inlineStr">
        <is>
          <t>Cấu hình: Đăng nhập tài khoản giáo viên có quyền sửa mục (giáo viên thường, không phải nhân viên nội bộ).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có quyền sửa mục, mục số nguyên (M=100)
Thử xóa
Thao tác: Thêm, sửa điều kiện, sửa ngưỡng, đổi thứ tự, xóa một quy tắc của mục số nguyên (M=100).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295" ht="129" customHeight="1">
      <c r="A1295" s="24">
        <f>HYPERLINK("#'Kiểm thử'!A"&amp;(MATCH("TC-RS-BR-031 / delete",'Kiểm thử'!$A$5:$A$573,0)+4),"TC-RS-BR-031 / delete")</f>
        <v/>
      </c>
      <c r="B1295" s="18" t="inlineStr">
        <is>
          <t>Điều kiện / thao tác</t>
        </is>
      </c>
      <c r="C1295"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96" ht="44" customHeight="1">
      <c r="A1296" s="24">
        <f>HYPERLINK("#'Kiểm thử'!A"&amp;(MATCH("TC-RS-BR-032 / Base",'Kiểm thử'!$A$5:$A$573,0)+4),"TC-RS-BR-032 / Base")</f>
        <v/>
      </c>
      <c r="B1296" s="18" t="inlineStr">
        <is>
          <t>Màn hình / chức năng</t>
        </is>
      </c>
      <c r="C1296" s="18" t="inlineStr">
        <is>
          <t>Quyền và kiểm tra phía server — Quyền thao tác
Vào được màn nhưng không có quyền sửa mục → không sửa được quy tắc của mục đó</t>
        </is>
      </c>
    </row>
    <row r="1297" ht="299" customHeight="1">
      <c r="A1297" s="24">
        <f>HYPERLINK("#'Kiểm thử'!A"&amp;(MATCH("TC-RS-BR-032 / Base",'Kiểm thử'!$A$5:$A$573,0)+4),"TC-RS-BR-032 / Base")</f>
        <v/>
      </c>
      <c r="B1297" s="18" t="inlineStr">
        <is>
          <t>Điều kiện / thao tác</t>
        </is>
      </c>
      <c r="C1297" s="18" t="inlineStr">
        <is>
          <t xml:space="preserve">Cấu hình: Đăng nhập tài khoản giáo viên không có quyền sửa mục. mục chỉ dành nội bộ có một quy tắc.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không có quyền sửa mục, mục chỉ dành nội bộ
Toàn bộ thủ tục theo đúng thứ tự; các đối chứng cùng fixture được kiểm trong cùng lượt, không bỏ bước
Thao tác: 1. Mở Thiết lập ô nhập（入力欄設定）.
2. Thử mở và sửa quy tắc của mục chỉ dành nội bộ.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298" ht="146" customHeight="1">
      <c r="A1298" s="24">
        <f>HYPERLINK("#'Kiểm thử'!A"&amp;(MATCH("TC-RS-BR-032 / Base",'Kiểm thử'!$A$5:$A$573,0)+4),"TC-RS-BR-032 / Base")</f>
        <v/>
      </c>
      <c r="B1298" s="18" t="inlineStr">
        <is>
          <t>Điều kiện / thao tác</t>
        </is>
      </c>
      <c r="C129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299" ht="299" customHeight="1">
      <c r="A1299" s="24">
        <f>HYPERLINK("#'Kiểm thử'!A"&amp;(MATCH("TC-RS-BR-033 / Base",'Kiểm thử'!$A$5:$A$573,0)+4),"TC-RS-BR-033 / Base")</f>
        <v/>
      </c>
      <c r="B1299" s="18" t="inlineStr">
        <is>
          <t>Điều kiện / thao tác</t>
        </is>
      </c>
      <c r="C1299" s="18" t="inlineStr">
        <is>
          <t>Cấu hình: Đăng nhập tài khoản sửa được mục nhưng không có quyền chạy hàng loạt.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sửa được mục nhưng không có quyền chạy hàng loạt
Toàn bộ thủ tục theo đúng thứ tự; các đối chứng cùng fixture được kiểm trong cùng lượt, không bỏ bước
Thao tác: 1. Sửa một quy tắc (thành công).
2. Mở Tổng hợp thành tích（成績集計）, thử chạy tính toán hàng loạt.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300" ht="129" customHeight="1">
      <c r="A1300" s="24">
        <f>HYPERLINK("#'Kiểm thử'!A"&amp;(MATCH("TC-RS-BR-033 / Base",'Kiểm thử'!$A$5:$A$573,0)+4),"TC-RS-BR-033 / Base")</f>
        <v/>
      </c>
      <c r="B1300" s="18" t="inlineStr">
        <is>
          <t>Điều kiện / thao tác</t>
        </is>
      </c>
      <c r="C1300"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01" ht="299" customHeight="1">
      <c r="A1301" s="24">
        <f>HYPERLINK("#'Kiểm thử'!A"&amp;(MATCH("TC-RS-ERR-006 / save",'Kiểm thử'!$A$5:$A$573,0)+4),"TC-RS-ERR-006 / save")</f>
        <v/>
      </c>
      <c r="B1301" s="18" t="inlineStr">
        <is>
          <t>Điều kiện / thao tác</t>
        </is>
      </c>
      <c r="C1301" s="18" t="inlineStr">
        <is>
          <t>Cấu hình: tài khoản giáo viên không có quyền sửa mục; mục chỉ dành nội bộ có một quy tắc. Có bản ghi request lưu/xóa/đổi thứ tự hợp lệ lấy từ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không có quyền sửa mục, mục chỉ dành nội bộ
Gửi lưu
Thao tác: Dùng phiên tài khoản giáo viên không có quyền sửa mục gửi lại các request POST lưu, xóa, đổi thứ tự quy tắc của mục chỉ dành nội bộ.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302" ht="129" customHeight="1">
      <c r="A1302" s="24">
        <f>HYPERLINK("#'Kiểm thử'!A"&amp;(MATCH("TC-RS-ERR-006 / save",'Kiểm thử'!$A$5:$A$573,0)+4),"TC-RS-ERR-006 / save")</f>
        <v/>
      </c>
      <c r="B1302" s="18" t="inlineStr">
        <is>
          <t>Điều kiện / thao tác</t>
        </is>
      </c>
      <c r="C1302"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03" ht="299" customHeight="1">
      <c r="A1303" s="24">
        <f>HYPERLINK("#'Kiểm thử'!A"&amp;(MATCH("TC-RS-ERR-006 / delete",'Kiểm thử'!$A$5:$A$573,0)+4),"TC-RS-ERR-006 / delete")</f>
        <v/>
      </c>
      <c r="B1303" s="18" t="inlineStr">
        <is>
          <t>Điều kiện / thao tác</t>
        </is>
      </c>
      <c r="C1303" s="18" t="inlineStr">
        <is>
          <t>Cấu hình: tài khoản giáo viên không có quyền sửa mục; mục chỉ dành nội bộ có một quy tắc. Có bản ghi request lưu/xóa/đổi thứ tự hợp lệ lấy từ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không có quyền sửa mục, mục chỉ dành nội bộ
Gửi xóa
Thao tác: Dùng phiên tài khoản giáo viên không có quyền sửa mục gửi lại các request POST lưu, xóa, đổi thứ tự quy tắc của mục chỉ dành nội bộ.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304" ht="129" customHeight="1">
      <c r="A1304" s="24">
        <f>HYPERLINK("#'Kiểm thử'!A"&amp;(MATCH("TC-RS-ERR-006 / delete",'Kiểm thử'!$A$5:$A$573,0)+4),"TC-RS-ERR-006 / delete")</f>
        <v/>
      </c>
      <c r="B1304" s="18" t="inlineStr">
        <is>
          <t>Điều kiện / thao tác</t>
        </is>
      </c>
      <c r="C1304"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05" ht="299" customHeight="1">
      <c r="A1305" s="24">
        <f>HYPERLINK("#'Kiểm thử'!A"&amp;(MATCH("TC-RS-ERR-006 / reorder",'Kiểm thử'!$A$5:$A$573,0)+4),"TC-RS-ERR-006 / reorder")</f>
        <v/>
      </c>
      <c r="B1305" s="18" t="inlineStr">
        <is>
          <t>Điều kiện / thao tác</t>
        </is>
      </c>
      <c r="C1305" s="18" t="inlineStr">
        <is>
          <t>Cấu hình: tài khoản giáo viên không có quyền sửa mục; mục chỉ dành nội bộ có một quy tắc. Có bản ghi request lưu/xóa/đổi thứ tự hợp lệ lấy từ tài khoản giáo viên có quyền sửa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giáo viên không có quyền sửa mục, mục chỉ dành nội bộ
Gửi đổi thứ tự
Thao tác: Dùng phiên tài khoản giáo viên không có quyền sửa mục gửi lại các request POST lưu, xóa, đổi thứ tự quy tắc của mục chỉ dành nội bộ.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306" ht="129" customHeight="1">
      <c r="A1306" s="24">
        <f>HYPERLINK("#'Kiểm thử'!A"&amp;(MATCH("TC-RS-ERR-006 / reorder",'Kiểm thử'!$A$5:$A$573,0)+4),"TC-RS-ERR-006 / reorder")</f>
        <v/>
      </c>
      <c r="B1306" s="18" t="inlineStr">
        <is>
          <t>Điều kiện / thao tác</t>
        </is>
      </c>
      <c r="C1306"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07" ht="299" customHeight="1">
      <c r="A1307" s="24">
        <f>HYPERLINK("#'Kiểm thử'!A"&amp;(MATCH("TC-RS-ERR-007 / read-school",'Kiểm thử'!$A$5:$A$573,0)+4),"TC-RS-ERR-007 / read-school")</f>
        <v/>
      </c>
      <c r="B1307" s="18" t="inlineStr">
        <is>
          <t>Điều kiện / thao tác</t>
        </is>
      </c>
      <c r="C1307"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Đọc mục trường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08" ht="214" customHeight="1">
      <c r="A1308" s="24">
        <f>HYPERLINK("#'Kiểm thử'!A"&amp;(MATCH("TC-RS-ERR-007 / read-school",'Kiểm thử'!$A$5:$A$573,0)+4),"TC-RS-ERR-007 / read-school")</f>
        <v/>
      </c>
      <c r="B1308" s="18" t="inlineStr">
        <is>
          <t>Điều kiện / thao tác</t>
        </is>
      </c>
      <c r="C1308"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09" ht="129" customHeight="1">
      <c r="A1309" s="24">
        <f>HYPERLINK("#'Kiểm thử'!A"&amp;(MATCH("TC-RS-ERR-007 / read-school",'Kiểm thử'!$A$5:$A$573,0)+4),"TC-RS-ERR-007 / read-school")</f>
        <v/>
      </c>
      <c r="B1309" s="18" t="inlineStr">
        <is>
          <t>Kết quả mong đợi</t>
        </is>
      </c>
      <c r="C1309"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10" ht="299" customHeight="1">
      <c r="A1310" s="24">
        <f>HYPERLINK("#'Kiểm thử'!A"&amp;(MATCH("TC-RS-ERR-007 / save-school",'Kiểm thử'!$A$5:$A$573,0)+4),"TC-RS-ERR-007 / save-school")</f>
        <v/>
      </c>
      <c r="B1310" s="18" t="inlineStr">
        <is>
          <t>Điều kiện / thao tác</t>
        </is>
      </c>
      <c r="C1310"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Lưu mục trường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11" ht="214" customHeight="1">
      <c r="A1311" s="24">
        <f>HYPERLINK("#'Kiểm thử'!A"&amp;(MATCH("TC-RS-ERR-007 / save-school",'Kiểm thử'!$A$5:$A$573,0)+4),"TC-RS-ERR-007 / save-school")</f>
        <v/>
      </c>
      <c r="B1311" s="18" t="inlineStr">
        <is>
          <t>Điều kiện / thao tác</t>
        </is>
      </c>
      <c r="C1311"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12" ht="129" customHeight="1">
      <c r="A1312" s="24">
        <f>HYPERLINK("#'Kiểm thử'!A"&amp;(MATCH("TC-RS-ERR-007 / save-school",'Kiểm thử'!$A$5:$A$573,0)+4),"TC-RS-ERR-007 / save-school")</f>
        <v/>
      </c>
      <c r="B1312" s="18" t="inlineStr">
        <is>
          <t>Kết quả mong đợi</t>
        </is>
      </c>
      <c r="C1312"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13" ht="299" customHeight="1">
      <c r="A1313" s="24">
        <f>HYPERLINK("#'Kiểm thử'!A"&amp;(MATCH("TC-RS-ERR-007 / delete-school",'Kiểm thử'!$A$5:$A$573,0)+4),"TC-RS-ERR-007 / delete-school")</f>
        <v/>
      </c>
      <c r="B1313" s="18" t="inlineStr">
        <is>
          <t>Điều kiện / thao tác</t>
        </is>
      </c>
      <c r="C1313"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Xóa mục trường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14" ht="214" customHeight="1">
      <c r="A1314" s="24">
        <f>HYPERLINK("#'Kiểm thử'!A"&amp;(MATCH("TC-RS-ERR-007 / delete-school",'Kiểm thử'!$A$5:$A$573,0)+4),"TC-RS-ERR-007 / delete-school")</f>
        <v/>
      </c>
      <c r="B1314" s="18" t="inlineStr">
        <is>
          <t>Điều kiện / thao tác</t>
        </is>
      </c>
      <c r="C1314"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15" ht="129" customHeight="1">
      <c r="A1315" s="24">
        <f>HYPERLINK("#'Kiểm thử'!A"&amp;(MATCH("TC-RS-ERR-007 / delete-school",'Kiểm thử'!$A$5:$A$573,0)+4),"TC-RS-ERR-007 / delete-school")</f>
        <v/>
      </c>
      <c r="B1315" s="18" t="inlineStr">
        <is>
          <t>Kết quả mong đợi</t>
        </is>
      </c>
      <c r="C1315"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16" ht="299" customHeight="1">
      <c r="A1316" s="24">
        <f>HYPERLINK("#'Kiểm thử'!A"&amp;(MATCH("TC-RS-ERR-007 / source-school",'Kiểm thử'!$A$5:$A$573,0)+4),"TC-RS-ERR-007 / source-school")</f>
        <v/>
      </c>
      <c r="B1316" s="18" t="inlineStr">
        <is>
          <t>Điều kiện / thao tác</t>
        </is>
      </c>
      <c r="C1316"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Nguồn trường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17" ht="214" customHeight="1">
      <c r="A1317" s="24">
        <f>HYPERLINK("#'Kiểm thử'!A"&amp;(MATCH("TC-RS-ERR-007 / source-school",'Kiểm thử'!$A$5:$A$573,0)+4),"TC-RS-ERR-007 / source-school")</f>
        <v/>
      </c>
      <c r="B1317" s="18" t="inlineStr">
        <is>
          <t>Điều kiện / thao tác</t>
        </is>
      </c>
      <c r="C1317"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18" ht="129" customHeight="1">
      <c r="A1318" s="24">
        <f>HYPERLINK("#'Kiểm thử'!A"&amp;(MATCH("TC-RS-ERR-007 / source-school",'Kiểm thử'!$A$5:$A$573,0)+4),"TC-RS-ERR-007 / source-school")</f>
        <v/>
      </c>
      <c r="B1318" s="18" t="inlineStr">
        <is>
          <t>Kết quả mong đợi</t>
        </is>
      </c>
      <c r="C1318"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19" ht="299" customHeight="1">
      <c r="A1319" s="24">
        <f>HYPERLINK("#'Kiểm thử'!A"&amp;(MATCH("TC-RS-ERR-007 / source-year",'Kiểm thử'!$A$5:$A$573,0)+4),"TC-RS-ERR-007 / source-year")</f>
        <v/>
      </c>
      <c r="B1319" s="18" t="inlineStr">
        <is>
          <t>Điều kiện / thao tác</t>
        </is>
      </c>
      <c r="C1319"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Nguồn năm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20" ht="214" customHeight="1">
      <c r="A1320" s="24">
        <f>HYPERLINK("#'Kiểm thử'!A"&amp;(MATCH("TC-RS-ERR-007 / source-year",'Kiểm thử'!$A$5:$A$573,0)+4),"TC-RS-ERR-007 / source-year")</f>
        <v/>
      </c>
      <c r="B1320" s="18" t="inlineStr">
        <is>
          <t>Điều kiện / thao tác</t>
        </is>
      </c>
      <c r="C1320"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21" ht="129" customHeight="1">
      <c r="A1321" s="24">
        <f>HYPERLINK("#'Kiểm thử'!A"&amp;(MATCH("TC-RS-ERR-007 / source-year",'Kiểm thử'!$A$5:$A$573,0)+4),"TC-RS-ERR-007 / source-year")</f>
        <v/>
      </c>
      <c r="B1321" s="18" t="inlineStr">
        <is>
          <t>Kết quả mong đợi</t>
        </is>
      </c>
      <c r="C1321"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22" ht="299" customHeight="1">
      <c r="A1322" s="24">
        <f>HYPERLINK("#'Kiểm thử'!A"&amp;(MATCH("TC-RS-ERR-007 / class-school",'Kiểm thử'!$A$5:$A$573,0)+4),"TC-RS-ERR-007 / class-school")</f>
        <v/>
      </c>
      <c r="B1322" s="18" t="inlineStr">
        <is>
          <t>Điều kiện / thao tác</t>
        </is>
      </c>
      <c r="C1322"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Lớp trường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23" ht="214" customHeight="1">
      <c r="A1323" s="24">
        <f>HYPERLINK("#'Kiểm thử'!A"&amp;(MATCH("TC-RS-ERR-007 / class-school",'Kiểm thử'!$A$5:$A$573,0)+4),"TC-RS-ERR-007 / class-school")</f>
        <v/>
      </c>
      <c r="B1323" s="18" t="inlineStr">
        <is>
          <t>Điều kiện / thao tác</t>
        </is>
      </c>
      <c r="C1323"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24" ht="129" customHeight="1">
      <c r="A1324" s="24">
        <f>HYPERLINK("#'Kiểm thử'!A"&amp;(MATCH("TC-RS-ERR-007 / class-school",'Kiểm thử'!$A$5:$A$573,0)+4),"TC-RS-ERR-007 / class-school")</f>
        <v/>
      </c>
      <c r="B1324" s="18" t="inlineStr">
        <is>
          <t>Kết quả mong đợi</t>
        </is>
      </c>
      <c r="C1324"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25" ht="299" customHeight="1">
      <c r="A1325" s="24">
        <f>HYPERLINK("#'Kiểm thử'!A"&amp;(MATCH("TC-RS-ERR-007 / class-year",'Kiểm thử'!$A$5:$A$573,0)+4),"TC-RS-ERR-007 / class-year")</f>
        <v/>
      </c>
      <c r="B1325" s="18" t="inlineStr">
        <is>
          <t>Điều kiện / thao tác</t>
        </is>
      </c>
      <c r="C1325"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Lớp năm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26" ht="214" customHeight="1">
      <c r="A1326" s="24">
        <f>HYPERLINK("#'Kiểm thử'!A"&amp;(MATCH("TC-RS-ERR-007 / class-year",'Kiểm thử'!$A$5:$A$573,0)+4),"TC-RS-ERR-007 / class-year")</f>
        <v/>
      </c>
      <c r="B1326" s="18" t="inlineStr">
        <is>
          <t>Điều kiện / thao tác</t>
        </is>
      </c>
      <c r="C1326"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27" ht="129" customHeight="1">
      <c r="A1327" s="24">
        <f>HYPERLINK("#'Kiểm thử'!A"&amp;(MATCH("TC-RS-ERR-007 / class-year",'Kiểm thử'!$A$5:$A$573,0)+4),"TC-RS-ERR-007 / class-year")</f>
        <v/>
      </c>
      <c r="B1327" s="18" t="inlineStr">
        <is>
          <t>Kết quả mong đợi</t>
        </is>
      </c>
      <c r="C1327"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28" ht="299" customHeight="1">
      <c r="A1328" s="24">
        <f>HYPERLINK("#'Kiểm thử'!A"&amp;(MATCH("TC-RS-ERR-007 / group-school",'Kiểm thử'!$A$5:$A$573,0)+4),"TC-RS-ERR-007 / group-school")</f>
        <v/>
      </c>
      <c r="B1328" s="18" t="inlineStr">
        <is>
          <t>Điều kiện / thao tác</t>
        </is>
      </c>
      <c r="C1328"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Nhóm trường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29" ht="214" customHeight="1">
      <c r="A1329" s="24">
        <f>HYPERLINK("#'Kiểm thử'!A"&amp;(MATCH("TC-RS-ERR-007 / group-school",'Kiểm thử'!$A$5:$A$573,0)+4),"TC-RS-ERR-007 / group-school")</f>
        <v/>
      </c>
      <c r="B1329" s="18" t="inlineStr">
        <is>
          <t>Điều kiện / thao tác</t>
        </is>
      </c>
      <c r="C1329"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30" ht="129" customHeight="1">
      <c r="A1330" s="24">
        <f>HYPERLINK("#'Kiểm thử'!A"&amp;(MATCH("TC-RS-ERR-007 / group-school",'Kiểm thử'!$A$5:$A$573,0)+4),"TC-RS-ERR-007 / group-school")</f>
        <v/>
      </c>
      <c r="B1330" s="18" t="inlineStr">
        <is>
          <t>Kết quả mong đợi</t>
        </is>
      </c>
      <c r="C1330"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31" ht="299" customHeight="1">
      <c r="A1331" s="24">
        <f>HYPERLINK("#'Kiểm thử'!A"&amp;(MATCH("TC-RS-ERR-007 / group-year",'Kiểm thử'!$A$5:$A$573,0)+4),"TC-RS-ERR-007 / group-year")</f>
        <v/>
      </c>
      <c r="B1331" s="18" t="inlineStr">
        <is>
          <t>Điều kiện / thao tác</t>
        </is>
      </c>
      <c r="C1331"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Nhóm năm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32" ht="214" customHeight="1">
      <c r="A1332" s="24">
        <f>HYPERLINK("#'Kiểm thử'!A"&amp;(MATCH("TC-RS-ERR-007 / group-year",'Kiểm thử'!$A$5:$A$573,0)+4),"TC-RS-ERR-007 / group-year")</f>
        <v/>
      </c>
      <c r="B1332" s="18" t="inlineStr">
        <is>
          <t>Điều kiện / thao tác</t>
        </is>
      </c>
      <c r="C1332"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33" ht="129" customHeight="1">
      <c r="A1333" s="24">
        <f>HYPERLINK("#'Kiểm thử'!A"&amp;(MATCH("TC-RS-ERR-007 / group-year",'Kiểm thử'!$A$5:$A$573,0)+4),"TC-RS-ERR-007 / group-year")</f>
        <v/>
      </c>
      <c r="B1333" s="18" t="inlineStr">
        <is>
          <t>Kết quả mong đợi</t>
        </is>
      </c>
      <c r="C1333"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34" ht="299" customHeight="1">
      <c r="A1334" s="24">
        <f>HYPERLINK("#'Kiểm thử'!A"&amp;(MATCH("TC-RS-ERR-007 / unit-school",'Kiểm thử'!$A$5:$A$573,0)+4),"TC-RS-ERR-007 / unit-school")</f>
        <v/>
      </c>
      <c r="B1334" s="18" t="inlineStr">
        <is>
          <t>Điều kiện / thao tác</t>
        </is>
      </c>
      <c r="C1334"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Đơn vị trường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35" ht="214" customHeight="1">
      <c r="A1335" s="24">
        <f>HYPERLINK("#'Kiểm thử'!A"&amp;(MATCH("TC-RS-ERR-007 / unit-school",'Kiểm thử'!$A$5:$A$573,0)+4),"TC-RS-ERR-007 / unit-school")</f>
        <v/>
      </c>
      <c r="B1335" s="18" t="inlineStr">
        <is>
          <t>Điều kiện / thao tác</t>
        </is>
      </c>
      <c r="C1335"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36" ht="129" customHeight="1">
      <c r="A1336" s="24">
        <f>HYPERLINK("#'Kiểm thử'!A"&amp;(MATCH("TC-RS-ERR-007 / unit-school",'Kiểm thử'!$A$5:$A$573,0)+4),"TC-RS-ERR-007 / unit-school")</f>
        <v/>
      </c>
      <c r="B1336" s="18" t="inlineStr">
        <is>
          <t>Kết quả mong đợi</t>
        </is>
      </c>
      <c r="C1336"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37" ht="299" customHeight="1">
      <c r="A1337" s="24">
        <f>HYPERLINK("#'Kiểm thử'!A"&amp;(MATCH("TC-RS-ERR-007 / unit-year",'Kiểm thử'!$A$5:$A$573,0)+4),"TC-RS-ERR-007 / unit-year")</f>
        <v/>
      </c>
      <c r="B1337" s="18" t="inlineStr">
        <is>
          <t>Điều kiện / thao tác</t>
        </is>
      </c>
      <c r="C1337" s="18" t="inlineStr">
        <is>
          <t>Cấu hình: tài khoản của trường B (trường B) và tài khoản giáo viên có quyền sửa mục (trường A). Ghi lại cấu hình, điểm và kết quả đỏ của trường A trước khi chạy.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trường B (trường khác), tài khoản của trường B
Đơn vị năm khác
Thao tác: 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t>
        </is>
      </c>
    </row>
    <row r="1338" ht="214" customHeight="1">
      <c r="A1338" s="24">
        <f>HYPERLINK("#'Kiểm thử'!A"&amp;(MATCH("TC-RS-ERR-007 / unit-year",'Kiểm thử'!$A$5:$A$573,0)+4),"TC-RS-ERR-007 / unit-year")</f>
        <v/>
      </c>
      <c r="B1338" s="18" t="inlineStr">
        <is>
          <t>Điều kiện / thao tác</t>
        </is>
      </c>
      <c r="C1338"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39" ht="129" customHeight="1">
      <c r="A1339" s="24">
        <f>HYPERLINK("#'Kiểm thử'!A"&amp;(MATCH("TC-RS-ERR-007 / unit-year",'Kiểm thử'!$A$5:$A$573,0)+4),"TC-RS-ERR-007 / unit-year")</f>
        <v/>
      </c>
      <c r="B1339" s="18" t="inlineStr">
        <is>
          <t>Kết quả mong đợi</t>
        </is>
      </c>
      <c r="C1339" s="18"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
Bảo toàn: Giữ điểm, cấu hình và đối tượng không đích theo expected; chỉ thay phần thủ tục yêu cầu, không tự đổi oracle hoặc mở rộng phạm vi.</t>
        </is>
      </c>
    </row>
    <row r="1340" ht="44" customHeight="1">
      <c r="A1340" s="24">
        <f>HYPERLINK("#'Kiểm thử'!A"&amp;(MATCH("TC-RS-ERR-008 / Base",'Kiểm thử'!$A$5:$A$573,0)+4),"TC-RS-ERR-008 / Base")</f>
        <v/>
      </c>
      <c r="B1340" s="18" t="inlineStr">
        <is>
          <t>Màn hình / chức năng</t>
        </is>
      </c>
      <c r="C1340" s="18" t="inlineStr">
        <is>
          <t>Quyền và kiểm tra phía server — Quyền thao tác
Gọi trực tiếp request chạy tính toán hàng loạt khi không có quyền chạy</t>
        </is>
      </c>
    </row>
    <row r="1341" ht="299" customHeight="1">
      <c r="A1341" s="24">
        <f>HYPERLINK("#'Kiểm thử'!A"&amp;(MATCH("TC-RS-ERR-008 / Base",'Kiểm thử'!$A$5:$A$573,0)+4),"TC-RS-ERR-008 / Base")</f>
        <v/>
      </c>
      <c r="B1341" s="18" t="inlineStr">
        <is>
          <t>Điều kiện / thao tác</t>
        </is>
      </c>
      <c r="C1341" s="18" t="inlineStr">
        <is>
          <t>Cấu hình: tài khoản sửa được mục nhưng không có quyền chạy hàng loạt; bản ghi request chạy nút cam hợp lệ từ tài khoản có quyền chạy hàng loạt.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sửa được mục nhưng không có quyền chạy hàng loạt; endpoint/request URL lấy từ route hiện hành của build, không ghi URL giả định vào oracle.
Toàn bộ thủ tục theo đúng thứ tự; các đối chứng cùng fixture được kiểm trong cùng lượt, không bỏ bước
Thao tác: Dùng phiên tài khoản sửa được mục nhưng không có quyền chạy hàng loạt gửi request chạy tính toán hàng loạt cho khối 1.
Khôi phục: Trước mỗi biến thể, dựng lại điều kiện/dữ liệu đầu của case bằng đường được phép; giữ các reset/fixture độc lập đã nêu trong thủ tục.</t>
        </is>
      </c>
    </row>
    <row r="1342" ht="180" customHeight="1">
      <c r="A1342" s="24">
        <f>HYPERLINK("#'Kiểm thử'!A"&amp;(MATCH("TC-RS-ERR-008 / Base",'Kiểm thử'!$A$5:$A$573,0)+4),"TC-RS-ERR-008 / Base")</f>
        <v/>
      </c>
      <c r="B1342" s="18" t="inlineStr">
        <is>
          <t>Điều kiện / thao tác</t>
        </is>
      </c>
      <c r="C1342"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43" ht="299" customHeight="1">
      <c r="A1343" s="24">
        <f>HYPERLINK("#'Kiểm thử'!A"&amp;(MATCH("TC-RS-ERR-009 / above",'Kiểm thử'!$A$5:$A$573,0)+4),"TC-RS-ERR-009 / above")</f>
        <v/>
      </c>
      <c r="B1343" s="18" t="inlineStr">
        <is>
          <t>Điều kiện / thao tác</t>
        </is>
      </c>
      <c r="C1343"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N101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44" ht="146" customHeight="1">
      <c r="A1344" s="24">
        <f>HYPERLINK("#'Kiểm thử'!A"&amp;(MATCH("TC-RS-ERR-009 / above",'Kiểm thử'!$A$5:$A$573,0)+4),"TC-RS-ERR-009 / above")</f>
        <v/>
      </c>
      <c r="B1344" s="18" t="inlineStr">
        <is>
          <t>Điều kiện / thao tác</t>
        </is>
      </c>
      <c r="C1344"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45" ht="299" customHeight="1">
      <c r="A1345" s="24">
        <f>HYPERLINK("#'Kiểm thử'!A"&amp;(MATCH("TC-RS-ERR-009 / negative",'Kiểm thử'!$A$5:$A$573,0)+4),"TC-RS-ERR-009 / negative")</f>
        <v/>
      </c>
      <c r="B1345" s="18" t="inlineStr">
        <is>
          <t>Điều kiện / thao tác</t>
        </is>
      </c>
      <c r="C1345"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N âm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46" ht="146" customHeight="1">
      <c r="A1346" s="24">
        <f>HYPERLINK("#'Kiểm thử'!A"&amp;(MATCH("TC-RS-ERR-009 / negative",'Kiểm thử'!$A$5:$A$573,0)+4),"TC-RS-ERR-009 / negative")</f>
        <v/>
      </c>
      <c r="B1346" s="18" t="inlineStr">
        <is>
          <t>Điều kiện / thao tác</t>
        </is>
      </c>
      <c r="C134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47" ht="299" customHeight="1">
      <c r="A1347" s="24">
        <f>HYPERLINK("#'Kiểm thử'!A"&amp;(MATCH("TC-RS-ERR-009 / ratio-above",'Kiểm thử'!$A$5:$A$573,0)+4),"TC-RS-ERR-009 / ratio-above")</f>
        <v/>
      </c>
      <c r="B1347" s="18" t="inlineStr">
        <is>
          <t>Điều kiện / thao tác</t>
        </is>
      </c>
      <c r="C1347"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Tỷ lệ 101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48" ht="146" customHeight="1">
      <c r="A1348" s="24">
        <f>HYPERLINK("#'Kiểm thử'!A"&amp;(MATCH("TC-RS-ERR-009 / ratio-above",'Kiểm thử'!$A$5:$A$573,0)+4),"TC-RS-ERR-009 / ratio-above")</f>
        <v/>
      </c>
      <c r="B1348" s="18" t="inlineStr">
        <is>
          <t>Điều kiện / thao tác</t>
        </is>
      </c>
      <c r="C134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49" ht="299" customHeight="1">
      <c r="A1349" s="24">
        <f>HYPERLINK("#'Kiểm thử'!A"&amp;(MATCH("TC-RS-ERR-009 / divide-zero",'Kiểm thử'!$A$5:$A$573,0)+4),"TC-RS-ERR-009 / divide-zero")</f>
        <v/>
      </c>
      <c r="B1349" s="18" t="inlineStr">
        <is>
          <t>Điều kiện / thao tác</t>
        </is>
      </c>
      <c r="C1349"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Chia 0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50" ht="146" customHeight="1">
      <c r="A1350" s="24">
        <f>HYPERLINK("#'Kiểm thử'!A"&amp;(MATCH("TC-RS-ERR-009 / divide-zero",'Kiểm thử'!$A$5:$A$573,0)+4),"TC-RS-ERR-009 / divide-zero")</f>
        <v/>
      </c>
      <c r="B1350" s="18" t="inlineStr">
        <is>
          <t>Điều kiện / thao tác</t>
        </is>
      </c>
      <c r="C1350"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51" ht="299" customHeight="1">
      <c r="A1351" s="24">
        <f>HYPERLINK("#'Kiểm thử'!A"&amp;(MATCH("TC-RS-ERR-009 / nan",'Kiểm thử'!$A$5:$A$573,0)+4),"TC-RS-ERR-009 / nan")</f>
        <v/>
      </c>
      <c r="B1351" s="18" t="inlineStr">
        <is>
          <t>Điều kiện / thao tác</t>
        </is>
      </c>
      <c r="C1351"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NaN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52" ht="146" customHeight="1">
      <c r="A1352" s="24">
        <f>HYPERLINK("#'Kiểm thử'!A"&amp;(MATCH("TC-RS-ERR-009 / nan",'Kiểm thử'!$A$5:$A$573,0)+4),"TC-RS-ERR-009 / nan")</f>
        <v/>
      </c>
      <c r="B1352" s="18" t="inlineStr">
        <is>
          <t>Điều kiện / thao tác</t>
        </is>
      </c>
      <c r="C135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53" ht="299" customHeight="1">
      <c r="A1353" s="24">
        <f>HYPERLINK("#'Kiểm thử'!A"&amp;(MATCH("TC-RS-ERR-009 / infinity",'Kiểm thử'!$A$5:$A$573,0)+4),"TC-RS-ERR-009 / infinity")</f>
        <v/>
      </c>
      <c r="B1353" s="18" t="inlineStr">
        <is>
          <t>Điều kiện / thao tác</t>
        </is>
      </c>
      <c r="C1353"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Infinity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54" ht="146" customHeight="1">
      <c r="A1354" s="24">
        <f>HYPERLINK("#'Kiểm thử'!A"&amp;(MATCH("TC-RS-ERR-009 / infinity",'Kiểm thử'!$A$5:$A$573,0)+4),"TC-RS-ERR-009 / infinity")</f>
        <v/>
      </c>
      <c r="B1354" s="18" t="inlineStr">
        <is>
          <t>Điều kiện / thao tác</t>
        </is>
      </c>
      <c r="C1354"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55" ht="299" customHeight="1">
      <c r="A1355" s="24">
        <f>HYPERLINK("#'Kiểm thử'!A"&amp;(MATCH("TC-RS-ERR-009 / exponent",'Kiểm thử'!$A$5:$A$573,0)+4),"TC-RS-ERR-009 / exponent")</f>
        <v/>
      </c>
      <c r="B1355" s="18" t="inlineStr">
        <is>
          <t>Điều kiện / thao tác</t>
        </is>
      </c>
      <c r="C1355"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1e400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56" ht="146" customHeight="1">
      <c r="A1356" s="24">
        <f>HYPERLINK("#'Kiểm thử'!A"&amp;(MATCH("TC-RS-ERR-009 / exponent",'Kiểm thử'!$A$5:$A$573,0)+4),"TC-RS-ERR-009 / exponent")</f>
        <v/>
      </c>
      <c r="B1356" s="18" t="inlineStr">
        <is>
          <t>Điều kiện / thao tác</t>
        </is>
      </c>
      <c r="C135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57" ht="299" customHeight="1">
      <c r="A1357" s="24">
        <f>HYPERLINK("#'Kiểm thử'!A"&amp;(MATCH("TC-RS-ERR-009 / empty",'Kiểm thử'!$A$5:$A$573,0)+4),"TC-RS-ERR-009 / empty")</f>
        <v/>
      </c>
      <c r="B1357" s="18" t="inlineStr">
        <is>
          <t>Điều kiện / thao tác</t>
        </is>
      </c>
      <c r="C1357"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N trống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58" ht="146" customHeight="1">
      <c r="A1358" s="24">
        <f>HYPERLINK("#'Kiểm thử'!A"&amp;(MATCH("TC-RS-ERR-009 / empty",'Kiểm thử'!$A$5:$A$573,0)+4),"TC-RS-ERR-009 / empty")</f>
        <v/>
      </c>
      <c r="B1358" s="18" t="inlineStr">
        <is>
          <t>Điều kiện / thao tác</t>
        </is>
      </c>
      <c r="C135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59" ht="299" customHeight="1">
      <c r="A1359" s="24">
        <f>HYPERLINK("#'Kiểm thử'!A"&amp;(MATCH("TC-RS-ERR-009 / power",'Kiểm thử'!$A$5:$A$573,0)+4),"TC-RS-ERR-009 / power")</f>
        <v/>
      </c>
      <c r="B1359" s="18" t="inlineStr">
        <is>
          <t>Điều kiện / thao tác</t>
        </is>
      </c>
      <c r="C1359"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Phép toán mũ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60" ht="146" customHeight="1">
      <c r="A1360" s="24">
        <f>HYPERLINK("#'Kiểm thử'!A"&amp;(MATCH("TC-RS-ERR-009 / power",'Kiểm thử'!$A$5:$A$573,0)+4),"TC-RS-ERR-009 / power")</f>
        <v/>
      </c>
      <c r="B1360" s="18" t="inlineStr">
        <is>
          <t>Điều kiện / thao tác</t>
        </is>
      </c>
      <c r="C1360"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61" ht="299" customHeight="1">
      <c r="A1361" s="24">
        <f>HYPERLINK("#'Kiểm thử'!A"&amp;(MATCH("TC-RS-ERR-009 / max",'Kiểm thử'!$A$5:$A$573,0)+4),"TC-RS-ERR-009 / max")</f>
        <v/>
      </c>
      <c r="B1361" s="18" t="inlineStr">
        <is>
          <t>Điều kiện / thao tác</t>
        </is>
      </c>
      <c r="C1361"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Hàm max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62" ht="146" customHeight="1">
      <c r="A1362" s="24">
        <f>HYPERLINK("#'Kiểm thử'!A"&amp;(MATCH("TC-RS-ERR-009 / max",'Kiểm thử'!$A$5:$A$573,0)+4),"TC-RS-ERR-009 / max")</f>
        <v/>
      </c>
      <c r="B1362" s="18" t="inlineStr">
        <is>
          <t>Điều kiện / thao tác</t>
        </is>
      </c>
      <c r="C136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63" ht="299" customHeight="1">
      <c r="A1363" s="24">
        <f>HYPERLINK("#'Kiểm thử'!A"&amp;(MATCH("TC-RS-ERR-009 / expression",'Kiểm thử'!$A$5:$A$573,0)+4),"TC-RS-ERR-009 / expression")</f>
        <v/>
      </c>
      <c r="B1363" s="18" t="inlineStr">
        <is>
          <t>Điều kiện / thao tác</t>
        </is>
      </c>
      <c r="C1363"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Biểu thức tự do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64" ht="146" customHeight="1">
      <c r="A1364" s="24">
        <f>HYPERLINK("#'Kiểm thử'!A"&amp;(MATCH("TC-RS-ERR-009 / expression",'Kiểm thử'!$A$5:$A$573,0)+4),"TC-RS-ERR-009 / expression")</f>
        <v/>
      </c>
      <c r="B1364" s="18" t="inlineStr">
        <is>
          <t>Điều kiện / thao tác</t>
        </is>
      </c>
      <c r="C1364"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65" ht="299" customHeight="1">
      <c r="A1365" s="24">
        <f>HYPERLINK("#'Kiểm thử'!A"&amp;(MATCH("TC-RS-ERR-009 / null",'Kiểm thử'!$A$5:$A$573,0)+4),"TC-RS-ERR-009 / null")</f>
        <v/>
      </c>
      <c r="B1365" s="18" t="inlineStr">
        <is>
          <t>Điều kiện / thao tác</t>
        </is>
      </c>
      <c r="C1365"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JSON null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66" ht="146" customHeight="1">
      <c r="A1366" s="24">
        <f>HYPERLINK("#'Kiểm thử'!A"&amp;(MATCH("TC-RS-ERR-009 / null",'Kiểm thử'!$A$5:$A$573,0)+4),"TC-RS-ERR-009 / null")</f>
        <v/>
      </c>
      <c r="B1366" s="18" t="inlineStr">
        <is>
          <t>Điều kiện / thao tác</t>
        </is>
      </c>
      <c r="C1366"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67" ht="299" customHeight="1">
      <c r="A1367" s="24">
        <f>HYPERLINK("#'Kiểm thử'!A"&amp;(MATCH("TC-RS-ERR-009 / empty-string",'Kiểm thử'!$A$5:$A$573,0)+4),"TC-RS-ERR-009 / empty-string")</f>
        <v/>
      </c>
      <c r="B1367" s="18" t="inlineStr">
        <is>
          <t>Điều kiện / thao tác</t>
        </is>
      </c>
      <c r="C1367"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Chuỗi rỗng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68" ht="146" customHeight="1">
      <c r="A1368" s="24">
        <f>HYPERLINK("#'Kiểm thử'!A"&amp;(MATCH("TC-RS-ERR-009 / empty-string",'Kiểm thử'!$A$5:$A$573,0)+4),"TC-RS-ERR-009 / empty-string")</f>
        <v/>
      </c>
      <c r="B1368" s="18" t="inlineStr">
        <is>
          <t>Điều kiện / thao tác</t>
        </is>
      </c>
      <c r="C1368"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69" ht="299" customHeight="1">
      <c r="A1369" s="24">
        <f>HYPERLINK("#'Kiểm thử'!A"&amp;(MATCH("TC-RS-ERR-009 / object",'Kiểm thử'!$A$5:$A$573,0)+4),"TC-RS-ERR-009 / object")</f>
        <v/>
      </c>
      <c r="B1369" s="18" t="inlineStr">
        <is>
          <t>Điều kiện / thao tác</t>
        </is>
      </c>
      <c r="C1369"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Object rỗng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70" ht="146" customHeight="1">
      <c r="A1370" s="24">
        <f>HYPERLINK("#'Kiểm thử'!A"&amp;(MATCH("TC-RS-ERR-009 / object",'Kiểm thử'!$A$5:$A$573,0)+4),"TC-RS-ERR-009 / object")</f>
        <v/>
      </c>
      <c r="B1370" s="18" t="inlineStr">
        <is>
          <t>Điều kiện / thao tác</t>
        </is>
      </c>
      <c r="C1370"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71" ht="299" customHeight="1">
      <c r="A1371" s="24">
        <f>HYPERLINK("#'Kiểm thử'!A"&amp;(MATCH("TC-RS-ERR-009 / unknown-key",'Kiểm thử'!$A$5:$A$573,0)+4),"TC-RS-ERR-009 / unknown-key")</f>
        <v/>
      </c>
      <c r="B1371" s="18" t="inlineStr">
        <is>
          <t>Điều kiện / thao tác</t>
        </is>
      </c>
      <c r="C1371"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Khóa không biết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72" ht="146" customHeight="1">
      <c r="A1372" s="24">
        <f>HYPERLINK("#'Kiểm thử'!A"&amp;(MATCH("TC-RS-ERR-009 / unknown-key",'Kiểm thử'!$A$5:$A$573,0)+4),"TC-RS-ERR-009 / unknown-key")</f>
        <v/>
      </c>
      <c r="B1372" s="18" t="inlineStr">
        <is>
          <t>Điều kiện / thao tác</t>
        </is>
      </c>
      <c r="C1372"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73" ht="299" customHeight="1">
      <c r="A1373" s="24">
        <f>HYPERLINK("#'Kiểm thử'!A"&amp;(MATCH("TC-RS-ERR-009 / arrays",'Kiểm thử'!$A$5:$A$573,0)+4),"TC-RS-ERR-009 / arrays")</f>
        <v/>
      </c>
      <c r="B1373" s="18" t="inlineStr">
        <is>
          <t>Điều kiện / thao tác</t>
        </is>
      </c>
      <c r="C1373" s="18" t="inlineStr">
        <is>
          <t xml:space="preserve">Cấu hình: tài khoản giáo viên có quyền sửa mục; bản ghi request lưu ngưỡng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
Mảng rỗng
Thao tác: Sửa request (bỏ kiểm tra JS) và gửi từng giá trị.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374" ht="146" customHeight="1">
      <c r="A1374" s="24">
        <f>HYPERLINK("#'Kiểm thử'!A"&amp;(MATCH("TC-RS-ERR-009 / arrays",'Kiểm thử'!$A$5:$A$573,0)+4),"TC-RS-ERR-009 / arrays")</f>
        <v/>
      </c>
      <c r="B1374" s="18" t="inlineStr">
        <is>
          <t>Điều kiện / thao tác</t>
        </is>
      </c>
      <c r="C1374"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375" ht="299" customHeight="1">
      <c r="A1375" s="24">
        <f>HYPERLINK("#'Kiểm thử'!A"&amp;(MATCH("TC-RS-ERR-010 / forged-red-flag",'Kiểm thử'!$A$5:$A$573,0)+4),"TC-RS-ERR-010 / forged-red-flag")</f>
        <v/>
      </c>
      <c r="B1375" s="18" t="inlineStr">
        <is>
          <t>Điều kiện / thao tác</t>
        </is>
      </c>
      <c r="C1375" s="18" t="inlineStr">
        <is>
          <t>Cấu hình: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lượt không lọc chứa S03=31 không dấu/màu đỏ; lượt có lọc chỉ chứa S01, loại S03. Các request sửa độc lập từ baseline tương ứng, không sửa dữ liệu server.
Bước 2a chỉ sửa cờ đỏ của S03
Thao tác: 1. Đăng nhập tài khoản phụ trách đầu ra; chụp request/response hợp lệ và file Trích xuất thành tích（成績抽出） không lọc: S03=31 Không đỏ. Chụp riêng lượt bật lọc: S01 có mặt, S03</t>
        </is>
      </c>
    </row>
    <row r="1376" ht="299" customHeight="1">
      <c r="A1376" s="24">
        <f>HYPERLINK("#'Kiểm thử'!A"&amp;(MATCH("TC-RS-ERR-010 / forged-red-flag",'Kiểm thử'!$A$5:$A$573,0)+4),"TC-RS-ERR-010 / forged-red-flag")</f>
        <v/>
      </c>
      <c r="B1376" s="18" t="inlineStr">
        <is>
          <t>Điều kiện / thao tác</t>
        </is>
      </c>
      <c r="C1376" s="18" t="inlineStr">
        <is>
          <t xml:space="preserve">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build/endpoint hỗ trợ các payload adversarial; không coi </t>
        </is>
      </c>
    </row>
    <row r="1377" ht="44" customHeight="1">
      <c r="A1377" s="24">
        <f>HYPERLINK("#'Kiểm thử'!A"&amp;(MATCH("TC-RS-ERR-010 / forged-red-flag",'Kiểm thử'!$A$5:$A$573,0)+4),"TC-RS-ERR-010 / forged-red-flag")</f>
        <v/>
      </c>
      <c r="B1377" s="18" t="inlineStr">
        <is>
          <t>Điều kiện / thao tác</t>
        </is>
      </c>
      <c r="C1377" s="18" t="inlineStr">
        <is>
          <t>biến thể không được endpoint nhận là đã kiểm chứng.
TC-RS-ERR-010: hoàn thiện đúng fixture/seam; giữ expected và chưa kết luận thực thi.</t>
        </is>
      </c>
    </row>
    <row r="1378" ht="163" customHeight="1">
      <c r="A1378" s="24">
        <f>HYPERLINK("#'Kiểm thử'!A"&amp;(MATCH("TC-RS-ERR-010 / forged-red-flag",'Kiểm thử'!$A$5:$A$573,0)+4),"TC-RS-ERR-010 / forged-red-flag")</f>
        <v/>
      </c>
      <c r="B1378" s="18" t="inlineStr">
        <is>
          <t>Kết quả mong đợi</t>
        </is>
      </c>
      <c r="C1378" s="18"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
Bảo toàn: Giữ điểm, cấu hình và đối tượng không đích theo expected; chỉ thay phần thủ tục yêu cầu, không tự đổi oracle hoặc mở rộng phạm vi.</t>
        </is>
      </c>
    </row>
    <row r="1379" ht="299" customHeight="1">
      <c r="A1379" s="24">
        <f>HYPERLINK("#'Kiểm thử'!A"&amp;(MATCH("TC-RS-ERR-010 / forged-prefix",'Kiểm thử'!$A$5:$A$573,0)+4),"TC-RS-ERR-010 / forged-prefix")</f>
        <v/>
      </c>
      <c r="B1379" s="18" t="inlineStr">
        <is>
          <t>Điều kiện / thao tác</t>
        </is>
      </c>
      <c r="C1379" s="18" t="inlineStr">
        <is>
          <t>Cấu hình: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lượt không lọc chứa S03=31 không dấu/màu đỏ; lượt có lọc chỉ chứa S01, loại S03. Các request sửa độc lập từ baseline tương ứng, không sửa dữ liệu server.
Bước 2a chỉ sửa dấu trước thành * cho S03
Thao tác: 1. Đăng nhập tài khoản phụ trách đầu ra; chụp request/response hợp lệ và file Trích xuất thành tích（成績抽出） không lọc: S03=31 Không đỏ. Chụp riêng lượt bật lọc: S01 có mặt, S03</t>
        </is>
      </c>
    </row>
    <row r="1380" ht="299" customHeight="1">
      <c r="A1380" s="24">
        <f>HYPERLINK("#'Kiểm thử'!A"&amp;(MATCH("TC-RS-ERR-010 / forged-prefix",'Kiểm thử'!$A$5:$A$573,0)+4),"TC-RS-ERR-010 / forged-prefix")</f>
        <v/>
      </c>
      <c r="B1380" s="18" t="inlineStr">
        <is>
          <t>Điều kiện / thao tác</t>
        </is>
      </c>
      <c r="C1380" s="18" t="inlineStr">
        <is>
          <t xml:space="preserve">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build/endpoint hỗ trợ các payload adversarial; không coi </t>
        </is>
      </c>
    </row>
    <row r="1381" ht="44" customHeight="1">
      <c r="A1381" s="24">
        <f>HYPERLINK("#'Kiểm thử'!A"&amp;(MATCH("TC-RS-ERR-010 / forged-prefix",'Kiểm thử'!$A$5:$A$573,0)+4),"TC-RS-ERR-010 / forged-prefix")</f>
        <v/>
      </c>
      <c r="B1381" s="18" t="inlineStr">
        <is>
          <t>Điều kiện / thao tác</t>
        </is>
      </c>
      <c r="C1381" s="18" t="inlineStr">
        <is>
          <t>biến thể không được endpoint nhận là đã kiểm chứng.
TC-RS-ERR-010: hoàn thiện đúng fixture/seam; giữ expected và chưa kết luận thực thi.</t>
        </is>
      </c>
    </row>
    <row r="1382" ht="163" customHeight="1">
      <c r="A1382" s="24">
        <f>HYPERLINK("#'Kiểm thử'!A"&amp;(MATCH("TC-RS-ERR-010 / forged-prefix",'Kiểm thử'!$A$5:$A$573,0)+4),"TC-RS-ERR-010 / forged-prefix")</f>
        <v/>
      </c>
      <c r="B1382" s="18" t="inlineStr">
        <is>
          <t>Kết quả mong đợi</t>
        </is>
      </c>
      <c r="C1382" s="18"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
Bảo toàn: Giữ điểm, cấu hình và đối tượng không đích theo expected; chỉ thay phần thủ tục yêu cầu, không tự đổi oracle hoặc mở rộng phạm vi.</t>
        </is>
      </c>
    </row>
    <row r="1383" ht="299" customHeight="1">
      <c r="A1383" s="24">
        <f>HYPERLINK("#'Kiểm thử'!A"&amp;(MATCH("TC-RS-ERR-010 / forged-color",'Kiểm thử'!$A$5:$A$573,0)+4),"TC-RS-ERR-010 / forged-color")</f>
        <v/>
      </c>
      <c r="B1383" s="18" t="inlineStr">
        <is>
          <t>Điều kiện / thao tác</t>
        </is>
      </c>
      <c r="C1383" s="18" t="inlineStr">
        <is>
          <t>Cấu hình: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lượt không lọc chứa S03=31 không dấu/màu đỏ; lượt có lọc chỉ chứa S01, loại S03. Các request sửa độc lập từ baseline tương ứng, không sửa dữ liệu server.
Bước 2a chỉ sửa màu đỏ cho S03
Thao tác: 1. Đăng nhập tài khoản phụ trách đầu ra; chụp request/response hợp lệ và file Trích xuất thành tích（成績抽出） không lọc: S03=31 Không đỏ. Chụp riêng lượt bật lọc: S01 có mặt, S03</t>
        </is>
      </c>
    </row>
    <row r="1384" ht="299" customHeight="1">
      <c r="A1384" s="24">
        <f>HYPERLINK("#'Kiểm thử'!A"&amp;(MATCH("TC-RS-ERR-010 / forged-color",'Kiểm thử'!$A$5:$A$573,0)+4),"TC-RS-ERR-010 / forged-color")</f>
        <v/>
      </c>
      <c r="B1384" s="18" t="inlineStr">
        <is>
          <t>Điều kiện / thao tác</t>
        </is>
      </c>
      <c r="C1384" s="18" t="inlineStr">
        <is>
          <t xml:space="preserve">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build/endpoint hỗ trợ các payload adversarial; không coi </t>
        </is>
      </c>
    </row>
    <row r="1385" ht="44" customHeight="1">
      <c r="A1385" s="24">
        <f>HYPERLINK("#'Kiểm thử'!A"&amp;(MATCH("TC-RS-ERR-010 / forged-color",'Kiểm thử'!$A$5:$A$573,0)+4),"TC-RS-ERR-010 / forged-color")</f>
        <v/>
      </c>
      <c r="B1385" s="18" t="inlineStr">
        <is>
          <t>Điều kiện / thao tác</t>
        </is>
      </c>
      <c r="C1385" s="18" t="inlineStr">
        <is>
          <t>biến thể không được endpoint nhận là đã kiểm chứng.
TC-RS-ERR-010: hoàn thiện đúng fixture/seam; giữ expected và chưa kết luận thực thi.</t>
        </is>
      </c>
    </row>
    <row r="1386" ht="163" customHeight="1">
      <c r="A1386" s="24">
        <f>HYPERLINK("#'Kiểm thử'!A"&amp;(MATCH("TC-RS-ERR-010 / forged-color",'Kiểm thử'!$A$5:$A$573,0)+4),"TC-RS-ERR-010 / forged-color")</f>
        <v/>
      </c>
      <c r="B1386" s="18" t="inlineStr">
        <is>
          <t>Kết quả mong đợi</t>
        </is>
      </c>
      <c r="C1386" s="18"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
Bảo toàn: Giữ điểm, cấu hình và đối tượng không đích theo expected; chỉ thay phần thủ tục yêu cầu, không tự đổi oracle hoặc mở rộng phạm vi.</t>
        </is>
      </c>
    </row>
    <row r="1387" ht="299" customHeight="1">
      <c r="A1387" s="24">
        <f>HYPERLINK("#'Kiểm thử'!A"&amp;(MATCH("TC-RS-ERR-010 / forged-score",'Kiểm thử'!$A$5:$A$573,0)+4),"TC-RS-ERR-010 / forged-score")</f>
        <v/>
      </c>
      <c r="B1387" s="18" t="inlineStr">
        <is>
          <t>Điều kiện / thao tác</t>
        </is>
      </c>
      <c r="C1387" s="18" t="inlineStr">
        <is>
          <t>Cấu hình: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lượt không lọc chứa S03=31 không dấu/màu đỏ; lượt có lọc chỉ chứa S01, loại S03. Các request sửa độc lập từ baseline tương ứng, không sửa dữ liệu server.
Bước 2b chỉ sửa điểm thành 10
Thao tác: 1. Đăng nhập tài khoản phụ trách đầu ra; chụp request/response hợp lệ và file Trích xuất thành tích（成績抽出） không lọc: S03=31 Không đỏ. Chụp riêng lượt bật lọc: S01 có mặt, S03</t>
        </is>
      </c>
    </row>
    <row r="1388" ht="299" customHeight="1">
      <c r="A1388" s="24">
        <f>HYPERLINK("#'Kiểm thử'!A"&amp;(MATCH("TC-RS-ERR-010 / forged-score",'Kiểm thử'!$A$5:$A$573,0)+4),"TC-RS-ERR-010 / forged-score")</f>
        <v/>
      </c>
      <c r="B1388" s="18" t="inlineStr">
        <is>
          <t>Điều kiện / thao tác</t>
        </is>
      </c>
      <c r="C1388" s="18" t="inlineStr">
        <is>
          <t xml:space="preserve">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build/endpoint hỗ trợ các payload adversarial; không coi </t>
        </is>
      </c>
    </row>
    <row r="1389" ht="44" customHeight="1">
      <c r="A1389" s="24">
        <f>HYPERLINK("#'Kiểm thử'!A"&amp;(MATCH("TC-RS-ERR-010 / forged-score",'Kiểm thử'!$A$5:$A$573,0)+4),"TC-RS-ERR-010 / forged-score")</f>
        <v/>
      </c>
      <c r="B1389" s="18" t="inlineStr">
        <is>
          <t>Điều kiện / thao tác</t>
        </is>
      </c>
      <c r="C1389" s="18" t="inlineStr">
        <is>
          <t>biến thể không được endpoint nhận là đã kiểm chứng.
TC-RS-ERR-010: hoàn thiện đúng fixture/seam; giữ expected và chưa kết luận thực thi.</t>
        </is>
      </c>
    </row>
    <row r="1390" ht="163" customHeight="1">
      <c r="A1390" s="24">
        <f>HYPERLINK("#'Kiểm thử'!A"&amp;(MATCH("TC-RS-ERR-010 / forged-score",'Kiểm thử'!$A$5:$A$573,0)+4),"TC-RS-ERR-010 / forged-score")</f>
        <v/>
      </c>
      <c r="B1390" s="18" t="inlineStr">
        <is>
          <t>Kết quả mong đợi</t>
        </is>
      </c>
      <c r="C1390" s="18"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
Bảo toàn: Giữ điểm, cấu hình và đối tượng không đích theo expected; chỉ thay phần thủ tục yêu cầu, không tự đổi oracle hoặc mở rộng phạm vi.</t>
        </is>
      </c>
    </row>
    <row r="1391" ht="299" customHeight="1">
      <c r="A1391" s="24">
        <f>HYPERLINK("#'Kiểm thử'!A"&amp;(MATCH("TC-RS-ERR-010 / forged-threshold",'Kiểm thử'!$A$5:$A$573,0)+4),"TC-RS-ERR-010 / forged-threshold")</f>
        <v/>
      </c>
      <c r="B1391" s="18" t="inlineStr">
        <is>
          <t>Điều kiện / thao tác</t>
        </is>
      </c>
      <c r="C1391" s="18" t="inlineStr">
        <is>
          <t>Cấu hình: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lượt không lọc chứa S03=31 không dấu/màu đỏ; lượt có lọc chỉ chứa S01, loại S03. Các request sửa độc lập từ baseline tương ứng, không sửa dữ liệu server.
Bước 2c chỉ sửa ngưỡng thành 50
Thao tác: 1. Đăng nhập tài khoản phụ trách đầu ra; chụp request/response hợp lệ và file Trích xuất thành tích（成績抽出） không lọc: S03=31 Không đỏ. Chụp riêng lượt bật lọc: S01 có mặt, S03</t>
        </is>
      </c>
    </row>
    <row r="1392" ht="299" customHeight="1">
      <c r="A1392" s="24">
        <f>HYPERLINK("#'Kiểm thử'!A"&amp;(MATCH("TC-RS-ERR-010 / forged-threshold",'Kiểm thử'!$A$5:$A$573,0)+4),"TC-RS-ERR-010 / forged-threshold")</f>
        <v/>
      </c>
      <c r="B1392" s="18" t="inlineStr">
        <is>
          <t>Điều kiện / thao tác</t>
        </is>
      </c>
      <c r="C1392" s="18" t="inlineStr">
        <is>
          <t xml:space="preserve">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build/endpoint hỗ trợ các payload adversarial; không coi </t>
        </is>
      </c>
    </row>
    <row r="1393" ht="44" customHeight="1">
      <c r="A1393" s="24">
        <f>HYPERLINK("#'Kiểm thử'!A"&amp;(MATCH("TC-RS-ERR-010 / forged-threshold",'Kiểm thử'!$A$5:$A$573,0)+4),"TC-RS-ERR-010 / forged-threshold")</f>
        <v/>
      </c>
      <c r="B1393" s="18" t="inlineStr">
        <is>
          <t>Điều kiện / thao tác</t>
        </is>
      </c>
      <c r="C1393" s="18" t="inlineStr">
        <is>
          <t>biến thể không được endpoint nhận là đã kiểm chứng.
TC-RS-ERR-010: hoàn thiện đúng fixture/seam; giữ expected và chưa kết luận thực thi.</t>
        </is>
      </c>
    </row>
    <row r="1394" ht="163" customHeight="1">
      <c r="A1394" s="24">
        <f>HYPERLINK("#'Kiểm thử'!A"&amp;(MATCH("TC-RS-ERR-010 / forged-threshold",'Kiểm thử'!$A$5:$A$573,0)+4),"TC-RS-ERR-010 / forged-threshold")</f>
        <v/>
      </c>
      <c r="B1394" s="18" t="inlineStr">
        <is>
          <t>Kết quả mong đợi</t>
        </is>
      </c>
      <c r="C1394" s="18"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
Bảo toàn: Giữ điểm, cấu hình và đối tượng không đích theo expected; chỉ thay phần thủ tục yêu cầu, không tự đổi oracle hoặc mở rộng phạm vi.</t>
        </is>
      </c>
    </row>
    <row r="1395" ht="299" customHeight="1">
      <c r="A1395" s="24">
        <f>HYPERLINK("#'Kiểm thử'!A"&amp;(MATCH("TC-RS-ERR-010 / out-of-scope-student",'Kiểm thử'!$A$5:$A$573,0)+4),"TC-RS-ERR-010 / out-of-scope-student")</f>
        <v/>
      </c>
      <c r="B1395" s="18" t="inlineStr">
        <is>
          <t>Điều kiện / thao tác</t>
        </is>
      </c>
      <c r="C1395" s="18" t="inlineStr">
        <is>
          <t>Cấu hình: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lượt không lọc chứa S03=31 không dấu/màu đỏ; lượt có lọc chỉ chứa S01, loại S03. Các request sửa độc lập từ baseline tương ứng, không sửa dữ liệu server.
Bước 3 chèn S03 vào lượt có lọc
Thao tác: 1. Đăng nhập tài khoản phụ trách đầu ra; chụp request/response hợp lệ và file Trích xuất thành tích（成績抽出） không lọc: S03=31 Không đỏ. Chụp riêng lượt bật lọc: S01 có mặt, S03</t>
        </is>
      </c>
    </row>
    <row r="1396" ht="299" customHeight="1">
      <c r="A1396" s="24">
        <f>HYPERLINK("#'Kiểm thử'!A"&amp;(MATCH("TC-RS-ERR-010 / out-of-scope-student",'Kiểm thử'!$A$5:$A$573,0)+4),"TC-RS-ERR-010 / out-of-scope-student")</f>
        <v/>
      </c>
      <c r="B1396" s="18" t="inlineStr">
        <is>
          <t>Điều kiện / thao tác</t>
        </is>
      </c>
      <c r="C1396" s="18" t="inlineStr">
        <is>
          <t xml:space="preserve">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build/endpoint hỗ trợ các payload adversarial; không coi </t>
        </is>
      </c>
    </row>
    <row r="1397" ht="44" customHeight="1">
      <c r="A1397" s="24">
        <f>HYPERLINK("#'Kiểm thử'!A"&amp;(MATCH("TC-RS-ERR-010 / out-of-scope-student",'Kiểm thử'!$A$5:$A$573,0)+4),"TC-RS-ERR-010 / out-of-scope-student")</f>
        <v/>
      </c>
      <c r="B1397" s="18" t="inlineStr">
        <is>
          <t>Điều kiện / thao tác</t>
        </is>
      </c>
      <c r="C1397" s="18" t="inlineStr">
        <is>
          <t>biến thể không được endpoint nhận là đã kiểm chứng.
TC-RS-ERR-010: hoàn thiện đúng fixture/seam; giữ expected và chưa kết luận thực thi.</t>
        </is>
      </c>
    </row>
    <row r="1398" ht="163" customHeight="1">
      <c r="A1398" s="24">
        <f>HYPERLINK("#'Kiểm thử'!A"&amp;(MATCH("TC-RS-ERR-010 / out-of-scope-student",'Kiểm thử'!$A$5:$A$573,0)+4),"TC-RS-ERR-010 / out-of-scope-student")</f>
        <v/>
      </c>
      <c r="B1398" s="18" t="inlineStr">
        <is>
          <t>Kết quả mong đợi</t>
        </is>
      </c>
      <c r="C1398" s="18"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
Bảo toàn: Giữ điểm, cấu hình và đối tượng không đích theo expected; chỉ thay phần thủ tục yêu cầu, không tự đổi oracle hoặc mở rộng phạm vi.</t>
        </is>
      </c>
    </row>
    <row r="1399" ht="299" customHeight="1">
      <c r="A1399" s="24">
        <f>HYPERLINK("#'Kiểm thử'!A"&amp;(MATCH("TC-RS-ERR-010 / out-of-scope-school",'Kiểm thử'!$A$5:$A$573,0)+4),"TC-RS-ERR-010 / out-of-scope-school")</f>
        <v/>
      </c>
      <c r="B1399" s="18" t="inlineStr">
        <is>
          <t>Điều kiện / thao tác</t>
        </is>
      </c>
      <c r="C1399" s="18" t="inlineStr">
        <is>
          <t>Cấu hình: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lượt không lọc chứa S03=31 không dấu/màu đỏ; lượt có lọc chỉ chứa S01, loại S03. Các request sửa độc lập từ baseline tương ứng, không sửa dữ liệu server.
Bước 3 identity trường B ngoài quyền, giữ năm hợp lệ
Thao tác: 1. Đăng nhập tài khoản phụ trách đầu ra; chụp request/response hợp lệ và file Trích xuất thành tích（成績抽出） không lọc: S03=31 Không đỏ. Chụp riêng lượt bật lọc: S01 có mặt, S03</t>
        </is>
      </c>
    </row>
    <row r="1400" ht="299" customHeight="1">
      <c r="A1400" s="24">
        <f>HYPERLINK("#'Kiểm thử'!A"&amp;(MATCH("TC-RS-ERR-010 / out-of-scope-school",'Kiểm thử'!$A$5:$A$573,0)+4),"TC-RS-ERR-010 / out-of-scope-school")</f>
        <v/>
      </c>
      <c r="B1400" s="18" t="inlineStr">
        <is>
          <t>Điều kiện / thao tác</t>
        </is>
      </c>
      <c r="C1400" s="18" t="inlineStr">
        <is>
          <t xml:space="preserve">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build/endpoint hỗ trợ các payload adversarial; không coi </t>
        </is>
      </c>
    </row>
    <row r="1401" ht="44" customHeight="1">
      <c r="A1401" s="24">
        <f>HYPERLINK("#'Kiểm thử'!A"&amp;(MATCH("TC-RS-ERR-010 / out-of-scope-school",'Kiểm thử'!$A$5:$A$573,0)+4),"TC-RS-ERR-010 / out-of-scope-school")</f>
        <v/>
      </c>
      <c r="B1401" s="18" t="inlineStr">
        <is>
          <t>Điều kiện / thao tác</t>
        </is>
      </c>
      <c r="C1401" s="18" t="inlineStr">
        <is>
          <t>biến thể không được endpoint nhận là đã kiểm chứng.
TC-RS-ERR-010: hoàn thiện đúng fixture/seam; giữ expected và chưa kết luận thực thi.</t>
        </is>
      </c>
    </row>
    <row r="1402" ht="163" customHeight="1">
      <c r="A1402" s="24">
        <f>HYPERLINK("#'Kiểm thử'!A"&amp;(MATCH("TC-RS-ERR-010 / out-of-scope-school",'Kiểm thử'!$A$5:$A$573,0)+4),"TC-RS-ERR-010 / out-of-scope-school")</f>
        <v/>
      </c>
      <c r="B1402" s="18" t="inlineStr">
        <is>
          <t>Kết quả mong đợi</t>
        </is>
      </c>
      <c r="C1402" s="18"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
Bảo toàn: Giữ điểm, cấu hình và đối tượng không đích theo expected; chỉ thay phần thủ tục yêu cầu, không tự đổi oracle hoặc mở rộng phạm vi.</t>
        </is>
      </c>
    </row>
    <row r="1403" ht="299" customHeight="1">
      <c r="A1403" s="24">
        <f>HYPERLINK("#'Kiểm thử'!A"&amp;(MATCH("TC-RS-ERR-010 / out-of-scope-year",'Kiểm thử'!$A$5:$A$573,0)+4),"TC-RS-ERR-010 / out-of-scope-year")</f>
        <v/>
      </c>
      <c r="B1403" s="18" t="inlineStr">
        <is>
          <t>Điều kiện / thao tác</t>
        </is>
      </c>
      <c r="C1403" s="18" t="inlineStr">
        <is>
          <t>Cấu hình: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lượt không lọc chứa S03=31 không dấu/màu đỏ; lượt có lọc chỉ chứa S01, loại S03. Các request sửa độc lập từ baseline tương ứng, không sửa dữ liệu server.
Bước 3 identity năm ngoài quyền, giữ trường A
Thao tác: 1. Đăng nhập tài khoản phụ trách đầu ra; chụp request/response hợp lệ và file Trích xuất thành tích（成績抽出） không lọc: S03=31 Không đỏ. Chụp riêng lượt bật lọc: S01 có mặt, S03</t>
        </is>
      </c>
    </row>
    <row r="1404" ht="299" customHeight="1">
      <c r="A1404" s="24">
        <f>HYPERLINK("#'Kiểm thử'!A"&amp;(MATCH("TC-RS-ERR-010 / out-of-scope-year",'Kiểm thử'!$A$5:$A$573,0)+4),"TC-RS-ERR-010 / out-of-scope-year")</f>
        <v/>
      </c>
      <c r="B1404" s="18" t="inlineStr">
        <is>
          <t>Điều kiện / thao tác</t>
        </is>
      </c>
      <c r="C1404" s="18" t="inlineStr">
        <is>
          <t xml:space="preserve">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build/endpoint hỗ trợ các payload adversarial; không coi </t>
        </is>
      </c>
    </row>
    <row r="1405" ht="44" customHeight="1">
      <c r="A1405" s="24">
        <f>HYPERLINK("#'Kiểm thử'!A"&amp;(MATCH("TC-RS-ERR-010 / out-of-scope-year",'Kiểm thử'!$A$5:$A$573,0)+4),"TC-RS-ERR-010 / out-of-scope-year")</f>
        <v/>
      </c>
      <c r="B1405" s="18" t="inlineStr">
        <is>
          <t>Điều kiện / thao tác</t>
        </is>
      </c>
      <c r="C1405" s="18" t="inlineStr">
        <is>
          <t>biến thể không được endpoint nhận là đã kiểm chứng.
TC-RS-ERR-010: hoàn thiện đúng fixture/seam; giữ expected và chưa kết luận thực thi.</t>
        </is>
      </c>
    </row>
    <row r="1406" ht="163" customHeight="1">
      <c r="A1406" s="24">
        <f>HYPERLINK("#'Kiểm thử'!A"&amp;(MATCH("TC-RS-ERR-010 / out-of-scope-year",'Kiểm thử'!$A$5:$A$573,0)+4),"TC-RS-ERR-010 / out-of-scope-year")</f>
        <v/>
      </c>
      <c r="B1406" s="18" t="inlineStr">
        <is>
          <t>Kết quả mong đợi</t>
        </is>
      </c>
      <c r="C1406" s="18"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
Bảo toàn: Giữ điểm, cấu hình và đối tượng không đích theo expected; chỉ thay phần thủ tục yêu cầu, không tự đổi oracle hoặc mở rộng phạm vi.</t>
        </is>
      </c>
    </row>
    <row r="1407" ht="299" customHeight="1">
      <c r="A1407" s="24">
        <f>HYPERLINK("#'Kiểm thử'!A"&amp;(MATCH("TC-RS-ERR-017 / rule-name",'Kiểm thử'!$A$5:$A$573,0)+4),"TC-RS-ERR-017 / rule-name")</f>
        <v/>
      </c>
      <c r="B1407" s="18" t="inlineStr">
        <is>
          <t>Điều kiện / thao tác</t>
        </is>
      </c>
      <c r="C1407" s="18" t="inlineStr">
        <is>
          <t>Cấu hình: Đăng nhập tài khoản giáo viên có quyền sửa mục và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quy tắc `&lt;b&gt;X&lt;/b&gt;&lt;script&gt;alert(1)&lt;/script&gt;`; ký hiệu đầu ở trích xuất `&lt;`; ký tự phía trước ở phiếu điểm `&amp;`; học sinh S01 (điểm 29)
Bước 1 các nơi hiển thị tên
Thao tác: 1. Lưu quy tắc với tên trên; xem danh sách, form sửa, hộp xác nhận xóa, thông báo sau chạy.
2. Lưu ký hiệu/ký tự trên ở trích xuất và phiếu điểm; xem màn, Excel, PDF.
Khôi phục: Trước mỗi biến thể, dựng lại điều kiện/dữ liệu đầu của case bằng đường được phép; giữ các reset/fixture độc lập đã nêu trong thủ tục.</t>
        </is>
      </c>
    </row>
    <row r="1408" ht="180" customHeight="1">
      <c r="A1408" s="24">
        <f>HYPERLINK("#'Kiểm thử'!A"&amp;(MATCH("TC-RS-ERR-017 / rule-name",'Kiểm thử'!$A$5:$A$573,0)+4),"TC-RS-ERR-017 / rule-name")</f>
        <v/>
      </c>
      <c r="B1408" s="18" t="inlineStr">
        <is>
          <t>Điều kiện / thao tác</t>
        </is>
      </c>
      <c r="C1408"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09" ht="299" customHeight="1">
      <c r="A1409" s="24">
        <f>HYPERLINK("#'Kiểm thử'!A"&amp;(MATCH("TC-RS-ERR-017 / extract",'Kiểm thử'!$A$5:$A$573,0)+4),"TC-RS-ERR-017 / extract")</f>
        <v/>
      </c>
      <c r="B1409" s="18" t="inlineStr">
        <is>
          <t>Điều kiện / thao tác</t>
        </is>
      </c>
      <c r="C1409" s="18" t="inlineStr">
        <is>
          <t>Cấu hình: Đăng nhập tài khoản giáo viên có quyền sửa mục và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quy tắc `&lt;b&gt;X&lt;/b&gt;&lt;script&gt;alert(1)&lt;/script&gt;`; ký hiệu đầu ở trích xuất `&lt;`; ký tự phía trước ở phiếu điểm `&amp;`; học sinh S01 (điểm 29)
Bước 2 màn trích xuất và Excel
Thao tác: 1. Lưu quy tắc với tên trên; xem danh sách, form sửa, hộp xác nhận xóa, thông báo sau chạy.
2. Lưu ký hiệu/ký tự trên ở trích xuất và phiếu điểm; xem màn, Excel, PDF.
Khôi phục: Trước mỗi biến thể, dựng lại điều kiện/dữ liệu đầu của case bằng đường được phép; giữ các reset/fixture độc lập đã nêu trong thủ tục.</t>
        </is>
      </c>
    </row>
    <row r="1410" ht="180" customHeight="1">
      <c r="A1410" s="24">
        <f>HYPERLINK("#'Kiểm thử'!A"&amp;(MATCH("TC-RS-ERR-017 / extract",'Kiểm thử'!$A$5:$A$573,0)+4),"TC-RS-ERR-017 / extract")</f>
        <v/>
      </c>
      <c r="B1410" s="18" t="inlineStr">
        <is>
          <t>Điều kiện / thao tác</t>
        </is>
      </c>
      <c r="C1410"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11" ht="299" customHeight="1">
      <c r="A1411" s="24">
        <f>HYPERLINK("#'Kiểm thử'!A"&amp;(MATCH("TC-RS-ERR-017 / report",'Kiểm thử'!$A$5:$A$573,0)+4),"TC-RS-ERR-017 / report")</f>
        <v/>
      </c>
      <c r="B1411" s="18" t="inlineStr">
        <is>
          <t>Điều kiện / thao tác</t>
        </is>
      </c>
      <c r="C1411" s="18" t="inlineStr">
        <is>
          <t>Cấu hình: Đăng nhập tài khoản giáo viên có quyền sửa mục và tài khoản phụ trách đầu ra (trích xuất, công khai, phiếu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Tên quy tắc `&lt;b&gt;X&lt;/b&gt;&lt;script&gt;alert(1)&lt;/script&gt;`; ký hiệu đầu ở trích xuất `&lt;`; ký tự phía trước ở phiếu điểm `&amp;`; học sinh S01 (điểm 29)
Bước 2 PDF phiếu
Thao tác: 1. Lưu quy tắc với tên trên; xem danh sách, form sửa, hộp xác nhận xóa, thông báo sau chạy.
2. Lưu ký hiệu/ký tự trên ở trích xuất và phiếu điểm; xem màn, Excel, PDF.
Khôi phục: Trước mỗi biến thể, dựng lại điều kiện/dữ liệu đầu của case bằng đường được phép; giữ các reset/fixture độc lập đã nêu trong thủ tục.</t>
        </is>
      </c>
    </row>
    <row r="1412" ht="180" customHeight="1">
      <c r="A1412" s="24">
        <f>HYPERLINK("#'Kiểm thử'!A"&amp;(MATCH("TC-RS-ERR-017 / report",'Kiểm thử'!$A$5:$A$573,0)+4),"TC-RS-ERR-017 / report")</f>
        <v/>
      </c>
      <c r="B1412" s="18" t="inlineStr">
        <is>
          <t>Điều kiện / thao tác</t>
        </is>
      </c>
      <c r="C1412"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13" ht="299" customHeight="1">
      <c r="A1413" s="24">
        <f>HYPERLINK("#'Kiểm thử'!A"&amp;(MATCH("TC-RS-REG-015 / student",'Kiểm thử'!$A$5:$A$573,0)+4),"TC-RS-REG-015 / student")</f>
        <v/>
      </c>
      <c r="B1413" s="18" t="inlineStr">
        <is>
          <t>Điều kiện / thao tác</t>
        </is>
      </c>
      <c r="C1413" s="18" t="inlineStr">
        <is>
          <t>Cấu hình: tài khoản học sinh S01 (S01), tài khoản phụ huynh của học sinh S01 (phụ huynh của S01). Tài khoản học sinh/phụ huynh test lấy theo kênh được phép.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học sinh S01, tài khoản phụ huynh của học sinh S01
Bước 1–3 tài khoản học sinh
Thao tác: 1. Đăng nhập S01, xem màn.
2. Đổi ID học sinh trong URL/request API sang S02.
3. Mở URL màn cấu hình đỏ.
4. Đăng nhập phụ huynh của S01, xem màn và PDF công khai.
5. Đổi ID học sinh trong URL/request API sang S02.
Khôi phục: Trước mỗi biến thể, dựng lại điều kiện/dữ liệu đầu của case bằng đường được phép; gi</t>
        </is>
      </c>
    </row>
    <row r="1414" ht="180" customHeight="1">
      <c r="A1414" s="24">
        <f>HYPERLINK("#'Kiểm thử'!A"&amp;(MATCH("TC-RS-REG-015 / student",'Kiểm thử'!$A$5:$A$573,0)+4),"TC-RS-REG-015 / student")</f>
        <v/>
      </c>
      <c r="B1414" s="18" t="inlineStr">
        <is>
          <t>Điều kiện / thao tác</t>
        </is>
      </c>
      <c r="C1414"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15" ht="299" customHeight="1">
      <c r="A1415" s="24">
        <f>HYPERLINK("#'Kiểm thử'!A"&amp;(MATCH("TC-RS-REG-015 / parent",'Kiểm thử'!$A$5:$A$573,0)+4),"TC-RS-REG-015 / parent")</f>
        <v/>
      </c>
      <c r="B1415" s="18" t="inlineStr">
        <is>
          <t>Điều kiện / thao tác</t>
        </is>
      </c>
      <c r="C1415" s="18" t="inlineStr">
        <is>
          <t>Cấu hình: tài khoản học sinh S01 (S01), tài khoản phụ huynh của học sinh S01 (phụ huynh của S01). Tài khoản học sinh/phụ huynh test lấy theo kênh được phép.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học sinh S01, tài khoản phụ huynh của học sinh S01
Bước 4–5 tài khoản phụ huynh
Thao tác: 1. Đăng nhập S01, xem màn.
2. Đổi ID học sinh trong URL/request API sang S02.
3. Mở URL màn cấu hình đỏ.
4. Đăng nhập phụ huynh của S01, xem màn và PDF công khai.
5. Đổi ID học sinh trong URL/request API sang S02.
Khôi phục: Trước mỗi biến thể, dựng lại điều kiện/dữ liệu đầu của case bằng đường được phép; gi</t>
        </is>
      </c>
    </row>
    <row r="1416" ht="180" customHeight="1">
      <c r="A1416" s="24">
        <f>HYPERLINK("#'Kiểm thử'!A"&amp;(MATCH("TC-RS-REG-015 / parent",'Kiểm thử'!$A$5:$A$573,0)+4),"TC-RS-REG-015 / parent")</f>
        <v/>
      </c>
      <c r="B1416" s="18" t="inlineStr">
        <is>
          <t>Điều kiện / thao tác</t>
        </is>
      </c>
      <c r="C1416"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17" ht="299" customHeight="1">
      <c r="A1417" s="24">
        <f>HYPERLINK("#'Kiểm thử'!A"&amp;(MATCH("TC-RS-VAL-006 / negative",'Kiểm thử'!$A$5:$A$573,0)+4),"TC-RS-VAL-006 / negative")</f>
        <v/>
      </c>
      <c r="B1417" s="18" t="inlineStr">
        <is>
          <t>Điều kiện / thao tác</t>
        </is>
      </c>
      <c r="C1417" s="18" t="inlineStr">
        <is>
          <t>Cấu hình: mục số nguyên (M=100), loại Tỷ lệ điểm tối đa（得点率）.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biến thể thập phân 30.5, 30.5555
-1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18" ht="112" customHeight="1">
      <c r="A1418" s="24">
        <f>HYPERLINK("#'Kiểm thử'!A"&amp;(MATCH("TC-RS-VAL-006 / negative",'Kiểm thử'!$A$5:$A$573,0)+4),"TC-RS-VAL-006 / negative")</f>
        <v/>
      </c>
      <c r="B1418" s="18" t="inlineStr">
        <is>
          <t>Điều kiện / thao tác</t>
        </is>
      </c>
      <c r="C141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19" ht="299" customHeight="1">
      <c r="A1419" s="24">
        <f>HYPERLINK("#'Kiểm thử'!A"&amp;(MATCH("TC-RS-VAL-006 / zero",'Kiểm thử'!$A$5:$A$573,0)+4),"TC-RS-VAL-006 / zero")</f>
        <v/>
      </c>
      <c r="B1419" s="18" t="inlineStr">
        <is>
          <t>Điều kiện / thao tác</t>
        </is>
      </c>
      <c r="C1419" s="18" t="inlineStr">
        <is>
          <t>Cấu hình: mục số nguyên (M=100), loại Tỷ lệ điểm tối đa（得点率）.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biến thể thập phân 30.5, 30.5555
0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20" ht="112" customHeight="1">
      <c r="A1420" s="24">
        <f>HYPERLINK("#'Kiểm thử'!A"&amp;(MATCH("TC-RS-VAL-006 / zero",'Kiểm thử'!$A$5:$A$573,0)+4),"TC-RS-VAL-006 / zero")</f>
        <v/>
      </c>
      <c r="B1420" s="18" t="inlineStr">
        <is>
          <t>Điều kiện / thao tác</t>
        </is>
      </c>
      <c r="C142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21" ht="299" customHeight="1">
      <c r="A1421" s="24">
        <f>HYPERLINK("#'Kiểm thử'!A"&amp;(MATCH("TC-RS-VAL-006 / hundred",'Kiểm thử'!$A$5:$A$573,0)+4),"TC-RS-VAL-006 / hundred")</f>
        <v/>
      </c>
      <c r="B1421" s="18" t="inlineStr">
        <is>
          <t>Điều kiện / thao tác</t>
        </is>
      </c>
      <c r="C1421" s="18" t="inlineStr">
        <is>
          <t>Cấu hình: mục số nguyên (M=100), loại Tỷ lệ điểm tối đa（得点率）.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biến thể thập phân 30.5, 30.5555
100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22" ht="112" customHeight="1">
      <c r="A1422" s="24">
        <f>HYPERLINK("#'Kiểm thử'!A"&amp;(MATCH("TC-RS-VAL-006 / hundred",'Kiểm thử'!$A$5:$A$573,0)+4),"TC-RS-VAL-006 / hundred")</f>
        <v/>
      </c>
      <c r="B1422" s="18" t="inlineStr">
        <is>
          <t>Điều kiện / thao tác</t>
        </is>
      </c>
      <c r="C1422"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23" ht="299" customHeight="1">
      <c r="A1423" s="24">
        <f>HYPERLINK("#'Kiểm thử'!A"&amp;(MATCH("TC-RS-VAL-006 / above",'Kiểm thử'!$A$5:$A$573,0)+4),"TC-RS-VAL-006 / above")</f>
        <v/>
      </c>
      <c r="B1423" s="18" t="inlineStr">
        <is>
          <t>Điều kiện / thao tác</t>
        </is>
      </c>
      <c r="C1423" s="18" t="inlineStr">
        <is>
          <t>Cấu hình: mục số nguyên (M=100), loại Tỷ lệ điểm tối đa（得点率）.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biến thể thập phân 30.5, 30.5555
101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24" ht="112" customHeight="1">
      <c r="A1424" s="24">
        <f>HYPERLINK("#'Kiểm thử'!A"&amp;(MATCH("TC-RS-VAL-006 / above",'Kiểm thử'!$A$5:$A$573,0)+4),"TC-RS-VAL-006 / above")</f>
        <v/>
      </c>
      <c r="B1424" s="18" t="inlineStr">
        <is>
          <t>Điều kiện / thao tác</t>
        </is>
      </c>
      <c r="C1424"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25" ht="299" customHeight="1">
      <c r="A1425" s="24">
        <f>HYPERLINK("#'Kiểm thử'!A"&amp;(MATCH("TC-RS-VAL-006 / decimal",'Kiểm thử'!$A$5:$A$573,0)+4),"TC-RS-VAL-006 / decimal")</f>
        <v/>
      </c>
      <c r="B1425" s="18" t="inlineStr">
        <is>
          <t>Điều kiện / thao tác</t>
        </is>
      </c>
      <c r="C1425" s="18" t="inlineStr">
        <is>
          <t>Cấu hình: mục số nguyên (M=100), loại Tỷ lệ điểm tối đa（得点率）.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biến thể thập phân 30.5, 30.5555
30.5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26" ht="112" customHeight="1">
      <c r="A1426" s="24">
        <f>HYPERLINK("#'Kiểm thử'!A"&amp;(MATCH("TC-RS-VAL-006 / decimal",'Kiểm thử'!$A$5:$A$573,0)+4),"TC-RS-VAL-006 / decimal")</f>
        <v/>
      </c>
      <c r="B1426" s="18" t="inlineStr">
        <is>
          <t>Điều kiện / thao tác</t>
        </is>
      </c>
      <c r="C1426"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27" ht="299" customHeight="1">
      <c r="A1427" s="24">
        <f>HYPERLINK("#'Kiểm thử'!A"&amp;(MATCH("TC-RS-VAL-006 / long-decimal",'Kiểm thử'!$A$5:$A$573,0)+4),"TC-RS-VAL-006 / long-decimal")</f>
        <v/>
      </c>
      <c r="B1427" s="18" t="inlineStr">
        <is>
          <t>Điều kiện / thao tác</t>
        </is>
      </c>
      <c r="C1427" s="18" t="inlineStr">
        <is>
          <t>Cấu hình: mục số nguyên (M=100), loại Tỷ lệ điểm tối đa（得点率）.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−1, 0, 100, 101; biến thể thập phân 30.5, 30.5555
30.5555
Thao tác: Nhập từng giá trị,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28" ht="112" customHeight="1">
      <c r="A1428" s="24">
        <f>HYPERLINK("#'Kiểm thử'!A"&amp;(MATCH("TC-RS-VAL-006 / long-decimal",'Kiểm thử'!$A$5:$A$573,0)+4),"TC-RS-VAL-006 / long-decimal")</f>
        <v/>
      </c>
      <c r="B1428" s="18" t="inlineStr">
        <is>
          <t>Điều kiện / thao tác</t>
        </is>
      </c>
      <c r="C142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29" ht="44" customHeight="1">
      <c r="A1429" s="24">
        <f>HYPERLINK("#'Kiểm thử'!A"&amp;(MATCH("TC-RS-VAL-007 / default",'Kiểm thử'!$A$5:$A$573,0)+4),"TC-RS-VAL-007 / default")</f>
        <v/>
      </c>
      <c r="B1429" s="18" t="inlineStr">
        <is>
          <t>Màn hình / chức năng</t>
        </is>
      </c>
      <c r="C1429" s="18" t="inlineStr">
        <is>
          <t>Ngưỡng tỷ lệ điểm tối đa — Thiết lập ngưỡng（基準設定）
Xử lý phần lẻ: bắt buộc chọn cách làm tròn; p = 0 / 1 / 9 / 10; lần đầu p=1</t>
        </is>
      </c>
    </row>
    <row r="1430" ht="299" customHeight="1">
      <c r="A1430" s="24">
        <f>HYPERLINK("#'Kiểm thử'!A"&amp;(MATCH("TC-RS-VAL-007 / default",'Kiểm thử'!$A$5:$A$573,0)+4),"TC-RS-VAL-007 / default")</f>
        <v/>
      </c>
      <c r="B1430" s="18" t="inlineStr">
        <is>
          <t>Điều kiện / thao tác</t>
        </is>
      </c>
      <c r="C1430" s="18" t="inlineStr">
        <is>
          <t>Cấu hình: mục số nguyên (M=100),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p = 0, 1, 9, 10; cách làm tròn: chưa chọn
Giá trị mặc định p=1
Thao tác: 1. Bật Xử lý phần lẻ（端数処理）: quan sát giá trị p mặc định.
2. Không chọn cách làm tròn, Lưu.
3. Chọn Làm tròn xuống（切り捨て） với p=0, 1, 9, 10; Lưu từng lần.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431" ht="129" customHeight="1">
      <c r="A1431" s="24">
        <f>HYPERLINK("#'Kiểm thử'!A"&amp;(MATCH("TC-RS-VAL-007 / default",'Kiểm thử'!$A$5:$A$573,0)+4),"TC-RS-VAL-007 / default")</f>
        <v/>
      </c>
      <c r="B1431" s="18" t="inlineStr">
        <is>
          <t>Điều kiện / thao tác</t>
        </is>
      </c>
      <c r="C1431"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32" ht="44" customHeight="1">
      <c r="A1432" s="24">
        <f>HYPERLINK("#'Kiểm thử'!A"&amp;(MATCH("TC-RS-VAL-007 / missing-method",'Kiểm thử'!$A$5:$A$573,0)+4),"TC-RS-VAL-007 / missing-method")</f>
        <v/>
      </c>
      <c r="B1432" s="18" t="inlineStr">
        <is>
          <t>Màn hình / chức năng</t>
        </is>
      </c>
      <c r="C1432" s="18" t="inlineStr">
        <is>
          <t>Ngưỡng tỷ lệ điểm tối đa — Thiết lập ngưỡng（基準設定）
Xử lý phần lẻ: bắt buộc chọn cách làm tròn; p = 0 / 1 / 9 / 10; lần đầu p=1</t>
        </is>
      </c>
    </row>
    <row r="1433" ht="299" customHeight="1">
      <c r="A1433" s="24">
        <f>HYPERLINK("#'Kiểm thử'!A"&amp;(MATCH("TC-RS-VAL-007 / missing-method",'Kiểm thử'!$A$5:$A$573,0)+4),"TC-RS-VAL-007 / missing-method")</f>
        <v/>
      </c>
      <c r="B1433" s="18" t="inlineStr">
        <is>
          <t>Điều kiện / thao tác</t>
        </is>
      </c>
      <c r="C1433" s="18" t="inlineStr">
        <is>
          <t>Cấu hình: mục số nguyên (M=100),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p = 0, 1, 9, 10; cách làm tròn: chưa chọn
Thiếu phương thức
Thao tác: 1. Bật Xử lý phần lẻ（端数処理）: quan sát giá trị p mặc định.
2. Không chọn cách làm tròn, Lưu.
3. Chọn Làm tròn xuống（切り捨て） với p=0, 1, 9, 10; Lưu từng lần.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434" ht="129" customHeight="1">
      <c r="A1434" s="24">
        <f>HYPERLINK("#'Kiểm thử'!A"&amp;(MATCH("TC-RS-VAL-007 / missing-method",'Kiểm thử'!$A$5:$A$573,0)+4),"TC-RS-VAL-007 / missing-method")</f>
        <v/>
      </c>
      <c r="B1434" s="18" t="inlineStr">
        <is>
          <t>Điều kiện / thao tác</t>
        </is>
      </c>
      <c r="C1434"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35" ht="44" customHeight="1">
      <c r="A1435" s="24">
        <f>HYPERLINK("#'Kiểm thử'!A"&amp;(MATCH("TC-RS-VAL-007 / p0",'Kiểm thử'!$A$5:$A$573,0)+4),"TC-RS-VAL-007 / p0")</f>
        <v/>
      </c>
      <c r="B1435" s="18" t="inlineStr">
        <is>
          <t>Màn hình / chức năng</t>
        </is>
      </c>
      <c r="C1435" s="18" t="inlineStr">
        <is>
          <t>Ngưỡng tỷ lệ điểm tối đa — Thiết lập ngưỡng（基準設定）
Xử lý phần lẻ: bắt buộc chọn cách làm tròn; p = 0 / 1 / 9 / 10; lần đầu p=1</t>
        </is>
      </c>
    </row>
    <row r="1436" ht="299" customHeight="1">
      <c r="A1436" s="24">
        <f>HYPERLINK("#'Kiểm thử'!A"&amp;(MATCH("TC-RS-VAL-007 / p0",'Kiểm thử'!$A$5:$A$573,0)+4),"TC-RS-VAL-007 / p0")</f>
        <v/>
      </c>
      <c r="B1436" s="18" t="inlineStr">
        <is>
          <t>Điều kiện / thao tác</t>
        </is>
      </c>
      <c r="C1436" s="18" t="inlineStr">
        <is>
          <t>Cấu hình: mục số nguyên (M=100),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p = 0, 1, 9, 10; cách làm tròn: chưa chọn
p=0
Thao tác: 1. Bật Xử lý phần lẻ（端数処理）: quan sát giá trị p mặc định.
2. Không chọn cách làm tròn, Lưu.
3. Chọn Làm tròn xuống（切り捨て） với p=0, 1, 9, 10; Lưu từng lần.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437" ht="129" customHeight="1">
      <c r="A1437" s="24">
        <f>HYPERLINK("#'Kiểm thử'!A"&amp;(MATCH("TC-RS-VAL-007 / p0",'Kiểm thử'!$A$5:$A$573,0)+4),"TC-RS-VAL-007 / p0")</f>
        <v/>
      </c>
      <c r="B1437" s="18" t="inlineStr">
        <is>
          <t>Điều kiện / thao tác</t>
        </is>
      </c>
      <c r="C1437"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38" ht="44" customHeight="1">
      <c r="A1438" s="24">
        <f>HYPERLINK("#'Kiểm thử'!A"&amp;(MATCH("TC-RS-VAL-007 / p1",'Kiểm thử'!$A$5:$A$573,0)+4),"TC-RS-VAL-007 / p1")</f>
        <v/>
      </c>
      <c r="B1438" s="18" t="inlineStr">
        <is>
          <t>Màn hình / chức năng</t>
        </is>
      </c>
      <c r="C1438" s="18" t="inlineStr">
        <is>
          <t>Ngưỡng tỷ lệ điểm tối đa — Thiết lập ngưỡng（基準設定）
Xử lý phần lẻ: bắt buộc chọn cách làm tròn; p = 0 / 1 / 9 / 10; lần đầu p=1</t>
        </is>
      </c>
    </row>
    <row r="1439" ht="299" customHeight="1">
      <c r="A1439" s="24">
        <f>HYPERLINK("#'Kiểm thử'!A"&amp;(MATCH("TC-RS-VAL-007 / p1",'Kiểm thử'!$A$5:$A$573,0)+4),"TC-RS-VAL-007 / p1")</f>
        <v/>
      </c>
      <c r="B1439" s="18" t="inlineStr">
        <is>
          <t>Điều kiện / thao tác</t>
        </is>
      </c>
      <c r="C1439" s="18" t="inlineStr">
        <is>
          <t>Cấu hình: mục số nguyên (M=100),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p = 0, 1, 9, 10; cách làm tròn: chưa chọn
p=1
Thao tác: 1. Bật Xử lý phần lẻ（端数処理）: quan sát giá trị p mặc định.
2. Không chọn cách làm tròn, Lưu.
3. Chọn Làm tròn xuống（切り捨て） với p=0, 1, 9, 10; Lưu từng lần.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440" ht="129" customHeight="1">
      <c r="A1440" s="24">
        <f>HYPERLINK("#'Kiểm thử'!A"&amp;(MATCH("TC-RS-VAL-007 / p1",'Kiểm thử'!$A$5:$A$573,0)+4),"TC-RS-VAL-007 / p1")</f>
        <v/>
      </c>
      <c r="B1440" s="18" t="inlineStr">
        <is>
          <t>Điều kiện / thao tác</t>
        </is>
      </c>
      <c r="C1440"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41" ht="44" customHeight="1">
      <c r="A1441" s="24">
        <f>HYPERLINK("#'Kiểm thử'!A"&amp;(MATCH("TC-RS-VAL-007 / p9",'Kiểm thử'!$A$5:$A$573,0)+4),"TC-RS-VAL-007 / p9")</f>
        <v/>
      </c>
      <c r="B1441" s="18" t="inlineStr">
        <is>
          <t>Màn hình / chức năng</t>
        </is>
      </c>
      <c r="C1441" s="18" t="inlineStr">
        <is>
          <t>Ngưỡng tỷ lệ điểm tối đa — Thiết lập ngưỡng（基準設定）
Xử lý phần lẻ: bắt buộc chọn cách làm tròn; p = 0 / 1 / 9 / 10; lần đầu p=1</t>
        </is>
      </c>
    </row>
    <row r="1442" ht="299" customHeight="1">
      <c r="A1442" s="24">
        <f>HYPERLINK("#'Kiểm thử'!A"&amp;(MATCH("TC-RS-VAL-007 / p9",'Kiểm thử'!$A$5:$A$573,0)+4),"TC-RS-VAL-007 / p9")</f>
        <v/>
      </c>
      <c r="B1442" s="18" t="inlineStr">
        <is>
          <t>Điều kiện / thao tác</t>
        </is>
      </c>
      <c r="C1442" s="18" t="inlineStr">
        <is>
          <t>Cấu hình: mục số nguyên (M=100),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p = 0, 1, 9, 10; cách làm tròn: chưa chọn
p=9
Thao tác: 1. Bật Xử lý phần lẻ（端数処理）: quan sát giá trị p mặc định.
2. Không chọn cách làm tròn, Lưu.
3. Chọn Làm tròn xuống（切り捨て） với p=0, 1, 9, 10; Lưu từng lần.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443" ht="129" customHeight="1">
      <c r="A1443" s="24">
        <f>HYPERLINK("#'Kiểm thử'!A"&amp;(MATCH("TC-RS-VAL-007 / p9",'Kiểm thử'!$A$5:$A$573,0)+4),"TC-RS-VAL-007 / p9")</f>
        <v/>
      </c>
      <c r="B1443" s="18" t="inlineStr">
        <is>
          <t>Điều kiện / thao tác</t>
        </is>
      </c>
      <c r="C1443"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44" ht="44" customHeight="1">
      <c r="A1444" s="24">
        <f>HYPERLINK("#'Kiểm thử'!A"&amp;(MATCH("TC-RS-VAL-007 / p10",'Kiểm thử'!$A$5:$A$573,0)+4),"TC-RS-VAL-007 / p10")</f>
        <v/>
      </c>
      <c r="B1444" s="18" t="inlineStr">
        <is>
          <t>Màn hình / chức năng</t>
        </is>
      </c>
      <c r="C1444" s="18" t="inlineStr">
        <is>
          <t>Ngưỡng tỷ lệ điểm tối đa — Thiết lập ngưỡng（基準設定）
Xử lý phần lẻ: bắt buộc chọn cách làm tròn; p = 0 / 1 / 9 / 10; lần đầu p=1</t>
        </is>
      </c>
    </row>
    <row r="1445" ht="299" customHeight="1">
      <c r="A1445" s="24">
        <f>HYPERLINK("#'Kiểm thử'!A"&amp;(MATCH("TC-RS-VAL-007 / p10",'Kiểm thử'!$A$5:$A$573,0)+4),"TC-RS-VAL-007 / p10")</f>
        <v/>
      </c>
      <c r="B1445" s="18" t="inlineStr">
        <is>
          <t>Điều kiện / thao tác</t>
        </is>
      </c>
      <c r="C1445" s="18" t="inlineStr">
        <is>
          <t>Cấu hình: mục số nguyên (M=100),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p = 0, 1, 9, 10; cách làm tròn: chưa chọn
p=10
Thao tác: 1. Bật Xử lý phần lẻ（端数処理）: quan sát giá trị p mặc định.
2. Không chọn cách làm tròn, Lưu.
3. Chọn Làm tròn xuống（切り捨て） với p=0, 1, 9, 10; Lưu từng lần.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446" ht="129" customHeight="1">
      <c r="A1446" s="24">
        <f>HYPERLINK("#'Kiểm thử'!A"&amp;(MATCH("TC-RS-VAL-007 / p10",'Kiểm thử'!$A$5:$A$573,0)+4),"TC-RS-VAL-007 / p10")</f>
        <v/>
      </c>
      <c r="B1446" s="18" t="inlineStr">
        <is>
          <t>Điều kiện / thao tác</t>
        </is>
      </c>
      <c r="C1446"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47" ht="299" customHeight="1">
      <c r="A1447" s="24">
        <f>HYPERLINK("#'Kiểm thử'!A"&amp;(MATCH("TC-RS-CALC-005 / lt",'Kiểm thử'!$A$5:$A$573,0)+4),"TC-RS-CALC-005 / lt")</f>
        <v/>
      </c>
      <c r="B1447" s="18" t="inlineStr">
        <is>
          <t>Điều kiện / thao tác</t>
        </is>
      </c>
      <c r="C1447" s="18" t="inlineStr">
        <is>
          <t>Cấu hình: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tỷ lệ 30%; học sinh S01 (điểm 29), học sinh S02 (điểm 30), học sinh S03 (điểm 31)
Dấu nhỏ hơn
Thao tác: Đăng ký 29, 30, 31; xét với `&lt;` rồi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448" ht="129" customHeight="1">
      <c r="A1448" s="24">
        <f>HYPERLINK("#'Kiểm thử'!A"&amp;(MATCH("TC-RS-CALC-005 / lt",'Kiểm thử'!$A$5:$A$573,0)+4),"TC-RS-CALC-005 / lt")</f>
        <v/>
      </c>
      <c r="B1448" s="18" t="inlineStr">
        <is>
          <t>Điều kiện / thao tác</t>
        </is>
      </c>
      <c r="C1448"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49" ht="299" customHeight="1">
      <c r="A1449" s="24">
        <f>HYPERLINK("#'Kiểm thử'!A"&amp;(MATCH("TC-RS-CALC-005 / le",'Kiểm thử'!$A$5:$A$573,0)+4),"TC-RS-CALC-005 / le")</f>
        <v/>
      </c>
      <c r="B1449" s="18" t="inlineStr">
        <is>
          <t>Điều kiện / thao tác</t>
        </is>
      </c>
      <c r="C1449" s="18" t="inlineStr">
        <is>
          <t>Cấu hình: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tỷ lệ 30%; học sinh S01 (điểm 29), học sinh S02 (điểm 30), học sinh S03 (điểm 31)
Dấu nhỏ hơn hoặc bằng
Thao tác: Đăng ký 29, 30, 31; xét với `&lt;` rồi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450" ht="129" customHeight="1">
      <c r="A1450" s="24">
        <f>HYPERLINK("#'Kiểm thử'!A"&amp;(MATCH("TC-RS-CALC-005 / le",'Kiểm thử'!$A$5:$A$573,0)+4),"TC-RS-CALC-005 / le")</f>
        <v/>
      </c>
      <c r="B1450" s="18" t="inlineStr">
        <is>
          <t>Điều kiện / thao tác</t>
        </is>
      </c>
      <c r="C1450"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51" ht="299" customHeight="1">
      <c r="A1451" s="24">
        <f>HYPERLINK("#'Kiểm thử'!A"&amp;(MATCH("TC-RS-CALC-006 / lt",'Kiểm thử'!$A$5:$A$573,0)+4),"TC-RS-CALC-006 / lt")</f>
        <v/>
      </c>
      <c r="B1451" s="18" t="inlineStr">
        <is>
          <t>Điều kiện / thao tác</t>
        </is>
      </c>
      <c r="C1451" s="18" t="inlineStr">
        <is>
          <t>Cấu hình: mục số thập phân (M=100) với Giá trị tối đa（最大値）= 45.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tỷ lệ 30% (không xử lý phần lẻ); S = 13, 13.5, 14
Dấu nhỏ hơn
Thao tác: Đăng ký ba điểm; xét với `&lt;` rồi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52" ht="112" customHeight="1">
      <c r="A1452" s="24">
        <f>HYPERLINK("#'Kiểm thử'!A"&amp;(MATCH("TC-RS-CALC-006 / lt",'Kiểm thử'!$A$5:$A$573,0)+4),"TC-RS-CALC-006 / lt")</f>
        <v/>
      </c>
      <c r="B1452" s="18" t="inlineStr">
        <is>
          <t>Điều kiện / thao tác</t>
        </is>
      </c>
      <c r="C1452"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53" ht="299" customHeight="1">
      <c r="A1453" s="24">
        <f>HYPERLINK("#'Kiểm thử'!A"&amp;(MATCH("TC-RS-CALC-006 / le",'Kiểm thử'!$A$5:$A$573,0)+4),"TC-RS-CALC-006 / le")</f>
        <v/>
      </c>
      <c r="B1453" s="18" t="inlineStr">
        <is>
          <t>Điều kiện / thao tác</t>
        </is>
      </c>
      <c r="C1453" s="18" t="inlineStr">
        <is>
          <t>Cấu hình: mục số thập phân (M=100) với Giá trị tối đa（最大値）= 45.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quy tắc tỷ lệ 30% (không xử lý phần lẻ); S = 13, 13.5, 14
Dấu nhỏ hơn hoặc bằng
Thao tác: Đăng ký ba điểm; xét với `&lt;` rồi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54" ht="112" customHeight="1">
      <c r="A1454" s="24">
        <f>HYPERLINK("#'Kiểm thử'!A"&amp;(MATCH("TC-RS-CALC-006 / le",'Kiểm thử'!$A$5:$A$573,0)+4),"TC-RS-CALC-006 / le")</f>
        <v/>
      </c>
      <c r="B1454" s="18" t="inlineStr">
        <is>
          <t>Điều kiện / thao tác</t>
        </is>
      </c>
      <c r="C1454"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55" ht="299" customHeight="1">
      <c r="A1455" s="24">
        <f>HYPERLINK("#'Kiểm thử'!A"&amp;(MATCH("TC-RS-CALC-007 / m45-none",'Kiểm thử'!$A$5:$A$573,0)+4),"TC-RS-CALC-007 / m45-none")</f>
        <v/>
      </c>
      <c r="B1455" s="18" t="inlineStr">
        <is>
          <t>Điều kiện / thao tác</t>
        </is>
      </c>
      <c r="C1455" s="18" t="inlineStr">
        <is>
          <t>Cấu hình: mục số thập phân (M=100); tỷ lệ 30%,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M=45 → `T_thô=13.5`, S=13; (b) M=47 → `T_thô=14.1`, S=14
M45 không làm tròn
Thao tác: Với (a) và (b): xét với Không xử lý（しない）, xuống p1, gần nhất p1, lên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56" ht="112" customHeight="1">
      <c r="A1456" s="24">
        <f>HYPERLINK("#'Kiểm thử'!A"&amp;(MATCH("TC-RS-CALC-007 / m45-none",'Kiểm thử'!$A$5:$A$573,0)+4),"TC-RS-CALC-007 / m45-none")</f>
        <v/>
      </c>
      <c r="B1456" s="18" t="inlineStr">
        <is>
          <t>Điều kiện / thao tác</t>
        </is>
      </c>
      <c r="C1456"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57" ht="112" customHeight="1">
      <c r="A1457" s="24">
        <f>HYPERLINK("#'Kiểm thử'!A"&amp;(MATCH("TC-RS-CALC-007 / m45-none",'Kiểm thử'!$A$5:$A$573,0)+4),"TC-RS-CALC-007 / m45-none")</f>
        <v/>
      </c>
      <c r="B1457" s="18" t="inlineStr">
        <is>
          <t>Kết quả mong đợi</t>
        </is>
      </c>
      <c r="C1457" s="18" t="inlineStr">
        <is>
          <t>(a) Không xử lý `T=13.5` → Đỏ; xuống `T=13` → Không đỏ; gần nhất `T=14` → Đỏ; lên `T=14` → Đỏ.
(b) Không xử lý `T=14.1` → Đỏ; xuống `T=14` → Không đỏ; gần nhất `T=14` → Không đỏ; lên `T=15` → Đỏ.
Bảo toàn: Giữ điểm, cấu hình và đối tượng không đích theo expected; chỉ thay phần thủ tục yêu cầu, không tự đổi oracle hoặc mở rộng phạm vi.</t>
        </is>
      </c>
    </row>
    <row r="1458" ht="299" customHeight="1">
      <c r="A1458" s="24">
        <f>HYPERLINK("#'Kiểm thử'!A"&amp;(MATCH("TC-RS-CALC-007 / m45-down",'Kiểm thử'!$A$5:$A$573,0)+4),"TC-RS-CALC-007 / m45-down")</f>
        <v/>
      </c>
      <c r="B1458" s="18" t="inlineStr">
        <is>
          <t>Điều kiện / thao tác</t>
        </is>
      </c>
      <c r="C1458" s="18" t="inlineStr">
        <is>
          <t>Cấu hình: mục số thập phân (M=100); tỷ lệ 30%,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M=45 → `T_thô=13.5`, S=13; (b) M=47 → `T_thô=14.1`, S=14
M45 cắt xuống
Thao tác: Với (a) và (b): xét với Không xử lý（しない）, xuống p1, gần nhất p1, lên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59" ht="112" customHeight="1">
      <c r="A1459" s="24">
        <f>HYPERLINK("#'Kiểm thử'!A"&amp;(MATCH("TC-RS-CALC-007 / m45-down",'Kiểm thử'!$A$5:$A$573,0)+4),"TC-RS-CALC-007 / m45-down")</f>
        <v/>
      </c>
      <c r="B1459" s="18" t="inlineStr">
        <is>
          <t>Điều kiện / thao tác</t>
        </is>
      </c>
      <c r="C1459"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60" ht="112" customHeight="1">
      <c r="A1460" s="24">
        <f>HYPERLINK("#'Kiểm thử'!A"&amp;(MATCH("TC-RS-CALC-007 / m45-down",'Kiểm thử'!$A$5:$A$573,0)+4),"TC-RS-CALC-007 / m45-down")</f>
        <v/>
      </c>
      <c r="B1460" s="18" t="inlineStr">
        <is>
          <t>Kết quả mong đợi</t>
        </is>
      </c>
      <c r="C1460" s="18" t="inlineStr">
        <is>
          <t>(a) Không xử lý `T=13.5` → Đỏ; xuống `T=13` → Không đỏ; gần nhất `T=14` → Đỏ; lên `T=14` → Đỏ.
(b) Không xử lý `T=14.1` → Đỏ; xuống `T=14` → Không đỏ; gần nhất `T=14` → Không đỏ; lên `T=15` → Đỏ.
Bảo toàn: Giữ điểm, cấu hình và đối tượng không đích theo expected; chỉ thay phần thủ tục yêu cầu, không tự đổi oracle hoặc mở rộng phạm vi.</t>
        </is>
      </c>
    </row>
    <row r="1461" ht="299" customHeight="1">
      <c r="A1461" s="24">
        <f>HYPERLINK("#'Kiểm thử'!A"&amp;(MATCH("TC-RS-CALC-007 / m45-nearest",'Kiểm thử'!$A$5:$A$573,0)+4),"TC-RS-CALC-007 / m45-nearest")</f>
        <v/>
      </c>
      <c r="B1461" s="18" t="inlineStr">
        <is>
          <t>Điều kiện / thao tác</t>
        </is>
      </c>
      <c r="C1461" s="18" t="inlineStr">
        <is>
          <t>Cấu hình: mục số thập phân (M=100); tỷ lệ 30%,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M=45 → `T_thô=13.5`, S=13; (b) M=47 → `T_thô=14.1`, S=14
M45 làm tròn gần nhất
Thao tác: Với (a) và (b): xét với Không xử lý（しない）, xuống p1, gần nhất p1, lên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62" ht="112" customHeight="1">
      <c r="A1462" s="24">
        <f>HYPERLINK("#'Kiểm thử'!A"&amp;(MATCH("TC-RS-CALC-007 / m45-nearest",'Kiểm thử'!$A$5:$A$573,0)+4),"TC-RS-CALC-007 / m45-nearest")</f>
        <v/>
      </c>
      <c r="B1462" s="18" t="inlineStr">
        <is>
          <t>Điều kiện / thao tác</t>
        </is>
      </c>
      <c r="C1462"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63" ht="112" customHeight="1">
      <c r="A1463" s="24">
        <f>HYPERLINK("#'Kiểm thử'!A"&amp;(MATCH("TC-RS-CALC-007 / m45-nearest",'Kiểm thử'!$A$5:$A$573,0)+4),"TC-RS-CALC-007 / m45-nearest")</f>
        <v/>
      </c>
      <c r="B1463" s="18" t="inlineStr">
        <is>
          <t>Kết quả mong đợi</t>
        </is>
      </c>
      <c r="C1463" s="18" t="inlineStr">
        <is>
          <t>(a) Không xử lý `T=13.5` → Đỏ; xuống `T=13` → Không đỏ; gần nhất `T=14` → Đỏ; lên `T=14` → Đỏ.
(b) Không xử lý `T=14.1` → Đỏ; xuống `T=14` → Không đỏ; gần nhất `T=14` → Không đỏ; lên `T=15` → Đỏ.
Bảo toàn: Giữ điểm, cấu hình và đối tượng không đích theo expected; chỉ thay phần thủ tục yêu cầu, không tự đổi oracle hoặc mở rộng phạm vi.</t>
        </is>
      </c>
    </row>
    <row r="1464" ht="299" customHeight="1">
      <c r="A1464" s="24">
        <f>HYPERLINK("#'Kiểm thử'!A"&amp;(MATCH("TC-RS-CALC-007 / m45-up",'Kiểm thử'!$A$5:$A$573,0)+4),"TC-RS-CALC-007 / m45-up")</f>
        <v/>
      </c>
      <c r="B1464" s="18" t="inlineStr">
        <is>
          <t>Điều kiện / thao tác</t>
        </is>
      </c>
      <c r="C1464" s="18" t="inlineStr">
        <is>
          <t>Cấu hình: mục số thập phân (M=100); tỷ lệ 30%,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M=45 → `T_thô=13.5`, S=13; (b) M=47 → `T_thô=14.1`, S=14
M45 làm tròn lên
Thao tác: Với (a) và (b): xét với Không xử lý（しない）, xuống p1, gần nhất p1, lên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65" ht="112" customHeight="1">
      <c r="A1465" s="24">
        <f>HYPERLINK("#'Kiểm thử'!A"&amp;(MATCH("TC-RS-CALC-007 / m45-up",'Kiểm thử'!$A$5:$A$573,0)+4),"TC-RS-CALC-007 / m45-up")</f>
        <v/>
      </c>
      <c r="B1465" s="18" t="inlineStr">
        <is>
          <t>Điều kiện / thao tác</t>
        </is>
      </c>
      <c r="C1465"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66" ht="112" customHeight="1">
      <c r="A1466" s="24">
        <f>HYPERLINK("#'Kiểm thử'!A"&amp;(MATCH("TC-RS-CALC-007 / m45-up",'Kiểm thử'!$A$5:$A$573,0)+4),"TC-RS-CALC-007 / m45-up")</f>
        <v/>
      </c>
      <c r="B1466" s="18" t="inlineStr">
        <is>
          <t>Kết quả mong đợi</t>
        </is>
      </c>
      <c r="C1466" s="18" t="inlineStr">
        <is>
          <t>(a) Không xử lý `T=13.5` → Đỏ; xuống `T=13` → Không đỏ; gần nhất `T=14` → Đỏ; lên `T=14` → Đỏ.
(b) Không xử lý `T=14.1` → Đỏ; xuống `T=14` → Không đỏ; gần nhất `T=14` → Không đỏ; lên `T=15` → Đỏ.
Bảo toàn: Giữ điểm, cấu hình và đối tượng không đích theo expected; chỉ thay phần thủ tục yêu cầu, không tự đổi oracle hoặc mở rộng phạm vi.</t>
        </is>
      </c>
    </row>
    <row r="1467" ht="299" customHeight="1">
      <c r="A1467" s="24">
        <f>HYPERLINK("#'Kiểm thử'!A"&amp;(MATCH("TC-RS-CALC-007 / m47-none",'Kiểm thử'!$A$5:$A$573,0)+4),"TC-RS-CALC-007 / m47-none")</f>
        <v/>
      </c>
      <c r="B1467" s="18" t="inlineStr">
        <is>
          <t>Điều kiện / thao tác</t>
        </is>
      </c>
      <c r="C1467" s="18" t="inlineStr">
        <is>
          <t>Cấu hình: mục số thập phân (M=100); tỷ lệ 30%,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M=45 → `T_thô=13.5`, S=13; (b) M=47 → `T_thô=14.1`, S=14
M47 không làm tròn
Thao tác: Với (a) và (b): xét với Không xử lý（しない）, xuống p1, gần nhất p1, lên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68" ht="112" customHeight="1">
      <c r="A1468" s="24">
        <f>HYPERLINK("#'Kiểm thử'!A"&amp;(MATCH("TC-RS-CALC-007 / m47-none",'Kiểm thử'!$A$5:$A$573,0)+4),"TC-RS-CALC-007 / m47-none")</f>
        <v/>
      </c>
      <c r="B1468" s="18" t="inlineStr">
        <is>
          <t>Điều kiện / thao tác</t>
        </is>
      </c>
      <c r="C146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69" ht="112" customHeight="1">
      <c r="A1469" s="24">
        <f>HYPERLINK("#'Kiểm thử'!A"&amp;(MATCH("TC-RS-CALC-007 / m47-none",'Kiểm thử'!$A$5:$A$573,0)+4),"TC-RS-CALC-007 / m47-none")</f>
        <v/>
      </c>
      <c r="B1469" s="18" t="inlineStr">
        <is>
          <t>Kết quả mong đợi</t>
        </is>
      </c>
      <c r="C1469" s="18" t="inlineStr">
        <is>
          <t>(a) Không xử lý `T=13.5` → Đỏ; xuống `T=13` → Không đỏ; gần nhất `T=14` → Đỏ; lên `T=14` → Đỏ.
(b) Không xử lý `T=14.1` → Đỏ; xuống `T=14` → Không đỏ; gần nhất `T=14` → Không đỏ; lên `T=15` → Đỏ.
Bảo toàn: Giữ điểm, cấu hình và đối tượng không đích theo expected; chỉ thay phần thủ tục yêu cầu, không tự đổi oracle hoặc mở rộng phạm vi.</t>
        </is>
      </c>
    </row>
    <row r="1470" ht="299" customHeight="1">
      <c r="A1470" s="24">
        <f>HYPERLINK("#'Kiểm thử'!A"&amp;(MATCH("TC-RS-CALC-007 / m47-down",'Kiểm thử'!$A$5:$A$573,0)+4),"TC-RS-CALC-007 / m47-down")</f>
        <v/>
      </c>
      <c r="B1470" s="18" t="inlineStr">
        <is>
          <t>Điều kiện / thao tác</t>
        </is>
      </c>
      <c r="C1470" s="18" t="inlineStr">
        <is>
          <t>Cấu hình: mục số thập phân (M=100); tỷ lệ 30%,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M=45 → `T_thô=13.5`, S=13; (b) M=47 → `T_thô=14.1`, S=14
M47 cắt xuống
Thao tác: Với (a) và (b): xét với Không xử lý（しない）, xuống p1, gần nhất p1, lên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71" ht="112" customHeight="1">
      <c r="A1471" s="24">
        <f>HYPERLINK("#'Kiểm thử'!A"&amp;(MATCH("TC-RS-CALC-007 / m47-down",'Kiểm thử'!$A$5:$A$573,0)+4),"TC-RS-CALC-007 / m47-down")</f>
        <v/>
      </c>
      <c r="B1471" s="18" t="inlineStr">
        <is>
          <t>Điều kiện / thao tác</t>
        </is>
      </c>
      <c r="C1471"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72" ht="112" customHeight="1">
      <c r="A1472" s="24">
        <f>HYPERLINK("#'Kiểm thử'!A"&amp;(MATCH("TC-RS-CALC-007 / m47-down",'Kiểm thử'!$A$5:$A$573,0)+4),"TC-RS-CALC-007 / m47-down")</f>
        <v/>
      </c>
      <c r="B1472" s="18" t="inlineStr">
        <is>
          <t>Kết quả mong đợi</t>
        </is>
      </c>
      <c r="C1472" s="18" t="inlineStr">
        <is>
          <t>(a) Không xử lý `T=13.5` → Đỏ; xuống `T=13` → Không đỏ; gần nhất `T=14` → Đỏ; lên `T=14` → Đỏ.
(b) Không xử lý `T=14.1` → Đỏ; xuống `T=14` → Không đỏ; gần nhất `T=14` → Không đỏ; lên `T=15` → Đỏ.
Bảo toàn: Giữ điểm, cấu hình và đối tượng không đích theo expected; chỉ thay phần thủ tục yêu cầu, không tự đổi oracle hoặc mở rộng phạm vi.</t>
        </is>
      </c>
    </row>
    <row r="1473" ht="299" customHeight="1">
      <c r="A1473" s="24">
        <f>HYPERLINK("#'Kiểm thử'!A"&amp;(MATCH("TC-RS-CALC-007 / m47-nearest",'Kiểm thử'!$A$5:$A$573,0)+4),"TC-RS-CALC-007 / m47-nearest")</f>
        <v/>
      </c>
      <c r="B1473" s="18" t="inlineStr">
        <is>
          <t>Điều kiện / thao tác</t>
        </is>
      </c>
      <c r="C1473" s="18" t="inlineStr">
        <is>
          <t>Cấu hình: mục số thập phân (M=100); tỷ lệ 30%,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M=45 → `T_thô=13.5`, S=13; (b) M=47 → `T_thô=14.1`, S=14
M47 làm tròn gần nhất
Thao tác: Với (a) và (b): xét với Không xử lý（しない）, xuống p1, gần nhất p1, lên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74" ht="112" customHeight="1">
      <c r="A1474" s="24">
        <f>HYPERLINK("#'Kiểm thử'!A"&amp;(MATCH("TC-RS-CALC-007 / m47-nearest",'Kiểm thử'!$A$5:$A$573,0)+4),"TC-RS-CALC-007 / m47-nearest")</f>
        <v/>
      </c>
      <c r="B1474" s="18" t="inlineStr">
        <is>
          <t>Điều kiện / thao tác</t>
        </is>
      </c>
      <c r="C1474"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75" ht="112" customHeight="1">
      <c r="A1475" s="24">
        <f>HYPERLINK("#'Kiểm thử'!A"&amp;(MATCH("TC-RS-CALC-007 / m47-nearest",'Kiểm thử'!$A$5:$A$573,0)+4),"TC-RS-CALC-007 / m47-nearest")</f>
        <v/>
      </c>
      <c r="B1475" s="18" t="inlineStr">
        <is>
          <t>Kết quả mong đợi</t>
        </is>
      </c>
      <c r="C1475" s="18" t="inlineStr">
        <is>
          <t>(a) Không xử lý `T=13.5` → Đỏ; xuống `T=13` → Không đỏ; gần nhất `T=14` → Đỏ; lên `T=14` → Đỏ.
(b) Không xử lý `T=14.1` → Đỏ; xuống `T=14` → Không đỏ; gần nhất `T=14` → Không đỏ; lên `T=15` → Đỏ.
Bảo toàn: Giữ điểm, cấu hình và đối tượng không đích theo expected; chỉ thay phần thủ tục yêu cầu, không tự đổi oracle hoặc mở rộng phạm vi.</t>
        </is>
      </c>
    </row>
    <row r="1476" ht="299" customHeight="1">
      <c r="A1476" s="24">
        <f>HYPERLINK("#'Kiểm thử'!A"&amp;(MATCH("TC-RS-CALC-007 / m47-up",'Kiểm thử'!$A$5:$A$573,0)+4),"TC-RS-CALC-007 / m47-up")</f>
        <v/>
      </c>
      <c r="B1476" s="18" t="inlineStr">
        <is>
          <t>Điều kiện / thao tác</t>
        </is>
      </c>
      <c r="C1476" s="18" t="inlineStr">
        <is>
          <t>Cấu hình: mục số thập phân (M=100); tỷ lệ 30%, dấu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(a) M=45 → `T_thô=13.5`, S=13; (b) M=47 → `T_thô=14.1`, S=14
M47 làm tròn lên
Thao tác: Với (a) và (b): xét với Không xử lý（しない）, xuống p1, gần nhất p1, lên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77" ht="112" customHeight="1">
      <c r="A1477" s="24">
        <f>HYPERLINK("#'Kiểm thử'!A"&amp;(MATCH("TC-RS-CALC-007 / m47-up",'Kiểm thử'!$A$5:$A$573,0)+4),"TC-RS-CALC-007 / m47-up")</f>
        <v/>
      </c>
      <c r="B1477" s="18" t="inlineStr">
        <is>
          <t>Điều kiện / thao tác</t>
        </is>
      </c>
      <c r="C1477"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78" ht="112" customHeight="1">
      <c r="A1478" s="24">
        <f>HYPERLINK("#'Kiểm thử'!A"&amp;(MATCH("TC-RS-CALC-007 / m47-up",'Kiểm thử'!$A$5:$A$573,0)+4),"TC-RS-CALC-007 / m47-up")</f>
        <v/>
      </c>
      <c r="B1478" s="18" t="inlineStr">
        <is>
          <t>Kết quả mong đợi</t>
        </is>
      </c>
      <c r="C1478" s="18" t="inlineStr">
        <is>
          <t>(a) Không xử lý `T=13.5` → Đỏ; xuống `T=13` → Không đỏ; gần nhất `T=14` → Đỏ; lên `T=14` → Đỏ.
(b) Không xử lý `T=14.1` → Đỏ; xuống `T=14` → Không đỏ; gần nhất `T=14` → Không đỏ; lên `T=15` → Đỏ.
Bảo toàn: Giữ điểm, cấu hình và đối tượng không đích theo expected; chỉ thay phần thủ tục yêu cầu, không tự đổi oracle hoặc mở rộng phạm vi.</t>
        </is>
      </c>
    </row>
    <row r="1479" ht="299" customHeight="1">
      <c r="A1479" s="24">
        <f>HYPERLINK("#'Kiểm thử'!A"&amp;(MATCH("TC-RS-CALC-008 / none",'Kiểm thử'!$A$5:$A$573,0)+4),"TC-RS-CALC-008 / none")</f>
        <v/>
      </c>
      <c r="B1479" s="18" t="inlineStr">
        <is>
          <t>Điều kiện / thao tác</t>
        </is>
      </c>
      <c r="C1479" s="18" t="inlineStr">
        <is>
          <t>Cấu hình: mục số thập phân (M=100) với M=75; tỷ lệ 30%,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S = 22.2
Không xử lý phần lẻ
Thao tác: Xét với Không xử lý, rồi xuống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80" ht="112" customHeight="1">
      <c r="A1480" s="24">
        <f>HYPERLINK("#'Kiểm thử'!A"&amp;(MATCH("TC-RS-CALC-008 / none",'Kiểm thử'!$A$5:$A$573,0)+4),"TC-RS-CALC-008 / none")</f>
        <v/>
      </c>
      <c r="B1480" s="18" t="inlineStr">
        <is>
          <t>Điều kiện / thao tác</t>
        </is>
      </c>
      <c r="C148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81" ht="299" customHeight="1">
      <c r="A1481" s="24">
        <f>HYPERLINK("#'Kiểm thử'!A"&amp;(MATCH("TC-RS-CALC-008 / down",'Kiểm thử'!$A$5:$A$573,0)+4),"TC-RS-CALC-008 / down")</f>
        <v/>
      </c>
      <c r="B1481" s="18" t="inlineStr">
        <is>
          <t>Điều kiện / thao tác</t>
        </is>
      </c>
      <c r="C1481" s="18" t="inlineStr">
        <is>
          <t>Cấu hình: mục số thập phân (M=100) với M=75; tỷ lệ 30%,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thập phân (M=100); S = 22.2
Cắt xuống
Thao tác: Xét với Không xử lý, rồi xuống p1.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82" ht="112" customHeight="1">
      <c r="A1482" s="24">
        <f>HYPERLINK("#'Kiểm thử'!A"&amp;(MATCH("TC-RS-CALC-008 / down",'Kiểm thử'!$A$5:$A$573,0)+4),"TC-RS-CALC-008 / down")</f>
        <v/>
      </c>
      <c r="B1482" s="18" t="inlineStr">
        <is>
          <t>Điều kiện / thao tác</t>
        </is>
      </c>
      <c r="C1482"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83" ht="299" customHeight="1">
      <c r="A1483" s="24">
        <f>HYPERLINK("#'Kiểm thử'!A"&amp;(MATCH("TC-RS-CALC-009 / zero-lt",'Kiểm thử'!$A$5:$A$573,0)+4),"TC-RS-CALC-009 / zero-lt")</f>
        <v/>
      </c>
      <c r="B1483" s="18" t="inlineStr">
        <is>
          <t>Điều kiện / thao tác</t>
        </is>
      </c>
      <c r="C1483" s="18" t="inlineStr">
        <is>
          <t>Cấu hình: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0: S = 0; N = 100: S = 99, 100
N0 nhỏ hơn
Thao tác: Xét từng cấu hình với `&lt;` và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84" ht="112" customHeight="1">
      <c r="A1484" s="24">
        <f>HYPERLINK("#'Kiểm thử'!A"&amp;(MATCH("TC-RS-CALC-009 / zero-lt",'Kiểm thử'!$A$5:$A$573,0)+4),"TC-RS-CALC-009 / zero-lt")</f>
        <v/>
      </c>
      <c r="B1484" s="18" t="inlineStr">
        <is>
          <t>Điều kiện / thao tác</t>
        </is>
      </c>
      <c r="C1484"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85" ht="299" customHeight="1">
      <c r="A1485" s="24">
        <f>HYPERLINK("#'Kiểm thử'!A"&amp;(MATCH("TC-RS-CALC-009 / zero-le",'Kiểm thử'!$A$5:$A$573,0)+4),"TC-RS-CALC-009 / zero-le")</f>
        <v/>
      </c>
      <c r="B1485" s="18" t="inlineStr">
        <is>
          <t>Điều kiện / thao tác</t>
        </is>
      </c>
      <c r="C1485" s="18" t="inlineStr">
        <is>
          <t>Cấu hình: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0: S = 0; N = 100: S = 99, 100
N0 nhỏ hơn hoặc bằng
Thao tác: Xét từng cấu hình với `&lt;` và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86" ht="112" customHeight="1">
      <c r="A1486" s="24">
        <f>HYPERLINK("#'Kiểm thử'!A"&amp;(MATCH("TC-RS-CALC-009 / zero-le",'Kiểm thử'!$A$5:$A$573,0)+4),"TC-RS-CALC-009 / zero-le")</f>
        <v/>
      </c>
      <c r="B1486" s="18" t="inlineStr">
        <is>
          <t>Điều kiện / thao tác</t>
        </is>
      </c>
      <c r="C1486"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87" ht="299" customHeight="1">
      <c r="A1487" s="24">
        <f>HYPERLINK("#'Kiểm thử'!A"&amp;(MATCH("TC-RS-CALC-009 / hundred-lt",'Kiểm thử'!$A$5:$A$573,0)+4),"TC-RS-CALC-009 / hundred-lt")</f>
        <v/>
      </c>
      <c r="B1487" s="18" t="inlineStr">
        <is>
          <t>Điều kiện / thao tác</t>
        </is>
      </c>
      <c r="C1487" s="18" t="inlineStr">
        <is>
          <t>Cấu hình: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0: S = 0; N = 100: S = 99, 100
N100 nhỏ hơn
Thao tác: Xét từng cấu hình với `&lt;` và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88" ht="112" customHeight="1">
      <c r="A1488" s="24">
        <f>HYPERLINK("#'Kiểm thử'!A"&amp;(MATCH("TC-RS-CALC-009 / hundred-lt",'Kiểm thử'!$A$5:$A$573,0)+4),"TC-RS-CALC-009 / hundred-lt")</f>
        <v/>
      </c>
      <c r="B1488" s="18" t="inlineStr">
        <is>
          <t>Điều kiện / thao tác</t>
        </is>
      </c>
      <c r="C148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89" ht="299" customHeight="1">
      <c r="A1489" s="24">
        <f>HYPERLINK("#'Kiểm thử'!A"&amp;(MATCH("TC-RS-CALC-009 / hundred-le",'Kiểm thử'!$A$5:$A$573,0)+4),"TC-RS-CALC-009 / hundred-le")</f>
        <v/>
      </c>
      <c r="B1489" s="18" t="inlineStr">
        <is>
          <t>Điều kiện / thao tác</t>
        </is>
      </c>
      <c r="C1489" s="18" t="inlineStr">
        <is>
          <t>Cấu hình: mục số nguyên (M=100) (M=100).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N = 0: S = 0; N = 100: S = 99, 100
N100 nhỏ hơn hoặc bằng
Thao tác: Xét từng cấu hình với `&lt;` và `≤`.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490" ht="112" customHeight="1">
      <c r="A1490" s="24">
        <f>HYPERLINK("#'Kiểm thử'!A"&amp;(MATCH("TC-RS-CALC-009 / hundred-le",'Kiểm thử'!$A$5:$A$573,0)+4),"TC-RS-CALC-009 / hundred-le")</f>
        <v/>
      </c>
      <c r="B1490" s="18" t="inlineStr">
        <is>
          <t>Điều kiện / thao tác</t>
        </is>
      </c>
      <c r="C149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91" ht="44" customHeight="1">
      <c r="A1491" s="24">
        <f>HYPERLINK("#'Kiểm thử'!A"&amp;(MATCH("TC-RS-CALC-010 / ratio-zero",'Kiểm thử'!$A$5:$A$573,0)+4),"TC-RS-CALC-010 / ratio-zero")</f>
        <v/>
      </c>
      <c r="B1491" s="18" t="inlineStr">
        <is>
          <t>Màn hình / chức năng</t>
        </is>
      </c>
      <c r="C1491" s="18" t="inlineStr">
        <is>
          <t>Ngưỡng tỷ lệ điểm tối đa — Thiết lập ngưỡng（基準設定）
Tỷ lệ với M = 0, M &lt; 0 hoặc không xác định → Chưa xét được; cố định vẫn xét</t>
        </is>
      </c>
    </row>
    <row r="1492" ht="299" customHeight="1">
      <c r="A1492" s="24">
        <f>HYPERLINK("#'Kiểm thử'!A"&amp;(MATCH("TC-RS-CALC-010 / ratio-zero",'Kiểm thử'!$A$5:$A$573,0)+4),"TC-RS-CALC-010 / ratio-zero")</f>
        <v/>
      </c>
      <c r="B1492" s="18" t="inlineStr">
        <is>
          <t>Điều kiện / thao tác</t>
        </is>
      </c>
      <c r="C1492" s="18" t="inlineStr">
        <is>
          <t>Cấu hình: mục có M không hợp lệ (M không hợp lệ). Ô trước đó Đỏ theo quy tắc khác.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không hợp lệ; quy tắc tỷ lệ 30%; quy tắc “Cố định 30” (dưới 30); S = 0
Tỷ lệ M0
Thao tác: 1. Chỉ có quy tắc tỷ lệ 30% (30%): chạy lại với M=0, M=−10, M không xác định.
2. Chỉ có quy tắc “Cố định 30” (dưới 30) (cố định 30) trên cùng mục, M=0: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493" ht="129" customHeight="1">
      <c r="A1493" s="24">
        <f>HYPERLINK("#'Kiểm thử'!A"&amp;(MATCH("TC-RS-CALC-010 / ratio-zero",'Kiểm thử'!$A$5:$A$573,0)+4),"TC-RS-CALC-010 / ratio-zero")</f>
        <v/>
      </c>
      <c r="B1493" s="18" t="inlineStr">
        <is>
          <t>Điều kiện / thao tác</t>
        </is>
      </c>
      <c r="C1493"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94" ht="44" customHeight="1">
      <c r="A1494" s="24">
        <f>HYPERLINK("#'Kiểm thử'!A"&amp;(MATCH("TC-RS-CALC-010 / ratio-negative",'Kiểm thử'!$A$5:$A$573,0)+4),"TC-RS-CALC-010 / ratio-negative")</f>
        <v/>
      </c>
      <c r="B1494" s="18" t="inlineStr">
        <is>
          <t>Màn hình / chức năng</t>
        </is>
      </c>
      <c r="C1494" s="18" t="inlineStr">
        <is>
          <t>Ngưỡng tỷ lệ điểm tối đa — Thiết lập ngưỡng（基準設定）
Tỷ lệ với M = 0, M &lt; 0 hoặc không xác định → Chưa xét được; cố định vẫn xét</t>
        </is>
      </c>
    </row>
    <row r="1495" ht="299" customHeight="1">
      <c r="A1495" s="24">
        <f>HYPERLINK("#'Kiểm thử'!A"&amp;(MATCH("TC-RS-CALC-010 / ratio-negative",'Kiểm thử'!$A$5:$A$573,0)+4),"TC-RS-CALC-010 / ratio-negative")</f>
        <v/>
      </c>
      <c r="B1495" s="18" t="inlineStr">
        <is>
          <t>Điều kiện / thao tác</t>
        </is>
      </c>
      <c r="C1495" s="18" t="inlineStr">
        <is>
          <t>Cấu hình: mục có M không hợp lệ (M không hợp lệ). Ô trước đó Đỏ theo quy tắc khác.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không hợp lệ; quy tắc tỷ lệ 30%; quy tắc “Cố định 30” (dưới 30); S = 0
Tỷ lệ M âm
Thao tác: 1. Chỉ có quy tắc tỷ lệ 30% (30%): chạy lại với M=0, M=−10, M không xác định.
2. Chỉ có quy tắc “Cố định 30” (dưới 30) (cố định 30) trên cùng mục, M=0: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496" ht="129" customHeight="1">
      <c r="A1496" s="24">
        <f>HYPERLINK("#'Kiểm thử'!A"&amp;(MATCH("TC-RS-CALC-010 / ratio-negative",'Kiểm thử'!$A$5:$A$573,0)+4),"TC-RS-CALC-010 / ratio-negative")</f>
        <v/>
      </c>
      <c r="B1496" s="18" t="inlineStr">
        <is>
          <t>Điều kiện / thao tác</t>
        </is>
      </c>
      <c r="C1496"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497" ht="44" customHeight="1">
      <c r="A1497" s="24">
        <f>HYPERLINK("#'Kiểm thử'!A"&amp;(MATCH("TC-RS-CALC-010 / ratio-missing",'Kiểm thử'!$A$5:$A$573,0)+4),"TC-RS-CALC-010 / ratio-missing")</f>
        <v/>
      </c>
      <c r="B1497" s="18" t="inlineStr">
        <is>
          <t>Màn hình / chức năng</t>
        </is>
      </c>
      <c r="C1497" s="18" t="inlineStr">
        <is>
          <t>Ngưỡng tỷ lệ điểm tối đa — Thiết lập ngưỡng（基準設定）
Tỷ lệ với M = 0, M &lt; 0 hoặc không xác định → Chưa xét được; cố định vẫn xét</t>
        </is>
      </c>
    </row>
    <row r="1498" ht="299" customHeight="1">
      <c r="A1498" s="24">
        <f>HYPERLINK("#'Kiểm thử'!A"&amp;(MATCH("TC-RS-CALC-010 / ratio-missing",'Kiểm thử'!$A$5:$A$573,0)+4),"TC-RS-CALC-010 / ratio-missing")</f>
        <v/>
      </c>
      <c r="B1498" s="18" t="inlineStr">
        <is>
          <t>Điều kiện / thao tác</t>
        </is>
      </c>
      <c r="C1498" s="18" t="inlineStr">
        <is>
          <t>Cấu hình: mục có M không hợp lệ (M không hợp lệ). Ô trước đó Đỏ theo quy tắc khác.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không hợp lệ; quy tắc tỷ lệ 30%; quy tắc “Cố định 30” (dưới 30); S = 0
Tỷ lệ M không xác định
Thao tác: 1. Chỉ có quy tắc tỷ lệ 30% (30%): chạy lại với M=0, M=−10, M không xác định.
2. Chỉ có quy tắc “Cố định 30” (dưới 30) (cố định 30) trên cùng mục, M=0: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499" ht="129" customHeight="1">
      <c r="A1499" s="24">
        <f>HYPERLINK("#'Kiểm thử'!A"&amp;(MATCH("TC-RS-CALC-010 / ratio-missing",'Kiểm thử'!$A$5:$A$573,0)+4),"TC-RS-CALC-010 / ratio-missing")</f>
        <v/>
      </c>
      <c r="B1499" s="18" t="inlineStr">
        <is>
          <t>Điều kiện / thao tác</t>
        </is>
      </c>
      <c r="C1499"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00" ht="44" customHeight="1">
      <c r="A1500" s="24">
        <f>HYPERLINK("#'Kiểm thử'!A"&amp;(MATCH("TC-RS-CALC-010 / fixed-zero",'Kiểm thử'!$A$5:$A$573,0)+4),"TC-RS-CALC-010 / fixed-zero")</f>
        <v/>
      </c>
      <c r="B1500" s="18" t="inlineStr">
        <is>
          <t>Màn hình / chức năng</t>
        </is>
      </c>
      <c r="C1500" s="18" t="inlineStr">
        <is>
          <t>Ngưỡng tỷ lệ điểm tối đa — Thiết lập ngưỡng（基準設定）
Tỷ lệ với M = 0, M &lt; 0 hoặc không xác định → Chưa xét được; cố định vẫn xét</t>
        </is>
      </c>
    </row>
    <row r="1501" ht="299" customHeight="1">
      <c r="A1501" s="24">
        <f>HYPERLINK("#'Kiểm thử'!A"&amp;(MATCH("TC-RS-CALC-010 / fixed-zero",'Kiểm thử'!$A$5:$A$573,0)+4),"TC-RS-CALC-010 / fixed-zero")</f>
        <v/>
      </c>
      <c r="B1501" s="18" t="inlineStr">
        <is>
          <t>Điều kiện / thao tác</t>
        </is>
      </c>
      <c r="C1501" s="18" t="inlineStr">
        <is>
          <t>Cấu hình: mục có M không hợp lệ (M không hợp lệ). Ô trước đó Đỏ theo quy tắc khác.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có M không hợp lệ; quy tắc tỷ lệ 30%; quy tắc “Cố định 30” (dưới 30); S = 0
Cố định với M0
Thao tác: 1. Chỉ có quy tắc tỷ lệ 30% (30%): chạy lại với M=0, M=−10, M không xác định.
2. Chỉ có quy tắc “Cố định 30” (dưới 30) (cố định 30) trên cùng mục, M=0: chạy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502" ht="129" customHeight="1">
      <c r="A1502" s="24">
        <f>HYPERLINK("#'Kiểm thử'!A"&amp;(MATCH("TC-RS-CALC-010 / fixed-zero",'Kiểm thử'!$A$5:$A$573,0)+4),"TC-RS-CALC-010 / fixed-zero")</f>
        <v/>
      </c>
      <c r="B1502" s="18" t="inlineStr">
        <is>
          <t>Điều kiện / thao tác</t>
        </is>
      </c>
      <c r="C1502"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03" ht="299" customHeight="1">
      <c r="A1503" s="24">
        <f>HYPERLINK("#'Kiểm thử'!A"&amp;(MATCH("TC-RS-CALC-011 / resolution",'Kiểm thử'!$A$5:$A$573,0)+4),"TC-RS-CALC-011 / resolution")</f>
        <v/>
      </c>
      <c r="B1503" s="18" t="inlineStr">
        <is>
          <t>Điều kiện / thao tác</t>
        </is>
      </c>
      <c r="C1503" s="18" t="inlineStr">
        <is>
          <t>Cấu hình: mục điểm đơn vị (đơn vị U1 có M riêng 40): mặc định 100; U1 riêng 40; lựa chọn lớp ghi đè 50 áp dụng cho G-A. Tỷ lệ 30%,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S01 (G-A) U1=14; S06 (G-B) U1=14, U2=29
Lượt đầu theo các M hợp lệ
Thao tác: 1. Đăng ký các điểm, xem kết quả.
2. Tạo thêm một định nghĩa lựa chọn M=20 ở Thiết lập điểm tối đa（満点設定） nhưng không gán cho G-B; đăng ký lại S06 U1.
3. Chuẩn bị G-B sao cho điểm cao nhất thực tế của U2 là 80 và nhóm tổng hợp chứa lớp có M khác (tổng điểm tối đa nhóm khác 100); đăng ký lại S06 U2 = 29.
Khôi phục: Trước mỗi biến thể, dựng lại điều kiện/dữ liệu đầu của case bằng đường được phép; gi</t>
        </is>
      </c>
    </row>
    <row r="1504" ht="180" customHeight="1">
      <c r="A1504" s="24">
        <f>HYPERLINK("#'Kiểm thử'!A"&amp;(MATCH("TC-RS-CALC-011 / resolution",'Kiểm thử'!$A$5:$A$573,0)+4),"TC-RS-CALC-011 / resolution")</f>
        <v/>
      </c>
      <c r="B1504" s="18" t="inlineStr">
        <is>
          <t>Điều kiện / thao tác</t>
        </is>
      </c>
      <c r="C1504"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05" ht="129" customHeight="1">
      <c r="A1505" s="24">
        <f>HYPERLINK("#'Kiểm thử'!A"&amp;(MATCH("TC-RS-CALC-011 / resolution",'Kiểm thử'!$A$5:$A$573,0)+4),"TC-RS-CALC-011 / resolution")</f>
        <v/>
      </c>
      <c r="B1505" s="18" t="inlineStr">
        <is>
          <t>Kết quả mong đợi</t>
        </is>
      </c>
      <c r="C1505" s="18" t="inlineStr">
        <is>
          <t>1. S01 U1: `M=50`, `T=15` → Đỏ. S06 U1: `M=40`, `T=12` → Không đỏ. S06 U2: `M=100`, `T=30` → Đỏ.
2. S06 U1 vẫn dùng `M=40` → Không đỏ.
3. S06 U2 vẫn dùng `M=100`, `T=30` → Đỏ; không dùng điểm cao nhất thực tế (80 → `T=24`, Không đỏ — sai) hay tổng điểm tối đa nhóm.
Bảo toàn: Giữ điểm, cấu hình và đối tượng không đích theo expected; chỉ thay phần thủ tục yêu cầu, không tự đổi oracle hoặc mở rộng phạm vi.</t>
        </is>
      </c>
    </row>
    <row r="1506" ht="299" customHeight="1">
      <c r="A1506" s="24">
        <f>HYPERLINK("#'Kiểm thử'!A"&amp;(MATCH("TC-RS-CALC-011 / unassigned",'Kiểm thử'!$A$5:$A$573,0)+4),"TC-RS-CALC-011 / unassigned")</f>
        <v/>
      </c>
      <c r="B1506" s="18" t="inlineStr">
        <is>
          <t>Điều kiện / thao tác</t>
        </is>
      </c>
      <c r="C1506" s="18" t="inlineStr">
        <is>
          <t>Cấu hình: mục điểm đơn vị (đơn vị U1 có M riêng 40): mặc định 100; U1 riêng 40; lựa chọn lớp ghi đè 50 áp dụng cho G-A. Tỷ lệ 30%,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S01 (G-A) U1=14; S06 (G-B) U1=14, U2=29
Không chọn định nghĩa
Thao tác: 1. Đăng ký các điểm, xem kết quả.
2. Tạo thêm một định nghĩa lựa chọn M=20 ở Thiết lập điểm tối đa（満点設定） nhưng không gán cho G-B; đăng ký lại S06 U1.
3. Chuẩn bị G-B sao cho điểm cao nhất thực tế của U2 là 80 và nhóm tổng hợp chứa lớp có M khác (tổng điểm tối đa nhóm khác 100); đăng ký lại S06 U2 = 29.
Khôi phục: Trước mỗi biến thể, dựng lại điều kiện/dữ liệu đầu của case bằng đường được phép; gi</t>
        </is>
      </c>
    </row>
    <row r="1507" ht="180" customHeight="1">
      <c r="A1507" s="24">
        <f>HYPERLINK("#'Kiểm thử'!A"&amp;(MATCH("TC-RS-CALC-011 / unassigned",'Kiểm thử'!$A$5:$A$573,0)+4),"TC-RS-CALC-011 / unassigned")</f>
        <v/>
      </c>
      <c r="B1507" s="18" t="inlineStr">
        <is>
          <t>Điều kiện / thao tác</t>
        </is>
      </c>
      <c r="C1507"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08" ht="129" customHeight="1">
      <c r="A1508" s="24">
        <f>HYPERLINK("#'Kiểm thử'!A"&amp;(MATCH("TC-RS-CALC-011 / unassigned",'Kiểm thử'!$A$5:$A$573,0)+4),"TC-RS-CALC-011 / unassigned")</f>
        <v/>
      </c>
      <c r="B1508" s="18" t="inlineStr">
        <is>
          <t>Kết quả mong đợi</t>
        </is>
      </c>
      <c r="C1508" s="18" t="inlineStr">
        <is>
          <t>1. S01 U1: `M=50`, `T=15` → Đỏ. S06 U1: `M=40`, `T=12` → Không đỏ. S06 U2: `M=100`, `T=30` → Đỏ.
2. S06 U1 vẫn dùng `M=40` → Không đỏ.
3. S06 U2 vẫn dùng `M=100`, `T=30` → Đỏ; không dùng điểm cao nhất thực tế (80 → `T=24`, Không đỏ — sai) hay tổng điểm tối đa nhóm.
Bảo toàn: Giữ điểm, cấu hình và đối tượng không đích theo expected; chỉ thay phần thủ tục yêu cầu, không tự đổi oracle hoặc mở rộng phạm vi.</t>
        </is>
      </c>
    </row>
    <row r="1509" ht="299" customHeight="1">
      <c r="A1509" s="24">
        <f>HYPERLINK("#'Kiểm thử'!A"&amp;(MATCH("TC-RS-CALC-011 / actual80",'Kiểm thử'!$A$5:$A$573,0)+4),"TC-RS-CALC-011 / actual80")</f>
        <v/>
      </c>
      <c r="B1509" s="18" t="inlineStr">
        <is>
          <t>Điều kiện / thao tác</t>
        </is>
      </c>
      <c r="C1509" s="18" t="inlineStr">
        <is>
          <t>Cấu hình: mục điểm đơn vị (đơn vị U1 có M riêng 40): mặc định 100; U1 riêng 40; lựa chọn lớp ghi đè 50 áp dụng cho G-A. Tỷ lệ 30%, `&lt;`.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điểm đơn vị (đơn vị U1 có M riêng 40); S01 (G-A) U1=14; S06 (G-B) U1=14, U2=29
Bước 3, điểm học sinh cao nhất thực tế là 80 nhưng M vẫn 100; không đổi M thành 80
Thao tác: 1. Đăng ký các điểm, xem kết quả.
2. Tạo thêm một định nghĩa lựa chọn M=20 ở Thiết lập điểm tối đa（満点設定） nhưng không gán cho G-B; đăng ký lại S06 U1.
3. Chuẩn bị G-B sao cho điểm cao nhất thực tế của U2 là 80 và nhóm tổng hợp chứa lớp có M khác (tổng điểm tối đa nhóm khác 100); đăng ký lại S06 U2 = 29.
Khôi phục: Trước mỗi biến thể, dựng lại điều kiện/dữ liệu đầu của case bằng đường được phép; gi</t>
        </is>
      </c>
    </row>
    <row r="1510" ht="180" customHeight="1">
      <c r="A1510" s="24">
        <f>HYPERLINK("#'Kiểm thử'!A"&amp;(MATCH("TC-RS-CALC-011 / actual80",'Kiểm thử'!$A$5:$A$573,0)+4),"TC-RS-CALC-011 / actual80")</f>
        <v/>
      </c>
      <c r="B1510" s="18" t="inlineStr">
        <is>
          <t>Điều kiện / thao tác</t>
        </is>
      </c>
      <c r="C1510"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11" ht="129" customHeight="1">
      <c r="A1511" s="24">
        <f>HYPERLINK("#'Kiểm thử'!A"&amp;(MATCH("TC-RS-CALC-011 / actual80",'Kiểm thử'!$A$5:$A$573,0)+4),"TC-RS-CALC-011 / actual80")</f>
        <v/>
      </c>
      <c r="B1511" s="18" t="inlineStr">
        <is>
          <t>Kết quả mong đợi</t>
        </is>
      </c>
      <c r="C1511" s="18" t="inlineStr">
        <is>
          <t>1. S01 U1: `M=50`, `T=15` → Đỏ. S06 U1: `M=40`, `T=12` → Không đỏ. S06 U2: `M=100`, `T=30` → Đỏ.
2. S06 U1 vẫn dùng `M=40` → Không đỏ.
3. S06 U2 vẫn dùng `M=100`, `T=30` → Đỏ; không dùng điểm cao nhất thực tế (80 → `T=24`, Không đỏ — sai) hay tổng điểm tối đa nhóm.
Bảo toàn: Giữ điểm, cấu hình và đối tượng không đích theo expected; chỉ thay phần thủ tục yêu cầu, không tự đổi oracle hoặc mở rộng phạm vi.</t>
        </is>
      </c>
    </row>
    <row r="1512" ht="299" customHeight="1">
      <c r="A1512" s="24">
        <f>HYPERLINK("#'Kiểm thử'!A"&amp;(MATCH("TC-RS-CALC-012 / Base",'Kiểm thử'!$A$5:$A$573,0)+4),"TC-RS-CALC-012 / Base")</f>
        <v/>
      </c>
      <c r="B1512" s="18" t="inlineStr">
        <is>
          <t>Điều kiện / thao tác</t>
        </is>
      </c>
      <c r="C1512" s="18" t="inlineStr">
        <is>
          <t xml:space="preserve">Cấu hình: Có bản chốt (dummy) tạo khi M=100. Sau đó M hiện hành của mục số nguyên (M=100) đổi thành 50.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tỷ lệ 30%; S = 20; bản tổng hợp đã chốt (trung bình 49.99)
Toàn bộ thủ tục theo đúng thứ tự; các đối chứng cùng fixture được kiểm trong cùng lượt, không bỏ bước
Thao tác: Đăng ký S=20, xem 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513" ht="146" customHeight="1">
      <c r="A1513" s="24">
        <f>HYPERLINK("#'Kiểm thử'!A"&amp;(MATCH("TC-RS-CALC-012 / Base",'Kiểm thử'!$A$5:$A$573,0)+4),"TC-RS-CALC-012 / Base")</f>
        <v/>
      </c>
      <c r="B1513" s="18" t="inlineStr">
        <is>
          <t>Điều kiện / thao tác</t>
        </is>
      </c>
      <c r="C151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14" ht="299" customHeight="1">
      <c r="A1514" s="24">
        <f>HYPERLINK("#'Kiểm thử'!A"&amp;(MATCH("TC-RS-UI-014 / Base",'Kiểm thử'!$A$5:$A$573,0)+4),"TC-RS-UI-014 / Base")</f>
        <v/>
      </c>
      <c r="B1514" s="18" t="inlineStr">
        <is>
          <t>Điều kiện / thao tác</t>
        </is>
      </c>
      <c r="C1514" s="18" t="inlineStr">
        <is>
          <t>Cấu hình: Mở ngưỡng, chọn Tỷ lệ điểm tối đa（得点率）.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Toàn bộ thủ tục theo đúng thứ tự; các đối chứng cùng fixture được kiểm trong cùng lượt, không bỏ bước
Thao tác: 1. Xem màn.
2. Chọn Có（する） ở Xử lý phần lẻ.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515" ht="129" customHeight="1">
      <c r="A1515" s="24">
        <f>HYPERLINK("#'Kiểm thử'!A"&amp;(MATCH("TC-RS-UI-014 / Base",'Kiểm thử'!$A$5:$A$573,0)+4),"TC-RS-UI-014 / Base")</f>
        <v/>
      </c>
      <c r="B1515" s="18" t="inlineStr">
        <is>
          <t>Điều kiện / thao tác</t>
        </is>
      </c>
      <c r="C1515" s="18" t="inlineStr">
        <is>
          <t>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16" ht="129" customHeight="1">
      <c r="A1516" s="24">
        <f>HYPERLINK("#'Kiểm thử'!A"&amp;(MATCH("TC-RS-UI-014 / Base",'Kiểm thử'!$A$5:$A$573,0)+4),"TC-RS-UI-014 / Base")</f>
        <v/>
      </c>
      <c r="B1516" s="18" t="inlineStr">
        <is>
          <t>Kết quả mong đợi</t>
        </is>
      </c>
      <c r="C1516" s="18" t="inlineStr">
        <is>
          <t>Không có khối nguồn trung bình (đặc tả v2 mục 5.6 “Khi nào không cần nguồn?”); Xử lý phần lẻ có Không（しない）/Có（する）, mặc định Không; khi Có thì hiện ô vị trí chữ số và phương thức.
Mô tả M theo Figma (PROPOSED): câu chung 「対象の授業・時期・単元に適用される満点を使用」 (dùng điểm tối đa áp dụng cho lớp/kỳ/đơn vị).
Bảo toàn: Giữ điểm, cấu hình và đối tượng không đích theo expected; chỉ thay phần thủ tục yêu cầu, không tự đổi oracle hoặc mở rộng phạm vi.</t>
        </is>
      </c>
    </row>
    <row r="1517" ht="299" customHeight="1">
      <c r="A1517" s="24">
        <f>HYPERLINK("#'Kiểm thử'!A"&amp;(MATCH("TC-RS-DATA-002 / Base",'Kiểm thử'!$A$5:$A$573,0)+4),"TC-RS-DATA-002 / Base")</f>
        <v/>
      </c>
      <c r="B1517" s="18" t="inlineStr">
        <is>
          <t>Điều kiện / thao tác</t>
        </is>
      </c>
      <c r="C1517" s="18" t="inlineStr">
        <is>
          <t>Cấu hình: Đã xét S01 (mục số nguyên (M=100)) và S06 U1/U2 (mục điểm đơn vị (đơn vị U1 có M riêng 40)).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học sinh S01 (điểm 29), mục điểm đơn vị (đơn vị U1 có M riêng 40); quy tắc “Cố định 30” (dưới 30) (bước 4)
Toàn bộ thủ tục theo đúng thứ tự; các đối chứng cùng fixture được kiểm trong cùng lượt, không bỏ bước
Thao tác: 1. SELECT `red_score_results` theo `school_id`, `year`, `evaluate_frame_item_id`, `group_id`, `student_id`, `tangen_id` của các ô.
2. Chạy lại nút cam, SELECT lại.
3. `SHOW INDEX FROM red_score_results`.</t>
        </is>
      </c>
    </row>
    <row r="1518" ht="282" customHeight="1">
      <c r="A1518" s="24">
        <f>HYPERLINK("#'Kiểm thử'!A"&amp;(MATCH("TC-RS-DATA-002 / Base",'Kiểm thử'!$A$5:$A$573,0)+4),"TC-RS-DATA-002 / Base")</f>
        <v/>
      </c>
      <c r="B1518" s="18" t="inlineStr">
        <is>
          <t>Điều kiện / thao tác</t>
        </is>
      </c>
      <c r="C1518" s="18" t="inlineStr">
        <is>
          <t xml:space="preserve">
4. Chuẩn bị hai mục cùng tên Điểm đánh giá（評点） ở hai kỳ khác nhau; chỉ mục kỳ 1 có quy tắc “Cố định 30” (dưới 30). Đăng ký S01 = 25 ở cả hai mục, xem đầu ra và SELECT.
5. Đổi tên mục kỳ 1 và đổi thứ tự cột mục trên khung đánh giá (nếu màn hỗ trợ); xem đầu ra và SELECT lại, chưa chạy xét.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19" ht="163" customHeight="1">
      <c r="A1519" s="24">
        <f>HYPERLINK("#'Kiểm thử'!A"&amp;(MATCH("TC-RS-DATA-002 / Base",'Kiểm thử'!$A$5:$A$573,0)+4),"TC-RS-DATA-002 / Base")</f>
        <v/>
      </c>
      <c r="B1519" s="18" t="inlineStr">
        <is>
          <t>Kết quả mong đợi</t>
        </is>
      </c>
      <c r="C1519" s="18" t="inlineStr">
        <is>
          <t>1–3. Mỗi ô (trường, năm, mục trên khung đánh giá — gồm kỳ/thời điểm, lớp, học sinh, đơn vị) có đúng một dòng hiện hành; U1/U2 của S06 là hai dòng; ô điểm thường có `tangen_id=0`. Chạy lại không tạo dòng thứ hai.
4. Ô kỳ 1 Đỏ; ô kỳ 2 không có dấu đỏ (không mượn quy tắc hay kết quả của mục cùng tên); hai kết quả gắn đúng `evaluate_frame_item_id` của từng mục.
5. Kết quả Đỏ vẫn gắn với đúng mục kỳ 1 (không theo số thứ tự cột hay tên mục).
Bảo toàn: Giữ điểm, cấu hình và đối tượng không đích theo expected; chỉ thay phần thủ tục yêu cầu, không tự đổi oracle hoặc mở rộng phạm vi.</t>
        </is>
      </c>
    </row>
    <row r="1520" ht="299" customHeight="1">
      <c r="A1520" s="24">
        <f>HYPERLINK("#'Kiểm thử'!A"&amp;(MATCH("TC-RS-DATA-003 / Base",'Kiểm thử'!$A$5:$A$573,0)+4),"TC-RS-DATA-003 / Base")</f>
        <v/>
      </c>
      <c r="B1520" s="18" t="inlineStr">
        <is>
          <t>Điều kiện / thao tác</t>
        </is>
      </c>
      <c r="C1520" s="18" t="inlineStr">
        <is>
          <t>Cấu hình: Có ô ở mỗi trạng thái: Đỏ (S01), Không đỏ (S03), Chưa từng xét (ô mới chưa chạy), Chưa xét được (case “Chưa có kết quả tổng hợp → Chưa xét được, không thay bằng 0 hay nhóm khác”), Không áp dụng (case “Không quy tắc nào khớp khi đủ dữ liệu → Không áp dụng”), Không có điểm (S05).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học sinh S01 (điểm 29), học sinh S03 (điểm 31), học sinh S05 (ô trống)
Toàn bộ thủ tục theo đúng thứ tự; các đối chứng cùng fixture được kiểm trong cùng lượt, không bỏ bước
Thao tác: 1. SELECT `judgment_status`, `is_red`, `red_score_setting_id`, `reason_code` của các ô.</t>
        </is>
      </c>
    </row>
    <row r="1521" ht="231" customHeight="1">
      <c r="A1521" s="24">
        <f>HYPERLINK("#'Kiểm thử'!A"&amp;(MATCH("TC-RS-DATA-003 / Base",'Kiểm thử'!$A$5:$A$573,0)+4),"TC-RS-DATA-003 / Base")</f>
        <v/>
      </c>
      <c r="B1521" s="18" t="inlineStr">
        <is>
          <t>Điều kiện / thao tác</t>
        </is>
      </c>
      <c r="C1521" s="18" t="inlineStr">
        <is>
          <t xml:space="preserve">
2. Đổi ngưỡng quy tắc “Cố định 30” (dưới 30) thành 35 (chỉ lưu), SELECT lại ô S03.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22" ht="129" customHeight="1">
      <c r="A1522" s="24">
        <f>HYPERLINK("#'Kiểm thử'!A"&amp;(MATCH("TC-RS-DATA-003 / Base",'Kiểm thử'!$A$5:$A$573,0)+4),"TC-RS-DATA-003 / Base")</f>
        <v/>
      </c>
      <c r="B1522" s="18" t="inlineStr">
        <is>
          <t>Kết quả mong đợi</t>
        </is>
      </c>
      <c r="C1522" s="18" t="inlineStr">
        <is>
          <t>1. Sáu trạng thái phân biệt được, không gộp Chưa xét được với Không áp dụng hay Không đỏ. Việc dùng cột, mã số, `reason_code` hoặc `red_score_setting_id` cụ thể là phần thiết kế DB cần đối chiếu khi schema được chốt; không dùng mapping đề xuất làm business oracle. Bất kể cách lưu, kết quả quan sát phải phân biệt rõ sáu trạng thái và trạng thái Đang chờ chạy lại.
2. Dòng của S03 giữ nguyên (đang chờ chạy lại không có trạng thái riêng).
Bảo toàn: Giữ điểm, cấu hình và đối tượng không đích theo expected; chỉ thay phần thủ tục yêu cầu, không tự đổi oracle hoặc mở rộng phạm vi.</t>
        </is>
      </c>
    </row>
    <row r="1523" ht="299" customHeight="1">
      <c r="A1523" s="24">
        <f>HYPERLINK("#'Kiểm thử'!A"&amp;(MATCH("TC-RS-DATA-005 / Base",'Kiểm thử'!$A$5:$A$573,0)+4),"TC-RS-DATA-005 / Base")</f>
        <v/>
      </c>
      <c r="B1523" s="18" t="inlineStr">
        <is>
          <t>Điều kiện / thao tác</t>
        </is>
      </c>
      <c r="C1523" s="18" t="inlineStr">
        <is>
          <t>Cấu hình: học sinh S01–S09 có điểm. quy tắc công thức hai dòng (trung bình ÷ 2 × 0.8) (có làm tròn).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công thức hai dòng (trung bình ÷ 2 × 0.8); học sinh S01–S09
Toàn bộ thủ tục theo đúng thứ tự; các đối chứng cùng fixture được kiểm trong cùng lượt, không bỏ bước
Thao tác: 1. SELECT điểm trước.
2. Chạy nút cam.
3. SELECT điểm sau.
Khôi phục: Trước mỗi biến thể, dựng lại điều kiện/dữ liệu đầu của case bằng đường được phép; giữ các reset/fixture độc lập đã nêu trong thủ tục.</t>
        </is>
      </c>
    </row>
    <row r="1524" ht="180" customHeight="1">
      <c r="A1524" s="24">
        <f>HYPERLINK("#'Kiểm thử'!A"&amp;(MATCH("TC-RS-DATA-005 / Base",'Kiểm thử'!$A$5:$A$573,0)+4),"TC-RS-DATA-005 / Base")</f>
        <v/>
      </c>
      <c r="B1524" s="18" t="inlineStr">
        <is>
          <t>Điều kiện / thao tác</t>
        </is>
      </c>
      <c r="C1524"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25" ht="44" customHeight="1">
      <c r="A1525" s="24">
        <f>HYPERLINK("#'Kiểm thử'!A"&amp;(MATCH("TC-RS-DATA-007 / extract",'Kiểm thử'!$A$5:$A$573,0)+4),"TC-RS-DATA-007 / extract")</f>
        <v/>
      </c>
      <c r="B1525" s="18" t="inlineStr">
        <is>
          <t>Màn hình / chức năng</t>
        </is>
      </c>
      <c r="C1525" s="18" t="inlineStr">
        <is>
          <t>Dữ liệu và dữ liệu đỏ cũ — Bảo toàn dữ liệu và cấu hình
Cấu hình trình bày ở từng đầu ra lưu riêng, không làm đổi quy tắc/kết quả</t>
        </is>
      </c>
    </row>
    <row r="1526" ht="299" customHeight="1">
      <c r="A1526" s="24">
        <f>HYPERLINK("#'Kiểm thử'!A"&amp;(MATCH("TC-RS-DATA-007 / extract",'Kiểm thử'!$A$5:$A$573,0)+4),"TC-RS-DATA-007 / extract")</f>
        <v/>
      </c>
      <c r="B1526" s="18" t="inlineStr">
        <is>
          <t>Điều kiện / thao tác</t>
        </is>
      </c>
      <c r="C1526" s="18" t="inlineStr">
        <is>
          <t xml:space="preserve">Cấu hình: cấu hình trích xuất: lọc, ký hiệu “*” phía trước, tô màu, cấu hình công khai: “*” phía trước, cấu hình phiếu điểm: ký tự “※” phía trước.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Cấu hình trích xuất
Thao tác: 1. Đổi từng cấu hình đầu ra, lưu.
2. Kiểm quy tắc và kết quả xét.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527" ht="146" customHeight="1">
      <c r="A1527" s="24">
        <f>HYPERLINK("#'Kiểm thử'!A"&amp;(MATCH("TC-RS-DATA-007 / extract",'Kiểm thử'!$A$5:$A$573,0)+4),"TC-RS-DATA-007 / extract")</f>
        <v/>
      </c>
      <c r="B1527" s="18" t="inlineStr">
        <is>
          <t>Điều kiện / thao tác</t>
        </is>
      </c>
      <c r="C1527"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28" ht="44" customHeight="1">
      <c r="A1528" s="24">
        <f>HYPERLINK("#'Kiểm thử'!A"&amp;(MATCH("TC-RS-DATA-007 / publish",'Kiểm thử'!$A$5:$A$573,0)+4),"TC-RS-DATA-007 / publish")</f>
        <v/>
      </c>
      <c r="B1528" s="18" t="inlineStr">
        <is>
          <t>Màn hình / chức năng</t>
        </is>
      </c>
      <c r="C1528" s="18" t="inlineStr">
        <is>
          <t>Dữ liệu và dữ liệu đỏ cũ — Bảo toàn dữ liệu và cấu hình
Cấu hình trình bày ở từng đầu ra lưu riêng, không làm đổi quy tắc/kết quả</t>
        </is>
      </c>
    </row>
    <row r="1529" ht="299" customHeight="1">
      <c r="A1529" s="24">
        <f>HYPERLINK("#'Kiểm thử'!A"&amp;(MATCH("TC-RS-DATA-007 / publish",'Kiểm thử'!$A$5:$A$573,0)+4),"TC-RS-DATA-007 / publish")</f>
        <v/>
      </c>
      <c r="B1529" s="18" t="inlineStr">
        <is>
          <t>Điều kiện / thao tác</t>
        </is>
      </c>
      <c r="C1529" s="18" t="inlineStr">
        <is>
          <t xml:space="preserve">Cấu hình: cấu hình trích xuất: lọc, ký hiệu “*” phía trước, tô màu, cấu hình công khai: “*” phía trước, cấu hình phiếu điểm: ký tự “※” phía trước.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Cấu hình công khai
Thao tác: 1. Đổi từng cấu hình đầu ra, lưu.
2. Kiểm quy tắc và kết quả xét.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530" ht="146" customHeight="1">
      <c r="A1530" s="24">
        <f>HYPERLINK("#'Kiểm thử'!A"&amp;(MATCH("TC-RS-DATA-007 / publish",'Kiểm thử'!$A$5:$A$573,0)+4),"TC-RS-DATA-007 / publish")</f>
        <v/>
      </c>
      <c r="B1530" s="18" t="inlineStr">
        <is>
          <t>Điều kiện / thao tác</t>
        </is>
      </c>
      <c r="C1530"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31" ht="44" customHeight="1">
      <c r="A1531" s="24">
        <f>HYPERLINK("#'Kiểm thử'!A"&amp;(MATCH("TC-RS-DATA-007 / report",'Kiểm thử'!$A$5:$A$573,0)+4),"TC-RS-DATA-007 / report")</f>
        <v/>
      </c>
      <c r="B1531" s="18" t="inlineStr">
        <is>
          <t>Màn hình / chức năng</t>
        </is>
      </c>
      <c r="C1531" s="18" t="inlineStr">
        <is>
          <t>Dữ liệu và dữ liệu đỏ cũ — Bảo toàn dữ liệu và cấu hình
Cấu hình trình bày ở từng đầu ra lưu riêng, không làm đổi quy tắc/kết quả</t>
        </is>
      </c>
    </row>
    <row r="1532" ht="299" customHeight="1">
      <c r="A1532" s="24">
        <f>HYPERLINK("#'Kiểm thử'!A"&amp;(MATCH("TC-RS-DATA-007 / report",'Kiểm thử'!$A$5:$A$573,0)+4),"TC-RS-DATA-007 / report")</f>
        <v/>
      </c>
      <c r="B1532" s="18" t="inlineStr">
        <is>
          <t>Điều kiện / thao tác</t>
        </is>
      </c>
      <c r="C1532" s="18" t="inlineStr">
        <is>
          <t xml:space="preserve">Cấu hình: cấu hình trích xuất: lọc, ký hiệu “*” phía trước, tô màu, cấu hình công khai: “*” phía trước, cấu hình phiếu điểm: ký tự “※” phía trước.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cấu hình trích xuất: lọc, ký hiệu “*” phía trước, tô màu, cấu hình công khai: “*” phía trước, cấu hình phiếu điểm: ký tự “※” phía trước
Cấu hình phiếu điểm
Thao tác: 1. Đổi từng cấu hình đầu ra, lưu.
2. Kiểm quy tắc và kết quả xét.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533" ht="146" customHeight="1">
      <c r="A1533" s="24">
        <f>HYPERLINK("#'Kiểm thử'!A"&amp;(MATCH("TC-RS-DATA-007 / report",'Kiểm thử'!$A$5:$A$573,0)+4),"TC-RS-DATA-007 / report")</f>
        <v/>
      </c>
      <c r="B1533" s="18" t="inlineStr">
        <is>
          <t>Điều kiện / thao tác</t>
        </is>
      </c>
      <c r="C153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34" ht="299" customHeight="1">
      <c r="A1534" s="24">
        <f>HYPERLINK("#'Kiểm thử'!A"&amp;(MATCH("TC-RS-DATA-008 / Base",'Kiểm thử'!$A$5:$A$573,0)+4),"TC-RS-DATA-008 / Base")</f>
        <v/>
      </c>
      <c r="B1534" s="18" t="inlineStr">
        <is>
          <t>Điều kiện / thao tác</t>
        </is>
      </c>
      <c r="C1534" s="18" t="inlineStr">
        <is>
          <t>Cấu hình: Có ô Đỏ, ô Chưa xét được, ô Không áp dụng và (nếu tạo được) một ô chưa từng xét đã có dòng điều khiển; một ô dùng quy tắc Tỷ lệ (quy tắc tỷ lệ 30%); một ô dùng quy tắc có nguồn trung bình (quy tắc công thức hai dòng (trung bình ÷ 2 × 0.8)).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quy tắc tỷ lệ 30%; quy tắc công thức hai dòng (trung bình ÷ 2 × 0.8)
Toàn bộ thủ tục theo đúng thứ tự; các đối chứng cùng fixture được kiểm trong cùng lượt, không bỏ bước
Thao tác: 1. SELECT `red_score_setting_id`, `reason_code`, `judgment_context`, `judged_at` của ô Đỏ (S01), ô Chưa xét được, ô Không áp dụng, ô chưa từng xét, ô Tỷ lệ và ô có nguồn.
2. Làm ô S01 chuyển từ Đỏ sang Không áp dụng (như case “Xóa quy tắc cuối: giữ kết quả tới lần c</t>
        </is>
      </c>
    </row>
    <row r="1535" ht="214" customHeight="1">
      <c r="A1535" s="24">
        <f>HYPERLINK("#'Kiểm thử'!A"&amp;(MATCH("TC-RS-DATA-008 / Base",'Kiểm thử'!$A$5:$A$573,0)+4),"TC-RS-DATA-008 / Base")</f>
        <v/>
      </c>
      <c r="B1535" s="18" t="inlineStr">
        <is>
          <t>Điều kiện / thao tác</t>
        </is>
      </c>
      <c r="C1535" s="18" t="inlineStr">
        <is>
          <t>hạy lại; chạy lại → Không áp dụng”), SELECT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36" ht="214" customHeight="1">
      <c r="A1536" s="24">
        <f>HYPERLINK("#'Kiểm thử'!A"&amp;(MATCH("TC-RS-DATA-008 / Base",'Kiểm thử'!$A$5:$A$573,0)+4),"TC-RS-DATA-008 / Base")</f>
        <v/>
      </c>
      <c r="B1536" s="18" t="inlineStr">
        <is>
          <t>Kết quả mong đợi</t>
        </is>
      </c>
      <c r="C1536" s="18" t="inlineStr">
        <is>
          <t>1. Ô Đỏ: có quy tắc được chọn; `judgment_context` có `score`="29", `threshold` dạng tử/mẫu (30/1), `compare_type`=1, `sources` rỗng với quy tắc cố định. Ô Chưa xét được: có `reason_code` (ví dụ `source_missing`). `judged_at` có giá trị cho cả ô Chưa xét được và Không áp dụng; NULL ở ô chưa từng xét. Ô có điểm hợp lệ: `judgment_context` có `grade_id` (ID dòng điểm nguồn). Ô Tỷ lệ: `judgment_context` có `maximum`. Ô có nguồn: `sources[]` có `usage`, `kind`, `reference`, `population_key`; với nhóm môn học（科目グループ） có thêm `resolved_population_type`/`resolved_population_ref_id` nhưng vẫn giữ loại/ID đã chọn. Không có tên học sinh, thông tin liên hệ hay câu lỗi SQL.
2. Sau khi chuyển sang Không áp dụng: không còn giữ ngưỡng, dấu so sánh hay nguồn của lần Đỏ trước.
Bảo toàn: Giữ điểm, cấu hình và đối tượng không đích theo expected; chỉ thay phần thủ tục yêu cầu, không tự đổi oracle hoặc mở rộng phạm vi.</t>
        </is>
      </c>
    </row>
    <row r="1537" ht="299" customHeight="1">
      <c r="A1537" s="24">
        <f>HYPERLINK("#'Kiểm thử'!A"&amp;(MATCH("TC-RS-DATA-011 / Base",'Kiểm thử'!$A$5:$A$573,0)+4),"TC-RS-DATA-011 / Base")</f>
        <v/>
      </c>
      <c r="B1537" s="18" t="inlineStr">
        <is>
          <t>Điều kiện / thao tác</t>
        </is>
      </c>
      <c r="C1537" s="18" t="inlineStr">
        <is>
          <t>Cấu hình: Build có migration của tính năng.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quyền đọc DB local (chỉ SELECT/SHOW)
Toàn bộ thủ tục theo đúng thứ tự; các đối chứng cùng fixture được kiểm trong cùng lượt, không bỏ bước
Thao tác: 1. `SHOW CREATE TABLE` và `SHOW FULL COLUMNS` cho `red_score_settings`, `red_score_results`.
2. `SHOW CREATE TABLE` cho `grade_publish_conf_grade_items` và `grade_evaluate_frame_items`; so với bản trước migration (hoặc DDL gốc trong source).
Khôi phục: Trước mỗi biến thể, dựng lại điều kiện/dữ liệu đầu của case bằng đường được phép; giữ các reset/fixture độc lập đã nêu trong thủ tục.</t>
        </is>
      </c>
    </row>
    <row r="1538" ht="180" customHeight="1">
      <c r="A1538" s="24">
        <f>HYPERLINK("#'Kiểm thử'!A"&amp;(MATCH("TC-RS-DATA-011 / Base",'Kiểm thử'!$A$5:$A$573,0)+4),"TC-RS-DATA-011 / Base")</f>
        <v/>
      </c>
      <c r="B1538" s="18" t="inlineStr">
        <is>
          <t>Điều kiện / thao tác</t>
        </is>
      </c>
      <c r="C1538"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39" ht="248" customHeight="1">
      <c r="A1539" s="24">
        <f>HYPERLINK("#'Kiểm thử'!A"&amp;(MATCH("TC-RS-DATA-011 / Base",'Kiểm thử'!$A$5:$A$573,0)+4),"TC-RS-DATA-011 / Base")</f>
        <v/>
      </c>
      <c r="B1539" s="18" t="inlineStr">
        <is>
          <t>Kết quả mong đợi</t>
        </is>
      </c>
      <c r="C1539" s="18" t="inlineStr">
        <is>
          <t>1. Có phạm vi trường/năm, cột audit và comment theo quy tắc schema hiện hành. Đối chiếu thêm với thiết kế (PROPOSED): InnoDB, `utf8mb4`/`utf8mb4_general_ci`, không khai báo foreign key, có `idx_red_score_settings_01`, `uk_red_score_results_01`, `idx_red_score_results_01`, `setting_status` mặc định 0 và phân biệt rõ trạng thái 0/1/2; `red_score_results` có thêm `cell_generation`, `write_version` (mặc định 0), `judged_version`, `rule_revision` (cho phép NULL); bảng/cột cũ (`red_score`, `changed_red_score`) không đổi.
2. (PROPOSED) Chỉ thêm `red_score_display_type TINYINT UNSIGNED NOT NULL DEFAULT 0` vào `grade_publish_conf_grade_items` và `red_score_revision BIGINT UNSIGNED NOT NULL DEFAULT 0` vào `grade_evaluate_frame_items`; không đổi kiểu/khóa/collation của cột có sẵn, không thêm index hay foreign key. Thiết lập đỏ của Trích xuất thành tích（成績抽出） và Công cụ phiếu điểm（通知表ツール） không có cột/bảng mới (dùng JSON `grade_extract_conf.extract_setting` và phần lưu bảng/điều kiện phiếu điểm hiện có).
Bảo toàn: Giữ điểm, cấu hình và đối tượng không đích theo expected; chỉ thay phần thủ tục yêu cầu, không tự đổi oracle hoặc mở rộng phạm vi.</t>
        </is>
      </c>
    </row>
    <row r="1540" ht="44" customHeight="1">
      <c r="A1540" s="24">
        <f>HYPERLINK("#'Kiểm thử'!A"&amp;(MATCH("TC-RS-DATA-012 / read-copy",'Kiểm thử'!$A$5:$A$573,0)+4),"TC-RS-DATA-012 / read-copy")</f>
        <v/>
      </c>
      <c r="B1540" s="18" t="inlineStr">
        <is>
          <t>Màn hình / chức năng</t>
        </is>
      </c>
      <c r="C1540" s="18" t="inlineStr">
        <is>
          <t>Dữ liệu và dữ liệu đỏ cũ — Bảo toàn dữ liệu và cấu hình
Lưu, đọc lại và sao chép hiệu ứng đỏ theo dòng mục của cấu hình công khai</t>
        </is>
      </c>
    </row>
    <row r="1541" ht="299" customHeight="1">
      <c r="A1541" s="24">
        <f>HYPERLINK("#'Kiểm thử'!A"&amp;(MATCH("TC-RS-DATA-012 / read-copy",'Kiểm thử'!$A$5:$A$573,0)+4),"TC-RS-DATA-012 / read-copy")</f>
        <v/>
      </c>
      <c r="B1541" s="18" t="inlineStr">
        <is>
          <t>Điều kiện / thao tác</t>
        </is>
      </c>
      <c r="C1541" s="18" t="inlineStr">
        <is>
          <t>Cấu hình: Build có migration thêm `red_score_display_type`; cấu hình công khai tạo trước khi migrate (dòng cũ) và hai cấu hình X, Y theo hai cấu hình công khai cùng một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quyền đọc DB local (chỉ SELECT/SHOW); tài khoản phụ trách đầu ra (trích xuất, công khai, phiếu điểm), tài khoản của trường B
Bước 1–3 đọc cấu hình cũ và sao chép
Thao tác: 1. SELECT `grade_publish_conf_id`, `year`, `evaluate_item_id`, `tangen_flg`, `red_score_display_type` của X, Y và của cấu hình cũ.
2. Mở cấu hình cũ trên màn, xem màn học sinh của cấu hình đó.
3. Sao chép X; SELECT dòng của bản sao.</t>
        </is>
      </c>
    </row>
    <row r="1542" ht="248" customHeight="1">
      <c r="A1542" s="24">
        <f>HYPERLINK("#'Kiểm thử'!A"&amp;(MATCH("TC-RS-DATA-012 / read-copy",'Kiểm thử'!$A$5:$A$573,0)+4),"TC-RS-DATA-012 / read-copy")</f>
        <v/>
      </c>
      <c r="B1542" s="18" t="inlineStr">
        <is>
          <t>Điều kiện / thao tác</t>
        </is>
      </c>
      <c r="C1542" s="18" t="inlineStr">
        <is>
          <t xml:space="preserve">
4. Gửi request lưu với `red_score_display_type`=4, và với ID cấu hình công khai của trường B (tài khoản của trường B / trường B (trường khác)).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43" ht="146" customHeight="1">
      <c r="A1543" s="24">
        <f>HYPERLINK("#'Kiểm thử'!A"&amp;(MATCH("TC-RS-DATA-012 / read-copy",'Kiểm thử'!$A$5:$A$573,0)+4),"TC-RS-DATA-012 / read-copy")</f>
        <v/>
      </c>
      <c r="B1543" s="18" t="inlineStr">
        <is>
          <t>Kết quả mong đợi</t>
        </is>
      </c>
      <c r="C1543" s="18" t="inlineStr">
        <is>
          <t>1. X: 1 (ngoặc) ở dòng mục số nguyên (M=100); Y: 2 (`*` trước); dòng thường/đơn vị tách theo `tangen_flg`. Không có cột hiệu ứng trong bảng kết quả của học sinh.
2. Dòng cũ có giá trị 0; hiển thị giữ như trước khi có chức năng.
3. Bản sao có ID cấu hình mới và giữ giá trị 1; không có dòng kết quả học sinh nào được sao chép.
4. Bị từ chối; giá trị đã lưu không đổi.
Bảo toàn: Giữ điểm, cấu hình và đối tượng không đích theo expected; chỉ thay phần thủ tục yêu cầu, không tự đổi oracle hoặc mở rộng phạm vi.</t>
        </is>
      </c>
    </row>
    <row r="1544" ht="44" customHeight="1">
      <c r="A1544" s="24">
        <f>HYPERLINK("#'Kiểm thử'!A"&amp;(MATCH("TC-RS-DATA-012 / invalid-enum",'Kiểm thử'!$A$5:$A$573,0)+4),"TC-RS-DATA-012 / invalid-enum")</f>
        <v/>
      </c>
      <c r="B1544" s="18" t="inlineStr">
        <is>
          <t>Màn hình / chức năng</t>
        </is>
      </c>
      <c r="C1544" s="18" t="inlineStr">
        <is>
          <t>Dữ liệu và dữ liệu đỏ cũ — Bảo toàn dữ liệu và cấu hình
Lưu, đọc lại và sao chép hiệu ứng đỏ theo dòng mục của cấu hình công khai</t>
        </is>
      </c>
    </row>
    <row r="1545" ht="299" customHeight="1">
      <c r="A1545" s="24">
        <f>HYPERLINK("#'Kiểm thử'!A"&amp;(MATCH("TC-RS-DATA-012 / invalid-enum",'Kiểm thử'!$A$5:$A$573,0)+4),"TC-RS-DATA-012 / invalid-enum")</f>
        <v/>
      </c>
      <c r="B1545" s="18" t="inlineStr">
        <is>
          <t>Điều kiện / thao tác</t>
        </is>
      </c>
      <c r="C1545" s="18" t="inlineStr">
        <is>
          <t>Cấu hình: Build có migration thêm `red_score_display_type`; cấu hình công khai tạo trước khi migrate (dòng cũ) và hai cấu hình X, Y theo hai cấu hình công khai cùng một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quyền đọc DB local (chỉ SELECT/SHOW); tài khoản phụ trách đầu ra (trích xuất, công khai, phiếu điểm), tài khoản của trường B
Bước 4 giá trị 4
Thao tác: 1. SELECT `grade_publish_conf_id`, `year`, `evaluate_item_id`, `tangen_flg`, `red_score_display_type` của X, Y và của cấu hình cũ.
2. Mở cấu hình cũ trên màn, xem màn học sinh của cấu hình đó.
3. Sao chép X; SELECT dòng của bản sao.</t>
        </is>
      </c>
    </row>
    <row r="1546" ht="248" customHeight="1">
      <c r="A1546" s="24">
        <f>HYPERLINK("#'Kiểm thử'!A"&amp;(MATCH("TC-RS-DATA-012 / invalid-enum",'Kiểm thử'!$A$5:$A$573,0)+4),"TC-RS-DATA-012 / invalid-enum")</f>
        <v/>
      </c>
      <c r="B1546" s="18" t="inlineStr">
        <is>
          <t>Điều kiện / thao tác</t>
        </is>
      </c>
      <c r="C1546" s="18" t="inlineStr">
        <is>
          <t xml:space="preserve">
4. Gửi request lưu với `red_score_display_type`=4, và với ID cấu hình công khai của trường B (tài khoản của trường B / trường B (trường khác)).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47" ht="146" customHeight="1">
      <c r="A1547" s="24">
        <f>HYPERLINK("#'Kiểm thử'!A"&amp;(MATCH("TC-RS-DATA-012 / invalid-enum",'Kiểm thử'!$A$5:$A$573,0)+4),"TC-RS-DATA-012 / invalid-enum")</f>
        <v/>
      </c>
      <c r="B1547" s="18" t="inlineStr">
        <is>
          <t>Kết quả mong đợi</t>
        </is>
      </c>
      <c r="C1547" s="18" t="inlineStr">
        <is>
          <t>1. X: 1 (ngoặc) ở dòng mục số nguyên (M=100); Y: 2 (`*` trước); dòng thường/đơn vị tách theo `tangen_flg`. Không có cột hiệu ứng trong bảng kết quả của học sinh.
2. Dòng cũ có giá trị 0; hiển thị giữ như trước khi có chức năng.
3. Bản sao có ID cấu hình mới và giữ giá trị 1; không có dòng kết quả học sinh nào được sao chép.
4. Bị từ chối; giá trị đã lưu không đổi.
Bảo toàn: Giữ điểm, cấu hình và đối tượng không đích theo expected; chỉ thay phần thủ tục yêu cầu, không tự đổi oracle hoặc mở rộng phạm vi.</t>
        </is>
      </c>
    </row>
    <row r="1548" ht="44" customHeight="1">
      <c r="A1548" s="24">
        <f>HYPERLINK("#'Kiểm thử'!A"&amp;(MATCH("TC-RS-DATA-012 / foreign-school",'Kiểm thử'!$A$5:$A$573,0)+4),"TC-RS-DATA-012 / foreign-school")</f>
        <v/>
      </c>
      <c r="B1548" s="18" t="inlineStr">
        <is>
          <t>Màn hình / chức năng</t>
        </is>
      </c>
      <c r="C1548" s="18" t="inlineStr">
        <is>
          <t>Dữ liệu và dữ liệu đỏ cũ — Bảo toàn dữ liệu và cấu hình
Lưu, đọc lại và sao chép hiệu ứng đỏ theo dòng mục của cấu hình công khai</t>
        </is>
      </c>
    </row>
    <row r="1549" ht="299" customHeight="1">
      <c r="A1549" s="24">
        <f>HYPERLINK("#'Kiểm thử'!A"&amp;(MATCH("TC-RS-DATA-012 / foreign-school",'Kiểm thử'!$A$5:$A$573,0)+4),"TC-RS-DATA-012 / foreign-school")</f>
        <v/>
      </c>
      <c r="B1549" s="18" t="inlineStr">
        <is>
          <t>Điều kiện / thao tác</t>
        </is>
      </c>
      <c r="C1549" s="18" t="inlineStr">
        <is>
          <t>Cấu hình: Build có migration thêm `red_score_display_type`; cấu hình công khai tạo trước khi migrate (dòng cũ) và hai cấu hình X, Y theo hai cấu hình công khai cùng một mục.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hai cấu hình công khai cùng một mục, cấu hình công khai có mục điểm thường và mục điểm đơn vị; quyền đọc DB local (chỉ SELECT/SHOW); tài khoản phụ trách đầu ra (trích xuất, công khai, phiếu điểm), tài khoản của trường B
Bước 4 ID trường B
Thao tác: 1. SELECT `grade_publish_conf_id`, `year`, `evaluate_item_id`, `tangen_flg`, `red_score_display_type` của X, Y và của cấu hình cũ.
2. Mở cấu hình cũ trên màn, xem màn học sinh của cấu hình đó.
3. Sao chép X; SELECT dòng của bản sao.</t>
        </is>
      </c>
    </row>
    <row r="1550" ht="248" customHeight="1">
      <c r="A1550" s="24">
        <f>HYPERLINK("#'Kiểm thử'!A"&amp;(MATCH("TC-RS-DATA-012 / foreign-school",'Kiểm thử'!$A$5:$A$573,0)+4),"TC-RS-DATA-012 / foreign-school")</f>
        <v/>
      </c>
      <c r="B1550" s="18" t="inlineStr">
        <is>
          <t>Điều kiện / thao tác</t>
        </is>
      </c>
      <c r="C1550" s="18" t="inlineStr">
        <is>
          <t xml:space="preserve">
4. Gửi request lưu với `red_score_display_type`=4, và với ID cấu hình công khai của trường B (tài khoản của trường B / trường B (trường khác)).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51" ht="146" customHeight="1">
      <c r="A1551" s="24">
        <f>HYPERLINK("#'Kiểm thử'!A"&amp;(MATCH("TC-RS-DATA-012 / foreign-school",'Kiểm thử'!$A$5:$A$573,0)+4),"TC-RS-DATA-012 / foreign-school")</f>
        <v/>
      </c>
      <c r="B1551" s="18" t="inlineStr">
        <is>
          <t>Kết quả mong đợi</t>
        </is>
      </c>
      <c r="C1551" s="18" t="inlineStr">
        <is>
          <t>1. X: 1 (ngoặc) ở dòng mục số nguyên (M=100); Y: 2 (`*` trước); dòng thường/đơn vị tách theo `tangen_flg`. Không có cột hiệu ứng trong bảng kết quả của học sinh.
2. Dòng cũ có giá trị 0; hiển thị giữ như trước khi có chức năng.
3. Bản sao có ID cấu hình mới và giữ giá trị 1; không có dòng kết quả học sinh nào được sao chép.
4. Bị từ chối; giá trị đã lưu không đổi.
Bảo toàn: Giữ điểm, cấu hình và đối tượng không đích theo expected; chỉ thay phần thủ tục yêu cầu, không tự đổi oracle hoặc mở rộng phạm vi.</t>
        </is>
      </c>
    </row>
    <row r="1552" ht="44" customHeight="1">
      <c r="A1552" s="24">
        <f>HYPERLINK("#'Kiểm thử'!A"&amp;(MATCH("TC-RS-DATA-013 / revision",'Kiểm thử'!$A$5:$A$573,0)+4),"TC-RS-DATA-013 / revision")</f>
        <v/>
      </c>
      <c r="B1552" s="18" t="inlineStr">
        <is>
          <t>Màn hình / chức năng</t>
        </is>
      </c>
      <c r="C1552" s="18" t="inlineStr">
        <is>
          <t>Dữ liệu và dữ liệu đỏ cũ — Bảo toàn dữ liệu và cấu hình
Phiên bản quy tắc, dòng điều khiển và thế hệ ô được cập nhật đúng sự kiện</t>
        </is>
      </c>
    </row>
    <row r="1553" ht="299" customHeight="1">
      <c r="A1553" s="24">
        <f>HYPERLINK("#'Kiểm thử'!A"&amp;(MATCH("TC-RS-DATA-013 / revision",'Kiểm thử'!$A$5:$A$573,0)+4),"TC-RS-DATA-013 / revision")</f>
        <v/>
      </c>
      <c r="B1553" s="18" t="inlineStr">
        <is>
          <t>Điều kiện / thao tác</t>
        </is>
      </c>
      <c r="C1553" s="18" t="inlineStr">
        <is>
          <t>Cấu hình: Build có migration v2. mục số nguyên (M=100) có quy tắc “Cố định 30” (dưới 30) và cặp quy tắc cùng áp dụng (dưới 20 và dưới 30); S01 = 29 đã được xét (Đỏ); ô S02 chưa từng xét.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cặp quy tắc cùng áp dụng (dưới 20 và dưới 30); học sinh S01 (điểm 29), học sinh S02 (điểm 30); quyền đọc DB local (chỉ SELECT/SHOW)
Bước 1–2 fixture A, SELECT sau từng sự kiện
Thao tác: 1. SELECT `red_score_revision` của mục mục số nguyên (M=100) trên `grade_evaluate_frame_items`; SELECT `cell_generation`, `write_version`, `judged_version`, `rule_revision`, `judgment_status` của S01.
2. Chuỗi revision độc lập: trên fixture A, lần lượt thêm quy tắc; sửa ngưỡng; đổi thứ tự; xóa q</t>
        </is>
      </c>
    </row>
    <row r="1554" ht="299" customHeight="1">
      <c r="A1554" s="24">
        <f>HYPERLINK("#'Kiểm thử'!A"&amp;(MATCH("TC-RS-DATA-013 / revision",'Kiểm thử'!$A$5:$A$573,0)+4),"TC-RS-DATA-013 / revision")</f>
        <v/>
      </c>
      <c r="B1554" s="18" t="inlineStr">
        <is>
          <t>Điều kiện / thao tác</t>
        </is>
      </c>
      <c r="C1554" s="18" t="inlineStr">
        <is>
          <t>uy tắc. SELECT `red_score_revision` và kết quả S01 sau mỗi thao tác, chưa chạy xét.
3. Chuỗi xóa cuối độc lập trên fixture B: tạo S01=29 Đỏ, xóa tới quy tắc cuối, rồi chạy lại; không dùng kết quả của chuỗi revision A làm baseline.
4. Chuỗi reservation độc lập trên fixture C: đặt batch S01 nhưng chưa hoàn tất, SELECT S01; chỉ đánh giá trạng thái theo R18 §7.5/§8.2, không mặc định payload cũ được giữ.
5. Chuỗi cell-generation độc lập trên fixture D: lưu điểm S02 lần đầu, rồi xóa trống ô S01; SELECT từng ô.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t>
        </is>
      </c>
    </row>
    <row r="1555" ht="44" customHeight="1">
      <c r="A1555" s="24">
        <f>HYPERLINK("#'Kiểm thử'!A"&amp;(MATCH("TC-RS-DATA-013 / revision",'Kiểm thử'!$A$5:$A$573,0)+4),"TC-RS-DATA-013 / revision")</f>
        <v/>
      </c>
      <c r="B1555" s="18" t="inlineStr">
        <is>
          <t>Điều kiện / thao tác</t>
        </is>
      </c>
      <c r="C1555" s="18" t="inlineStr">
        <is>
          <t xml:space="preserve">
Giữ Draft; chỉ chuyển Ready khi chuẩn bị và seam của đúng case đã được xác minh.</t>
        </is>
      </c>
    </row>
    <row r="1556" ht="231" customHeight="1">
      <c r="A1556" s="24">
        <f>HYPERLINK("#'Kiểm thử'!A"&amp;(MATCH("TC-RS-DATA-013 / revision",'Kiểm thử'!$A$5:$A$573,0)+4),"TC-RS-DATA-013 / revision")</f>
        <v/>
      </c>
      <c r="B1556" s="18" t="inlineStr">
        <is>
          <t>Kết quả mong đợi</t>
        </is>
      </c>
      <c r="C1556" s="18" t="inlineStr">
        <is>
          <t>1. Có giá trị ban đầu; `judged_version` của S01 bằng phiên bản của lần ghi hoàn tất.
2. Trên fixture A, `red_score_revision` tăng sau mỗi thao tác cấu hình; kết quả S01 chỉ được đối chiếu trước khi có trigger chạy lại.
3. Trên fixture B, sau xóa rule cuối và chạy lại, S01 chuyển theo trạng thái Không áp dụng/đã ngừng kết quả cũ của G20/G21; không đọc kết quả từ fixture A.
4. Trên fixture C, ghi nhận chính sách trạng thái thực tế; không dùng “payload đỏ vẫn còn” làm expected cố định khi phiên bản lệch.
5. Trên fixture D, có đúng một dòng điều khiển cho mỗi ô; sau khi hoàn tất có trạng thái và `judged_at`.
6. Trên fixture D, `cell_generation` mới và thông tin rule/ngưỡng/nguồn cũ bị xóa theo trạng thái xóa ô; dòng điều khiển được giữ.
Bảo toàn: Giữ điểm, cấu hình và đối tượng không đích theo expected; chỉ thay phần thủ tục yêu cầu, không tự đổi oracle hoặc mở rộng phạm vi.</t>
        </is>
      </c>
    </row>
    <row r="1557" ht="44" customHeight="1">
      <c r="A1557" s="24">
        <f>HYPERLINK("#'Kiểm thử'!A"&amp;(MATCH("TC-RS-DATA-013 / delete-last-rule",'Kiểm thử'!$A$5:$A$573,0)+4),"TC-RS-DATA-013 / delete-last-rule")</f>
        <v/>
      </c>
      <c r="B1557" s="18" t="inlineStr">
        <is>
          <t>Màn hình / chức năng</t>
        </is>
      </c>
      <c r="C1557" s="18" t="inlineStr">
        <is>
          <t>Dữ liệu và dữ liệu đỏ cũ — Bảo toàn dữ liệu và cấu hình
Phiên bản quy tắc, dòng điều khiển và thế hệ ô được cập nhật đúng sự kiện</t>
        </is>
      </c>
    </row>
    <row r="1558" ht="299" customHeight="1">
      <c r="A1558" s="24">
        <f>HYPERLINK("#'Kiểm thử'!A"&amp;(MATCH("TC-RS-DATA-013 / delete-last-rule",'Kiểm thử'!$A$5:$A$573,0)+4),"TC-RS-DATA-013 / delete-last-rule")</f>
        <v/>
      </c>
      <c r="B1558" s="18" t="inlineStr">
        <is>
          <t>Điều kiện / thao tác</t>
        </is>
      </c>
      <c r="C1558" s="18" t="inlineStr">
        <is>
          <t>Cấu hình: Build có migration v2. mục số nguyên (M=100) có quy tắc “Cố định 30” (dưới 30) và cặp quy tắc cùng áp dụng (dưới 20 và dưới 30); S01 = 29 đã được xét (Đỏ); ô S02 chưa từng xét.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cặp quy tắc cùng áp dụng (dưới 20 và dưới 30); học sinh S01 (điểm 29), học sinh S02 (điểm 30); quyền đọc DB local (chỉ SELECT/SHOW)
Bước 1 và 3 fixture B độc lập
Thao tác: 1. SELECT `red_score_revision` của mục mục số nguyên (M=100) trên `grade_evaluate_frame_items`; SELECT `cell_generation`, `write_version`, `judged_version`, `rule_revision`, `judgment_status` của S01.
2. Chuỗi revision độc lập: trên fixture A, lần lượt thêm quy tắc; sửa ngưỡng; đổi thứ tự; xóa q</t>
        </is>
      </c>
    </row>
    <row r="1559" ht="299" customHeight="1">
      <c r="A1559" s="24">
        <f>HYPERLINK("#'Kiểm thử'!A"&amp;(MATCH("TC-RS-DATA-013 / delete-last-rule",'Kiểm thử'!$A$5:$A$573,0)+4),"TC-RS-DATA-013 / delete-last-rule")</f>
        <v/>
      </c>
      <c r="B1559" s="18" t="inlineStr">
        <is>
          <t>Điều kiện / thao tác</t>
        </is>
      </c>
      <c r="C1559" s="18" t="inlineStr">
        <is>
          <t>uy tắc. SELECT `red_score_revision` và kết quả S01 sau mỗi thao tác, chưa chạy xét.
3. Chuỗi xóa cuối độc lập trên fixture B: tạo S01=29 Đỏ, xóa tới quy tắc cuối, rồi chạy lại; không dùng kết quả của chuỗi revision A làm baseline.
4. Chuỗi reservation độc lập trên fixture C: đặt batch S01 nhưng chưa hoàn tất, SELECT S01; chỉ đánh giá trạng thái theo R18 §7.5/§8.2, không mặc định payload cũ được giữ.
5. Chuỗi cell-generation độc lập trên fixture D: lưu điểm S02 lần đầu, rồi xóa trống ô S01; SELECT từng ô.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t>
        </is>
      </c>
    </row>
    <row r="1560" ht="44" customHeight="1">
      <c r="A1560" s="24">
        <f>HYPERLINK("#'Kiểm thử'!A"&amp;(MATCH("TC-RS-DATA-013 / delete-last-rule",'Kiểm thử'!$A$5:$A$573,0)+4),"TC-RS-DATA-013 / delete-last-rule")</f>
        <v/>
      </c>
      <c r="B1560" s="18" t="inlineStr">
        <is>
          <t>Điều kiện / thao tác</t>
        </is>
      </c>
      <c r="C1560" s="18" t="inlineStr">
        <is>
          <t xml:space="preserve">
Giữ Draft; chỉ chuyển Ready khi chuẩn bị và seam của đúng case đã được xác minh.</t>
        </is>
      </c>
    </row>
    <row r="1561" ht="231" customHeight="1">
      <c r="A1561" s="24">
        <f>HYPERLINK("#'Kiểm thử'!A"&amp;(MATCH("TC-RS-DATA-013 / delete-last-rule",'Kiểm thử'!$A$5:$A$573,0)+4),"TC-RS-DATA-013 / delete-last-rule")</f>
        <v/>
      </c>
      <c r="B1561" s="18" t="inlineStr">
        <is>
          <t>Kết quả mong đợi</t>
        </is>
      </c>
      <c r="C1561" s="18" t="inlineStr">
        <is>
          <t>1. Có giá trị ban đầu; `judged_version` của S01 bằng phiên bản của lần ghi hoàn tất.
2. Trên fixture A, `red_score_revision` tăng sau mỗi thao tác cấu hình; kết quả S01 chỉ được đối chiếu trước khi có trigger chạy lại.
3. Trên fixture B, sau xóa rule cuối và chạy lại, S01 chuyển theo trạng thái Không áp dụng/đã ngừng kết quả cũ của G20/G21; không đọc kết quả từ fixture A.
4. Trên fixture C, ghi nhận chính sách trạng thái thực tế; không dùng “payload đỏ vẫn còn” làm expected cố định khi phiên bản lệch.
5. Trên fixture D, có đúng một dòng điều khiển cho mỗi ô; sau khi hoàn tất có trạng thái và `judged_at`.
6. Trên fixture D, `cell_generation` mới và thông tin rule/ngưỡng/nguồn cũ bị xóa theo trạng thái xóa ô; dòng điều khiển được giữ.
Bảo toàn: Giữ điểm, cấu hình và đối tượng không đích theo expected; chỉ thay phần thủ tục yêu cầu, không tự đổi oracle hoặc mở rộng phạm vi.</t>
        </is>
      </c>
    </row>
    <row r="1562" ht="44" customHeight="1">
      <c r="A1562" s="24">
        <f>HYPERLINK("#'Kiểm thử'!A"&amp;(MATCH("TC-RS-DATA-013 / reservation",'Kiểm thử'!$A$5:$A$573,0)+4),"TC-RS-DATA-013 / reservation")</f>
        <v/>
      </c>
      <c r="B1562" s="18" t="inlineStr">
        <is>
          <t>Màn hình / chức năng</t>
        </is>
      </c>
      <c r="C1562" s="18" t="inlineStr">
        <is>
          <t>Dữ liệu và dữ liệu đỏ cũ — Bảo toàn dữ liệu và cấu hình
Phiên bản quy tắc, dòng điều khiển và thế hệ ô được cập nhật đúng sự kiện</t>
        </is>
      </c>
    </row>
    <row r="1563" ht="299" customHeight="1">
      <c r="A1563" s="24">
        <f>HYPERLINK("#'Kiểm thử'!A"&amp;(MATCH("TC-RS-DATA-013 / reservation",'Kiểm thử'!$A$5:$A$573,0)+4),"TC-RS-DATA-013 / reservation")</f>
        <v/>
      </c>
      <c r="B1563" s="18" t="inlineStr">
        <is>
          <t>Điều kiện / thao tác</t>
        </is>
      </c>
      <c r="C1563" s="18" t="inlineStr">
        <is>
          <t>Cấu hình: Build có migration v2. mục số nguyên (M=100) có quy tắc “Cố định 30” (dưới 30) và cặp quy tắc cùng áp dụng (dưới 20 và dưới 30); S01 = 29 đã được xét (Đỏ); ô S02 chưa từng xét.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cặp quy tắc cùng áp dụng (dưới 20 và dưới 30); học sinh S01 (điểm 29), học sinh S02 (điểm 30); quyền đọc DB local (chỉ SELECT/SHOW)
Bước 1 và 4 fixture C độc lập
Thao tác: 1. SELECT `red_score_revision` của mục mục số nguyên (M=100) trên `grade_evaluate_frame_items`; SELECT `cell_generation`, `write_version`, `judged_version`, `rule_revision`, `judgment_status` của S01.
2. Chuỗi revision độc lập: trên fixture A, lần lượt thêm quy tắc; sửa ngưỡng; đổi thứ tự; xóa q</t>
        </is>
      </c>
    </row>
    <row r="1564" ht="299" customHeight="1">
      <c r="A1564" s="24">
        <f>HYPERLINK("#'Kiểm thử'!A"&amp;(MATCH("TC-RS-DATA-013 / reservation",'Kiểm thử'!$A$5:$A$573,0)+4),"TC-RS-DATA-013 / reservation")</f>
        <v/>
      </c>
      <c r="B1564" s="18" t="inlineStr">
        <is>
          <t>Điều kiện / thao tác</t>
        </is>
      </c>
      <c r="C1564" s="18" t="inlineStr">
        <is>
          <t>uy tắc. SELECT `red_score_revision` và kết quả S01 sau mỗi thao tác, chưa chạy xét.
3. Chuỗi xóa cuối độc lập trên fixture B: tạo S01=29 Đỏ, xóa tới quy tắc cuối, rồi chạy lại; không dùng kết quả của chuỗi revision A làm baseline.
4. Chuỗi reservation độc lập trên fixture C: đặt batch S01 nhưng chưa hoàn tất, SELECT S01; chỉ đánh giá trạng thái theo R18 §7.5/§8.2, không mặc định payload cũ được giữ.
5. Chuỗi cell-generation độc lập trên fixture D: lưu điểm S02 lần đầu, rồi xóa trống ô S01; SELECT từng ô.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t>
        </is>
      </c>
    </row>
    <row r="1565" ht="44" customHeight="1">
      <c r="A1565" s="24">
        <f>HYPERLINK("#'Kiểm thử'!A"&amp;(MATCH("TC-RS-DATA-013 / reservation",'Kiểm thử'!$A$5:$A$573,0)+4),"TC-RS-DATA-013 / reservation")</f>
        <v/>
      </c>
      <c r="B1565" s="18" t="inlineStr">
        <is>
          <t>Điều kiện / thao tác</t>
        </is>
      </c>
      <c r="C1565" s="18" t="inlineStr">
        <is>
          <t xml:space="preserve">
Giữ Draft; chỉ chuyển Ready khi chuẩn bị và seam của đúng case đã được xác minh.</t>
        </is>
      </c>
    </row>
    <row r="1566" ht="231" customHeight="1">
      <c r="A1566" s="24">
        <f>HYPERLINK("#'Kiểm thử'!A"&amp;(MATCH("TC-RS-DATA-013 / reservation",'Kiểm thử'!$A$5:$A$573,0)+4),"TC-RS-DATA-013 / reservation")</f>
        <v/>
      </c>
      <c r="B1566" s="18" t="inlineStr">
        <is>
          <t>Kết quả mong đợi</t>
        </is>
      </c>
      <c r="C1566" s="18" t="inlineStr">
        <is>
          <t>1. Có giá trị ban đầu; `judged_version` của S01 bằng phiên bản của lần ghi hoàn tất.
2. Trên fixture A, `red_score_revision` tăng sau mỗi thao tác cấu hình; kết quả S01 chỉ được đối chiếu trước khi có trigger chạy lại.
3. Trên fixture B, sau xóa rule cuối và chạy lại, S01 chuyển theo trạng thái Không áp dụng/đã ngừng kết quả cũ của G20/G21; không đọc kết quả từ fixture A.
4. Trên fixture C, ghi nhận chính sách trạng thái thực tế; không dùng “payload đỏ vẫn còn” làm expected cố định khi phiên bản lệch.
5. Trên fixture D, có đúng một dòng điều khiển cho mỗi ô; sau khi hoàn tất có trạng thái và `judged_at`.
6. Trên fixture D, `cell_generation` mới và thông tin rule/ngưỡng/nguồn cũ bị xóa theo trạng thái xóa ô; dòng điều khiển được giữ.
Bảo toàn: Giữ điểm, cấu hình và đối tượng không đích theo expected; chỉ thay phần thủ tục yêu cầu, không tự đổi oracle hoặc mở rộng phạm vi.</t>
        </is>
      </c>
    </row>
    <row r="1567" ht="44" customHeight="1">
      <c r="A1567" s="24">
        <f>HYPERLINK("#'Kiểm thử'!A"&amp;(MATCH("TC-RS-DATA-013 / cell-generation",'Kiểm thử'!$A$5:$A$573,0)+4),"TC-RS-DATA-013 / cell-generation")</f>
        <v/>
      </c>
      <c r="B1567" s="18" t="inlineStr">
        <is>
          <t>Màn hình / chức năng</t>
        </is>
      </c>
      <c r="C1567" s="18" t="inlineStr">
        <is>
          <t>Dữ liệu và dữ liệu đỏ cũ — Bảo toàn dữ liệu và cấu hình
Phiên bản quy tắc, dòng điều khiển và thế hệ ô được cập nhật đúng sự kiện</t>
        </is>
      </c>
    </row>
    <row r="1568" ht="299" customHeight="1">
      <c r="A1568" s="24">
        <f>HYPERLINK("#'Kiểm thử'!A"&amp;(MATCH("TC-RS-DATA-013 / cell-generation",'Kiểm thử'!$A$5:$A$573,0)+4),"TC-RS-DATA-013 / cell-generation")</f>
        <v/>
      </c>
      <c r="B1568" s="18" t="inlineStr">
        <is>
          <t>Điều kiện / thao tác</t>
        </is>
      </c>
      <c r="C1568" s="18" t="inlineStr">
        <is>
          <t>Cấu hình: Build có migration v2. mục số nguyên (M=100) có quy tắc “Cố định 30” (dưới 30) và cặp quy tắc cùng áp dụng (dưới 20 và dưới 30); S01 = 29 đã được xét (Đỏ); ô S02 chưa từng xét.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cặp quy tắc cùng áp dụng (dưới 20 và dưới 30); học sinh S01 (điểm 29), học sinh S02 (điểm 30); quyền đọc DB local (chỉ SELECT/SHOW)
Bước 1 và 5 fixture D độc lập
Thao tác: 1. SELECT `red_score_revision` của mục mục số nguyên (M=100) trên `grade_evaluate_frame_items`; SELECT `cell_generation`, `write_version`, `judged_version`, `rule_revision`, `judgment_status` của S01.
2. Chuỗi revision độc lập: trên fixture A, lần lượt thêm quy tắc; sửa ngưỡng; đổi thứ tự; xóa q</t>
        </is>
      </c>
    </row>
    <row r="1569" ht="299" customHeight="1">
      <c r="A1569" s="24">
        <f>HYPERLINK("#'Kiểm thử'!A"&amp;(MATCH("TC-RS-DATA-013 / cell-generation",'Kiểm thử'!$A$5:$A$573,0)+4),"TC-RS-DATA-013 / cell-generation")</f>
        <v/>
      </c>
      <c r="B1569" s="18" t="inlineStr">
        <is>
          <t>Điều kiện / thao tác</t>
        </is>
      </c>
      <c r="C1569" s="18" t="inlineStr">
        <is>
          <t>uy tắc. SELECT `red_score_revision` và kết quả S01 sau mỗi thao tác, chưa chạy xét.
3. Chuỗi xóa cuối độc lập trên fixture B: tạo S01=29 Đỏ, xóa tới quy tắc cuối, rồi chạy lại; không dùng kết quả của chuỗi revision A làm baseline.
4. Chuỗi reservation độc lập trên fixture C: đặt batch S01 nhưng chưa hoàn tất, SELECT S01; chỉ đánh giá trạng thái theo R18 §7.5/§8.2, không mặc định payload cũ được giữ.
5. Chuỗi cell-generation độc lập trên fixture D: lưu điểm S02 lần đầu, rồi xóa trống ô S01; SELECT từng ô.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t>
        </is>
      </c>
    </row>
    <row r="1570" ht="44" customHeight="1">
      <c r="A1570" s="24">
        <f>HYPERLINK("#'Kiểm thử'!A"&amp;(MATCH("TC-RS-DATA-013 / cell-generation",'Kiểm thử'!$A$5:$A$573,0)+4),"TC-RS-DATA-013 / cell-generation")</f>
        <v/>
      </c>
      <c r="B1570" s="18" t="inlineStr">
        <is>
          <t>Điều kiện / thao tác</t>
        </is>
      </c>
      <c r="C1570" s="18" t="inlineStr">
        <is>
          <t xml:space="preserve">
Giữ Draft; chỉ chuyển Ready khi chuẩn bị và seam của đúng case đã được xác minh.</t>
        </is>
      </c>
    </row>
    <row r="1571" ht="231" customHeight="1">
      <c r="A1571" s="24">
        <f>HYPERLINK("#'Kiểm thử'!A"&amp;(MATCH("TC-RS-DATA-013 / cell-generation",'Kiểm thử'!$A$5:$A$573,0)+4),"TC-RS-DATA-013 / cell-generation")</f>
        <v/>
      </c>
      <c r="B1571" s="18" t="inlineStr">
        <is>
          <t>Kết quả mong đợi</t>
        </is>
      </c>
      <c r="C1571" s="18" t="inlineStr">
        <is>
          <t>1. Có giá trị ban đầu; `judged_version` của S01 bằng phiên bản của lần ghi hoàn tất.
2. Trên fixture A, `red_score_revision` tăng sau mỗi thao tác cấu hình; kết quả S01 chỉ được đối chiếu trước khi có trigger chạy lại.
3. Trên fixture B, sau xóa rule cuối và chạy lại, S01 chuyển theo trạng thái Không áp dụng/đã ngừng kết quả cũ của G20/G21; không đọc kết quả từ fixture A.
4. Trên fixture C, ghi nhận chính sách trạng thái thực tế; không dùng “payload đỏ vẫn còn” làm expected cố định khi phiên bản lệch.
5. Trên fixture D, có đúng một dòng điều khiển cho mỗi ô; sau khi hoàn tất có trạng thái và `judged_at`.
6. Trên fixture D, `cell_generation` mới và thông tin rule/ngưỡng/nguồn cũ bị xóa theo trạng thái xóa ô; dòng điều khiển được giữ.
Bảo toàn: Giữ điểm, cấu hình và đối tượng không đích theo expected; chỉ thay phần thủ tục yêu cầu, không tự đổi oracle hoặc mở rộng phạm vi.</t>
        </is>
      </c>
    </row>
    <row r="1572" ht="299" customHeight="1">
      <c r="A1572" s="24">
        <f>HYPERLINK("#'Kiểm thử'!A"&amp;(MATCH("TC-RS-DATA-014 / Base",'Kiểm thử'!$A$5:$A$573,0)+4),"TC-RS-DATA-014 / Base")</f>
        <v/>
      </c>
      <c r="B1572" s="18" t="inlineStr">
        <is>
          <t>Điều kiện / thao tác</t>
        </is>
      </c>
      <c r="C1572" s="18" t="inlineStr">
        <is>
          <t>Cấu hình: - Có dữ liệu legacy `red_score` trước khi bật cấu hình mới; có cùng mục được cấu hình rule mới.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Có dữ liệu legacy `red_score` trước khi bật cấu hình mới; có cùng mục được cấu hình rule mới.
Toàn bộ thủ tục theo đúng thứ tự; các đối chứng cùng fixture được kiểm trong cùng lượt, không bỏ bước
Thao tác: 1. Xem báo cáo riêng trường trước và sau khi cấu hình/chạy rule mới.
2. Đối chiếu giá trị legacy và kết luận của rule mới.
Khôi phục: Trước mỗi biến thể, dựng lại điều kiện/dữ liệu đầu của case bằng đường được phép; giữ các reset/fixture độc lập đã nêu trong thủ tục.</t>
        </is>
      </c>
    </row>
    <row r="1573" ht="180" customHeight="1">
      <c r="A1573" s="24">
        <f>HYPERLINK("#'Kiểm thử'!A"&amp;(MATCH("TC-RS-DATA-014 / Base",'Kiểm thử'!$A$5:$A$573,0)+4),"TC-RS-DATA-014 / Base")</f>
        <v/>
      </c>
      <c r="B1573" s="18" t="inlineStr">
        <is>
          <t>Điều kiện / thao tác</t>
        </is>
      </c>
      <c r="C1573"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74" ht="44" customHeight="1">
      <c r="A1574" s="24">
        <f>HYPERLINK("#'Kiểm thử'!A"&amp;(MATCH("TC-RS-DATA-015 / Base",'Kiểm thử'!$A$5:$A$573,0)+4),"TC-RS-DATA-015 / Base")</f>
        <v/>
      </c>
      <c r="B1574" s="18" t="inlineStr">
        <is>
          <t>Màn hình / chức năng</t>
        </is>
      </c>
      <c r="C1574" s="18" t="inlineStr">
        <is>
          <t>Dữ liệu và dữ liệu đỏ cũ — Bảo toàn dữ liệu và cấu hình
Sao chép cấu hình giữ riêng legacy và không sao chép kết quả cá nhân</t>
        </is>
      </c>
    </row>
    <row r="1575" ht="299" customHeight="1">
      <c r="A1575" s="24">
        <f>HYPERLINK("#'Kiểm thử'!A"&amp;(MATCH("TC-RS-DATA-015 / Base",'Kiểm thử'!$A$5:$A$573,0)+4),"TC-RS-DATA-015 / Base")</f>
        <v/>
      </c>
      <c r="B1575" s="18" t="inlineStr">
        <is>
          <t>Điều kiện / thao tác</t>
        </is>
      </c>
      <c r="C1575" s="18" t="inlineStr">
        <is>
          <t>Cấu hình: - Nguồn: trường A / năm 2026 / mục Toán / nhóm G-A, có rule mới `&lt;30`, ngưỡng legacy `red_score=25` đang được báo cáo riêng, và S01 có kết quả Đỏ đã chốt. Đích: trường A / năm 2026 / mục Toán tương ứng / nhóm G-B, chưa có legacy/kết quả cá nhân; mapping môn Toán và identity ô đích khác nguồn. Có chức năng sao chép cấu hình trong phạm vi đợt.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trường A / năm 2026 / mục Toán / nhóm G-A, có rule mới `&lt;30`, ngưỡng legacy `red_score=25` đang được báo cáo riêng, và S01 có kết quả Đỏ đã chốt. Đích: trường A / năm 2026 / mục Toán tương ứng / nhóm G-B, chưa có legacy/kết quả cá nhân; mapping môn Toán và identity ô đích khác nguồn. Có chức năng sao chép cấu hình trong phạm vi đợt.
Toàn bộ thủ tục theo đúng thứ tự; các đối chứng cùng fixture được kiểm trong cùng lượt, không bỏ bước</t>
        </is>
      </c>
    </row>
    <row r="1576" ht="299" customHeight="1">
      <c r="A1576" s="24">
        <f>HYPERLINK("#'Kiểm thử'!A"&amp;(MATCH("TC-RS-DATA-015 / Base",'Kiểm thử'!$A$5:$A$573,0)+4),"TC-RS-DATA-015 / Base")</f>
        <v/>
      </c>
      <c r="B1576" s="18" t="inlineStr">
        <is>
          <t>Điều kiện / thao tác</t>
        </is>
      </c>
      <c r="C1576" s="18" t="inlineStr">
        <is>
          <t xml:space="preserve">
Thao tác: 1. Ghi snapshot trước thao tác: rule, mapping mục/môn/nhóm, legacy và kết quả riêng của S01 ở nguồn.
2. Sao chép cấu hình sang mục/đối tượng đích; ghi identity nguồn/đích và mapping thực tế.
3. Mở cấu hình, legacy và kết quả của đích; không dùng dữ liệu nguồn làm baseline cho đích.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fixture sao chép riêng năm 2026 với ngưỡng legacy 25 và đường copy/mapping/reader legacy ở đích chưa được provision hoặc xác minh; cần quan sát giá trị nguồn và đích trước/sau thao tác.
TC-RS-DATA-015: hoàn thiện đúng fixture/seam; giữ expected và chưa kết luận thực thi.</t>
        </is>
      </c>
    </row>
    <row r="1577" ht="146" customHeight="1">
      <c r="A1577" s="24">
        <f>HYPERLINK("#'Kiểm thử'!A"&amp;(MATCH("TC-RS-DATA-015 / Base",'Kiểm thử'!$A$5:$A$573,0)+4),"TC-RS-DATA-015 / Base")</f>
        <v/>
      </c>
      <c r="B1577" s="18" t="inlineStr">
        <is>
          <t>Kết quả mong đợi</t>
        </is>
      </c>
      <c r="C1577" s="18" t="inlineStr">
        <is>
          <t>Cấu hình `&lt;30` được ánh xạ theo identity đích. Ngưỡng legacy `red_score=25` có mapping hợp lệ cũng được sao chép theo đường legacy hiện hữu: nguồn và đích đều đọc ra 25 tại cấu hình/báo cáo legacy riêng; không xóa, đổi nghĩa hoặc biến thành rule/fallback mới. Nếu đường sao chép legacy của build chưa được xác minh, giữ nhánh BLOCKED và ghi seam/mapping thiếu. Đích không có kết quả đỏ/bản chốt **cá nhân** của S01 nguồn; chỉ lần xét mới trên identity đích mới tạo kết quả cá nhân ở đích.
Bảo toàn: Giữ điểm, cấu hình và đối tượng không đích theo expected; chỉ thay phần thủ tục yêu cầu, không tự đổi oracle hoặc mở rộng phạm vi.</t>
        </is>
      </c>
    </row>
    <row r="1578" ht="44" customHeight="1">
      <c r="A1578" s="24">
        <f>HYPERLINK("#'Kiểm thử'!A"&amp;(MATCH("TC-RS-DATA-016 / Base",'Kiểm thử'!$A$5:$A$573,0)+4),"TC-RS-DATA-016 / Base")</f>
        <v/>
      </c>
      <c r="B1578" s="18" t="inlineStr">
        <is>
          <t>Màn hình / chức năng</t>
        </is>
      </c>
      <c r="C1578" s="18" t="inlineStr">
        <is>
          <t>Dữ liệu và dữ liệu đỏ cũ — Bảo toàn dữ liệu và cấu hình
Kế thừa năm mới không dùng bản chốt hoặc kết quả cá nhân của năm cũ</t>
        </is>
      </c>
    </row>
    <row r="1579" ht="299" customHeight="1">
      <c r="A1579" s="24">
        <f>HYPERLINK("#'Kiểm thử'!A"&amp;(MATCH("TC-RS-DATA-016 / Base",'Kiểm thử'!$A$5:$A$573,0)+4),"TC-RS-DATA-016 / Base")</f>
        <v/>
      </c>
      <c r="B1579" s="18" t="inlineStr">
        <is>
          <t>Điều kiện / thao tác</t>
        </is>
      </c>
      <c r="C1579" s="18" t="inlineStr">
        <is>
          <t>Cấu hình: - Nguồn: TD-LEGACY-01 tại trường A/năm 2025/kỳ Cuối kỳ học kỳ 1/mục Toán/nhóm G-A có rule mới `&lt;30`, ngưỡng legacy `red_score=25`, snapshot và kết quả cá nhân Đỏ của S01. Đích: cùng trường/năm 2026/kỳ tương ứng/mục Toán/nhóm được ánh xạ G-A→G-A năm mới, ban đầu không có ngưỡng legacy hay kết quả cá nhân; ghi identity học sinh đích riêng. Đường tạo/kế thừa năm cần provision và xác minh mapping thực tế.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TD-LEGACY-01 tại trường A/năm 2025/kỳ Cuối kỳ học kỳ 1/mục Toán/nhóm G-A có rule mới `&lt;30`, ngưỡng legacy `red_score=25`, snapshot và kết quả cá nhân Đỏ của S01. Đích: cùng trường/năm 2026/kỳ tương ứng/mục Toán/nhóm được ánh xạ G-A→G-A năm mới, ban đầu không có ngưỡng legacy hay kết quả cá nhân; ghi identity học sinh đích riêng. Đường tạo/kế thừa năm cần provision và xác minh mapping thực tế.</t>
        </is>
      </c>
    </row>
    <row r="1580" ht="299" customHeight="1">
      <c r="A1580" s="24">
        <f>HYPERLINK("#'Kiểm thử'!A"&amp;(MATCH("TC-RS-DATA-016 / Base",'Kiểm thử'!$A$5:$A$573,0)+4),"TC-RS-DATA-016 / Base")</f>
        <v/>
      </c>
      <c r="B1580" s="18" t="inlineStr">
        <is>
          <t>Điều kiện / thao tác</t>
        </is>
      </c>
      <c r="C1580" s="18" t="inlineStr">
        <is>
          <t xml:space="preserve">
Toàn bộ thủ tục theo đúng thứ tự; các đối chứng cùng fixture được kiểm trong cùng lượt, không bỏ bước
Thao tác: 1. Chụp riêng rule mới, giá trị legacy 25 tại nguồn, snapshot và kết quả cá nhân S01 năm 2025; ghi đích chưa có legacy/kết quả.
2. Tạo năm 2026/kế thừa cấu hình; ghi mapping kỳ/mục Toán/môn Toán/nhóm G-A, identity ô và học sinh đích thực tế.
3. Đọc lại ngưỡng/báo cáo legacy của hai năm; mở kết quả cá nhân năm 2026 **trước** khi chạy xét, rồi chạy xét riêng ở đích.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t>
        </is>
      </c>
    </row>
    <row r="1581" ht="78" customHeight="1">
      <c r="A1581" s="24">
        <f>HYPERLINK("#'Kiểm thử'!A"&amp;(MATCH("TC-RS-DATA-016 / Base",'Kiểm thử'!$A$5:$A$573,0)+4),"TC-RS-DATA-016 / Base")</f>
        <v/>
      </c>
      <c r="B1581" s="18" t="inlineStr">
        <is>
          <t>Điều kiện / thao tác</t>
        </is>
      </c>
      <c r="C1581" s="18" t="inlineStr">
        <is>
          <t xml:space="preserve">
Khoảng trống: BLOCKED — TD-LEGACY-01 và đường kế thừa năm 2025→2026 chưa được provision; cần xác minh mapping kỳ/môn/mục/nhóm, reader legacy ở đích và kết quả cá nhân trước lần xét mới.
TC-RS-DATA-016: hoàn thiện đúng fixture/seam; giữ expected và chưa kết luận thực thi.</t>
        </is>
      </c>
    </row>
    <row r="1582" ht="129" customHeight="1">
      <c r="A1582" s="24">
        <f>HYPERLINK("#'Kiểm thử'!A"&amp;(MATCH("TC-RS-DATA-016 / Base",'Kiểm thử'!$A$5:$A$573,0)+4),"TC-RS-DATA-016 / Base")</f>
        <v/>
      </c>
      <c r="B1582" s="18" t="inlineStr">
        <is>
          <t>Kết quả mong đợi</t>
        </is>
      </c>
      <c r="C1582" s="18" t="inlineStr">
        <is>
          <t>Rule mới `&lt;30` và ngưỡng legacy **25** được kế thừa đúng mapping: nguồn vẫn 25, đích đọc 25 ở cấu hình/báo cáo legacy riêng; không thành rule/fallback mới. Trước lần xét mới, đích không có snapshot/kết quả **cá nhân** của S01 năm 2025; sau lần xét riêng, kết quả chỉ mang identity năm 2026. Nếu chưa xác minh được seam kế thừa/mapping hoặc reader legacy ở đích thì BLOCKED, không chỉ kiểm nguồn giữ nguyên.
Bảo toàn: Giữ điểm, cấu hình và đối tượng không đích theo expected; chỉ thay phần thủ tục yêu cầu, không tự đổi oracle hoặc mở rộng phạm vi.</t>
        </is>
      </c>
    </row>
    <row r="1583" ht="299" customHeight="1">
      <c r="A1583" s="24">
        <f>HYPERLINK("#'Kiểm thử'!A"&amp;(MATCH("TC-RS-DATA-017 / Base",'Kiểm thử'!$A$5:$A$573,0)+4),"TC-RS-DATA-017 / Base")</f>
        <v/>
      </c>
      <c r="B1583" s="18" t="inlineStr">
        <is>
          <t>Điều kiện / thao tác</t>
        </is>
      </c>
      <c r="C1583" s="18" t="inlineStr">
        <is>
          <t>Cấu hình: - Nguồn: TD-LEGACY-01 trường A/năm 2025/kỳ Cuối kỳ học kỳ 1/mục Toán/nhóm G-A. File cấu hình xuất phải chứa mapping kỳ/môn Toán/mục Toán/nhóm G-A **và giá trị legacy `red_score=25`**, không chỉ metadata/tên field; rule mới `&lt;30` nằm ở phần cấu hình mới riêng. Snapshot/kết quả cá nhân Đỏ của S01 làm đối chứng âm, không thuộc payload cấu hình được phép nhập. Đích: trường A/năm 2026/kỳ, môn, mục, nhóm tương ứng được ánh xạ, ban đầu chưa có legacy/kết quả cá nhân; quyền nhập hợp lệ.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TD-LEGACY-01 trường A/năm 2025/kỳ Cuối kỳ học kỳ 1/mục Toán/nhóm G-A. File cấu hình xuất phải chứa mapping kỳ/môn Toán/mục Toán/nhóm G-A **và giá trị legacy `red_score=25`**, không chỉ metadata/tên field; rule mới `&lt;30` nằm ở phần cấu hình mới riêng. Snapshot/kết quả cá nhân Đỏ của S01 làm đối chứng âm, không thuộc payload cấu hình được phép nhập. Đích: trường</t>
        </is>
      </c>
    </row>
    <row r="1584" ht="299" customHeight="1">
      <c r="A1584" s="24">
        <f>HYPERLINK("#'Kiểm thử'!A"&amp;(MATCH("TC-RS-DATA-017 / Base",'Kiểm thử'!$A$5:$A$573,0)+4),"TC-RS-DATA-017 / Base")</f>
        <v/>
      </c>
      <c r="B1584" s="18" t="inlineStr">
        <is>
          <t>Điều kiện / thao tác</t>
        </is>
      </c>
      <c r="C1584" s="18" t="inlineStr">
        <is>
          <t xml:space="preserve"> A/năm 2026/kỳ, môn, mục, nhóm tương ứng được ánh xạ, ban đầu chưa có legacy/kết quả cá nhân; quyền nhập hợp lệ.
Toàn bộ thủ tục theo đúng thứ tự; các đối chứng cùng fixture được kiểm trong cùng lượt, không bỏ bước
Thao tác: 1. Ghi file xuất thật, vị trí giá trị legacy 25, mapping nguồn→đích và sự vắng mặt của snapshot/kết quả cá nhân trong phần cấu hình.
2. Nhập file vào trường/năm đích bằng đường import được hỗ trợ; ghi response/lỗi ánh xạ nếu có.
3. Đọc lại legacy ở nguồn và đích qua cấu hình/báo cáo riêng, rule mới và kết quả cá nhân đích trước/sau lần xét riêng.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t>
        </is>
      </c>
    </row>
    <row r="1585" ht="95" customHeight="1">
      <c r="A1585" s="24">
        <f>HYPERLINK("#'Kiểm thử'!A"&amp;(MATCH("TC-RS-DATA-017 / Base",'Kiểm thử'!$A$5:$A$573,0)+4),"TC-RS-DATA-017 / Base")</f>
        <v/>
      </c>
      <c r="B1585" s="18" t="inlineStr">
        <is>
          <t>Điều kiện / thao tác</t>
        </is>
      </c>
      <c r="C1585" s="18" t="inlineStr">
        <is>
          <t xml:space="preserve">
Khoảng trống: BLOCKED — TD-LEGACY-01, file xuất có giá trị legacy 25, format nhập và reader legacy ở đích chưa được provision/xác minh; cần đối chiếu payload thật và trạng thái đích trước/sau nhập.
TC-RS-DATA-017: hoàn thiện đúng fixture/seam; giữ expected và chưa kết luận thực thi.</t>
        </is>
      </c>
    </row>
    <row r="1586" ht="146" customHeight="1">
      <c r="A1586" s="24">
        <f>HYPERLINK("#'Kiểm thử'!A"&amp;(MATCH("TC-RS-DATA-017 / Base",'Kiểm thử'!$A$5:$A$573,0)+4),"TC-RS-DATA-017 / Base")</f>
        <v/>
      </c>
      <c r="B1586" s="18" t="inlineStr">
        <is>
          <t>Kết quả mong đợi</t>
        </is>
      </c>
      <c r="C1586" s="18" t="inlineStr">
        <is>
          <t>Chỉ payload cấu hình có mapping hợp lệ được nhập: ngưỡng legacy nguồn 25 vẫn là 25, file chứa 25 và đích đọc ra **25** ở cấu hình/báo cáo legacy riêng; rule mới `&lt;30` giữ riêng, không dùng 25 như fallback. Snapshot/kết quả **cá nhân** của S01 nguồn không được nhập hoặc gắn vào identity đích trước lần xét riêng; kết quả mới phải mang identity đích. Nếu format/đường import hoặc reader legacy chưa xác minh thì BLOCKED đúng nhánh, ghi seam thiếu, không suy giá trị từ metadata trống.
Bảo toàn: Giữ điểm, cấu hình và đối tượng không đích theo expected; chỉ thay phần thủ tục yêu cầu, không tự đổi oracle hoặc mở rộng phạm vi.</t>
        </is>
      </c>
    </row>
    <row r="1587" ht="299" customHeight="1">
      <c r="A1587" s="24">
        <f>HYPERLINK("#'Kiểm thử'!A"&amp;(MATCH("TC-RS-DATA-018 / Base",'Kiểm thử'!$A$5:$A$573,0)+4),"TC-RS-DATA-018 / Base")</f>
        <v/>
      </c>
      <c r="B1587" s="18" t="inlineStr">
        <is>
          <t>Điều kiện / thao tác</t>
        </is>
      </c>
      <c r="C1587" s="18" t="inlineStr">
        <is>
          <t>Cấu hình: - Nguồn: TD-LEGACY-01, ô cũ trường A/năm 2025/kỳ Cuối kỳ học kỳ 1/mục Toán/nhóm G-A có rule mới `&lt;30`, ngưỡng legacy 25, snapshot và kết quả cá nhân Đỏ. Đích: ô/khung tạo lại có identity mới, cùng kỳ/môn Toán/mục Toán/nhóm G-A theo mapping được hỗ trợ, ban đầu chưa có legacy/kết quả cá nhân; đường khôi phục cần provision.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TD-LEGACY-01, ô cũ trường A/năm 2025/kỳ Cuối kỳ học kỳ 1/mục Toán/nhóm G-A có rule mới `&lt;30`, ngưỡng legacy 25, snapshot và kết quả cá nhân Đỏ. Đích: ô/khung tạo lại có identity mới, cùng kỳ/môn Toán/mục Toán/nhóm G-A theo mapping được hỗ trợ, ban đầu chưa có legacy/kết quả cá nhân; đường khôi phục cần provision.
Toàn bộ thủ tục theo đúng thứ tự; các đối chứng cùng fixture được kiểm trong cùng lượt, không bỏ bước</t>
        </is>
      </c>
    </row>
    <row r="1588" ht="299" customHeight="1">
      <c r="A1588" s="24">
        <f>HYPERLINK("#'Kiểm thử'!A"&amp;(MATCH("TC-RS-DATA-018 / Base",'Kiểm thử'!$A$5:$A$573,0)+4),"TC-RS-DATA-018 / Base")</f>
        <v/>
      </c>
      <c r="B1588" s="18" t="inlineStr">
        <is>
          <t>Điều kiện / thao tác</t>
        </is>
      </c>
      <c r="C1588" s="18" t="inlineStr">
        <is>
          <t xml:space="preserve">
Thao tác: 1. Chụp identity, rule mới, ngưỡng legacy 25 và kết quả cá nhân ô cũ; ghi ô đích chưa có các giá trị đó.
2. Khôi phục/thay khung theo đường được hỗ trợ; ghi mapping kỳ/môn/mục/nhóm và ô cũ → ô mới, không tự ghép theo tên giống nhau.
3. Đọc lại ngưỡng/báo cáo legacy nguồn và đích, rule mới và kết quả cá nhân ô mới trước/sau khi xét riêng; kiểm ba đầu ra theo identity ô.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TD-LEGACY-01 và đường khôi phục/thay khung chưa được provision; cần xác minh identity ô mới, mapping legacy 25 và reader kết quả cá nhân trước lần xét mới.</t>
        </is>
      </c>
    </row>
    <row r="1589" ht="44" customHeight="1">
      <c r="A1589" s="24">
        <f>HYPERLINK("#'Kiểm thử'!A"&amp;(MATCH("TC-RS-DATA-018 / Base",'Kiểm thử'!$A$5:$A$573,0)+4),"TC-RS-DATA-018 / Base")</f>
        <v/>
      </c>
      <c r="B1589" s="18" t="inlineStr">
        <is>
          <t>Điều kiện / thao tác</t>
        </is>
      </c>
      <c r="C1589" s="18" t="inlineStr">
        <is>
          <t xml:space="preserve">
TC-RS-DATA-018: hoàn thiện đúng fixture/seam; giữ expected và chưa kết luận thực thi.</t>
        </is>
      </c>
    </row>
    <row r="1590" ht="112" customHeight="1">
      <c r="A1590" s="24">
        <f>HYPERLINK("#'Kiểm thử'!A"&amp;(MATCH("TC-RS-DATA-018 / Base",'Kiểm thử'!$A$5:$A$573,0)+4),"TC-RS-DATA-018 / Base")</f>
        <v/>
      </c>
      <c r="B1590" s="18" t="inlineStr">
        <is>
          <t>Kết quả mong đợi</t>
        </is>
      </c>
      <c r="C1590" s="18" t="inlineStr">
        <is>
          <t>Nguồn giữ ngưỡng legacy **25**; ô/khung mới có mapping hợp lệ cũng đọc **25** qua cấu hình/báo cáo legacy riêng, không thành rule/fallback mới. Ô mới **không** nhận snapshot/kết quả cá nhân của ô cũ trước lần xét riêng; sau đó kết quả phải mang identity ô mới. Nếu chưa xác minh đường khôi phục/mapping hoặc reader legacy ở đích thì BLOCKED, không bỏ nhánh.
Bảo toàn: Giữ điểm, cấu hình và đối tượng không đích theo expected; chỉ thay phần thủ tục yêu cầu, không tự đổi oracle hoặc mở rộng phạm vi.</t>
        </is>
      </c>
    </row>
    <row r="1591" ht="299" customHeight="1">
      <c r="A1591" s="24">
        <f>HYPERLINK("#'Kiểm thử'!A"&amp;(MATCH("TC-RS-DATA-019 / Base",'Kiểm thử'!$A$5:$A$573,0)+4),"TC-RS-DATA-019 / Base")</f>
        <v/>
      </c>
      <c r="B1591" s="18" t="inlineStr">
        <is>
          <t>Điều kiện / thao tác</t>
        </is>
      </c>
      <c r="C1591" s="18" t="inlineStr">
        <is>
          <t>Cấu hình: - Nguồn: TD-LEGACY-01 trường A/năm 2025/kỳ Cuối kỳ học kỳ 1/mục Toán/nhóm G-A có rule mới `&lt;30`, ngưỡng legacy 25, snapshot và kết quả cá nhân Đỏ của S01. Đích: cùng trường/năm 2026/kỳ tương ứng/môn Toán/mục Toán/nhóm được ánh xạ G-A→G-A năm mới, ban đầu không có legacy, snapshot hoặc kết quả nguồn; đường sync cấu hình cần provision.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TD-LEGACY-01 trường A/năm 2025/kỳ Cuối kỳ học kỳ 1/mục Toán/nhóm G-A có rule mới `&lt;30`, ngưỡng legacy 25, snapshot và kết quả cá nhân Đỏ của S01. Đích: cùng trường/năm 2026/kỳ tương ứng/môn Toán/mục Toán/nhóm được ánh xạ G-A→G-A năm mới, ban đầu không có legacy, snapshot hoặc kết quả nguồn; đường sync cấu hình cần provision.
Toàn bộ thủ tục theo đúng thứ tự; các đối chứng cùng fixture được kiểm trong cùng lượt, không bỏ bước</t>
        </is>
      </c>
    </row>
    <row r="1592" ht="299" customHeight="1">
      <c r="A1592" s="24">
        <f>HYPERLINK("#'Kiểm thử'!A"&amp;(MATCH("TC-RS-DATA-019 / Base",'Kiểm thử'!$A$5:$A$573,0)+4),"TC-RS-DATA-019 / Base")</f>
        <v/>
      </c>
      <c r="B1592" s="18" t="inlineStr">
        <is>
          <t>Điều kiện / thao tác</t>
        </is>
      </c>
      <c r="C1592" s="18" t="inlineStr">
        <is>
          <t xml:space="preserve">
Thao tác: 1. Ghi mapping kỳ/môn/mục/nhóm, identity nguồn/đích, giá trị legacy nguồn 25 và snapshot/kết quả cá nhân nguồn; ghi trạng thái đích ban đầu.
2. Đồng bộ cấu hình; đọc lại rule mới và ngưỡng/báo cáo legacy ở cả nguồn lẫn đích.
3. Mở kết quả cá nhân và ba đầu ra của đích **trước** khi chạy xét, sau đó chạy xét riêng ở đích và đọc lại.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TD-LEGACY-01 và seam sync năm 2025→2026 chưa được provision; cần xác minh mapping/reader legacy 25 tại đích và kết quả cá nhân trước lần xét mới.
TC-RS-DATA-019: hoàn thiện đúng fixture/seam; giữ expected và chưa kết luận thực thi.</t>
        </is>
      </c>
    </row>
    <row r="1593" ht="129" customHeight="1">
      <c r="A1593" s="24">
        <f>HYPERLINK("#'Kiểm thử'!A"&amp;(MATCH("TC-RS-DATA-019 / Base",'Kiểm thử'!$A$5:$A$573,0)+4),"TC-RS-DATA-019 / Base")</f>
        <v/>
      </c>
      <c r="B1593" s="18" t="inlineStr">
        <is>
          <t>Kết quả mong đợi</t>
        </is>
      </c>
      <c r="C1593" s="18" t="inlineStr">
        <is>
          <t>Đồng bộ cấu hình có mapping hợp lệ giữ ngưỡng legacy **25** ở nguồn và đưa **25** tới cấu hình/báo cáo legacy riêng của đích; không thành rule/fallback mới. Trước lần xét riêng, đích chưa được coi là đã xét và không dùng snapshot/kết quả **cá nhân** nguồn; sau đó kết quả chỉ thuộc identity đích. Nếu seam sync/mapping hoặc reader legacy ở đích chưa xác minh thì BLOCKED, không coi chỉ bảo toàn nguồn là đủ.
Bảo toàn: Giữ điểm, cấu hình và đối tượng không đích theo expected; chỉ thay phần thủ tục yêu cầu, không tự đổi oracle hoặc mở rộng phạm vi.</t>
        </is>
      </c>
    </row>
    <row r="1594" ht="299" customHeight="1">
      <c r="A1594" s="24">
        <f>HYPERLINK("#'Kiểm thử'!A"&amp;(MATCH("TC-RS-DATA-006 / Base",'Kiểm thử'!$A$5:$A$573,0)+4),"TC-RS-DATA-006 / Base")</f>
        <v/>
      </c>
      <c r="B1594" s="18" t="inlineStr">
        <is>
          <t>Điều kiện / thao tác</t>
        </is>
      </c>
      <c r="C1594" s="18" t="inlineStr">
        <is>
          <t>Cấu hình: - Có giá trị và kết quả legacy trước khi thêm rule mới.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Có giá trị và kết quả legacy trước khi thêm rule mới.
Toàn bộ thủ tục theo đúng thứ tự; các đối chứng cùng fixture được kiểm trong cùng lượt, không bỏ bước
Thao tác: 1. Thêm, sửa, xóa và chạy rule mới.
2. Đọc lại giá trị legacy và kết quả legacy.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595" ht="129" customHeight="1">
      <c r="A1595" s="24">
        <f>HYPERLINK("#'Kiểm thử'!A"&amp;(MATCH("TC-RS-DATA-006 / Base",'Kiểm thử'!$A$5:$A$573,0)+4),"TC-RS-DATA-006 / Base")</f>
        <v/>
      </c>
      <c r="B1595" s="18" t="inlineStr">
        <is>
          <t>Điều kiện / thao tác</t>
        </is>
      </c>
      <c r="C1595"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96" ht="299" customHeight="1">
      <c r="A1596" s="24">
        <f>HYPERLINK("#'Kiểm thử'!A"&amp;(MATCH("TC-RS-DATA-009 / copy",'Kiểm thử'!$A$5:$A$573,0)+4),"TC-RS-DATA-009 / copy")</f>
        <v/>
      </c>
      <c r="B1596" s="18" t="inlineStr">
        <is>
          <t>Điều kiện / thao tác</t>
        </is>
      </c>
      <c r="C1596" s="18" t="inlineStr">
        <is>
          <t xml:space="preserve">Cấu hình: - Nguồn có cấu hình, bản chốt và kết quả cá nhân legacy; đích là năm mới/đối tượng mới.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có cấu hình, bản chốt và kết quả cá nhân legacy; đích là năm mới/đối tượng mới.
Đường copy, fixture DATA-015
Thao tác: 1. Thực hiện từng đường copy, kế thừa năm, import/export và sync.
2. Kiểm tra cấu hình, mapping identity, bản chốt và kết quả trước khi chạy xét ở đích.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597" ht="146" customHeight="1">
      <c r="A1597" s="24">
        <f>HYPERLINK("#'Kiểm thử'!A"&amp;(MATCH("TC-RS-DATA-009 / copy",'Kiểm thử'!$A$5:$A$573,0)+4),"TC-RS-DATA-009 / copy")</f>
        <v/>
      </c>
      <c r="B1597" s="18" t="inlineStr">
        <is>
          <t>Điều kiện / thao tác</t>
        </is>
      </c>
      <c r="C1597"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598" ht="299" customHeight="1">
      <c r="A1598" s="24">
        <f>HYPERLINK("#'Kiểm thử'!A"&amp;(MATCH("TC-RS-DATA-009 / year",'Kiểm thử'!$A$5:$A$573,0)+4),"TC-RS-DATA-009 / year")</f>
        <v/>
      </c>
      <c r="B1598" s="18" t="inlineStr">
        <is>
          <t>Điều kiện / thao tác</t>
        </is>
      </c>
      <c r="C1598" s="18" t="inlineStr">
        <is>
          <t xml:space="preserve">Cấu hình: - Nguồn có cấu hình, bản chốt và kết quả cá nhân legacy; đích là năm mới/đối tượng mới.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có cấu hình, bản chốt và kết quả cá nhân legacy; đích là năm mới/đối tượng mới.
Đường kế thừa năm, fixture DATA-016
Thao tác: 1. Thực hiện từng đường copy, kế thừa năm, import/export và sync.
2. Kiểm tra cấu hình, mapping identity, bản chốt và kết quả trước khi chạy xét ở đích.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599" ht="146" customHeight="1">
      <c r="A1599" s="24">
        <f>HYPERLINK("#'Kiểm thử'!A"&amp;(MATCH("TC-RS-DATA-009 / year",'Kiểm thử'!$A$5:$A$573,0)+4),"TC-RS-DATA-009 / year")</f>
        <v/>
      </c>
      <c r="B1599" s="18" t="inlineStr">
        <is>
          <t>Điều kiện / thao tác</t>
        </is>
      </c>
      <c r="C1599"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00" ht="299" customHeight="1">
      <c r="A1600" s="24">
        <f>HYPERLINK("#'Kiểm thử'!A"&amp;(MATCH("TC-RS-DATA-009 / import-export",'Kiểm thử'!$A$5:$A$573,0)+4),"TC-RS-DATA-009 / import-export")</f>
        <v/>
      </c>
      <c r="B1600" s="18" t="inlineStr">
        <is>
          <t>Điều kiện / thao tác</t>
        </is>
      </c>
      <c r="C1600" s="18" t="inlineStr">
        <is>
          <t xml:space="preserve">Cấu hình: - Nguồn có cấu hình, bản chốt và kết quả cá nhân legacy; đích là năm mới/đối tượng mới.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có cấu hình, bản chốt và kết quả cá nhân legacy; đích là năm mới/đối tượng mới.
Đường xuất nhập, fixture DATA-017
Thao tác: 1. Thực hiện từng đường copy, kế thừa năm, import/export và sync.
2. Kiểm tra cấu hình, mapping identity, bản chốt và kết quả trước khi chạy xét ở đích.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01" ht="146" customHeight="1">
      <c r="A1601" s="24">
        <f>HYPERLINK("#'Kiểm thử'!A"&amp;(MATCH("TC-RS-DATA-009 / import-export",'Kiểm thử'!$A$5:$A$573,0)+4),"TC-RS-DATA-009 / import-export")</f>
        <v/>
      </c>
      <c r="B1601" s="18" t="inlineStr">
        <is>
          <t>Điều kiện / thao tác</t>
        </is>
      </c>
      <c r="C1601"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02" ht="299" customHeight="1">
      <c r="A1602" s="24">
        <f>HYPERLINK("#'Kiểm thử'!A"&amp;(MATCH("TC-RS-DATA-009 / sync",'Kiểm thử'!$A$5:$A$573,0)+4),"TC-RS-DATA-009 / sync")</f>
        <v/>
      </c>
      <c r="B1602" s="18" t="inlineStr">
        <is>
          <t>Điều kiện / thao tác</t>
        </is>
      </c>
      <c r="C1602" s="18" t="inlineStr">
        <is>
          <t xml:space="preserve">Cấu hình: - Nguồn có cấu hình, bản chốt và kết quả cá nhân legacy; đích là năm mới/đối tượng mới.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Nguồn có cấu hình, bản chốt và kết quả cá nhân legacy; đích là năm mới/đối tượng mới.
Đường đồng bộ, fixture DATA-019
Thao tác: 1. Thực hiện từng đường copy, kế thừa năm, import/export và sync.
2. Kiểm tra cấu hình, mapping identity, bản chốt và kết quả trước khi chạy xét ở đích.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03" ht="146" customHeight="1">
      <c r="A1603" s="24">
        <f>HYPERLINK("#'Kiểm thử'!A"&amp;(MATCH("TC-RS-DATA-009 / sync",'Kiểm thử'!$A$5:$A$573,0)+4),"TC-RS-DATA-009 / sync")</f>
        <v/>
      </c>
      <c r="B1603" s="18" t="inlineStr">
        <is>
          <t>Điều kiện / thao tác</t>
        </is>
      </c>
      <c r="C160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04" ht="44" customHeight="1">
      <c r="A1604" s="24">
        <f>HYPERLINK("#'Kiểm thử'!A"&amp;(MATCH("TC-RS-UI-018 / Base",'Kiểm thử'!$A$5:$A$573,0)+4),"TC-RS-UI-018 / Base")</f>
        <v/>
      </c>
      <c r="B1604" s="18" t="inlineStr">
        <is>
          <t>Màn hình / chức năng</t>
        </is>
      </c>
      <c r="C1604" s="18" t="inlineStr">
        <is>
          <t>Trạng thái kết quả và lỗi — Lỗi và cập nhật kết quả
Màn Tổng hợp thành tích（成績集計）: nút xanh/cam và lần chạy trước</t>
        </is>
      </c>
    </row>
    <row r="1605" ht="299" customHeight="1">
      <c r="A1605" s="24">
        <f>HYPERLINK("#'Kiểm thử'!A"&amp;(MATCH("TC-RS-UI-018 / Base",'Kiểm thử'!$A$5:$A$573,0)+4),"TC-RS-UI-018 / Base")</f>
        <v/>
      </c>
      <c r="B1605" s="18" t="inlineStr">
        <is>
          <t>Điều kiện / thao tác</t>
        </is>
      </c>
      <c r="C1605" s="18" t="inlineStr">
        <is>
          <t>Cấu hình: tài khoản có quyền chạy hàng loạt; trường có tính tự động.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tài khoản có quyền chạy hàng loạt
Toàn bộ thủ tục theo đúng thứ tự; các đối chứng cùng fixture được kiểm trong cùng lượt, không bỏ bước
Thao tác: Mở Tổng hợp thành tích（成績集計）.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606" ht="129" customHeight="1">
      <c r="A1606" s="24">
        <f>HYPERLINK("#'Kiểm thử'!A"&amp;(MATCH("TC-RS-UI-018 / Base",'Kiểm thử'!$A$5:$A$573,0)+4),"TC-RS-UI-018 / Base")</f>
        <v/>
      </c>
      <c r="B1606" s="18" t="inlineStr">
        <is>
          <t>Điều kiện / thao tác</t>
        </is>
      </c>
      <c r="C1606"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07" ht="44" customHeight="1">
      <c r="A1607" s="24">
        <f>HYPERLINK("#'Kiểm thử'!A"&amp;(MATCH("TC-RS-UI-019 / missing",'Kiểm thử'!$A$5:$A$573,0)+4),"TC-RS-UI-019 / missing")</f>
        <v/>
      </c>
      <c r="B1607" s="18" t="inlineStr">
        <is>
          <t>Màn hình / chức năng</t>
        </is>
      </c>
      <c r="C1607" s="18" t="inlineStr">
        <is>
          <t>Trạng thái kết quả và lỗi — Lỗi và cập nhật kết quả
Thông báo kết quả sau khi chạy: hoàn tất, chưa xét được, thất bại một phần</t>
        </is>
      </c>
    </row>
    <row r="1608" ht="299" customHeight="1">
      <c r="A1608" s="24">
        <f>HYPERLINK("#'Kiểm thử'!A"&amp;(MATCH("TC-RS-UI-019 / missing",'Kiểm thử'!$A$5:$A$573,0)+4),"TC-RS-UI-019 / missing")</f>
        <v/>
      </c>
      <c r="B1608" s="18" t="inlineStr">
        <is>
          <t>Điều kiện / thao tác</t>
        </is>
      </c>
      <c r="C1608" s="18" t="inlineStr">
        <is>
          <t xml:space="preserve">Cấu hình: Như case “Chưa có kết quả tổng hợp → Chưa xét được, không thay bằng 0 hay nhóm khác” (thiếu nguồn) và case “Batch hoàn tất một phần: báo đúng phạm vi đã/không cập nhật” (lỗi một phần).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nguồn chưa có kết quả tổng hợp
Thiếu nguồn
Thao tác: 1. Chạy nút cam khi thiếu nguồn.
2. Chạy khi có lỗi một phần (theo cách giả lập được team dev cho phép).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09" ht="146" customHeight="1">
      <c r="A1609" s="24">
        <f>HYPERLINK("#'Kiểm thử'!A"&amp;(MATCH("TC-RS-UI-019 / missing",'Kiểm thử'!$A$5:$A$573,0)+4),"TC-RS-UI-019 / missing")</f>
        <v/>
      </c>
      <c r="B1609" s="18" t="inlineStr">
        <is>
          <t>Điều kiện / thao tác</t>
        </is>
      </c>
      <c r="C1609" s="18" t="inlineStr">
        <is>
          <t>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10" ht="112" customHeight="1">
      <c r="A1610" s="24">
        <f>HYPERLINK("#'Kiểm thử'!A"&amp;(MATCH("TC-RS-UI-019 / missing",'Kiểm thử'!$A$5:$A$573,0)+4),"TC-RS-UI-019 / missing")</f>
        <v/>
      </c>
      <c r="B1610" s="18" t="inlineStr">
        <is>
          <t>Kết quả mong đợi</t>
        </is>
      </c>
      <c r="C1610" s="18" t="inlineStr">
        <is>
          <t>1. Thông báo hoàn tất nêu có mục chưa xét được, phạm vi và lý do, và kết quả trước không còn dùng.
2. Thông báo nêu phạm vi đã cập nhật / chưa cập nhật và hướng dẫn chạy lại; không báo hoàn tất toàn bộ.
Bảo toàn: Giữ điểm, cấu hình và đối tượng không đích theo expected; chỉ thay phần thủ tục yêu cầu, không tự đổi oracle hoặc mở rộng phạm vi.</t>
        </is>
      </c>
    </row>
    <row r="1611" ht="44" customHeight="1">
      <c r="A1611" s="24">
        <f>HYPERLINK("#'Kiểm thử'!A"&amp;(MATCH("TC-RS-UI-019 / partial",'Kiểm thử'!$A$5:$A$573,0)+4),"TC-RS-UI-019 / partial")</f>
        <v/>
      </c>
      <c r="B1611" s="18" t="inlineStr">
        <is>
          <t>Màn hình / chức năng</t>
        </is>
      </c>
      <c r="C1611" s="18" t="inlineStr">
        <is>
          <t>Trạng thái kết quả và lỗi — Lỗi và cập nhật kết quả
Thông báo kết quả sau khi chạy: hoàn tất, chưa xét được, thất bại một phần</t>
        </is>
      </c>
    </row>
    <row r="1612" ht="299" customHeight="1">
      <c r="A1612" s="24">
        <f>HYPERLINK("#'Kiểm thử'!A"&amp;(MATCH("TC-RS-UI-019 / partial",'Kiểm thử'!$A$5:$A$573,0)+4),"TC-RS-UI-019 / partial")</f>
        <v/>
      </c>
      <c r="B1612" s="18" t="inlineStr">
        <is>
          <t>Điều kiện / thao tác</t>
        </is>
      </c>
      <c r="C1612" s="18" t="inlineStr">
        <is>
          <t xml:space="preserve">Cấu hình: Như case “Chưa có kết quả tổng hợp → Chưa xét được, không thay bằng 0 hay nhóm khác” (thiếu nguồn) và case “Batch hoàn tất một phần: báo đúng phạm vi đã/không cập nhật” (lỗi một phần).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nguồn chưa có kết quả tổng hợp
Lỗi một phần
Thao tác: 1. Chạy nút cam khi thiếu nguồn.
2. Chạy khi có lỗi một phần (theo cách giả lập được team dev cho phép).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13" ht="146" customHeight="1">
      <c r="A1613" s="24">
        <f>HYPERLINK("#'Kiểm thử'!A"&amp;(MATCH("TC-RS-UI-019 / partial",'Kiểm thử'!$A$5:$A$573,0)+4),"TC-RS-UI-019 / partial")</f>
        <v/>
      </c>
      <c r="B1613" s="18" t="inlineStr">
        <is>
          <t>Điều kiện / thao tác</t>
        </is>
      </c>
      <c r="C1613" s="18" t="inlineStr">
        <is>
          <t>Excel/PDF, ảnh trạng thái hoặc request/đọc dữ liệu khi case yêu cầu. Chưa có bằng chứng không được kết luận đã chạy.
Kỳ vọng: Đề xuất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14" ht="112" customHeight="1">
      <c r="A1614" s="24">
        <f>HYPERLINK("#'Kiểm thử'!A"&amp;(MATCH("TC-RS-UI-019 / partial",'Kiểm thử'!$A$5:$A$573,0)+4),"TC-RS-UI-019 / partial")</f>
        <v/>
      </c>
      <c r="B1614" s="18" t="inlineStr">
        <is>
          <t>Kết quả mong đợi</t>
        </is>
      </c>
      <c r="C1614" s="18" t="inlineStr">
        <is>
          <t>1. Thông báo hoàn tất nêu có mục chưa xét được, phạm vi và lý do, và kết quả trước không còn dùng.
2. Thông báo nêu phạm vi đã cập nhật / chưa cập nhật và hướng dẫn chạy lại; không báo hoàn tất toàn bộ.
Bảo toàn: Giữ điểm, cấu hình và đối tượng không đích theo expected; chỉ thay phần thủ tục yêu cầu, không tự đổi oracle hoặc mở rộng phạm vi.</t>
        </is>
      </c>
    </row>
    <row r="1615" ht="299" customHeight="1">
      <c r="A1615" s="24">
        <f>HYPERLINK("#'Kiểm thử'!A"&amp;(MATCH("TC-RS-ERR-001 / extract",'Kiểm thử'!$A$5:$A$573,0)+4),"TC-RS-ERR-001 / extract")</f>
        <v/>
      </c>
      <c r="B1615" s="18" t="inlineStr">
        <is>
          <t>Điều kiện / thao tác</t>
        </is>
      </c>
      <c r="C1615" s="18" t="inlineStr">
        <is>
          <t>Cấu hình: Chuẩn bị bảy ô cùng mục mục số nguyên (M=100): (1) Đỏ; (2) Không đỏ; (3) Chưa từng xét (ô mới, chưa có lượt xét); (4) Chưa xét được (như case “Chưa có kết quả tổng hợp → Chưa xét được, không thay bằng 0 hay nhóm khác”); (5) Không áp dụng (như case “Không quy tắc nào khớp khi đủ dữ liệu → Không áp dụng”); (6) Không có điểm (S05); (7) Đang chờ chạy lại: Đỏ trước đó, sau đó đổi ngưỡng và chưa chạy lại.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cấu hình trích xuất: lọc, ký hiệu “*” phía trước, tô màu, cấu hình công khai: “*” phía trước, cấu hình phiếu điểm: ký tự “※” phía trước
Trích xuất cả bảy trạng thái không lọc
Thao tác: 1. Chạy trích xuất có lọc đỏ và xuất Excel.
2. Xem màn học sinh công khai.</t>
        </is>
      </c>
    </row>
    <row r="1616" ht="231" customHeight="1">
      <c r="A1616" s="24">
        <f>HYPERLINK("#'Kiểm thử'!A"&amp;(MATCH("TC-RS-ERR-001 / extract",'Kiểm thử'!$A$5:$A$573,0)+4),"TC-RS-ERR-001 / extract")</f>
        <v/>
      </c>
      <c r="B1616" s="18" t="inlineStr">
        <is>
          <t>Điều kiện / thao tác</t>
        </is>
      </c>
      <c r="C1616" s="18" t="inlineStr">
        <is>
          <t xml:space="preserve">
3. Xuất PDF phiếu.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17" ht="299" customHeight="1">
      <c r="A1617" s="24">
        <f>HYPERLINK("#'Kiểm thử'!A"&amp;(MATCH("TC-RS-ERR-001 / publish",'Kiểm thử'!$A$5:$A$573,0)+4),"TC-RS-ERR-001 / publish")</f>
        <v/>
      </c>
      <c r="B1617" s="18" t="inlineStr">
        <is>
          <t>Điều kiện / thao tác</t>
        </is>
      </c>
      <c r="C1617" s="18" t="inlineStr">
        <is>
          <t>Cấu hình: Chuẩn bị bảy ô cùng mục mục số nguyên (M=100): (1) Đỏ; (2) Không đỏ; (3) Chưa từng xét (ô mới, chưa có lượt xét); (4) Chưa xét được (như case “Chưa có kết quả tổng hợp → Chưa xét được, không thay bằng 0 hay nhóm khác”); (5) Không áp dụng (như case “Không quy tắc nào khớp khi đủ dữ liệu → Không áp dụng”); (6) Không có điểm (S05); (7) Đang chờ chạy lại: Đỏ trước đó, sau đó đổi ngưỡng và chưa chạy lại.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cấu hình trích xuất: lọc, ký hiệu “*” phía trước, tô màu, cấu hình công khai: “*” phía trước, cấu hình phiếu điểm: ký tự “※” phía trước
Công khai cả bảy trạng thái
Thao tác: 1. Chạy trích xuất có lọc đỏ và xuất Excel.
2. Xem màn học sinh công khai.</t>
        </is>
      </c>
    </row>
    <row r="1618" ht="231" customHeight="1">
      <c r="A1618" s="24">
        <f>HYPERLINK("#'Kiểm thử'!A"&amp;(MATCH("TC-RS-ERR-001 / publish",'Kiểm thử'!$A$5:$A$573,0)+4),"TC-RS-ERR-001 / publish")</f>
        <v/>
      </c>
      <c r="B1618" s="18" t="inlineStr">
        <is>
          <t>Điều kiện / thao tác</t>
        </is>
      </c>
      <c r="C1618" s="18" t="inlineStr">
        <is>
          <t xml:space="preserve">
3. Xuất PDF phiếu.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19" ht="299" customHeight="1">
      <c r="A1619" s="24">
        <f>HYPERLINK("#'Kiểm thử'!A"&amp;(MATCH("TC-RS-ERR-001 / report",'Kiểm thử'!$A$5:$A$573,0)+4),"TC-RS-ERR-001 / report")</f>
        <v/>
      </c>
      <c r="B1619" s="18" t="inlineStr">
        <is>
          <t>Điều kiện / thao tác</t>
        </is>
      </c>
      <c r="C1619" s="18" t="inlineStr">
        <is>
          <t>Cấu hình: Chuẩn bị bảy ô cùng mục mục số nguyên (M=100): (1) Đỏ; (2) Không đỏ; (3) Chưa từng xét (ô mới, chưa có lượt xét); (4) Chưa xét được (như case “Chưa có kết quả tổng hợp → Chưa xét được, không thay bằng 0 hay nhóm khác”); (5) Không áp dụng (như case “Không quy tắc nào khớp khi đủ dữ liệu → Không áp dụng”); (6) Không có điểm (S05); (7) Đang chờ chạy lại: Đỏ trước đó, sau đó đổi ngưỡng và chưa chạy lại.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cấu hình trích xuất: lọc, ký hiệu “*” phía trước, tô màu, cấu hình công khai: “*” phía trước, cấu hình phiếu điểm: ký tự “※” phía trước
Phiếu điểm cả bảy trạng thái
Thao tác: 1. Chạy trích xuất có lọc đỏ và xuất Excel.
2. Xem màn học sinh công khai.</t>
        </is>
      </c>
    </row>
    <row r="1620" ht="231" customHeight="1">
      <c r="A1620" s="24">
        <f>HYPERLINK("#'Kiểm thử'!A"&amp;(MATCH("TC-RS-ERR-001 / report",'Kiểm thử'!$A$5:$A$573,0)+4),"TC-RS-ERR-001 / report")</f>
        <v/>
      </c>
      <c r="B1620" s="18" t="inlineStr">
        <is>
          <t>Điều kiện / thao tác</t>
        </is>
      </c>
      <c r="C1620" s="18" t="inlineStr">
        <is>
          <t xml:space="preserve">
3. Xuất PDF phiếu.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621" ht="44" customHeight="1">
      <c r="A1621" s="24">
        <f>HYPERLINK("#'Kiểm thử'!A"&amp;(MATCH("TC-RS-ERR-002 / direct-success-delete",'Kiểm thử'!$A$5:$A$573,0)+4),"TC-RS-ERR-002 / direct-success-delete")</f>
        <v/>
      </c>
      <c r="B1621" s="18" t="inlineStr">
        <is>
          <t>Màn hình / chức năng</t>
        </is>
      </c>
      <c r="C1621" s="18" t="inlineStr">
        <is>
          <t>Trạng thái kết quả và lỗi — Lỗi và cập nhật kết quả
Lỗi kỹ thuật khi lưu kết quả khác với Chưa xét được; không báo thành công giả</t>
        </is>
      </c>
    </row>
    <row r="1622" ht="299" customHeight="1">
      <c r="A1622" s="24">
        <f>HYPERLINK("#'Kiểm thử'!A"&amp;(MATCH("TC-RS-ERR-002 / direct-success-delete",'Kiểm thử'!$A$5:$A$573,0)+4),"TC-RS-ERR-002 / direct-success-delete")</f>
        <v/>
      </c>
      <c r="B1622" s="18" t="inlineStr">
        <is>
          <t>Điều kiện / thao tác</t>
        </is>
      </c>
      <c r="C1622"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direct-success-delete trong thủ tục và Expected của case; thực hiện các bước chuẩn bị chu</t>
        </is>
      </c>
    </row>
    <row r="1623" ht="299" customHeight="1">
      <c r="A1623" s="24">
        <f>HYPERLINK("#'Kiểm thử'!A"&amp;(MATCH("TC-RS-ERR-002 / direct-success-delete",'Kiểm thử'!$A$5:$A$573,0)+4),"TC-RS-ERR-002 / direct-success-delete")</f>
        <v/>
      </c>
      <c r="B1623" s="18" t="inlineStr">
        <is>
          <t>Điều kiện / thao tác</t>
        </is>
      </c>
      <c r="C1623" s="18" t="inlineStr">
        <is>
          <t xml:space="preserve">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24" ht="163" customHeight="1">
      <c r="A1624" s="24">
        <f>HYPERLINK("#'Kiểm thử'!A"&amp;(MATCH("TC-RS-ERR-002 / direct-success-delete",'Kiểm thử'!$A$5:$A$573,0)+4),"TC-RS-ERR-002 / direct-success-delete")</f>
        <v/>
      </c>
      <c r="B1624" s="18" t="inlineStr">
        <is>
          <t>Điều kiện / thao tác</t>
        </is>
      </c>
      <c r="C1624"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25" ht="299" customHeight="1">
      <c r="A1625" s="24">
        <f>HYPERLINK("#'Kiểm thử'!A"&amp;(MATCH("TC-RS-ERR-002 / direct-success-delete",'Kiểm thử'!$A$5:$A$573,0)+4),"TC-RS-ERR-002 / direct-success-delete")</f>
        <v/>
      </c>
      <c r="B1625" s="18" t="inlineStr">
        <is>
          <t>Kết quả mong đợi</t>
        </is>
      </c>
      <c r="C1625"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26" ht="44" customHeight="1">
      <c r="A1626" s="24">
        <f>HYPERLINK("#'Kiểm thử'!A"&amp;(MATCH("TC-RS-ERR-002 / direct-success-delete",'Kiểm thử'!$A$5:$A$573,0)+4),"TC-RS-ERR-002 / direct-success-delete")</f>
        <v/>
      </c>
      <c r="B1626" s="18" t="inlineStr">
        <is>
          <t>Kết quả mong đợi</t>
        </is>
      </c>
      <c r="C1626" s="18" t="inlineStr">
        <is>
          <t>ầu, không tự đổi oracle hoặc mở rộng phạm vi.</t>
        </is>
      </c>
    </row>
    <row r="1627" ht="44" customHeight="1">
      <c r="A1627" s="24">
        <f>HYPERLINK("#'Kiểm thử'!A"&amp;(MATCH("TC-RS-ERR-002 / csv-success-delete",'Kiểm thử'!$A$5:$A$573,0)+4),"TC-RS-ERR-002 / csv-success-delete")</f>
        <v/>
      </c>
      <c r="B1627" s="18" t="inlineStr">
        <is>
          <t>Màn hình / chức năng</t>
        </is>
      </c>
      <c r="C1627" s="18" t="inlineStr">
        <is>
          <t>Trạng thái kết quả và lỗi — Lỗi và cập nhật kết quả
Lỗi kỹ thuật khi lưu kết quả khác với Chưa xét được; không báo thành công giả</t>
        </is>
      </c>
    </row>
    <row r="1628" ht="299" customHeight="1">
      <c r="A1628" s="24">
        <f>HYPERLINK("#'Kiểm thử'!A"&amp;(MATCH("TC-RS-ERR-002 / csv-success-delete",'Kiểm thử'!$A$5:$A$573,0)+4),"TC-RS-ERR-002 / csv-success-delete")</f>
        <v/>
      </c>
      <c r="B1628" s="18" t="inlineStr">
        <is>
          <t>Điều kiện / thao tác</t>
        </is>
      </c>
      <c r="C1628" s="18" t="inlineStr">
        <is>
          <t xml:space="preserve">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csv-success-delete trong thủ tục và Expected của case; thực hiện các bước chuẩn bị chung </t>
        </is>
      </c>
    </row>
    <row r="1629" ht="299" customHeight="1">
      <c r="A1629" s="24">
        <f>HYPERLINK("#'Kiểm thử'!A"&amp;(MATCH("TC-RS-ERR-002 / csv-success-delete",'Kiểm thử'!$A$5:$A$573,0)+4),"TC-RS-ERR-002 / csv-success-delete")</f>
        <v/>
      </c>
      <c r="B1629" s="18" t="inlineStr">
        <is>
          <t>Điều kiện / thao tác</t>
        </is>
      </c>
      <c r="C1629" s="18" t="inlineStr">
        <is>
          <t xml:space="preserve">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30" ht="163" customHeight="1">
      <c r="A1630" s="24">
        <f>HYPERLINK("#'Kiểm thử'!A"&amp;(MATCH("TC-RS-ERR-002 / csv-success-delete",'Kiểm thử'!$A$5:$A$573,0)+4),"TC-RS-ERR-002 / csv-success-delete")</f>
        <v/>
      </c>
      <c r="B1630" s="18" t="inlineStr">
        <is>
          <t>Điều kiện / thao tác</t>
        </is>
      </c>
      <c r="C1630"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31" ht="299" customHeight="1">
      <c r="A1631" s="24">
        <f>HYPERLINK("#'Kiểm thử'!A"&amp;(MATCH("TC-RS-ERR-002 / csv-success-delete",'Kiểm thử'!$A$5:$A$573,0)+4),"TC-RS-ERR-002 / csv-success-delete")</f>
        <v/>
      </c>
      <c r="B1631" s="18" t="inlineStr">
        <is>
          <t>Kết quả mong đợi</t>
        </is>
      </c>
      <c r="C1631"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32" ht="44" customHeight="1">
      <c r="A1632" s="24">
        <f>HYPERLINK("#'Kiểm thử'!A"&amp;(MATCH("TC-RS-ERR-002 / csv-success-delete",'Kiểm thử'!$A$5:$A$573,0)+4),"TC-RS-ERR-002 / csv-success-delete")</f>
        <v/>
      </c>
      <c r="B1632" s="18" t="inlineStr">
        <is>
          <t>Kết quả mong đợi</t>
        </is>
      </c>
      <c r="C1632" s="18" t="inlineStr">
        <is>
          <t>ầu, không tự đổi oracle hoặc mở rộng phạm vi.</t>
        </is>
      </c>
    </row>
    <row r="1633" ht="44" customHeight="1">
      <c r="A1633" s="24">
        <f>HYPERLINK("#'Kiểm thử'!A"&amp;(MATCH("TC-RS-ERR-002 / linked-success-delete",'Kiểm thử'!$A$5:$A$573,0)+4),"TC-RS-ERR-002 / linked-success-delete")</f>
        <v/>
      </c>
      <c r="B1633" s="18" t="inlineStr">
        <is>
          <t>Màn hình / chức năng</t>
        </is>
      </c>
      <c r="C1633" s="18" t="inlineStr">
        <is>
          <t>Trạng thái kết quả và lỗi — Lỗi và cập nhật kết quả
Lỗi kỹ thuật khi lưu kết quả khác với Chưa xét được; không báo thành công giả</t>
        </is>
      </c>
    </row>
    <row r="1634" ht="299" customHeight="1">
      <c r="A1634" s="24">
        <f>HYPERLINK("#'Kiểm thử'!A"&amp;(MATCH("TC-RS-ERR-002 / linked-success-delete",'Kiểm thử'!$A$5:$A$573,0)+4),"TC-RS-ERR-002 / linked-success-delete")</f>
        <v/>
      </c>
      <c r="B1634" s="18" t="inlineStr">
        <is>
          <t>Điều kiện / thao tác</t>
        </is>
      </c>
      <c r="C1634"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linked-success-delete trong thủ tục và Expected của case; thực hiện các bước chuẩn bị chu</t>
        </is>
      </c>
    </row>
    <row r="1635" ht="299" customHeight="1">
      <c r="A1635" s="24">
        <f>HYPERLINK("#'Kiểm thử'!A"&amp;(MATCH("TC-RS-ERR-002 / linked-success-delete",'Kiểm thử'!$A$5:$A$573,0)+4),"TC-RS-ERR-002 / linked-success-delete")</f>
        <v/>
      </c>
      <c r="B1635" s="18" t="inlineStr">
        <is>
          <t>Điều kiện / thao tác</t>
        </is>
      </c>
      <c r="C1635" s="18" t="inlineStr">
        <is>
          <t xml:space="preserve">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36" ht="163" customHeight="1">
      <c r="A1636" s="24">
        <f>HYPERLINK("#'Kiểm thử'!A"&amp;(MATCH("TC-RS-ERR-002 / linked-success-delete",'Kiểm thử'!$A$5:$A$573,0)+4),"TC-RS-ERR-002 / linked-success-delete")</f>
        <v/>
      </c>
      <c r="B1636" s="18" t="inlineStr">
        <is>
          <t>Điều kiện / thao tác</t>
        </is>
      </c>
      <c r="C1636"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37" ht="299" customHeight="1">
      <c r="A1637" s="24">
        <f>HYPERLINK("#'Kiểm thử'!A"&amp;(MATCH("TC-RS-ERR-002 / linked-success-delete",'Kiểm thử'!$A$5:$A$573,0)+4),"TC-RS-ERR-002 / linked-success-delete")</f>
        <v/>
      </c>
      <c r="B1637" s="18" t="inlineStr">
        <is>
          <t>Kết quả mong đợi</t>
        </is>
      </c>
      <c r="C1637"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38" ht="44" customHeight="1">
      <c r="A1638" s="24">
        <f>HYPERLINK("#'Kiểm thử'!A"&amp;(MATCH("TC-RS-ERR-002 / linked-success-delete",'Kiểm thử'!$A$5:$A$573,0)+4),"TC-RS-ERR-002 / linked-success-delete")</f>
        <v/>
      </c>
      <c r="B1638" s="18" t="inlineStr">
        <is>
          <t>Kết quả mong đợi</t>
        </is>
      </c>
      <c r="C1638" s="18" t="inlineStr">
        <is>
          <t>ầu, không tự đổi oracle hoặc mở rộng phạm vi.</t>
        </is>
      </c>
    </row>
    <row r="1639" ht="61" customHeight="1">
      <c r="A1639" s="24">
        <f>HYPERLINK("#'Kiểm thử'!A"&amp;(MATCH("TC-RS-ERR-002 / direct-delete-save-failure",'Kiểm thử'!$A$5:$A$573,0)+4),"TC-RS-ERR-002 / direct-delete-save-failure")</f>
        <v/>
      </c>
      <c r="B1639" s="18" t="inlineStr">
        <is>
          <t>Màn hình / chức năng</t>
        </is>
      </c>
      <c r="C1639" s="18" t="inlineStr">
        <is>
          <t>Trạng thái kết quả và lỗi — Lỗi và cập nhật kết quả
Lỗi kỹ thuật khi lưu kết quả khác với Chưa xét được; không báo thành công giả</t>
        </is>
      </c>
    </row>
    <row r="1640" ht="299" customHeight="1">
      <c r="A1640" s="24">
        <f>HYPERLINK("#'Kiểm thử'!A"&amp;(MATCH("TC-RS-ERR-002 / direct-delete-save-failure",'Kiểm thử'!$A$5:$A$573,0)+4),"TC-RS-ERR-002 / direct-delete-save-failure")</f>
        <v/>
      </c>
      <c r="B1640" s="18" t="inlineStr">
        <is>
          <t>Điều kiện / thao tác</t>
        </is>
      </c>
      <c r="C1640"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direct-delete-save-failure trong thủ tục và Expected của case; thực hiện các bước chuẩn b</t>
        </is>
      </c>
    </row>
    <row r="1641" ht="299" customHeight="1">
      <c r="A1641" s="24">
        <f>HYPERLINK("#'Kiểm thử'!A"&amp;(MATCH("TC-RS-ERR-002 / direct-delete-save-failure",'Kiểm thử'!$A$5:$A$573,0)+4),"TC-RS-ERR-002 / direct-delete-save-failure")</f>
        <v/>
      </c>
      <c r="B1641" s="18" t="inlineStr">
        <is>
          <t>Điều kiện / thao tác</t>
        </is>
      </c>
      <c r="C1641" s="18" t="inlineStr">
        <is>
          <t xml:space="preserve">ị 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42" ht="163" customHeight="1">
      <c r="A1642" s="24">
        <f>HYPERLINK("#'Kiểm thử'!A"&amp;(MATCH("TC-RS-ERR-002 / direct-delete-save-failure",'Kiểm thử'!$A$5:$A$573,0)+4),"TC-RS-ERR-002 / direct-delete-save-failure")</f>
        <v/>
      </c>
      <c r="B1642" s="18" t="inlineStr">
        <is>
          <t>Điều kiện / thao tác</t>
        </is>
      </c>
      <c r="C1642"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43" ht="299" customHeight="1">
      <c r="A1643" s="24">
        <f>HYPERLINK("#'Kiểm thử'!A"&amp;(MATCH("TC-RS-ERR-002 / direct-delete-save-failure",'Kiểm thử'!$A$5:$A$573,0)+4),"TC-RS-ERR-002 / direct-delete-save-failure")</f>
        <v/>
      </c>
      <c r="B1643" s="18" t="inlineStr">
        <is>
          <t>Kết quả mong đợi</t>
        </is>
      </c>
      <c r="C1643"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44" ht="61" customHeight="1">
      <c r="A1644" s="24">
        <f>HYPERLINK("#'Kiểm thử'!A"&amp;(MATCH("TC-RS-ERR-002 / direct-delete-save-failure",'Kiểm thử'!$A$5:$A$573,0)+4),"TC-RS-ERR-002 / direct-delete-save-failure")</f>
        <v/>
      </c>
      <c r="B1644" s="18" t="inlineStr">
        <is>
          <t>Kết quả mong đợi</t>
        </is>
      </c>
      <c r="C1644" s="18" t="inlineStr">
        <is>
          <t>ầu, không tự đổi oracle hoặc mở rộng phạm vi.</t>
        </is>
      </c>
    </row>
    <row r="1645" ht="44" customHeight="1">
      <c r="A1645" s="24">
        <f>HYPERLINK("#'Kiểm thử'!A"&amp;(MATCH("TC-RS-ERR-002 / csv-delete-save-failure",'Kiểm thử'!$A$5:$A$573,0)+4),"TC-RS-ERR-002 / csv-delete-save-failure")</f>
        <v/>
      </c>
      <c r="B1645" s="18" t="inlineStr">
        <is>
          <t>Màn hình / chức năng</t>
        </is>
      </c>
      <c r="C1645" s="18" t="inlineStr">
        <is>
          <t>Trạng thái kết quả và lỗi — Lỗi và cập nhật kết quả
Lỗi kỹ thuật khi lưu kết quả khác với Chưa xét được; không báo thành công giả</t>
        </is>
      </c>
    </row>
    <row r="1646" ht="299" customHeight="1">
      <c r="A1646" s="24">
        <f>HYPERLINK("#'Kiểm thử'!A"&amp;(MATCH("TC-RS-ERR-002 / csv-delete-save-failure",'Kiểm thử'!$A$5:$A$573,0)+4),"TC-RS-ERR-002 / csv-delete-save-failure")</f>
        <v/>
      </c>
      <c r="B1646" s="18" t="inlineStr">
        <is>
          <t>Điều kiện / thao tác</t>
        </is>
      </c>
      <c r="C1646"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csv-delete-save-failure trong thủ tục và Expected của case; thực hiện các bước chuẩn bị c</t>
        </is>
      </c>
    </row>
    <row r="1647" ht="299" customHeight="1">
      <c r="A1647" s="24">
        <f>HYPERLINK("#'Kiểm thử'!A"&amp;(MATCH("TC-RS-ERR-002 / csv-delete-save-failure",'Kiểm thử'!$A$5:$A$573,0)+4),"TC-RS-ERR-002 / csv-delete-save-failure")</f>
        <v/>
      </c>
      <c r="B1647" s="18" t="inlineStr">
        <is>
          <t>Điều kiện / thao tác</t>
        </is>
      </c>
      <c r="C1647" s="18" t="inlineStr">
        <is>
          <t xml:space="preserve">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48" ht="163" customHeight="1">
      <c r="A1648" s="24">
        <f>HYPERLINK("#'Kiểm thử'!A"&amp;(MATCH("TC-RS-ERR-002 / csv-delete-save-failure",'Kiểm thử'!$A$5:$A$573,0)+4),"TC-RS-ERR-002 / csv-delete-save-failure")</f>
        <v/>
      </c>
      <c r="B1648" s="18" t="inlineStr">
        <is>
          <t>Điều kiện / thao tác</t>
        </is>
      </c>
      <c r="C1648"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49" ht="299" customHeight="1">
      <c r="A1649" s="24">
        <f>HYPERLINK("#'Kiểm thử'!A"&amp;(MATCH("TC-RS-ERR-002 / csv-delete-save-failure",'Kiểm thử'!$A$5:$A$573,0)+4),"TC-RS-ERR-002 / csv-delete-save-failure")</f>
        <v/>
      </c>
      <c r="B1649" s="18" t="inlineStr">
        <is>
          <t>Kết quả mong đợi</t>
        </is>
      </c>
      <c r="C1649"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50" ht="44" customHeight="1">
      <c r="A1650" s="24">
        <f>HYPERLINK("#'Kiểm thử'!A"&amp;(MATCH("TC-RS-ERR-002 / csv-delete-save-failure",'Kiểm thử'!$A$5:$A$573,0)+4),"TC-RS-ERR-002 / csv-delete-save-failure")</f>
        <v/>
      </c>
      <c r="B1650" s="18" t="inlineStr">
        <is>
          <t>Kết quả mong đợi</t>
        </is>
      </c>
      <c r="C1650" s="18" t="inlineStr">
        <is>
          <t>ầu, không tự đổi oracle hoặc mở rộng phạm vi.</t>
        </is>
      </c>
    </row>
    <row r="1651" ht="61" customHeight="1">
      <c r="A1651" s="24">
        <f>HYPERLINK("#'Kiểm thử'!A"&amp;(MATCH("TC-RS-ERR-002 / linked-delete-save-failure",'Kiểm thử'!$A$5:$A$573,0)+4),"TC-RS-ERR-002 / linked-delete-save-failure")</f>
        <v/>
      </c>
      <c r="B1651" s="18" t="inlineStr">
        <is>
          <t>Màn hình / chức năng</t>
        </is>
      </c>
      <c r="C1651" s="18" t="inlineStr">
        <is>
          <t>Trạng thái kết quả và lỗi — Lỗi và cập nhật kết quả
Lỗi kỹ thuật khi lưu kết quả khác với Chưa xét được; không báo thành công giả</t>
        </is>
      </c>
    </row>
    <row r="1652" ht="299" customHeight="1">
      <c r="A1652" s="24">
        <f>HYPERLINK("#'Kiểm thử'!A"&amp;(MATCH("TC-RS-ERR-002 / linked-delete-save-failure",'Kiểm thử'!$A$5:$A$573,0)+4),"TC-RS-ERR-002 / linked-delete-save-failure")</f>
        <v/>
      </c>
      <c r="B1652" s="18" t="inlineStr">
        <is>
          <t>Điều kiện / thao tác</t>
        </is>
      </c>
      <c r="C1652"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linked-delete-save-failure trong thủ tục và Expected của case; thực hiện các bước chuẩn b</t>
        </is>
      </c>
    </row>
    <row r="1653" ht="299" customHeight="1">
      <c r="A1653" s="24">
        <f>HYPERLINK("#'Kiểm thử'!A"&amp;(MATCH("TC-RS-ERR-002 / linked-delete-save-failure",'Kiểm thử'!$A$5:$A$573,0)+4),"TC-RS-ERR-002 / linked-delete-save-failure")</f>
        <v/>
      </c>
      <c r="B1653" s="18" t="inlineStr">
        <is>
          <t>Điều kiện / thao tác</t>
        </is>
      </c>
      <c r="C1653" s="18" t="inlineStr">
        <is>
          <t xml:space="preserve">ị 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54" ht="163" customHeight="1">
      <c r="A1654" s="24">
        <f>HYPERLINK("#'Kiểm thử'!A"&amp;(MATCH("TC-RS-ERR-002 / linked-delete-save-failure",'Kiểm thử'!$A$5:$A$573,0)+4),"TC-RS-ERR-002 / linked-delete-save-failure")</f>
        <v/>
      </c>
      <c r="B1654" s="18" t="inlineStr">
        <is>
          <t>Điều kiện / thao tác</t>
        </is>
      </c>
      <c r="C1654"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55" ht="299" customHeight="1">
      <c r="A1655" s="24">
        <f>HYPERLINK("#'Kiểm thử'!A"&amp;(MATCH("TC-RS-ERR-002 / linked-delete-save-failure",'Kiểm thử'!$A$5:$A$573,0)+4),"TC-RS-ERR-002 / linked-delete-save-failure")</f>
        <v/>
      </c>
      <c r="B1655" s="18" t="inlineStr">
        <is>
          <t>Kết quả mong đợi</t>
        </is>
      </c>
      <c r="C1655"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56" ht="61" customHeight="1">
      <c r="A1656" s="24">
        <f>HYPERLINK("#'Kiểm thử'!A"&amp;(MATCH("TC-RS-ERR-002 / linked-delete-save-failure",'Kiểm thử'!$A$5:$A$573,0)+4),"TC-RS-ERR-002 / linked-delete-save-failure")</f>
        <v/>
      </c>
      <c r="B1656" s="18" t="inlineStr">
        <is>
          <t>Kết quả mong đợi</t>
        </is>
      </c>
      <c r="C1656" s="18" t="inlineStr">
        <is>
          <t>ầu, không tự đổi oracle hoặc mở rộng phạm vi.</t>
        </is>
      </c>
    </row>
    <row r="1657" ht="61" customHeight="1">
      <c r="A1657" s="24">
        <f>HYPERLINK("#'Kiểm thử'!A"&amp;(MATCH("TC-RS-ERR-002 / direct-delete-result-write-failure",'Kiểm thử'!$A$5:$A$573,0)+4),"TC-RS-ERR-002 / direct-delete-result-write-failure")</f>
        <v/>
      </c>
      <c r="B1657" s="18" t="inlineStr">
        <is>
          <t>Màn hình / chức năng</t>
        </is>
      </c>
      <c r="C1657" s="18" t="inlineStr">
        <is>
          <t>Trạng thái kết quả và lỗi — Lỗi và cập nhật kết quả
Lỗi kỹ thuật khi lưu kết quả khác với Chưa xét được; không báo thành công giả</t>
        </is>
      </c>
    </row>
    <row r="1658" ht="299" customHeight="1">
      <c r="A1658" s="24">
        <f>HYPERLINK("#'Kiểm thử'!A"&amp;(MATCH("TC-RS-ERR-002 / direct-delete-result-write-failure",'Kiểm thử'!$A$5:$A$573,0)+4),"TC-RS-ERR-002 / direct-delete-result-write-failure")</f>
        <v/>
      </c>
      <c r="B1658" s="18" t="inlineStr">
        <is>
          <t>Điều kiện / thao tác</t>
        </is>
      </c>
      <c r="C1658"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direct-delete-result-write-failure trong thủ tục và Expected của case; thực hiện các bước</t>
        </is>
      </c>
    </row>
    <row r="1659" ht="299" customHeight="1">
      <c r="A1659" s="24">
        <f>HYPERLINK("#'Kiểm thử'!A"&amp;(MATCH("TC-RS-ERR-002 / direct-delete-result-write-failure",'Kiểm thử'!$A$5:$A$573,0)+4),"TC-RS-ERR-002 / direct-delete-result-write-failure")</f>
        <v/>
      </c>
      <c r="B1659" s="18" t="inlineStr">
        <is>
          <t>Điều kiện / thao tác</t>
        </is>
      </c>
      <c r="C1659" s="18" t="inlineStr">
        <is>
          <t xml:space="preserve"> chuẩn bị 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60" ht="163" customHeight="1">
      <c r="A1660" s="24">
        <f>HYPERLINK("#'Kiểm thử'!A"&amp;(MATCH("TC-RS-ERR-002 / direct-delete-result-write-failure",'Kiểm thử'!$A$5:$A$573,0)+4),"TC-RS-ERR-002 / direct-delete-result-write-failure")</f>
        <v/>
      </c>
      <c r="B1660" s="18" t="inlineStr">
        <is>
          <t>Điều kiện / thao tác</t>
        </is>
      </c>
      <c r="C1660"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61" ht="299" customHeight="1">
      <c r="A1661" s="24">
        <f>HYPERLINK("#'Kiểm thử'!A"&amp;(MATCH("TC-RS-ERR-002 / direct-delete-result-write-failure",'Kiểm thử'!$A$5:$A$573,0)+4),"TC-RS-ERR-002 / direct-delete-result-write-failure")</f>
        <v/>
      </c>
      <c r="B1661" s="18" t="inlineStr">
        <is>
          <t>Kết quả mong đợi</t>
        </is>
      </c>
      <c r="C1661"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62" ht="61" customHeight="1">
      <c r="A1662" s="24">
        <f>HYPERLINK("#'Kiểm thử'!A"&amp;(MATCH("TC-RS-ERR-002 / direct-delete-result-write-failure",'Kiểm thử'!$A$5:$A$573,0)+4),"TC-RS-ERR-002 / direct-delete-result-write-failure")</f>
        <v/>
      </c>
      <c r="B1662" s="18" t="inlineStr">
        <is>
          <t>Kết quả mong đợi</t>
        </is>
      </c>
      <c r="C1662" s="18" t="inlineStr">
        <is>
          <t>ầu, không tự đổi oracle hoặc mở rộng phạm vi.</t>
        </is>
      </c>
    </row>
    <row r="1663" ht="61" customHeight="1">
      <c r="A1663" s="24">
        <f>HYPERLINK("#'Kiểm thử'!A"&amp;(MATCH("TC-RS-ERR-002 / csv-delete-result-write-failure",'Kiểm thử'!$A$5:$A$573,0)+4),"TC-RS-ERR-002 / csv-delete-result-write-failure")</f>
        <v/>
      </c>
      <c r="B1663" s="18" t="inlineStr">
        <is>
          <t>Màn hình / chức năng</t>
        </is>
      </c>
      <c r="C1663" s="18" t="inlineStr">
        <is>
          <t>Trạng thái kết quả và lỗi — Lỗi và cập nhật kết quả
Lỗi kỹ thuật khi lưu kết quả khác với Chưa xét được; không báo thành công giả</t>
        </is>
      </c>
    </row>
    <row r="1664" ht="299" customHeight="1">
      <c r="A1664" s="24">
        <f>HYPERLINK("#'Kiểm thử'!A"&amp;(MATCH("TC-RS-ERR-002 / csv-delete-result-write-failure",'Kiểm thử'!$A$5:$A$573,0)+4),"TC-RS-ERR-002 / csv-delete-result-write-failure")</f>
        <v/>
      </c>
      <c r="B1664" s="18" t="inlineStr">
        <is>
          <t>Điều kiện / thao tác</t>
        </is>
      </c>
      <c r="C1664"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csv-delete-result-write-failure trong thủ tục và Expected của case; thực hiện các bước ch</t>
        </is>
      </c>
    </row>
    <row r="1665" ht="299" customHeight="1">
      <c r="A1665" s="24">
        <f>HYPERLINK("#'Kiểm thử'!A"&amp;(MATCH("TC-RS-ERR-002 / csv-delete-result-write-failure",'Kiểm thử'!$A$5:$A$573,0)+4),"TC-RS-ERR-002 / csv-delete-result-write-failure")</f>
        <v/>
      </c>
      <c r="B1665" s="18" t="inlineStr">
        <is>
          <t>Điều kiện / thao tác</t>
        </is>
      </c>
      <c r="C1665" s="18" t="inlineStr">
        <is>
          <t xml:space="preserve">uẩn bị 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66" ht="163" customHeight="1">
      <c r="A1666" s="24">
        <f>HYPERLINK("#'Kiểm thử'!A"&amp;(MATCH("TC-RS-ERR-002 / csv-delete-result-write-failure",'Kiểm thử'!$A$5:$A$573,0)+4),"TC-RS-ERR-002 / csv-delete-result-write-failure")</f>
        <v/>
      </c>
      <c r="B1666" s="18" t="inlineStr">
        <is>
          <t>Điều kiện / thao tác</t>
        </is>
      </c>
      <c r="C1666"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67" ht="299" customHeight="1">
      <c r="A1667" s="24">
        <f>HYPERLINK("#'Kiểm thử'!A"&amp;(MATCH("TC-RS-ERR-002 / csv-delete-result-write-failure",'Kiểm thử'!$A$5:$A$573,0)+4),"TC-RS-ERR-002 / csv-delete-result-write-failure")</f>
        <v/>
      </c>
      <c r="B1667" s="18" t="inlineStr">
        <is>
          <t>Kết quả mong đợi</t>
        </is>
      </c>
      <c r="C1667"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68" ht="61" customHeight="1">
      <c r="A1668" s="24">
        <f>HYPERLINK("#'Kiểm thử'!A"&amp;(MATCH("TC-RS-ERR-002 / csv-delete-result-write-failure",'Kiểm thử'!$A$5:$A$573,0)+4),"TC-RS-ERR-002 / csv-delete-result-write-failure")</f>
        <v/>
      </c>
      <c r="B1668" s="18" t="inlineStr">
        <is>
          <t>Kết quả mong đợi</t>
        </is>
      </c>
      <c r="C1668" s="18" t="inlineStr">
        <is>
          <t>ầu, không tự đổi oracle hoặc mở rộng phạm vi.</t>
        </is>
      </c>
    </row>
    <row r="1669" ht="61" customHeight="1">
      <c r="A1669" s="24">
        <f>HYPERLINK("#'Kiểm thử'!A"&amp;(MATCH("TC-RS-ERR-002 / linked-delete-result-write-failure",'Kiểm thử'!$A$5:$A$573,0)+4),"TC-RS-ERR-002 / linked-delete-result-write-failure")</f>
        <v/>
      </c>
      <c r="B1669" s="18" t="inlineStr">
        <is>
          <t>Màn hình / chức năng</t>
        </is>
      </c>
      <c r="C1669" s="18" t="inlineStr">
        <is>
          <t>Trạng thái kết quả và lỗi — Lỗi và cập nhật kết quả
Lỗi kỹ thuật khi lưu kết quả khác với Chưa xét được; không báo thành công giả</t>
        </is>
      </c>
    </row>
    <row r="1670" ht="299" customHeight="1">
      <c r="A1670" s="24">
        <f>HYPERLINK("#'Kiểm thử'!A"&amp;(MATCH("TC-RS-ERR-002 / linked-delete-result-write-failure",'Kiểm thử'!$A$5:$A$573,0)+4),"TC-RS-ERR-002 / linked-delete-result-write-failure")</f>
        <v/>
      </c>
      <c r="B1670" s="18" t="inlineStr">
        <is>
          <t>Điều kiện / thao tác</t>
        </is>
      </c>
      <c r="C1670"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linked-delete-result-write-failure trong thủ tục và Expected của case; thực hiện các bước</t>
        </is>
      </c>
    </row>
    <row r="1671" ht="299" customHeight="1">
      <c r="A1671" s="24">
        <f>HYPERLINK("#'Kiểm thử'!A"&amp;(MATCH("TC-RS-ERR-002 / linked-delete-result-write-failure",'Kiểm thử'!$A$5:$A$573,0)+4),"TC-RS-ERR-002 / linked-delete-result-write-failure")</f>
        <v/>
      </c>
      <c r="B1671" s="18" t="inlineStr">
        <is>
          <t>Điều kiện / thao tác</t>
        </is>
      </c>
      <c r="C1671" s="18" t="inlineStr">
        <is>
          <t xml:space="preserve"> chuẩn bị 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72" ht="163" customHeight="1">
      <c r="A1672" s="24">
        <f>HYPERLINK("#'Kiểm thử'!A"&amp;(MATCH("TC-RS-ERR-002 / linked-delete-result-write-failure",'Kiểm thử'!$A$5:$A$573,0)+4),"TC-RS-ERR-002 / linked-delete-result-write-failure")</f>
        <v/>
      </c>
      <c r="B1672" s="18" t="inlineStr">
        <is>
          <t>Điều kiện / thao tác</t>
        </is>
      </c>
      <c r="C1672"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73" ht="299" customHeight="1">
      <c r="A1673" s="24">
        <f>HYPERLINK("#'Kiểm thử'!A"&amp;(MATCH("TC-RS-ERR-002 / linked-delete-result-write-failure",'Kiểm thử'!$A$5:$A$573,0)+4),"TC-RS-ERR-002 / linked-delete-result-write-failure")</f>
        <v/>
      </c>
      <c r="B1673" s="18" t="inlineStr">
        <is>
          <t>Kết quả mong đợi</t>
        </is>
      </c>
      <c r="C1673"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74" ht="61" customHeight="1">
      <c r="A1674" s="24">
        <f>HYPERLINK("#'Kiểm thử'!A"&amp;(MATCH("TC-RS-ERR-002 / linked-delete-result-write-failure",'Kiểm thử'!$A$5:$A$573,0)+4),"TC-RS-ERR-002 / linked-delete-result-write-failure")</f>
        <v/>
      </c>
      <c r="B1674" s="18" t="inlineStr">
        <is>
          <t>Kết quả mong đợi</t>
        </is>
      </c>
      <c r="C1674" s="18" t="inlineStr">
        <is>
          <t>ầu, không tự đổi oracle hoặc mở rộng phạm vi.</t>
        </is>
      </c>
    </row>
    <row r="1675" ht="44" customHeight="1">
      <c r="A1675" s="24">
        <f>HYPERLINK("#'Kiểm thử'!A"&amp;(MATCH("TC-RS-ERR-002 / direct-edit-save-failure",'Kiểm thử'!$A$5:$A$573,0)+4),"TC-RS-ERR-002 / direct-edit-save-failure")</f>
        <v/>
      </c>
      <c r="B1675" s="18" t="inlineStr">
        <is>
          <t>Màn hình / chức năng</t>
        </is>
      </c>
      <c r="C1675" s="18" t="inlineStr">
        <is>
          <t>Trạng thái kết quả và lỗi — Lỗi và cập nhật kết quả
Lỗi kỹ thuật khi lưu kết quả khác với Chưa xét được; không báo thành công giả</t>
        </is>
      </c>
    </row>
    <row r="1676" ht="299" customHeight="1">
      <c r="A1676" s="24">
        <f>HYPERLINK("#'Kiểm thử'!A"&amp;(MATCH("TC-RS-ERR-002 / direct-edit-save-failure",'Kiểm thử'!$A$5:$A$573,0)+4),"TC-RS-ERR-002 / direct-edit-save-failure")</f>
        <v/>
      </c>
      <c r="B1676" s="18" t="inlineStr">
        <is>
          <t>Điều kiện / thao tác</t>
        </is>
      </c>
      <c r="C1676" s="18" t="inlineStr">
        <is>
          <t xml:space="preserve">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direct-edit-save-failure trong thủ tục và Expected của case; thực hiện các bước chuẩn bị </t>
        </is>
      </c>
    </row>
    <row r="1677" ht="299" customHeight="1">
      <c r="A1677" s="24">
        <f>HYPERLINK("#'Kiểm thử'!A"&amp;(MATCH("TC-RS-ERR-002 / direct-edit-save-failure",'Kiểm thử'!$A$5:$A$573,0)+4),"TC-RS-ERR-002 / direct-edit-save-failure")</f>
        <v/>
      </c>
      <c r="B1677" s="18" t="inlineStr">
        <is>
          <t>Điều kiện / thao tác</t>
        </is>
      </c>
      <c r="C1677" s="18" t="inlineStr">
        <is>
          <t xml:space="preserve">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78" ht="163" customHeight="1">
      <c r="A1678" s="24">
        <f>HYPERLINK("#'Kiểm thử'!A"&amp;(MATCH("TC-RS-ERR-002 / direct-edit-save-failure",'Kiểm thử'!$A$5:$A$573,0)+4),"TC-RS-ERR-002 / direct-edit-save-failure")</f>
        <v/>
      </c>
      <c r="B1678" s="18" t="inlineStr">
        <is>
          <t>Điều kiện / thao tác</t>
        </is>
      </c>
      <c r="C1678"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79" ht="299" customHeight="1">
      <c r="A1679" s="24">
        <f>HYPERLINK("#'Kiểm thử'!A"&amp;(MATCH("TC-RS-ERR-002 / direct-edit-save-failure",'Kiểm thử'!$A$5:$A$573,0)+4),"TC-RS-ERR-002 / direct-edit-save-failure")</f>
        <v/>
      </c>
      <c r="B1679" s="18" t="inlineStr">
        <is>
          <t>Kết quả mong đợi</t>
        </is>
      </c>
      <c r="C1679"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80" ht="44" customHeight="1">
      <c r="A1680" s="24">
        <f>HYPERLINK("#'Kiểm thử'!A"&amp;(MATCH("TC-RS-ERR-002 / direct-edit-save-failure",'Kiểm thử'!$A$5:$A$573,0)+4),"TC-RS-ERR-002 / direct-edit-save-failure")</f>
        <v/>
      </c>
      <c r="B1680" s="18" t="inlineStr">
        <is>
          <t>Kết quả mong đợi</t>
        </is>
      </c>
      <c r="C1680" s="18" t="inlineStr">
        <is>
          <t>ầu, không tự đổi oracle hoặc mở rộng phạm vi.</t>
        </is>
      </c>
    </row>
    <row r="1681" ht="44" customHeight="1">
      <c r="A1681" s="24">
        <f>HYPERLINK("#'Kiểm thử'!A"&amp;(MATCH("TC-RS-ERR-002 / csv-edit-save-failure",'Kiểm thử'!$A$5:$A$573,0)+4),"TC-RS-ERR-002 / csv-edit-save-failure")</f>
        <v/>
      </c>
      <c r="B1681" s="18" t="inlineStr">
        <is>
          <t>Màn hình / chức năng</t>
        </is>
      </c>
      <c r="C1681" s="18" t="inlineStr">
        <is>
          <t>Trạng thái kết quả và lỗi — Lỗi và cập nhật kết quả
Lỗi kỹ thuật khi lưu kết quả khác với Chưa xét được; không báo thành công giả</t>
        </is>
      </c>
    </row>
    <row r="1682" ht="299" customHeight="1">
      <c r="A1682" s="24">
        <f>HYPERLINK("#'Kiểm thử'!A"&amp;(MATCH("TC-RS-ERR-002 / csv-edit-save-failure",'Kiểm thử'!$A$5:$A$573,0)+4),"TC-RS-ERR-002 / csv-edit-save-failure")</f>
        <v/>
      </c>
      <c r="B1682" s="18" t="inlineStr">
        <is>
          <t>Điều kiện / thao tác</t>
        </is>
      </c>
      <c r="C1682"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csv-edit-save-failure trong thủ tục và Expected của case; thực hiện các bước chuẩn bị chu</t>
        </is>
      </c>
    </row>
    <row r="1683" ht="299" customHeight="1">
      <c r="A1683" s="24">
        <f>HYPERLINK("#'Kiểm thử'!A"&amp;(MATCH("TC-RS-ERR-002 / csv-edit-save-failure",'Kiểm thử'!$A$5:$A$573,0)+4),"TC-RS-ERR-002 / csv-edit-save-failure")</f>
        <v/>
      </c>
      <c r="B1683" s="18" t="inlineStr">
        <is>
          <t>Điều kiện / thao tác</t>
        </is>
      </c>
      <c r="C1683" s="18" t="inlineStr">
        <is>
          <t xml:space="preserve">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84" ht="163" customHeight="1">
      <c r="A1684" s="24">
        <f>HYPERLINK("#'Kiểm thử'!A"&amp;(MATCH("TC-RS-ERR-002 / csv-edit-save-failure",'Kiểm thử'!$A$5:$A$573,0)+4),"TC-RS-ERR-002 / csv-edit-save-failure")</f>
        <v/>
      </c>
      <c r="B1684" s="18" t="inlineStr">
        <is>
          <t>Điều kiện / thao tác</t>
        </is>
      </c>
      <c r="C1684"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85" ht="299" customHeight="1">
      <c r="A1685" s="24">
        <f>HYPERLINK("#'Kiểm thử'!A"&amp;(MATCH("TC-RS-ERR-002 / csv-edit-save-failure",'Kiểm thử'!$A$5:$A$573,0)+4),"TC-RS-ERR-002 / csv-edit-save-failure")</f>
        <v/>
      </c>
      <c r="B1685" s="18" t="inlineStr">
        <is>
          <t>Kết quả mong đợi</t>
        </is>
      </c>
      <c r="C1685"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86" ht="44" customHeight="1">
      <c r="A1686" s="24">
        <f>HYPERLINK("#'Kiểm thử'!A"&amp;(MATCH("TC-RS-ERR-002 / csv-edit-save-failure",'Kiểm thử'!$A$5:$A$573,0)+4),"TC-RS-ERR-002 / csv-edit-save-failure")</f>
        <v/>
      </c>
      <c r="B1686" s="18" t="inlineStr">
        <is>
          <t>Kết quả mong đợi</t>
        </is>
      </c>
      <c r="C1686" s="18" t="inlineStr">
        <is>
          <t>ầu, không tự đổi oracle hoặc mở rộng phạm vi.</t>
        </is>
      </c>
    </row>
    <row r="1687" ht="44" customHeight="1">
      <c r="A1687" s="24">
        <f>HYPERLINK("#'Kiểm thử'!A"&amp;(MATCH("TC-RS-ERR-002 / linked-edit-save-failure",'Kiểm thử'!$A$5:$A$573,0)+4),"TC-RS-ERR-002 / linked-edit-save-failure")</f>
        <v/>
      </c>
      <c r="B1687" s="18" t="inlineStr">
        <is>
          <t>Màn hình / chức năng</t>
        </is>
      </c>
      <c r="C1687" s="18" t="inlineStr">
        <is>
          <t>Trạng thái kết quả và lỗi — Lỗi và cập nhật kết quả
Lỗi kỹ thuật khi lưu kết quả khác với Chưa xét được; không báo thành công giả</t>
        </is>
      </c>
    </row>
    <row r="1688" ht="299" customHeight="1">
      <c r="A1688" s="24">
        <f>HYPERLINK("#'Kiểm thử'!A"&amp;(MATCH("TC-RS-ERR-002 / linked-edit-save-failure",'Kiểm thử'!$A$5:$A$573,0)+4),"TC-RS-ERR-002 / linked-edit-save-failure")</f>
        <v/>
      </c>
      <c r="B1688" s="18" t="inlineStr">
        <is>
          <t>Điều kiện / thao tác</t>
        </is>
      </c>
      <c r="C1688" s="18" t="inlineStr">
        <is>
          <t xml:space="preserve">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linked-edit-save-failure trong thủ tục và Expected của case; thực hiện các bước chuẩn bị </t>
        </is>
      </c>
    </row>
    <row r="1689" ht="299" customHeight="1">
      <c r="A1689" s="24">
        <f>HYPERLINK("#'Kiểm thử'!A"&amp;(MATCH("TC-RS-ERR-002 / linked-edit-save-failure",'Kiểm thử'!$A$5:$A$573,0)+4),"TC-RS-ERR-002 / linked-edit-save-failure")</f>
        <v/>
      </c>
      <c r="B1689" s="18" t="inlineStr">
        <is>
          <t>Điều kiện / thao tác</t>
        </is>
      </c>
      <c r="C1689" s="18" t="inlineStr">
        <is>
          <t xml:space="preserve">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90" ht="163" customHeight="1">
      <c r="A1690" s="24">
        <f>HYPERLINK("#'Kiểm thử'!A"&amp;(MATCH("TC-RS-ERR-002 / linked-edit-save-failure",'Kiểm thử'!$A$5:$A$573,0)+4),"TC-RS-ERR-002 / linked-edit-save-failure")</f>
        <v/>
      </c>
      <c r="B1690" s="18" t="inlineStr">
        <is>
          <t>Điều kiện / thao tác</t>
        </is>
      </c>
      <c r="C1690"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91" ht="299" customHeight="1">
      <c r="A1691" s="24">
        <f>HYPERLINK("#'Kiểm thử'!A"&amp;(MATCH("TC-RS-ERR-002 / linked-edit-save-failure",'Kiểm thử'!$A$5:$A$573,0)+4),"TC-RS-ERR-002 / linked-edit-save-failure")</f>
        <v/>
      </c>
      <c r="B1691" s="18" t="inlineStr">
        <is>
          <t>Kết quả mong đợi</t>
        </is>
      </c>
      <c r="C1691"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92" ht="44" customHeight="1">
      <c r="A1692" s="24">
        <f>HYPERLINK("#'Kiểm thử'!A"&amp;(MATCH("TC-RS-ERR-002 / linked-edit-save-failure",'Kiểm thử'!$A$5:$A$573,0)+4),"TC-RS-ERR-002 / linked-edit-save-failure")</f>
        <v/>
      </c>
      <c r="B1692" s="18" t="inlineStr">
        <is>
          <t>Kết quả mong đợi</t>
        </is>
      </c>
      <c r="C1692" s="18" t="inlineStr">
        <is>
          <t>ầu, không tự đổi oracle hoặc mở rộng phạm vi.</t>
        </is>
      </c>
    </row>
    <row r="1693" ht="61" customHeight="1">
      <c r="A1693" s="24">
        <f>HYPERLINK("#'Kiểm thử'!A"&amp;(MATCH("TC-RS-ERR-002 / direct-edit-result-write-failure",'Kiểm thử'!$A$5:$A$573,0)+4),"TC-RS-ERR-002 / direct-edit-result-write-failure")</f>
        <v/>
      </c>
      <c r="B1693" s="18" t="inlineStr">
        <is>
          <t>Màn hình / chức năng</t>
        </is>
      </c>
      <c r="C1693" s="18" t="inlineStr">
        <is>
          <t>Trạng thái kết quả và lỗi — Lỗi và cập nhật kết quả
Lỗi kỹ thuật khi lưu kết quả khác với Chưa xét được; không báo thành công giả</t>
        </is>
      </c>
    </row>
    <row r="1694" ht="299" customHeight="1">
      <c r="A1694" s="24">
        <f>HYPERLINK("#'Kiểm thử'!A"&amp;(MATCH("TC-RS-ERR-002 / direct-edit-result-write-failure",'Kiểm thử'!$A$5:$A$573,0)+4),"TC-RS-ERR-002 / direct-edit-result-write-failure")</f>
        <v/>
      </c>
      <c r="B1694" s="18" t="inlineStr">
        <is>
          <t>Điều kiện / thao tác</t>
        </is>
      </c>
      <c r="C1694"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direct-edit-result-write-failure trong thủ tục và Expected của case; thực hiện các bước c</t>
        </is>
      </c>
    </row>
    <row r="1695" ht="299" customHeight="1">
      <c r="A1695" s="24">
        <f>HYPERLINK("#'Kiểm thử'!A"&amp;(MATCH("TC-RS-ERR-002 / direct-edit-result-write-failure",'Kiểm thử'!$A$5:$A$573,0)+4),"TC-RS-ERR-002 / direct-edit-result-write-failure")</f>
        <v/>
      </c>
      <c r="B1695" s="18" t="inlineStr">
        <is>
          <t>Điều kiện / thao tác</t>
        </is>
      </c>
      <c r="C1695" s="18" t="inlineStr">
        <is>
          <t xml:space="preserve">huẩn bị 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696" ht="163" customHeight="1">
      <c r="A1696" s="24">
        <f>HYPERLINK("#'Kiểm thử'!A"&amp;(MATCH("TC-RS-ERR-002 / direct-edit-result-write-failure",'Kiểm thử'!$A$5:$A$573,0)+4),"TC-RS-ERR-002 / direct-edit-result-write-failure")</f>
        <v/>
      </c>
      <c r="B1696" s="18" t="inlineStr">
        <is>
          <t>Điều kiện / thao tác</t>
        </is>
      </c>
      <c r="C1696"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697" ht="299" customHeight="1">
      <c r="A1697" s="24">
        <f>HYPERLINK("#'Kiểm thử'!A"&amp;(MATCH("TC-RS-ERR-002 / direct-edit-result-write-failure",'Kiểm thử'!$A$5:$A$573,0)+4),"TC-RS-ERR-002 / direct-edit-result-write-failure")</f>
        <v/>
      </c>
      <c r="B1697" s="18" t="inlineStr">
        <is>
          <t>Kết quả mong đợi</t>
        </is>
      </c>
      <c r="C1697"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698" ht="61" customHeight="1">
      <c r="A1698" s="24">
        <f>HYPERLINK("#'Kiểm thử'!A"&amp;(MATCH("TC-RS-ERR-002 / direct-edit-result-write-failure",'Kiểm thử'!$A$5:$A$573,0)+4),"TC-RS-ERR-002 / direct-edit-result-write-failure")</f>
        <v/>
      </c>
      <c r="B1698" s="18" t="inlineStr">
        <is>
          <t>Kết quả mong đợi</t>
        </is>
      </c>
      <c r="C1698" s="18" t="inlineStr">
        <is>
          <t>ầu, không tự đổi oracle hoặc mở rộng phạm vi.</t>
        </is>
      </c>
    </row>
    <row r="1699" ht="61" customHeight="1">
      <c r="A1699" s="24">
        <f>HYPERLINK("#'Kiểm thử'!A"&amp;(MATCH("TC-RS-ERR-002 / csv-edit-result-write-failure",'Kiểm thử'!$A$5:$A$573,0)+4),"TC-RS-ERR-002 / csv-edit-result-write-failure")</f>
        <v/>
      </c>
      <c r="B1699" s="18" t="inlineStr">
        <is>
          <t>Màn hình / chức năng</t>
        </is>
      </c>
      <c r="C1699" s="18" t="inlineStr">
        <is>
          <t>Trạng thái kết quả và lỗi — Lỗi và cập nhật kết quả
Lỗi kỹ thuật khi lưu kết quả khác với Chưa xét được; không báo thành công giả</t>
        </is>
      </c>
    </row>
    <row r="1700" ht="299" customHeight="1">
      <c r="A1700" s="24">
        <f>HYPERLINK("#'Kiểm thử'!A"&amp;(MATCH("TC-RS-ERR-002 / csv-edit-result-write-failure",'Kiểm thử'!$A$5:$A$573,0)+4),"TC-RS-ERR-002 / csv-edit-result-write-failure")</f>
        <v/>
      </c>
      <c r="B1700" s="18" t="inlineStr">
        <is>
          <t>Điều kiện / thao tác</t>
        </is>
      </c>
      <c r="C1700"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csv-edit-result-write-failure trong thủ tục và Expected của case; thực hiện các bước chuẩ</t>
        </is>
      </c>
    </row>
    <row r="1701" ht="299" customHeight="1">
      <c r="A1701" s="24">
        <f>HYPERLINK("#'Kiểm thử'!A"&amp;(MATCH("TC-RS-ERR-002 / csv-edit-result-write-failure",'Kiểm thử'!$A$5:$A$573,0)+4),"TC-RS-ERR-002 / csv-edit-result-write-failure")</f>
        <v/>
      </c>
      <c r="B1701" s="18" t="inlineStr">
        <is>
          <t>Điều kiện / thao tác</t>
        </is>
      </c>
      <c r="C1701" s="18" t="inlineStr">
        <is>
          <t xml:space="preserve">n bị 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702" ht="163" customHeight="1">
      <c r="A1702" s="24">
        <f>HYPERLINK("#'Kiểm thử'!A"&amp;(MATCH("TC-RS-ERR-002 / csv-edit-result-write-failure",'Kiểm thử'!$A$5:$A$573,0)+4),"TC-RS-ERR-002 / csv-edit-result-write-failure")</f>
        <v/>
      </c>
      <c r="B1702" s="18" t="inlineStr">
        <is>
          <t>Điều kiện / thao tác</t>
        </is>
      </c>
      <c r="C1702"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703" ht="299" customHeight="1">
      <c r="A1703" s="24">
        <f>HYPERLINK("#'Kiểm thử'!A"&amp;(MATCH("TC-RS-ERR-002 / csv-edit-result-write-failure",'Kiểm thử'!$A$5:$A$573,0)+4),"TC-RS-ERR-002 / csv-edit-result-write-failure")</f>
        <v/>
      </c>
      <c r="B1703" s="18" t="inlineStr">
        <is>
          <t>Kết quả mong đợi</t>
        </is>
      </c>
      <c r="C1703"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704" ht="61" customHeight="1">
      <c r="A1704" s="24">
        <f>HYPERLINK("#'Kiểm thử'!A"&amp;(MATCH("TC-RS-ERR-002 / csv-edit-result-write-failure",'Kiểm thử'!$A$5:$A$573,0)+4),"TC-RS-ERR-002 / csv-edit-result-write-failure")</f>
        <v/>
      </c>
      <c r="B1704" s="18" t="inlineStr">
        <is>
          <t>Kết quả mong đợi</t>
        </is>
      </c>
      <c r="C1704" s="18" t="inlineStr">
        <is>
          <t>ầu, không tự đổi oracle hoặc mở rộng phạm vi.</t>
        </is>
      </c>
    </row>
    <row r="1705" ht="61" customHeight="1">
      <c r="A1705" s="24">
        <f>HYPERLINK("#'Kiểm thử'!A"&amp;(MATCH("TC-RS-ERR-002 / linked-edit-result-write-failure",'Kiểm thử'!$A$5:$A$573,0)+4),"TC-RS-ERR-002 / linked-edit-result-write-failure")</f>
        <v/>
      </c>
      <c r="B1705" s="18" t="inlineStr">
        <is>
          <t>Màn hình / chức năng</t>
        </is>
      </c>
      <c r="C1705" s="18" t="inlineStr">
        <is>
          <t>Trạng thái kết quả và lỗi — Lỗi và cập nhật kết quả
Lỗi kỹ thuật khi lưu kết quả khác với Chưa xét được; không báo thành công giả</t>
        </is>
      </c>
    </row>
    <row r="1706" ht="299" customHeight="1">
      <c r="A1706" s="24">
        <f>HYPERLINK("#'Kiểm thử'!A"&amp;(MATCH("TC-RS-ERR-002 / linked-edit-result-write-failure",'Kiểm thử'!$A$5:$A$573,0)+4),"TC-RS-ERR-002 / linked-edit-result-write-failure")</f>
        <v/>
      </c>
      <c r="B1706" s="18" t="inlineStr">
        <is>
          <t>Điều kiện / thao tác</t>
        </is>
      </c>
      <c r="C1706" s="18" t="inlineStr">
        <is>
          <t>Cấu hình: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S01, Toán 24 → sửa thành 35 (không đỏ nếu xét thành công), Ngữ văn 20 giữ nguyên; rule “Cố định 30” với dấu `&lt;`. Biến thể xóa dùng cùng điểm ban đầu nhưng bản reset khác biến thể sửa.
Nhánh linked-edit-result-write-failure trong thủ tục và Expected của case; thực hiện các bước c</t>
        </is>
      </c>
    </row>
    <row r="1707" ht="299" customHeight="1">
      <c r="A1707" s="24">
        <f>HYPERLINK("#'Kiểm thử'!A"&amp;(MATCH("TC-RS-ERR-002 / linked-edit-result-write-failure",'Kiểm thử'!$A$5:$A$573,0)+4),"TC-RS-ERR-002 / linked-edit-result-write-failure")</f>
        <v/>
      </c>
      <c r="B1707" s="18" t="inlineStr">
        <is>
          <t>Điều kiện / thao tác</t>
        </is>
      </c>
      <c r="C1707" s="18" t="inlineStr">
        <is>
          <t xml:space="preserve">huẩn bị chung trước nhánh
Thao tác: 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708" ht="163" customHeight="1">
      <c r="A1708" s="24">
        <f>HYPERLINK("#'Kiểm thử'!A"&amp;(MATCH("TC-RS-ERR-002 / linked-edit-result-write-failure",'Kiểm thử'!$A$5:$A$573,0)+4),"TC-RS-ERR-002 / linked-edit-result-write-failure")</f>
        <v/>
      </c>
      <c r="B1708" s="18" t="inlineStr">
        <is>
          <t>Điều kiện / thao tác</t>
        </is>
      </c>
      <c r="C1708" s="18" t="inlineStr">
        <is>
          <t>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chưa xác minh được seam gây lỗi lưu điểm và lỗi ghi kết quả riêng cho đăng ký trực tiếp, CSV và liên kết điểm thi, cũng như ranh giới giao dịch/đọc lại của từng đường; các nhánh lỗi không được suy thành rollback/Chưa xét được.
TC-RS-ERR-002: hoàn thiện đúng fixture/seam; giữ expected và chưa kết luận thực thi.</t>
        </is>
      </c>
    </row>
    <row r="1709" ht="299" customHeight="1">
      <c r="A1709" s="24">
        <f>HYPERLINK("#'Kiểm thử'!A"&amp;(MATCH("TC-RS-ERR-002 / linked-edit-result-write-failure",'Kiểm thử'!$A$5:$A$573,0)+4),"TC-RS-ERR-002 / linked-edit-result-write-failure")</f>
        <v/>
      </c>
      <c r="B1709" s="18" t="inlineStr">
        <is>
          <t>Kết quả mong đợi</t>
        </is>
      </c>
      <c r="C1709" s="18"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
Bảo toàn: Giữ điểm, cấu hình và đối tượng không đích theo expected; chỉ thay phần thủ tục yêu c</t>
        </is>
      </c>
    </row>
    <row r="1710" ht="61" customHeight="1">
      <c r="A1710" s="24">
        <f>HYPERLINK("#'Kiểm thử'!A"&amp;(MATCH("TC-RS-ERR-002 / linked-edit-result-write-failure",'Kiểm thử'!$A$5:$A$573,0)+4),"TC-RS-ERR-002 / linked-edit-result-write-failure")</f>
        <v/>
      </c>
      <c r="B1710" s="18" t="inlineStr">
        <is>
          <t>Kết quả mong đợi</t>
        </is>
      </c>
      <c r="C1710" s="18" t="inlineStr">
        <is>
          <t>ầu, không tự đổi oracle hoặc mở rộng phạm vi.</t>
        </is>
      </c>
    </row>
    <row r="1711" ht="299" customHeight="1">
      <c r="A1711" s="24">
        <f>HYPERLINK("#'Kiểm thử'!A"&amp;(MATCH("TC-RS-ERR-003 / partial-G-A2-failure",'Kiểm thử'!$A$5:$A$573,0)+4),"TC-RS-ERR-003 / partial-G-A2-failure")</f>
        <v/>
      </c>
      <c r="B1711" s="18" t="inlineStr">
        <is>
          <t>Điều kiện / thao tác</t>
        </is>
      </c>
      <c r="C1711" s="18" t="inlineStr">
        <is>
          <t>Cấu hình: Batch dùng `TD-GRP-03`: BATCH-GA1 và BATCH-GA2 cùng khối 1; giả lập lỗi riêng ở BATCH-GA2.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BATCH-S01 thuộc BATCH-GA1, BATCH-S02 thuộc BATCH-GA2, BATCH-S03 thuộc BATCH-GC ngoài batch; mỗi học sinh có identity ô điểm fixture riêng. Không dùng S01/G-A hoặc lớp master làm bằng chứng nếu chưa chứng minh mapping.
Nhánh partial-G-A2-failure trong thủ tục và Expected của case; thực hiện các bước chuẩn bị chung trước nhánh
Thao tác: 1. Chạy nút cam cho khối.
2. Xem thông báo và kết quả từng lớp.
3. Gỡ giả lập lỗi, chạy lại nút cam chỉ cho phạm vi BATCH-GA2.</t>
        </is>
      </c>
    </row>
    <row r="1712" ht="265" customHeight="1">
      <c r="A1712" s="24">
        <f>HYPERLINK("#'Kiểm thử'!A"&amp;(MATCH("TC-RS-ERR-003 / partial-G-A2-failure",'Kiểm thử'!$A$5:$A$573,0)+4),"TC-RS-ERR-003 / partial-G-A2-failure")</f>
        <v/>
      </c>
      <c r="B1712" s="18" t="inlineStr">
        <is>
          <t>Điều kiện / thao tác</t>
        </is>
      </c>
      <c r="C1712" s="18" t="inlineStr">
        <is>
          <t xml:space="preserve">
4. Xem kết quả hai lớp.
5. Chạy nút cam cho BATCH-GA1; khi chưa xong, giáo viên sửa và lưu điểm BATCH-S01. Chờ batch xong, xem thông báo/tiến độ và kết quả BATCH-S01.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TD-GRP-03, identity học sinh theo từng lớp và seam giả lập lỗi G-A2 chưa được provision/quan sát; không suy ra kết quả batch từ dữ liệu master.
TC-RS-ERR-003: hoàn thiện đúng fixture/seam; giữ expected và chưa kết luận thực thi.</t>
        </is>
      </c>
    </row>
    <row r="1713" ht="265" customHeight="1">
      <c r="A1713" s="24">
        <f>HYPERLINK("#'Kiểm thử'!A"&amp;(MATCH("TC-RS-ERR-003 / partial-G-A2-failure",'Kiểm thử'!$A$5:$A$573,0)+4),"TC-RS-ERR-003 / partial-G-A2-failure")</f>
        <v/>
      </c>
      <c r="B1713" s="18" t="inlineStr">
        <is>
          <t>Kết quả mong đợi</t>
        </is>
      </c>
      <c r="C1713" s="18" t="inlineStr">
        <is>
          <t>1–2. G-A1 cập nhật; G-A2 giữ trạng thái trước lượt. Thông báo cho biết phạm vi đã cập nhật, chưa cập nhật và cần chạy lại; không báo hoàn tất toàn bộ; không suy số lớp đã xử lý thành số ô đã xét. Không hứa rollback toàn lượt. Không tự retry vô hạn. G-C ngoài batch không bị tính vào kết quả.
3–4. BATCH-GA2 được cập nhật; BATCH-GA1 giữ kết quả của bước 1, mỗi ô chỉ có một kết quả hiệu lực, không trùng.
5. Phần của BATCH-S01 trong lượt batch (đã bị lần lưu mới thay thế) không được tính là cập nhật thành công, cũng không được tính là Chưa xét được; BATCH-S01 giữ kết quả của lần lưu mới. (PROPOSED theo thiết kế DB v2 mục 6.3 “Xóa/tạo lại, nguồn tham chiếu và lỗi”) Tiến độ ghi phần này là `superseded`; deadlock/timeout rollback toàn transaction đó và chỉ retry hữu hạn theo job hiện có.
Bảo toàn: Giữ điểm, cấu hình và đối tượng không đích theo expected; chỉ thay phần thủ tục yêu cầu, không tự đổi oracle hoặc mở rộng phạm vi.</t>
        </is>
      </c>
    </row>
    <row r="1714" ht="299" customHeight="1">
      <c r="A1714" s="24">
        <f>HYPERLINK("#'Kiểm thử'!A"&amp;(MATCH("TC-RS-ERR-003 / retry-G-A2-only",'Kiểm thử'!$A$5:$A$573,0)+4),"TC-RS-ERR-003 / retry-G-A2-only")</f>
        <v/>
      </c>
      <c r="B1714" s="18" t="inlineStr">
        <is>
          <t>Điều kiện / thao tác</t>
        </is>
      </c>
      <c r="C1714" s="18" t="inlineStr">
        <is>
          <t>Cấu hình: Batch dùng `TD-GRP-03`: BATCH-GA1 và BATCH-GA2 cùng khối 1; giả lập lỗi riêng ở BATCH-GA2.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BATCH-S01 thuộc BATCH-GA1, BATCH-S02 thuộc BATCH-GA2, BATCH-S03 thuộc BATCH-GC ngoài batch; mỗi học sinh có identity ô điểm fixture riêng. Không dùng S01/G-A hoặc lớp master làm bằng chứng nếu chưa chứng minh mapping.
Nhánh retry-G-A2-only trong thủ tục và Expected của case; thực hiện các bước chuẩn bị chung trước nhánh
Thao tác: 1. Chạy nút cam cho khối.
2. Xem thông báo và kết quả từng lớp.
3. Gỡ giả lập lỗi, chạy lại nút cam chỉ cho phạm vi BATCH-GA2.</t>
        </is>
      </c>
    </row>
    <row r="1715" ht="265" customHeight="1">
      <c r="A1715" s="24">
        <f>HYPERLINK("#'Kiểm thử'!A"&amp;(MATCH("TC-RS-ERR-003 / retry-G-A2-only",'Kiểm thử'!$A$5:$A$573,0)+4),"TC-RS-ERR-003 / retry-G-A2-only")</f>
        <v/>
      </c>
      <c r="B1715" s="18" t="inlineStr">
        <is>
          <t>Điều kiện / thao tác</t>
        </is>
      </c>
      <c r="C1715" s="18" t="inlineStr">
        <is>
          <t xml:space="preserve">
4. Xem kết quả hai lớp.
5. Chạy nút cam cho BATCH-GA1; khi chưa xong, giáo viên sửa và lưu điểm BATCH-S01. Chờ batch xong, xem thông báo/tiến độ và kết quả BATCH-S01.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TD-GRP-03, identity học sinh theo từng lớp và seam giả lập lỗi G-A2 chưa được provision/quan sát; không suy ra kết quả batch từ dữ liệu master.
TC-RS-ERR-003: hoàn thiện đúng fixture/seam; giữ expected và chưa kết luận thực thi.</t>
        </is>
      </c>
    </row>
    <row r="1716" ht="265" customHeight="1">
      <c r="A1716" s="24">
        <f>HYPERLINK("#'Kiểm thử'!A"&amp;(MATCH("TC-RS-ERR-003 / retry-G-A2-only",'Kiểm thử'!$A$5:$A$573,0)+4),"TC-RS-ERR-003 / retry-G-A2-only")</f>
        <v/>
      </c>
      <c r="B1716" s="18" t="inlineStr">
        <is>
          <t>Kết quả mong đợi</t>
        </is>
      </c>
      <c r="C1716" s="18" t="inlineStr">
        <is>
          <t>1–2. G-A1 cập nhật; G-A2 giữ trạng thái trước lượt. Thông báo cho biết phạm vi đã cập nhật, chưa cập nhật và cần chạy lại; không báo hoàn tất toàn bộ; không suy số lớp đã xử lý thành số ô đã xét. Không hứa rollback toàn lượt. Không tự retry vô hạn. G-C ngoài batch không bị tính vào kết quả.
3–4. BATCH-GA2 được cập nhật; BATCH-GA1 giữ kết quả của bước 1, mỗi ô chỉ có một kết quả hiệu lực, không trùng.
5. Phần của BATCH-S01 trong lượt batch (đã bị lần lưu mới thay thế) không được tính là cập nhật thành công, cũng không được tính là Chưa xét được; BATCH-S01 giữ kết quả của lần lưu mới. (PROPOSED theo thiết kế DB v2 mục 6.3 “Xóa/tạo lại, nguồn tham chiếu và lỗi”) Tiến độ ghi phần này là `superseded`; deadlock/timeout rollback toàn transaction đó và chỉ retry hữu hạn theo job hiện có.
Bảo toàn: Giữ điểm, cấu hình và đối tượng không đích theo expected; chỉ thay phần thủ tục yêu cầu, không tự đổi oracle hoặc mở rộng phạm vi.</t>
        </is>
      </c>
    </row>
    <row r="1717" ht="299" customHeight="1">
      <c r="A1717" s="24">
        <f>HYPERLINK("#'Kiểm thử'!A"&amp;(MATCH("TC-RS-ERR-003 / concurrent-score-write",'Kiểm thử'!$A$5:$A$573,0)+4),"TC-RS-ERR-003 / concurrent-score-write")</f>
        <v/>
      </c>
      <c r="B1717" s="18" t="inlineStr">
        <is>
          <t>Điều kiện / thao tác</t>
        </is>
      </c>
      <c r="C1717" s="18" t="inlineStr">
        <is>
          <t>Cấu hình: Batch dùng `TD-GRP-03`: BATCH-GA1 và BATCH-GA2 cùng khối 1; giả lập lỗi riêng ở BATCH-GA2.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BATCH-S01 thuộc BATCH-GA1, BATCH-S02 thuộc BATCH-GA2, BATCH-S03 thuộc BATCH-GC ngoài batch; mỗi học sinh có identity ô điểm fixture riêng. Không dùng S01/G-A hoặc lớp master làm bằng chứng nếu chưa chứng minh mapping.
Nhánh concurrent-score-write trong thủ tục và Expected của case; thực hiện các bước chuẩn bị chung trước nhánh
Thao tác: 1. Chạy nút cam cho khối.
2. Xem thông báo và kết quả từng lớp.
3. Gỡ giả lập lỗi, chạy lại nút cam chỉ cho phạm vi BATCH-GA2.</t>
        </is>
      </c>
    </row>
    <row r="1718" ht="265" customHeight="1">
      <c r="A1718" s="24">
        <f>HYPERLINK("#'Kiểm thử'!A"&amp;(MATCH("TC-RS-ERR-003 / concurrent-score-write",'Kiểm thử'!$A$5:$A$573,0)+4),"TC-RS-ERR-003 / concurrent-score-write")</f>
        <v/>
      </c>
      <c r="B1718" s="18" t="inlineStr">
        <is>
          <t>Điều kiện / thao tác</t>
        </is>
      </c>
      <c r="C1718" s="18" t="inlineStr">
        <is>
          <t xml:space="preserve">
4. Xem kết quả hai lớp.
5. Chạy nút cam cho BATCH-GA1; khi chưa xong, giáo viên sửa và lưu điểm BATCH-S01. Chờ batch xong, xem thông báo/tiến độ và kết quả BATCH-S01.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Bị chặn
Chỉ là quan sát; kỳ vọng hoặc điều kiện kiểm chưa được xác nhận.
Khoảng trống: BLOCKED — TD-GRP-03, identity học sinh theo từng lớp và seam giả lập lỗi G-A2 chưa được provision/quan sát; không suy ra kết quả batch từ dữ liệu master.
TC-RS-ERR-003: hoàn thiện đúng fixture/seam; giữ expected và chưa kết luận thực thi.</t>
        </is>
      </c>
    </row>
    <row r="1719" ht="265" customHeight="1">
      <c r="A1719" s="24">
        <f>HYPERLINK("#'Kiểm thử'!A"&amp;(MATCH("TC-RS-ERR-003 / concurrent-score-write",'Kiểm thử'!$A$5:$A$573,0)+4),"TC-RS-ERR-003 / concurrent-score-write")</f>
        <v/>
      </c>
      <c r="B1719" s="18" t="inlineStr">
        <is>
          <t>Kết quả mong đợi</t>
        </is>
      </c>
      <c r="C1719" s="18" t="inlineStr">
        <is>
          <t>1–2. G-A1 cập nhật; G-A2 giữ trạng thái trước lượt. Thông báo cho biết phạm vi đã cập nhật, chưa cập nhật và cần chạy lại; không báo hoàn tất toàn bộ; không suy số lớp đã xử lý thành số ô đã xét. Không hứa rollback toàn lượt. Không tự retry vô hạn. G-C ngoài batch không bị tính vào kết quả.
3–4. BATCH-GA2 được cập nhật; BATCH-GA1 giữ kết quả của bước 1, mỗi ô chỉ có một kết quả hiệu lực, không trùng.
5. Phần của BATCH-S01 trong lượt batch (đã bị lần lưu mới thay thế) không được tính là cập nhật thành công, cũng không được tính là Chưa xét được; BATCH-S01 giữ kết quả của lần lưu mới. (PROPOSED theo thiết kế DB v2 mục 6.3 “Xóa/tạo lại, nguồn tham chiếu và lỗi”) Tiến độ ghi phần này là `superseded`; deadlock/timeout rollback toàn transaction đó và chỉ retry hữu hạn theo job hiện có.
Bảo toàn: Giữ điểm, cấu hình và đối tượng không đích theo expected; chỉ thay phần thủ tục yêu cầu, không tự đổi oracle hoặc mở rộng phạm vi.</t>
        </is>
      </c>
    </row>
    <row r="1720" ht="299" customHeight="1">
      <c r="A1720" s="24">
        <f>HYPERLINK("#'Kiểm thử'!A"&amp;(MATCH("TC-RS-ERR-004 / Base",'Kiểm thử'!$A$5:$A$573,0)+4),"TC-RS-ERR-004 / Base")</f>
        <v/>
      </c>
      <c r="B1720" s="18" t="inlineStr">
        <is>
          <t>Điều kiện / thao tác</t>
        </is>
      </c>
      <c r="C1720" s="18" t="inlineStr">
        <is>
          <t>Cấu hình: tài khoản có quyền chạy hàng loạt. Đã đổi ngưỡng, chưa chạy lại.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Toàn bộ thủ tục theo đúng thứ tự; các đối chứng cùng fixture được kiểm trong cùng lượt, không bỏ bước
Thao tác: 1. Bấm Thực hiện tính toán tự động（自動算出実行）, đọc thông báo ngay khi request trả về.
2. Bấm lại lần nữa khi lượt đầu chưa xong.
3. Sau khi xong, xem kết quả.
Khôi phục: Trước mỗi biến thể, dựng lại điều kiện/dữ liệu đầu của case bằng đường được phép; giữ các reset/fixture độc lập đã nêu trong thủ tục.</t>
        </is>
      </c>
    </row>
    <row r="1721" ht="180" customHeight="1">
      <c r="A1721" s="24">
        <f>HYPERLINK("#'Kiểm thử'!A"&amp;(MATCH("TC-RS-ERR-004 / Base",'Kiểm thử'!$A$5:$A$573,0)+4),"TC-RS-ERR-004 / Base")</f>
        <v/>
      </c>
      <c r="B1721" s="18" t="inlineStr">
        <is>
          <t>Điều kiện / thao tác</t>
        </is>
      </c>
      <c r="C1721"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22" ht="112" customHeight="1">
      <c r="A1722" s="24">
        <f>HYPERLINK("#'Kiểm thử'!A"&amp;(MATCH("TC-RS-ERR-004 / Base",'Kiểm thử'!$A$5:$A$573,0)+4),"TC-RS-ERR-004 / Base")</f>
        <v/>
      </c>
      <c r="B1722" s="18" t="inlineStr">
        <is>
          <t>Kết quả mong đợi</t>
        </is>
      </c>
      <c r="C1722" s="18" t="inlineStr">
        <is>
          <t>1. Nếu xử lý chạy nền: thông báo là đã nhận/xếp hàng, không phải đã hoàn tất; kết quả chưa đổi cho tới khi xử lý xong.
2. Chống trùng theo cơ chế hiện có (không tạo hai lượt ghi chồng gây kết quả sai).
3. Một kết quả hiện hành cho mỗi ô, đúng theo ngưỡng mới.
Bảo toàn: Giữ điểm, cấu hình và đối tượng không đích theo expected; chỉ thay phần thủ tục yêu cầu, không tự đổi oracle hoặc mở rộng phạm vi.</t>
        </is>
      </c>
    </row>
    <row r="1723" ht="299" customHeight="1">
      <c r="A1723" s="24">
        <f>HYPERLINK("#'Kiểm thử'!A"&amp;(MATCH("TC-RS-ERR-005 / save-error",'Kiểm thử'!$A$5:$A$573,0)+4),"TC-RS-ERR-005 / save-error")</f>
        <v/>
      </c>
      <c r="B1723" s="18" t="inlineStr">
        <is>
          <t>Điều kiện / thao tác</t>
        </is>
      </c>
      <c r="C1723" s="18" t="inlineStr">
        <is>
          <t>Cấu hình: Các tình huống lỗi của ERR-002, ERR-003, ERR-006, ERR-009.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Lỗi lưu theo ERR-002
Thao tác: Thu thập mọi thông báo lỗi hiển thị cho người dùng trong các case trên.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724" ht="112" customHeight="1">
      <c r="A1724" s="24">
        <f>HYPERLINK("#'Kiểm thử'!A"&amp;(MATCH("TC-RS-ERR-005 / save-error",'Kiểm thử'!$A$5:$A$573,0)+4),"TC-RS-ERR-005 / save-error")</f>
        <v/>
      </c>
      <c r="B1724" s="18" t="inlineStr">
        <is>
          <t>Điều kiện / thao tác</t>
        </is>
      </c>
      <c r="C1724"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25" ht="299" customHeight="1">
      <c r="A1725" s="24">
        <f>HYPERLINK("#'Kiểm thử'!A"&amp;(MATCH("TC-RS-ERR-005 / batch-error",'Kiểm thử'!$A$5:$A$573,0)+4),"TC-RS-ERR-005 / batch-error")</f>
        <v/>
      </c>
      <c r="B1725" s="18" t="inlineStr">
        <is>
          <t>Điều kiện / thao tác</t>
        </is>
      </c>
      <c r="C1725" s="18" t="inlineStr">
        <is>
          <t>Cấu hình: Các tình huống lỗi của ERR-002, ERR-003, ERR-006, ERR-009.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Lỗi batch theo ERR-003
Thao tác: Thu thập mọi thông báo lỗi hiển thị cho người dùng trong các case trên.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726" ht="112" customHeight="1">
      <c r="A1726" s="24">
        <f>HYPERLINK("#'Kiểm thử'!A"&amp;(MATCH("TC-RS-ERR-005 / batch-error",'Kiểm thử'!$A$5:$A$573,0)+4),"TC-RS-ERR-005 / batch-error")</f>
        <v/>
      </c>
      <c r="B1726" s="18" t="inlineStr">
        <is>
          <t>Điều kiện / thao tác</t>
        </is>
      </c>
      <c r="C1726"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27" ht="299" customHeight="1">
      <c r="A1727" s="24">
        <f>HYPERLINK("#'Kiểm thử'!A"&amp;(MATCH("TC-RS-ERR-005 / permission-error",'Kiểm thử'!$A$5:$A$573,0)+4),"TC-RS-ERR-005 / permission-error")</f>
        <v/>
      </c>
      <c r="B1727" s="18" t="inlineStr">
        <is>
          <t>Điều kiện / thao tác</t>
        </is>
      </c>
      <c r="C1727" s="18" t="inlineStr">
        <is>
          <t>Cấu hình: Các tình huống lỗi của ERR-002, ERR-003, ERR-006, ERR-009.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Lỗi quyền theo ERR-006
Thao tác: Thu thập mọi thông báo lỗi hiển thị cho người dùng trong các case trên.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728" ht="112" customHeight="1">
      <c r="A1728" s="24">
        <f>HYPERLINK("#'Kiểm thử'!A"&amp;(MATCH("TC-RS-ERR-005 / permission-error",'Kiểm thử'!$A$5:$A$573,0)+4),"TC-RS-ERR-005 / permission-error")</f>
        <v/>
      </c>
      <c r="B1728" s="18" t="inlineStr">
        <is>
          <t>Điều kiện / thao tác</t>
        </is>
      </c>
      <c r="C1728"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29" ht="299" customHeight="1">
      <c r="A1729" s="24">
        <f>HYPERLINK("#'Kiểm thử'!A"&amp;(MATCH("TC-RS-ERR-005 / input-error",'Kiểm thử'!$A$5:$A$573,0)+4),"TC-RS-ERR-005 / input-error")</f>
        <v/>
      </c>
      <c r="B1729" s="18" t="inlineStr">
        <is>
          <t>Điều kiện / thao tác</t>
        </is>
      </c>
      <c r="C1729" s="18" t="inlineStr">
        <is>
          <t>Cấu hình: Các tình huống lỗi của ERR-002, ERR-003, ERR-006, ERR-009.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Lỗi dữ liệu theo ERR-009
Thao tác: Thu thập mọi thông báo lỗi hiển thị cho người dùng trong các case trên.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t>
        </is>
      </c>
    </row>
    <row r="1730" ht="112" customHeight="1">
      <c r="A1730" s="24">
        <f>HYPERLINK("#'Kiểm thử'!A"&amp;(MATCH("TC-RS-ERR-005 / input-error",'Kiểm thử'!$A$5:$A$573,0)+4),"TC-RS-ERR-005 / input-error")</f>
        <v/>
      </c>
      <c r="B1730" s="18" t="inlineStr">
        <is>
          <t>Điều kiện / thao tác</t>
        </is>
      </c>
      <c r="C1730" s="18" t="inlineStr">
        <is>
          <t xml:space="preserve">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31" ht="44" customHeight="1">
      <c r="A1731" s="24">
        <f>HYPERLINK("#'Kiểm thử'!A"&amp;(MATCH("TC-RS-ERR-011 / score-update",'Kiểm thử'!$A$5:$A$573,0)+4),"TC-RS-ERR-011 / score-update")</f>
        <v/>
      </c>
      <c r="B1731" s="18" t="inlineStr">
        <is>
          <t>Màn hình / chức năng</t>
        </is>
      </c>
      <c r="C1731" s="18" t="inlineStr">
        <is>
          <t>Trạng thái kết quả và lỗi — Lỗi và cập nhật kết quả
Lượt cũ hoàn tất muộn không ghi đè kết quả của điểm/cấu hình mới hơn</t>
        </is>
      </c>
    </row>
    <row r="1732" ht="299" customHeight="1">
      <c r="A1732" s="24">
        <f>HYPERLINK("#'Kiểm thử'!A"&amp;(MATCH("TC-RS-ERR-011 / score-update",'Kiểm thử'!$A$5:$A$573,0)+4),"TC-RS-ERR-011 / score-update")</f>
        <v/>
      </c>
      <c r="B1732" s="18" t="inlineStr">
        <is>
          <t>Điều kiện / thao tác</t>
        </is>
      </c>
      <c r="C1732" s="18" t="inlineStr">
        <is>
          <t>Cấu hình: Batch lớn đang chạy cho khối 1; quy tắc “Cố định 30” (dưới 30) trên mục của S01; nguồn trung bình của cặp quy tắc phân nhánh theo trung bình 60 đã có một bản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quy tắc “Cố định 30” (dưới 30); cặp quy tắc phân nhánh theo trung bình 60
Nhánh score-update trong thủ tục và Expected của case; thực hiện các bước chuẩn bị chung trước nhánh
Thao tác: 1. Khi batch chưa xong, sửa S01 từ 29 thành 40 và lưu.
2. Chờ batch xong, xem S01.
3. Chạy lại batch; khi chưa xong, đổi ngưỡng quy tắc “Cố định 30” (dưới 30) thành 45, lưu, rồi đăng ký lại điểm S01 (40). Chờ batch cũ xong, xem S01.</t>
        </is>
      </c>
    </row>
    <row r="1733" ht="299" customHeight="1">
      <c r="A1733" s="24">
        <f>HYPERLINK("#'Kiểm thử'!A"&amp;(MATCH("TC-RS-ERR-011 / score-update",'Kiểm thử'!$A$5:$A$573,0)+4),"TC-RS-ERR-011 / score-update")</f>
        <v/>
      </c>
      <c r="B1733" s="18" t="inlineStr">
        <is>
          <t>Điều kiện / thao tác</t>
        </is>
      </c>
      <c r="C1733" s="18" t="inlineStr">
        <is>
          <t xml:space="preserve">
4. Với mục dùng cặp quy tắc phân nhánh theo trung bình 60: bắt đầu batch; khi chưa xong, bấm Thực hiện tổng hợp（集計実行） cho cùng phạm vi, chờ cả hai xong. SELECT kết quả và bản nguồn được ghi nhận cho các ô của lượt batch.
5. Khôi phục ngưỡng 30, S01 = 29 (Đỏ). Bắt đầu batch; khi batch đã đọc điểm 29 nhưng chưa xong, sửa S01 thành 40 và lưu, rồi sửa lại 29 và lưu. Chờ batch cũ xong, SELECT kết quả S01.
6. Lặp bước 5 nhưng thay bằng: xóa trống ô S01 và lưu, rồi nhập lại 29 và lưu.
7. S01 = 40 (Không đỏ). Bắt đầu batch; khi chưa xong, chỉ đổi ngưỡng quy tắc “Cố định 30” (dưới 30) thành 45 và lưu, không đăng ký lại điểm. Chờ batch cũ xong, xem S01; sau đó chạy lại batch và xem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1734" ht="95" customHeight="1">
      <c r="A1734" s="24">
        <f>HYPERLINK("#'Kiểm thử'!A"&amp;(MATCH("TC-RS-ERR-011 / score-update",'Kiểm thử'!$A$5:$A$573,0)+4),"TC-RS-ERR-011 / score-update")</f>
        <v/>
      </c>
      <c r="B1734" s="18" t="inlineStr">
        <is>
          <t>Điều kiện / thao tác</t>
        </is>
      </c>
      <c r="C1734"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35" ht="299" customHeight="1">
      <c r="A1735" s="24">
        <f>HYPERLINK("#'Kiểm thử'!A"&amp;(MATCH("TC-RS-ERR-011 / score-update",'Kiểm thử'!$A$5:$A$573,0)+4),"TC-RS-ERR-011 / score-update")</f>
        <v/>
      </c>
      <c r="B1735" s="18" t="inlineStr">
        <is>
          <t>Kết quả mong đợi</t>
        </is>
      </c>
      <c r="C1735" s="18" t="inlineStr">
        <is>
          <t>1–2. S01 = 40 và Không đỏ; batch cũ không ghi lại kết quả Đỏ của điểm 29.
3. S01 Đỏ theo cấu hình mới (`40&lt;45`); batch cũ không ghi đè bằng kết quả theo ngưỡng 30.
4. Mọi ô của một lượt batch dùng cùng một bản nguồn (hoặc toàn bản cũ, hoặc toàn bản mới); không có lượt báo thành công mà ghép điểm/kết quả của hai thời điểm.
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
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
8. (PROPOSED) SELECT `write_version`, `judged_version`, `rule_revision` của S01: `judged_version` bằng phiên bản của lần ghi hoàn tất sau cùng; lượt cũ không làm giảm hay ghi đè các giá trị này.
Bảo toàn: Giữ điểm, cấu hình và đối tượng không đích theo expected; chỉ thay phần thủ tục yêu c</t>
        </is>
      </c>
    </row>
    <row r="1736" ht="44" customHeight="1">
      <c r="A1736" s="24">
        <f>HYPERLINK("#'Kiểm thử'!A"&amp;(MATCH("TC-RS-ERR-011 / score-update",'Kiểm thử'!$A$5:$A$573,0)+4),"TC-RS-ERR-011 / score-update")</f>
        <v/>
      </c>
      <c r="B1736" s="18" t="inlineStr">
        <is>
          <t>Kết quả mong đợi</t>
        </is>
      </c>
      <c r="C1736" s="18" t="inlineStr">
        <is>
          <t>ầu, không tự đổi oracle hoặc mở rộng phạm vi.</t>
        </is>
      </c>
    </row>
    <row r="1737" ht="44" customHeight="1">
      <c r="A1737" s="24">
        <f>HYPERLINK("#'Kiểm thử'!A"&amp;(MATCH("TC-RS-ERR-011 / rule-update",'Kiểm thử'!$A$5:$A$573,0)+4),"TC-RS-ERR-011 / rule-update")</f>
        <v/>
      </c>
      <c r="B1737" s="18" t="inlineStr">
        <is>
          <t>Màn hình / chức năng</t>
        </is>
      </c>
      <c r="C1737" s="18" t="inlineStr">
        <is>
          <t>Trạng thái kết quả và lỗi — Lỗi và cập nhật kết quả
Lượt cũ hoàn tất muộn không ghi đè kết quả của điểm/cấu hình mới hơn</t>
        </is>
      </c>
    </row>
    <row r="1738" ht="299" customHeight="1">
      <c r="A1738" s="24">
        <f>HYPERLINK("#'Kiểm thử'!A"&amp;(MATCH("TC-RS-ERR-011 / rule-update",'Kiểm thử'!$A$5:$A$573,0)+4),"TC-RS-ERR-011 / rule-update")</f>
        <v/>
      </c>
      <c r="B1738" s="18" t="inlineStr">
        <is>
          <t>Điều kiện / thao tác</t>
        </is>
      </c>
      <c r="C1738" s="18" t="inlineStr">
        <is>
          <t>Cấu hình: Batch lớn đang chạy cho khối 1; quy tắc “Cố định 30” (dưới 30) trên mục của S01; nguồn trung bình của cặp quy tắc phân nhánh theo trung bình 60 đã có một bản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quy tắc “Cố định 30” (dưới 30); cặp quy tắc phân nhánh theo trung bình 60
Nhánh rule-update trong thủ tục và Expected của case; thực hiện các bước chuẩn bị chung trước nhánh
Thao tác: 1. Khi batch chưa xong, sửa S01 từ 29 thành 40 và lưu.
2. Chờ batch xong, xem S01.
3. Chạy lại batch; khi chưa xong, đổi ngưỡng quy tắc “Cố định 30” (dưới 30) thành 45, lưu, rồi đăng ký lại điểm S01 (40). Chờ batch cũ xong, xem S01.</t>
        </is>
      </c>
    </row>
    <row r="1739" ht="299" customHeight="1">
      <c r="A1739" s="24">
        <f>HYPERLINK("#'Kiểm thử'!A"&amp;(MATCH("TC-RS-ERR-011 / rule-update",'Kiểm thử'!$A$5:$A$573,0)+4),"TC-RS-ERR-011 / rule-update")</f>
        <v/>
      </c>
      <c r="B1739" s="18" t="inlineStr">
        <is>
          <t>Điều kiện / thao tác</t>
        </is>
      </c>
      <c r="C1739" s="18" t="inlineStr">
        <is>
          <t xml:space="preserve">
4. Với mục dùng cặp quy tắc phân nhánh theo trung bình 60: bắt đầu batch; khi chưa xong, bấm Thực hiện tổng hợp（集計実行） cho cùng phạm vi, chờ cả hai xong. SELECT kết quả và bản nguồn được ghi nhận cho các ô của lượt batch.
5. Khôi phục ngưỡng 30, S01 = 29 (Đỏ). Bắt đầu batch; khi batch đã đọc điểm 29 nhưng chưa xong, sửa S01 thành 40 và lưu, rồi sửa lại 29 và lưu. Chờ batch cũ xong, SELECT kết quả S01.
6. Lặp bước 5 nhưng thay bằng: xóa trống ô S01 và lưu, rồi nhập lại 29 và lưu.
7. S01 = 40 (Không đỏ). Bắt đầu batch; khi chưa xong, chỉ đổi ngưỡng quy tắc “Cố định 30” (dưới 30) thành 45 và lưu, không đăng ký lại điểm. Chờ batch cũ xong, xem S01; sau đó chạy lại batch và xem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1740" ht="95" customHeight="1">
      <c r="A1740" s="24">
        <f>HYPERLINK("#'Kiểm thử'!A"&amp;(MATCH("TC-RS-ERR-011 / rule-update",'Kiểm thử'!$A$5:$A$573,0)+4),"TC-RS-ERR-011 / rule-update")</f>
        <v/>
      </c>
      <c r="B1740" s="18" t="inlineStr">
        <is>
          <t>Điều kiện / thao tác</t>
        </is>
      </c>
      <c r="C1740"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41" ht="299" customHeight="1">
      <c r="A1741" s="24">
        <f>HYPERLINK("#'Kiểm thử'!A"&amp;(MATCH("TC-RS-ERR-011 / rule-update",'Kiểm thử'!$A$5:$A$573,0)+4),"TC-RS-ERR-011 / rule-update")</f>
        <v/>
      </c>
      <c r="B1741" s="18" t="inlineStr">
        <is>
          <t>Kết quả mong đợi</t>
        </is>
      </c>
      <c r="C1741" s="18" t="inlineStr">
        <is>
          <t>1–2. S01 = 40 và Không đỏ; batch cũ không ghi lại kết quả Đỏ của điểm 29.
3. S01 Đỏ theo cấu hình mới (`40&lt;45`); batch cũ không ghi đè bằng kết quả theo ngưỡng 30.
4. Mọi ô của một lượt batch dùng cùng một bản nguồn (hoặc toàn bản cũ, hoặc toàn bản mới); không có lượt báo thành công mà ghép điểm/kết quả của hai thời điểm.
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
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
8. (PROPOSED) SELECT `write_version`, `judged_version`, `rule_revision` của S01: `judged_version` bằng phiên bản của lần ghi hoàn tất sau cùng; lượt cũ không làm giảm hay ghi đè các giá trị này.
Bảo toàn: Giữ điểm, cấu hình và đối tượng không đích theo expected; chỉ thay phần thủ tục yêu c</t>
        </is>
      </c>
    </row>
    <row r="1742" ht="44" customHeight="1">
      <c r="A1742" s="24">
        <f>HYPERLINK("#'Kiểm thử'!A"&amp;(MATCH("TC-RS-ERR-011 / rule-update",'Kiểm thử'!$A$5:$A$573,0)+4),"TC-RS-ERR-011 / rule-update")</f>
        <v/>
      </c>
      <c r="B1742" s="18" t="inlineStr">
        <is>
          <t>Kết quả mong đợi</t>
        </is>
      </c>
      <c r="C1742" s="18" t="inlineStr">
        <is>
          <t>ầu, không tự đổi oracle hoặc mở rộng phạm vi.</t>
        </is>
      </c>
    </row>
    <row r="1743" ht="61" customHeight="1">
      <c r="A1743" s="24">
        <f>HYPERLINK("#'Kiểm thử'!A"&amp;(MATCH("TC-RS-ERR-011 / aggregation-snapshot-update",'Kiểm thử'!$A$5:$A$573,0)+4),"TC-RS-ERR-011 / aggregation-snapshot-update")</f>
        <v/>
      </c>
      <c r="B1743" s="18" t="inlineStr">
        <is>
          <t>Màn hình / chức năng</t>
        </is>
      </c>
      <c r="C1743" s="18" t="inlineStr">
        <is>
          <t>Trạng thái kết quả và lỗi — Lỗi và cập nhật kết quả
Lượt cũ hoàn tất muộn không ghi đè kết quả của điểm/cấu hình mới hơn</t>
        </is>
      </c>
    </row>
    <row r="1744" ht="299" customHeight="1">
      <c r="A1744" s="24">
        <f>HYPERLINK("#'Kiểm thử'!A"&amp;(MATCH("TC-RS-ERR-011 / aggregation-snapshot-update",'Kiểm thử'!$A$5:$A$573,0)+4),"TC-RS-ERR-011 / aggregation-snapshot-update")</f>
        <v/>
      </c>
      <c r="B1744" s="18" t="inlineStr">
        <is>
          <t>Điều kiện / thao tác</t>
        </is>
      </c>
      <c r="C1744" s="18" t="inlineStr">
        <is>
          <t>Cấu hình: Batch lớn đang chạy cho khối 1; quy tắc “Cố định 30” (dưới 30) trên mục của S01; nguồn trung bình của cặp quy tắc phân nhánh theo trung bình 60 đã có một bản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quy tắc “Cố định 30” (dưới 30); cặp quy tắc phân nhánh theo trung bình 60
Nhánh aggregation-snapshot-update trong thủ tục và Expected của case; thực hiện các bước chuẩn bị chung trước nhánh
Thao tác: 1. Khi batch chưa xong, sửa S01 từ 29 thành 40 và lưu.
2. Chờ batch xong, xem S01.
3. Chạy lại batch; khi chưa xong, đổi ngưỡng quy tắc “Cố định 30” (dưới 30) thành 45, lưu, rồi đăng ký lại điểm S01 (40). Chờ batch cũ xong, xem S01.</t>
        </is>
      </c>
    </row>
    <row r="1745" ht="299" customHeight="1">
      <c r="A1745" s="24">
        <f>HYPERLINK("#'Kiểm thử'!A"&amp;(MATCH("TC-RS-ERR-011 / aggregation-snapshot-update",'Kiểm thử'!$A$5:$A$573,0)+4),"TC-RS-ERR-011 / aggregation-snapshot-update")</f>
        <v/>
      </c>
      <c r="B1745" s="18" t="inlineStr">
        <is>
          <t>Điều kiện / thao tác</t>
        </is>
      </c>
      <c r="C1745" s="18" t="inlineStr">
        <is>
          <t xml:space="preserve">
4. Với mục dùng cặp quy tắc phân nhánh theo trung bình 60: bắt đầu batch; khi chưa xong, bấm Thực hiện tổng hợp（集計実行） cho cùng phạm vi, chờ cả hai xong. SELECT kết quả và bản nguồn được ghi nhận cho các ô của lượt batch.
5. Khôi phục ngưỡng 30, S01 = 29 (Đỏ). Bắt đầu batch; khi batch đã đọc điểm 29 nhưng chưa xong, sửa S01 thành 40 và lưu, rồi sửa lại 29 và lưu. Chờ batch cũ xong, SELECT kết quả S01.
6. Lặp bước 5 nhưng thay bằng: xóa trống ô S01 và lưu, rồi nhập lại 29 và lưu.
7. S01 = 40 (Không đỏ). Bắt đầu batch; khi chưa xong, chỉ đổi ngưỡng quy tắc “Cố định 30” (dưới 30) thành 45 và lưu, không đăng ký lại điểm. Chờ batch cũ xong, xem S01; sau đó chạy lại batch và xem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1746" ht="95" customHeight="1">
      <c r="A1746" s="24">
        <f>HYPERLINK("#'Kiểm thử'!A"&amp;(MATCH("TC-RS-ERR-011 / aggregation-snapshot-update",'Kiểm thử'!$A$5:$A$573,0)+4),"TC-RS-ERR-011 / aggregation-snapshot-update")</f>
        <v/>
      </c>
      <c r="B1746" s="18" t="inlineStr">
        <is>
          <t>Điều kiện / thao tác</t>
        </is>
      </c>
      <c r="C1746"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47" ht="299" customHeight="1">
      <c r="A1747" s="24">
        <f>HYPERLINK("#'Kiểm thử'!A"&amp;(MATCH("TC-RS-ERR-011 / aggregation-snapshot-update",'Kiểm thử'!$A$5:$A$573,0)+4),"TC-RS-ERR-011 / aggregation-snapshot-update")</f>
        <v/>
      </c>
      <c r="B1747" s="18" t="inlineStr">
        <is>
          <t>Kết quả mong đợi</t>
        </is>
      </c>
      <c r="C1747" s="18" t="inlineStr">
        <is>
          <t>1–2. S01 = 40 và Không đỏ; batch cũ không ghi lại kết quả Đỏ của điểm 29.
3. S01 Đỏ theo cấu hình mới (`40&lt;45`); batch cũ không ghi đè bằng kết quả theo ngưỡng 30.
4. Mọi ô của một lượt batch dùng cùng một bản nguồn (hoặc toàn bản cũ, hoặc toàn bản mới); không có lượt báo thành công mà ghép điểm/kết quả của hai thời điểm.
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
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
8. (PROPOSED) SELECT `write_version`, `judged_version`, `rule_revision` của S01: `judged_version` bằng phiên bản của lần ghi hoàn tất sau cùng; lượt cũ không làm giảm hay ghi đè các giá trị này.
Bảo toàn: Giữ điểm, cấu hình và đối tượng không đích theo expected; chỉ thay phần thủ tục yêu c</t>
        </is>
      </c>
    </row>
    <row r="1748" ht="61" customHeight="1">
      <c r="A1748" s="24">
        <f>HYPERLINK("#'Kiểm thử'!A"&amp;(MATCH("TC-RS-ERR-011 / aggregation-snapshot-update",'Kiểm thử'!$A$5:$A$573,0)+4),"TC-RS-ERR-011 / aggregation-snapshot-update")</f>
        <v/>
      </c>
      <c r="B1748" s="18" t="inlineStr">
        <is>
          <t>Kết quả mong đợi</t>
        </is>
      </c>
      <c r="C1748" s="18" t="inlineStr">
        <is>
          <t>ầu, không tự đổi oracle hoặc mở rộng phạm vi.</t>
        </is>
      </c>
    </row>
    <row r="1749" ht="44" customHeight="1">
      <c r="A1749" s="24">
        <f>HYPERLINK("#'Kiểm thử'!A"&amp;(MATCH("TC-RS-ERR-011 / edit-away-and-back",'Kiểm thử'!$A$5:$A$573,0)+4),"TC-RS-ERR-011 / edit-away-and-back")</f>
        <v/>
      </c>
      <c r="B1749" s="18" t="inlineStr">
        <is>
          <t>Màn hình / chức năng</t>
        </is>
      </c>
      <c r="C1749" s="18" t="inlineStr">
        <is>
          <t>Trạng thái kết quả và lỗi — Lỗi và cập nhật kết quả
Lượt cũ hoàn tất muộn không ghi đè kết quả của điểm/cấu hình mới hơn</t>
        </is>
      </c>
    </row>
    <row r="1750" ht="299" customHeight="1">
      <c r="A1750" s="24">
        <f>HYPERLINK("#'Kiểm thử'!A"&amp;(MATCH("TC-RS-ERR-011 / edit-away-and-back",'Kiểm thử'!$A$5:$A$573,0)+4),"TC-RS-ERR-011 / edit-away-and-back")</f>
        <v/>
      </c>
      <c r="B1750" s="18" t="inlineStr">
        <is>
          <t>Điều kiện / thao tác</t>
        </is>
      </c>
      <c r="C1750" s="18" t="inlineStr">
        <is>
          <t>Cấu hình: Batch lớn đang chạy cho khối 1; quy tắc “Cố định 30” (dưới 30) trên mục của S01; nguồn trung bình của cặp quy tắc phân nhánh theo trung bình 60 đã có một bản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quy tắc “Cố định 30” (dưới 30); cặp quy tắc phân nhánh theo trung bình 60
Nhánh edit-away-and-back trong thủ tục và Expected của case; thực hiện các bước chuẩn bị chung trước nhánh
Thao tác: 1. Khi batch chưa xong, sửa S01 từ 29 thành 40 và lưu.
2. Chờ batch xong, xem S01.
3. Chạy lại batch; khi chưa xong, đổi ngưỡng quy tắc “Cố định 30” (dưới 30) thành 45, lưu, rồi đăng ký lại điểm S01 (40). Chờ batch cũ xong, xem S01.</t>
        </is>
      </c>
    </row>
    <row r="1751" ht="299" customHeight="1">
      <c r="A1751" s="24">
        <f>HYPERLINK("#'Kiểm thử'!A"&amp;(MATCH("TC-RS-ERR-011 / edit-away-and-back",'Kiểm thử'!$A$5:$A$573,0)+4),"TC-RS-ERR-011 / edit-away-and-back")</f>
        <v/>
      </c>
      <c r="B1751" s="18" t="inlineStr">
        <is>
          <t>Điều kiện / thao tác</t>
        </is>
      </c>
      <c r="C1751" s="18" t="inlineStr">
        <is>
          <t xml:space="preserve">
4. Với mục dùng cặp quy tắc phân nhánh theo trung bình 60: bắt đầu batch; khi chưa xong, bấm Thực hiện tổng hợp（集計実行） cho cùng phạm vi, chờ cả hai xong. SELECT kết quả và bản nguồn được ghi nhận cho các ô của lượt batch.
5. Khôi phục ngưỡng 30, S01 = 29 (Đỏ). Bắt đầu batch; khi batch đã đọc điểm 29 nhưng chưa xong, sửa S01 thành 40 và lưu, rồi sửa lại 29 và lưu. Chờ batch cũ xong, SELECT kết quả S01.
6. Lặp bước 5 nhưng thay bằng: xóa trống ô S01 và lưu, rồi nhập lại 29 và lưu.
7. S01 = 40 (Không đỏ). Bắt đầu batch; khi chưa xong, chỉ đổi ngưỡng quy tắc “Cố định 30” (dưới 30) thành 45 và lưu, không đăng ký lại điểm. Chờ batch cũ xong, xem S01; sau đó chạy lại batch và xem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1752" ht="95" customHeight="1">
      <c r="A1752" s="24">
        <f>HYPERLINK("#'Kiểm thử'!A"&amp;(MATCH("TC-RS-ERR-011 / edit-away-and-back",'Kiểm thử'!$A$5:$A$573,0)+4),"TC-RS-ERR-011 / edit-away-and-back")</f>
        <v/>
      </c>
      <c r="B1752" s="18" t="inlineStr">
        <is>
          <t>Điều kiện / thao tác</t>
        </is>
      </c>
      <c r="C1752"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53" ht="299" customHeight="1">
      <c r="A1753" s="24">
        <f>HYPERLINK("#'Kiểm thử'!A"&amp;(MATCH("TC-RS-ERR-011 / edit-away-and-back",'Kiểm thử'!$A$5:$A$573,0)+4),"TC-RS-ERR-011 / edit-away-and-back")</f>
        <v/>
      </c>
      <c r="B1753" s="18" t="inlineStr">
        <is>
          <t>Kết quả mong đợi</t>
        </is>
      </c>
      <c r="C1753" s="18" t="inlineStr">
        <is>
          <t>1–2. S01 = 40 và Không đỏ; batch cũ không ghi lại kết quả Đỏ của điểm 29.
3. S01 Đỏ theo cấu hình mới (`40&lt;45`); batch cũ không ghi đè bằng kết quả theo ngưỡng 30.
4. Mọi ô của một lượt batch dùng cùng một bản nguồn (hoặc toàn bản cũ, hoặc toàn bản mới); không có lượt báo thành công mà ghép điểm/kết quả của hai thời điểm.
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
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
8. (PROPOSED) SELECT `write_version`, `judged_version`, `rule_revision` của S01: `judged_version` bằng phiên bản của lần ghi hoàn tất sau cùng; lượt cũ không làm giảm hay ghi đè các giá trị này.
Bảo toàn: Giữ điểm, cấu hình và đối tượng không đích theo expected; chỉ thay phần thủ tục yêu c</t>
        </is>
      </c>
    </row>
    <row r="1754" ht="44" customHeight="1">
      <c r="A1754" s="24">
        <f>HYPERLINK("#'Kiểm thử'!A"&amp;(MATCH("TC-RS-ERR-011 / edit-away-and-back",'Kiểm thử'!$A$5:$A$573,0)+4),"TC-RS-ERR-011 / edit-away-and-back")</f>
        <v/>
      </c>
      <c r="B1754" s="18" t="inlineStr">
        <is>
          <t>Kết quả mong đợi</t>
        </is>
      </c>
      <c r="C1754" s="18" t="inlineStr">
        <is>
          <t>ầu, không tự đổi oracle hoặc mở rộng phạm vi.</t>
        </is>
      </c>
    </row>
    <row r="1755" ht="44" customHeight="1">
      <c r="A1755" s="24">
        <f>HYPERLINK("#'Kiểm thử'!A"&amp;(MATCH("TC-RS-ERR-011 / delete-and-recreate",'Kiểm thử'!$A$5:$A$573,0)+4),"TC-RS-ERR-011 / delete-and-recreate")</f>
        <v/>
      </c>
      <c r="B1755" s="18" t="inlineStr">
        <is>
          <t>Màn hình / chức năng</t>
        </is>
      </c>
      <c r="C1755" s="18" t="inlineStr">
        <is>
          <t>Trạng thái kết quả và lỗi — Lỗi và cập nhật kết quả
Lượt cũ hoàn tất muộn không ghi đè kết quả của điểm/cấu hình mới hơn</t>
        </is>
      </c>
    </row>
    <row r="1756" ht="299" customHeight="1">
      <c r="A1756" s="24">
        <f>HYPERLINK("#'Kiểm thử'!A"&amp;(MATCH("TC-RS-ERR-011 / delete-and-recreate",'Kiểm thử'!$A$5:$A$573,0)+4),"TC-RS-ERR-011 / delete-and-recreate")</f>
        <v/>
      </c>
      <c r="B1756" s="18" t="inlineStr">
        <is>
          <t>Điều kiện / thao tác</t>
        </is>
      </c>
      <c r="C1756" s="18" t="inlineStr">
        <is>
          <t>Cấu hình: Batch lớn đang chạy cho khối 1; quy tắc “Cố định 30” (dưới 30) trên mục của S01; nguồn trung bình của cặp quy tắc phân nhánh theo trung bình 60 đã có một bản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quy tắc “Cố định 30” (dưới 30); cặp quy tắc phân nhánh theo trung bình 60
Nhánh delete-and-recreate trong thủ tục và Expected của case; thực hiện các bước chuẩn bị chung trước nhánh
Thao tác: 1. Khi batch chưa xong, sửa S01 từ 29 thành 40 và lưu.
2. Chờ batch xong, xem S01.
3. Chạy lại batch; khi chưa xong, đổi ngưỡng quy tắc “Cố định 30” (dưới 30) thành 45, lưu, rồi đăng ký lại điểm S01 (40). Chờ batch cũ xong, xem S01.</t>
        </is>
      </c>
    </row>
    <row r="1757" ht="299" customHeight="1">
      <c r="A1757" s="24">
        <f>HYPERLINK("#'Kiểm thử'!A"&amp;(MATCH("TC-RS-ERR-011 / delete-and-recreate",'Kiểm thử'!$A$5:$A$573,0)+4),"TC-RS-ERR-011 / delete-and-recreate")</f>
        <v/>
      </c>
      <c r="B1757" s="18" t="inlineStr">
        <is>
          <t>Điều kiện / thao tác</t>
        </is>
      </c>
      <c r="C1757" s="18" t="inlineStr">
        <is>
          <t xml:space="preserve">
4. Với mục dùng cặp quy tắc phân nhánh theo trung bình 60: bắt đầu batch; khi chưa xong, bấm Thực hiện tổng hợp（集計実行） cho cùng phạm vi, chờ cả hai xong. SELECT kết quả và bản nguồn được ghi nhận cho các ô của lượt batch.
5. Khôi phục ngưỡng 30, S01 = 29 (Đỏ). Bắt đầu batch; khi batch đã đọc điểm 29 nhưng chưa xong, sửa S01 thành 40 và lưu, rồi sửa lại 29 và lưu. Chờ batch cũ xong, SELECT kết quả S01.
6. Lặp bước 5 nhưng thay bằng: xóa trống ô S01 và lưu, rồi nhập lại 29 và lưu.
7. S01 = 40 (Không đỏ). Bắt đầu batch; khi chưa xong, chỉ đổi ngưỡng quy tắc “Cố định 30” (dưới 30) thành 45 và lưu, không đăng ký lại điểm. Chờ batch cũ xong, xem S01; sau đó chạy lại batch và xem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1758" ht="95" customHeight="1">
      <c r="A1758" s="24">
        <f>HYPERLINK("#'Kiểm thử'!A"&amp;(MATCH("TC-RS-ERR-011 / delete-and-recreate",'Kiểm thử'!$A$5:$A$573,0)+4),"TC-RS-ERR-011 / delete-and-recreate")</f>
        <v/>
      </c>
      <c r="B1758" s="18" t="inlineStr">
        <is>
          <t>Điều kiện / thao tác</t>
        </is>
      </c>
      <c r="C1758"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59" ht="299" customHeight="1">
      <c r="A1759" s="24">
        <f>HYPERLINK("#'Kiểm thử'!A"&amp;(MATCH("TC-RS-ERR-011 / delete-and-recreate",'Kiểm thử'!$A$5:$A$573,0)+4),"TC-RS-ERR-011 / delete-and-recreate")</f>
        <v/>
      </c>
      <c r="B1759" s="18" t="inlineStr">
        <is>
          <t>Kết quả mong đợi</t>
        </is>
      </c>
      <c r="C1759" s="18" t="inlineStr">
        <is>
          <t>1–2. S01 = 40 và Không đỏ; batch cũ không ghi lại kết quả Đỏ của điểm 29.
3. S01 Đỏ theo cấu hình mới (`40&lt;45`); batch cũ không ghi đè bằng kết quả theo ngưỡng 30.
4. Mọi ô của một lượt batch dùng cùng một bản nguồn (hoặc toàn bản cũ, hoặc toàn bản mới); không có lượt báo thành công mà ghép điểm/kết quả của hai thời điểm.
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
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
8. (PROPOSED) SELECT `write_version`, `judged_version`, `rule_revision` của S01: `judged_version` bằng phiên bản của lần ghi hoàn tất sau cùng; lượt cũ không làm giảm hay ghi đè các giá trị này.
Bảo toàn: Giữ điểm, cấu hình và đối tượng không đích theo expected; chỉ thay phần thủ tục yêu c</t>
        </is>
      </c>
    </row>
    <row r="1760" ht="44" customHeight="1">
      <c r="A1760" s="24">
        <f>HYPERLINK("#'Kiểm thử'!A"&amp;(MATCH("TC-RS-ERR-011 / delete-and-recreate",'Kiểm thử'!$A$5:$A$573,0)+4),"TC-RS-ERR-011 / delete-and-recreate")</f>
        <v/>
      </c>
      <c r="B1760" s="18" t="inlineStr">
        <is>
          <t>Kết quả mong đợi</t>
        </is>
      </c>
      <c r="C1760" s="18" t="inlineStr">
        <is>
          <t>ầu, không tự đổi oracle hoặc mở rộng phạm vi.</t>
        </is>
      </c>
    </row>
    <row r="1761" ht="61" customHeight="1">
      <c r="A1761" s="24">
        <f>HYPERLINK("#'Kiểm thử'!A"&amp;(MATCH("TC-RS-ERR-011 / rule-update-without-score-write",'Kiểm thử'!$A$5:$A$573,0)+4),"TC-RS-ERR-011 / rule-update-without-score-write")</f>
        <v/>
      </c>
      <c r="B1761" s="18" t="inlineStr">
        <is>
          <t>Màn hình / chức năng</t>
        </is>
      </c>
      <c r="C1761" s="18" t="inlineStr">
        <is>
          <t>Trạng thái kết quả và lỗi — Lỗi và cập nhật kết quả
Lượt cũ hoàn tất muộn không ghi đè kết quả của điểm/cấu hình mới hơn</t>
        </is>
      </c>
    </row>
    <row r="1762" ht="299" customHeight="1">
      <c r="A1762" s="24">
        <f>HYPERLINK("#'Kiểm thử'!A"&amp;(MATCH("TC-RS-ERR-011 / rule-update-without-score-write",'Kiểm thử'!$A$5:$A$573,0)+4),"TC-RS-ERR-011 / rule-update-without-score-write")</f>
        <v/>
      </c>
      <c r="B1762" s="18" t="inlineStr">
        <is>
          <t>Điều kiện / thao tác</t>
        </is>
      </c>
      <c r="C1762" s="18" t="inlineStr">
        <is>
          <t>Cấu hình: Batch lớn đang chạy cho khối 1; quy tắc “Cố định 30” (dưới 30) trên mục của S01; nguồn trung bình của cặp quy tắc phân nhánh theo trung bình 60 đã có một bản tổng hợp.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học sinh S01 (điểm 29); quy tắc “Cố định 30” (dưới 30); cặp quy tắc phân nhánh theo trung bình 60
Nhánh rule-update-without-score-write trong thủ tục và Expected của case; thực hiện các bước chuẩn bị chung trước nhánh
Thao tác: 1. Khi batch chưa xong, sửa S01 từ 29 thành 40 và lưu.
2. Chờ batch xong, xem S01.
3. Chạy lại batch; khi chưa xong, đổi ngưỡng quy tắc “Cố định 30” (dưới 30) thành 45, lưu, rồi đăng ký lại điểm S01 (40). Chờ batch cũ xong, xem S01.</t>
        </is>
      </c>
    </row>
    <row r="1763" ht="299" customHeight="1">
      <c r="A1763" s="24">
        <f>HYPERLINK("#'Kiểm thử'!A"&amp;(MATCH("TC-RS-ERR-011 / rule-update-without-score-write",'Kiểm thử'!$A$5:$A$573,0)+4),"TC-RS-ERR-011 / rule-update-without-score-write")</f>
        <v/>
      </c>
      <c r="B1763" s="18" t="inlineStr">
        <is>
          <t>Điều kiện / thao tác</t>
        </is>
      </c>
      <c r="C1763" s="18" t="inlineStr">
        <is>
          <t xml:space="preserve">
4. Với mục dùng cặp quy tắc phân nhánh theo trung bình 60: bắt đầu batch; khi chưa xong, bấm Thực hiện tổng hợp（集計実行） cho cùng phạm vi, chờ cả hai xong. SELECT kết quả và bản nguồn được ghi nhận cho các ô của lượt batch.
5. Khôi phục ngưỡng 30, S01 = 29 (Đỏ). Bắt đầu batch; khi batch đã đọc điểm 29 nhưng chưa xong, sửa S01 thành 40 và lưu, rồi sửa lại 29 và lưu. Chờ batch cũ xong, SELECT kết quả S01.
6. Lặp bước 5 nhưng thay bằng: xóa trống ô S01 và lưu, rồi nhập lại 29 và lưu.
7. S01 = 40 (Không đỏ). Bắt đầu batch; khi chưa xong, chỉ đổi ngưỡng quy tắc “Cố định 30” (dưới 30) thành 45 và lưu, không đăng ký lại điểm. Chờ batch cũ xong, xem S01; sau đó chạy lại batch và xem S01.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t>
        </is>
      </c>
    </row>
    <row r="1764" ht="95" customHeight="1">
      <c r="A1764" s="24">
        <f>HYPERLINK("#'Kiểm thử'!A"&amp;(MATCH("TC-RS-ERR-011 / rule-update-without-score-write",'Kiểm thử'!$A$5:$A$573,0)+4),"TC-RS-ERR-011 / rule-update-without-score-write")</f>
        <v/>
      </c>
      <c r="B1764" s="18" t="inlineStr">
        <is>
          <t>Điều kiện / thao tác</t>
        </is>
      </c>
      <c r="C1764" s="18" t="inlineStr">
        <is>
          <t xml:space="preserve">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65" ht="299" customHeight="1">
      <c r="A1765" s="24">
        <f>HYPERLINK("#'Kiểm thử'!A"&amp;(MATCH("TC-RS-ERR-011 / rule-update-without-score-write",'Kiểm thử'!$A$5:$A$573,0)+4),"TC-RS-ERR-011 / rule-update-without-score-write")</f>
        <v/>
      </c>
      <c r="B1765" s="18" t="inlineStr">
        <is>
          <t>Kết quả mong đợi</t>
        </is>
      </c>
      <c r="C1765" s="18" t="inlineStr">
        <is>
          <t>1–2. S01 = 40 và Không đỏ; batch cũ không ghi lại kết quả Đỏ của điểm 29.
3. S01 Đỏ theo cấu hình mới (`40&lt;45`); batch cũ không ghi đè bằng kết quả theo ngưỡng 30.
4. Mọi ô của một lượt batch dùng cùng một bản nguồn (hoặc toàn bản cũ, hoặc toàn bản mới); không có lượt báo thành công mà ghép điểm/kết quả của hai thời điểm.
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
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
8. (PROPOSED) SELECT `write_version`, `judged_version`, `rule_revision` của S01: `judged_version` bằng phiên bản của lần ghi hoàn tất sau cùng; lượt cũ không làm giảm hay ghi đè các giá trị này.
Bảo toàn: Giữ điểm, cấu hình và đối tượng không đích theo expected; chỉ thay phần thủ tục yêu c</t>
        </is>
      </c>
    </row>
    <row r="1766" ht="61" customHeight="1">
      <c r="A1766" s="24">
        <f>HYPERLINK("#'Kiểm thử'!A"&amp;(MATCH("TC-RS-ERR-011 / rule-update-without-score-write",'Kiểm thử'!$A$5:$A$573,0)+4),"TC-RS-ERR-011 / rule-update-without-score-write")</f>
        <v/>
      </c>
      <c r="B1766" s="18" t="inlineStr">
        <is>
          <t>Kết quả mong đợi</t>
        </is>
      </c>
      <c r="C1766" s="18" t="inlineStr">
        <is>
          <t>ầu, không tự đổi oracle hoặc mở rộng phạm vi.</t>
        </is>
      </c>
    </row>
    <row r="1767" ht="44" customHeight="1">
      <c r="A1767" s="24">
        <f>HYPERLINK("#'Kiểm thử'!A"&amp;(MATCH("TC-RS-ERR-018 / concurrent",'Kiểm thử'!$A$5:$A$573,0)+4),"TC-RS-ERR-018 / concurrent")</f>
        <v/>
      </c>
      <c r="B1767" s="18" t="inlineStr">
        <is>
          <t>Màn hình / chức năng</t>
        </is>
      </c>
      <c r="C1767" s="18" t="inlineStr">
        <is>
          <t>Trạng thái kết quả và lỗi — Lỗi và cập nhật kết quả
Hai lượt xét lần đầu đồng thời hoặc gửi lại thao tác hoàn tất chỉ tạo một kết quả</t>
        </is>
      </c>
    </row>
    <row r="1768" ht="299" customHeight="1">
      <c r="A1768" s="24">
        <f>HYPERLINK("#'Kiểm thử'!A"&amp;(MATCH("TC-RS-ERR-018 / concurrent",'Kiểm thử'!$A$5:$A$573,0)+4),"TC-RS-ERR-018 / concurrent")</f>
        <v/>
      </c>
      <c r="B1768" s="18" t="inlineStr">
        <is>
          <t>Điều kiện / thao tác</t>
        </is>
      </c>
      <c r="C1768" s="18" t="inlineStr">
        <is>
          <t>Cấu hình: Ô S01 của mục số nguyên (M=100) chưa từng được xét (chưa có dòng kết quả); quy tắc “Cố định 30” (dưới 30) là quy tắc duy nhất; có cách cho hai lượt chạy gần như cùng lúc.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(29); tài khoản có quyền chạy hàng loạt, tài khoản giáo viên nhập điểm lớp G-A, G-B, G-C
Bước 1–2 hai lượt lần đầu
Thao tác: 1. Cùng lúc: giáo viên lưu điểm S01 = 29 trên Đăng ký thành tích（成績登録） và người có quyền bấm nút cam cho G-A.
2. Xem kết quả S01 ở ba đầu ra; SELECT dòng kết quả của ô.
3. Lặp lại thao tác hoàn tất lần nữa với cùng dữ liệu (gửi lại form đăng ký, hoặc chạy lại job của cùng lượt nếu môi trường cho phép); xem lại và SELECT.</t>
        </is>
      </c>
    </row>
    <row r="1769" ht="214" customHeight="1">
      <c r="A1769" s="24">
        <f>HYPERLINK("#'Kiểm thử'!A"&amp;(MATCH("TC-RS-ERR-018 / concurrent",'Kiểm thử'!$A$5:$A$573,0)+4),"TC-RS-ERR-018 / concurrent")</f>
        <v/>
      </c>
      <c r="B1769" s="18" t="inlineStr">
        <is>
          <t>Điều kiện / thao tác</t>
        </is>
      </c>
      <c r="C1769"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70" ht="44" customHeight="1">
      <c r="A1770" s="24">
        <f>HYPERLINK("#'Kiểm thử'!A"&amp;(MATCH("TC-RS-ERR-018 / replay-form",'Kiểm thử'!$A$5:$A$573,0)+4),"TC-RS-ERR-018 / replay-form")</f>
        <v/>
      </c>
      <c r="B1770" s="18" t="inlineStr">
        <is>
          <t>Màn hình / chức năng</t>
        </is>
      </c>
      <c r="C1770" s="18" t="inlineStr">
        <is>
          <t>Trạng thái kết quả và lỗi — Lỗi và cập nhật kết quả
Hai lượt xét lần đầu đồng thời hoặc gửi lại thao tác hoàn tất chỉ tạo một kết quả</t>
        </is>
      </c>
    </row>
    <row r="1771" ht="299" customHeight="1">
      <c r="A1771" s="24">
        <f>HYPERLINK("#'Kiểm thử'!A"&amp;(MATCH("TC-RS-ERR-018 / replay-form",'Kiểm thử'!$A$5:$A$573,0)+4),"TC-RS-ERR-018 / replay-form")</f>
        <v/>
      </c>
      <c r="B1771" s="18" t="inlineStr">
        <is>
          <t>Điều kiện / thao tác</t>
        </is>
      </c>
      <c r="C1771" s="18" t="inlineStr">
        <is>
          <t>Cấu hình: Ô S01 của mục số nguyên (M=100) chưa từng được xét (chưa có dòng kết quả); quy tắc “Cố định 30” (dưới 30) là quy tắc duy nhất; có cách cho hai lượt chạy gần như cùng lúc.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(29); tài khoản có quyền chạy hàng loạt, tài khoản giáo viên nhập điểm lớp G-A, G-B, G-C
Bước 3 gửi lại form sau baseline bước 1–2
Thao tác: 1. Cùng lúc: giáo viên lưu điểm S01 = 29 trên Đăng ký thành tích（成績登録） và người có quyền bấm nút cam cho G-A.
2. Xem kết quả S01 ở ba đầu ra; SELECT dòng kết quả của ô.
3. Lặp lại thao tác hoàn tất lần nữa với cùng dữ liệu (gửi lại form đăng ký, hoặc chạy lại job của cùng lượt nếu môi trường cho phép); xem lại và SELECT.</t>
        </is>
      </c>
    </row>
    <row r="1772" ht="214" customHeight="1">
      <c r="A1772" s="24">
        <f>HYPERLINK("#'Kiểm thử'!A"&amp;(MATCH("TC-RS-ERR-018 / replay-form",'Kiểm thử'!$A$5:$A$573,0)+4),"TC-RS-ERR-018 / replay-form")</f>
        <v/>
      </c>
      <c r="B1772" s="18" t="inlineStr">
        <is>
          <t>Điều kiện / thao tác</t>
        </is>
      </c>
      <c r="C1772"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73" ht="44" customHeight="1">
      <c r="A1773" s="24">
        <f>HYPERLINK("#'Kiểm thử'!A"&amp;(MATCH("TC-RS-ERR-018 / replay-job",'Kiểm thử'!$A$5:$A$573,0)+4),"TC-RS-ERR-018 / replay-job")</f>
        <v/>
      </c>
      <c r="B1773" s="18" t="inlineStr">
        <is>
          <t>Màn hình / chức năng</t>
        </is>
      </c>
      <c r="C1773" s="18" t="inlineStr">
        <is>
          <t>Trạng thái kết quả và lỗi — Lỗi và cập nhật kết quả
Hai lượt xét lần đầu đồng thời hoặc gửi lại thao tác hoàn tất chỉ tạo một kết quả</t>
        </is>
      </c>
    </row>
    <row r="1774" ht="299" customHeight="1">
      <c r="A1774" s="24">
        <f>HYPERLINK("#'Kiểm thử'!A"&amp;(MATCH("TC-RS-ERR-018 / replay-job",'Kiểm thử'!$A$5:$A$573,0)+4),"TC-RS-ERR-018 / replay-job")</f>
        <v/>
      </c>
      <c r="B1774" s="18" t="inlineStr">
        <is>
          <t>Điều kiện / thao tác</t>
        </is>
      </c>
      <c r="C1774" s="18" t="inlineStr">
        <is>
          <t>Cấu hình: Ô S01 của mục số nguyên (M=100) chưa từng được xét (chưa có dòng kết quả); quy tắc “Cố định 30” (dưới 30) là quy tắc duy nhất; có cách cho hai lượt chạy gần như cùng lúc.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(29); tài khoản có quyền chạy hàng loạt, tài khoản giáo viên nhập điểm lớp G-A, G-B, G-C
Bước 3 chạy lại job cùng lượt nếu có seam, không có seam thì BLOCKED
Thao tác: 1. Cùng lúc: giáo viên lưu điểm S01 = 29 trên Đăng ký thành tích（成績登録） và người có quyền bấm nút cam cho G-A.
2. Xem kết quả S01 ở ba đầu ra; SELECT dòng kết quả của ô.
3. Lặp lại thao tác hoàn tất lần nữa với cùng dữ liệu (gửi lại form đăng ký, hoặc chạy lại job của cùng lượt nếu môi trường cho phép); xem lại và SELECT.</t>
        </is>
      </c>
    </row>
    <row r="1775" ht="214" customHeight="1">
      <c r="A1775" s="24">
        <f>HYPERLINK("#'Kiểm thử'!A"&amp;(MATCH("TC-RS-ERR-018 / replay-job",'Kiểm thử'!$A$5:$A$573,0)+4),"TC-RS-ERR-018 / replay-job")</f>
        <v/>
      </c>
      <c r="B1775" s="18" t="inlineStr">
        <is>
          <t>Điều kiện / thao tác</t>
        </is>
      </c>
      <c r="C1775" s="18" t="inlineStr">
        <is>
          <t xml:space="preserv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76" ht="44" customHeight="1">
      <c r="A1776" s="24">
        <f>HYPERLINK("#'Kiểm thử'!A"&amp;(MATCH("TC-RS-ERR-019 / Base",'Kiểm thử'!$A$5:$A$573,0)+4),"TC-RS-ERR-019 / Base")</f>
        <v/>
      </c>
      <c r="B1776" s="18" t="inlineStr">
        <is>
          <t>Màn hình / chức năng</t>
        </is>
      </c>
      <c r="C1776" s="18" t="inlineStr">
        <is>
          <t>Trạng thái kết quả và lỗi — Lỗi và cập nhật kết quả
Đăng ký lần đầu đồng thời hai mục khác nhau của cùng học sinh giữ đủ cả hai</t>
        </is>
      </c>
    </row>
    <row r="1777" ht="299" customHeight="1">
      <c r="A1777" s="24">
        <f>HYPERLINK("#'Kiểm thử'!A"&amp;(MATCH("TC-RS-ERR-019 / Base",'Kiểm thử'!$A$5:$A$573,0)+4),"TC-RS-ERR-019 / Base")</f>
        <v/>
      </c>
      <c r="B1777" s="18" t="inlineStr">
        <is>
          <t>Điều kiện / thao tác</t>
        </is>
      </c>
      <c r="C1777" s="18" t="inlineStr">
        <is>
          <t>Cấu hình: Cùng học sinh S01, lớp G-A, cùng kỳ Cuối kỳ học kỳ 1（1学期期末）, điểm thường; hai mục số khác nhau (mục số nguyên (M=100) và một mục số thứ hai của cùng khung) đều có quy tắc cố định 30 `&lt;`; chưa có dòng điểm vật lý nào của S01 cho kỳ này.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“Cố định 30” (dưới 30); học sinh S01 (điểm 29); tài khoản giáo viên nhập điểm lớp G-A, G-B, G-C (hai phiên đăng nhập)
Toàn bộ thủ tục theo đúng thứ tự; các đối chứng cùng fixture được kiểm trong cùng lượt, không bỏ bước
Thao tác: 1. Hai phiên cùng lúc: phiên 1 lưu S01 = 29 cho mục số nguyên (M=100); phiên 2 lưu S01 = 45 cho mục thứ hai.
2. Mở lại Đăng ký thành tích（成績登録）; xem trích xuất; SELECT dòng điểm của S01 (trường/năm/</t>
        </is>
      </c>
    </row>
    <row r="1778" ht="214" customHeight="1">
      <c r="A1778" s="24">
        <f>HYPERLINK("#'Kiểm thử'!A"&amp;(MATCH("TC-RS-ERR-019 / Base",'Kiểm thử'!$A$5:$A$573,0)+4),"TC-RS-ERR-019 / Base")</f>
        <v/>
      </c>
      <c r="B1778" s="18" t="inlineStr">
        <is>
          <t>Điều kiện / thao tác</t>
        </is>
      </c>
      <c r="C1778" s="18" t="inlineStr">
        <is>
          <t>học sinh/lớp/kỳ/đơn vị) và dòng kết quả của hai ô.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79" ht="299" customHeight="1">
      <c r="A1779" s="24">
        <f>HYPERLINK("#'Kiểm thử'!A"&amp;(MATCH("TC-RS-UI-025 / Base",'Kiểm thử'!$A$5:$A$573,0)+4),"TC-RS-UI-025 / Base")</f>
        <v/>
      </c>
      <c r="B1779" s="18" t="inlineStr">
        <is>
          <t>Điều kiện / thao tác</t>
        </is>
      </c>
      <c r="C1779" s="18" t="inlineStr">
        <is>
          <t>Cấu hình: Có danh sách phạm vi phát hành (đặc tả v2 mục 1.4, mục 13.1).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Toàn bộ thủ tục theo đúng thứ tự; các đối chứng cùng fixture được kiểm trong cùng lượt, không bỏ bước
Thao tác: 1. Mở màn Điều kiện áp dụng（適用条件設定）, xem các loại điều kiện.
2. Mở màn Ngưỡng đỏ（赤点の基準）, xem các loại ngưỡng.
3. Với loại không có trong danh sách phát hành (ví dụ Công thức（計算式）, điều kiện Trung bình（平均点））: nếu chọn được thì thử Lưu.
Khôi phục: Trước mỗi biến thể, dựng lại điều kiện/dữ liệu đầu của case bằng đường được phép; giữ các reset/fixture độc lập đã nêu trong thủ tục.</t>
        </is>
      </c>
    </row>
    <row r="1780" ht="180" customHeight="1">
      <c r="A1780" s="24">
        <f>HYPERLINK("#'Kiểm thử'!A"&amp;(MATCH("TC-RS-UI-025 / Base",'Kiểm thử'!$A$5:$A$573,0)+4),"TC-RS-UI-025 / Base")</f>
        <v/>
      </c>
      <c r="B1780" s="18" t="inlineStr">
        <is>
          <t>Điều kiện / thao tác</t>
        </is>
      </c>
      <c r="C1780"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81" ht="44" customHeight="1">
      <c r="A1781" s="24">
        <f>HYPERLINK("#'Kiểm thử'!A"&amp;(MATCH("TC-RS-REG-001 / Base",'Kiểm thử'!$A$5:$A$573,0)+4),"TC-RS-REG-001 / Base")</f>
        <v/>
      </c>
      <c r="B1781" s="18" t="inlineStr">
        <is>
          <t>Màn hình / chức năng</t>
        </is>
      </c>
      <c r="C1781" s="18" t="inlineStr">
        <is>
          <t>Hồi quy AutoRating và các luồng hiện có — Hồi quy luồng hiện có
Điểm do tính tự động（自動計算） tạo ra không đổi khi có quy tắc đỏ</t>
        </is>
      </c>
    </row>
    <row r="1782" ht="299" customHeight="1">
      <c r="A1782" s="24">
        <f>HYPERLINK("#'Kiểm thử'!A"&amp;(MATCH("TC-RS-REG-001 / Base",'Kiểm thử'!$A$5:$A$573,0)+4),"TC-RS-REG-001 / Base")</f>
        <v/>
      </c>
      <c r="B1782" s="18" t="inlineStr">
        <is>
          <t>Điều kiện / thao tác</t>
        </is>
      </c>
      <c r="C1782" s="18" t="inlineStr">
        <is>
          <t xml:space="preserve">Cấu hình: mục số nguyên có thêm tính tự động có quy tắc tính tự động; baseline điểm tự động của khối 1. Thêm quy tắc “Cố định 30” (dưới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có thêm tính tự động, quy tắc “Cố định 30” (dưới 30)
Toàn bộ thủ tục theo đúng thứ tự; các đối chứng cùng fixture được kiểm trong cùng lượt, không bỏ bước
Thao tác: 1. Chạy nút cam cho khối 1.
2. So điểm của mục số nguyên có thêm tính tự động với baseline.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783" ht="146" customHeight="1">
      <c r="A1783" s="24">
        <f>HYPERLINK("#'Kiểm thử'!A"&amp;(MATCH("TC-RS-REG-001 / Base",'Kiểm thử'!$A$5:$A$573,0)+4),"TC-RS-REG-001 / Base")</f>
        <v/>
      </c>
      <c r="B1783" s="18" t="inlineStr">
        <is>
          <t>Điều kiện / thao tác</t>
        </is>
      </c>
      <c r="C178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84" ht="44" customHeight="1">
      <c r="A1784" s="24">
        <f>HYPERLINK("#'Kiểm thử'!A"&amp;(MATCH("TC-RS-REG-002 / Base",'Kiểm thử'!$A$5:$A$573,0)+4),"TC-RS-REG-002 / Base")</f>
        <v/>
      </c>
      <c r="B1784" s="18" t="inlineStr">
        <is>
          <t>Màn hình / chức năng</t>
        </is>
      </c>
      <c r="C1784" s="18" t="inlineStr">
        <is>
          <t>Hồi quy AutoRating và các luồng hiện có — Hồi quy luồng hiện có
Quy tắc đỏ không kế thừa hành vi "không khớp thì ghi NULL" của AutoRating</t>
        </is>
      </c>
    </row>
    <row r="1785" ht="299" customHeight="1">
      <c r="A1785" s="24">
        <f>HYPERLINK("#'Kiểm thử'!A"&amp;(MATCH("TC-RS-REG-002 / Base",'Kiểm thử'!$A$5:$A$573,0)+4),"TC-RS-REG-002 / Base")</f>
        <v/>
      </c>
      <c r="B1785" s="18" t="inlineStr">
        <is>
          <t>Điều kiện / thao tác</t>
        </is>
      </c>
      <c r="C1785" s="18" t="inlineStr">
        <is>
          <t>Cấu hình: mục số nguyên (M=100) chỉ có quy tắc có bộ lọc kết hợp (khối 1 hoặc 2, nhóm Nâng cao); S07=20 không khớp (như case “Không quy tắc nào khớp khi đủ dữ liệu → Không áp dụng”). Mục không có quy tắc tính tự động.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quy tắc có bộ lọc kết hợp (khối 1 hoặc 2, nhóm Nâng cao), học sinh S07 (điểm 35, cờ Chưa dự thi（未受験）)
Toàn bộ thủ tục theo đúng thứ tự; các đối chứng cùng fixture được kiểm trong cùng lượt, không bỏ bước
Thao tác: 1. Đăng ký S07=20; chạy nút cam.
2. Xem điểm S07 trên màn nhập điểm và DB.
Khôi phục: Trước mỗi biến thể, dựng lại điều kiện/dữ liệu đầu của case bằng đường được phép; gi</t>
        </is>
      </c>
    </row>
    <row r="1786" ht="180" customHeight="1">
      <c r="A1786" s="24">
        <f>HYPERLINK("#'Kiểm thử'!A"&amp;(MATCH("TC-RS-REG-002 / Base",'Kiểm thử'!$A$5:$A$573,0)+4),"TC-RS-REG-002 / Base")</f>
        <v/>
      </c>
      <c r="B1786" s="18" t="inlineStr">
        <is>
          <t>Điều kiện / thao tác</t>
        </is>
      </c>
      <c r="C1786" s="18" t="inlineStr">
        <is>
          <t>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87" ht="44" customHeight="1">
      <c r="A1787" s="24">
        <f>HYPERLINK("#'Kiểm thử'!A"&amp;(MATCH("TC-RS-REG-004 / orange",'Kiểm thử'!$A$5:$A$573,0)+4),"TC-RS-REG-004 / orange")</f>
        <v/>
      </c>
      <c r="B1787" s="18" t="inlineStr">
        <is>
          <t>Màn hình / chức năng</t>
        </is>
      </c>
      <c r="C1787" s="18" t="inlineStr">
        <is>
          <t>Hồi quy AutoRating và các luồng hiện có — Hồi quy luồng hiện có
Nút cam/nút xanh của trường đang dùng AutoRating hoạt động như trước</t>
        </is>
      </c>
    </row>
    <row r="1788" ht="299" customHeight="1">
      <c r="A1788" s="24">
        <f>HYPERLINK("#'Kiểm thử'!A"&amp;(MATCH("TC-RS-REG-004 / orange",'Kiểm thử'!$A$5:$A$573,0)+4),"TC-RS-REG-004 / orange")</f>
        <v/>
      </c>
      <c r="B1788" s="18" t="inlineStr">
        <is>
          <t>Điều kiện / thao tác</t>
        </is>
      </c>
      <c r="C1788" s="18" t="inlineStr">
        <is>
          <t>Cấu hình: Trường có AutoRating active; tài khoản có quyền chạy hàng loạt. Baseline: phạm vi chọn được và danh sách lớp được xếp hàng.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có thêm tính tự động
Nút cam
Thao tác: 1. Mở màn, chọn cùng phạm vi như baseline.
2. Chạy nút cam rồi nút xanh.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789" ht="129" customHeight="1">
      <c r="A1789" s="24">
        <f>HYPERLINK("#'Kiểm thử'!A"&amp;(MATCH("TC-RS-REG-004 / orange",'Kiểm thử'!$A$5:$A$573,0)+4),"TC-RS-REG-004 / orange")</f>
        <v/>
      </c>
      <c r="B1789" s="18" t="inlineStr">
        <is>
          <t>Điều kiện / thao tác</t>
        </is>
      </c>
      <c r="C1789"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90" ht="44" customHeight="1">
      <c r="A1790" s="24">
        <f>HYPERLINK("#'Kiểm thử'!A"&amp;(MATCH("TC-RS-REG-004 / green",'Kiểm thử'!$A$5:$A$573,0)+4),"TC-RS-REG-004 / green")</f>
        <v/>
      </c>
      <c r="B1790" s="18" t="inlineStr">
        <is>
          <t>Màn hình / chức năng</t>
        </is>
      </c>
      <c r="C1790" s="18" t="inlineStr">
        <is>
          <t>Hồi quy AutoRating và các luồng hiện có — Hồi quy luồng hiện có
Nút cam/nút xanh của trường đang dùng AutoRating hoạt động như trước</t>
        </is>
      </c>
    </row>
    <row r="1791" ht="299" customHeight="1">
      <c r="A1791" s="24">
        <f>HYPERLINK("#'Kiểm thử'!A"&amp;(MATCH("TC-RS-REG-004 / green",'Kiểm thử'!$A$5:$A$573,0)+4),"TC-RS-REG-004 / green")</f>
        <v/>
      </c>
      <c r="B1791" s="18" t="inlineStr">
        <is>
          <t>Điều kiện / thao tác</t>
        </is>
      </c>
      <c r="C1791" s="18" t="inlineStr">
        <is>
          <t>Cấu hình: Trường có AutoRating active; tài khoản có quyền chạy hàng loạt. Baseline: phạm vi chọn được và danh sách lớp được xếp hàng.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có thêm tính tự động
Nút xanh
Thao tác: 1. Mở màn, chọn cùng phạm vi như baseline.
2. Chạy nút cam rồi nút xanh.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792" ht="129" customHeight="1">
      <c r="A1792" s="24">
        <f>HYPERLINK("#'Kiểm thử'!A"&amp;(MATCH("TC-RS-REG-004 / green",'Kiểm thử'!$A$5:$A$573,0)+4),"TC-RS-REG-004 / green")</f>
        <v/>
      </c>
      <c r="B1792" s="18" t="inlineStr">
        <is>
          <t>Điều kiện / thao tác</t>
        </is>
      </c>
      <c r="C1792"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93" ht="44" customHeight="1">
      <c r="A1793" s="24">
        <f>HYPERLINK("#'Kiểm thử'!A"&amp;(MATCH("TC-RS-REG-005 / Base",'Kiểm thử'!$A$5:$A$573,0)+4),"TC-RS-REG-005 / Base")</f>
        <v/>
      </c>
      <c r="B1793" s="18" t="inlineStr">
        <is>
          <t>Màn hình / chức năng</t>
        </is>
      </c>
      <c r="C1793" s="18" t="inlineStr">
        <is>
          <t>Hồi quy AutoRating và các luồng hiện có — Hồi quy luồng hiện có
Kết quả tổng hợp thứ hạng（順位集計） không đổi khi có quy tắc đỏ đọc nguồn</t>
        </is>
      </c>
    </row>
    <row r="1794" ht="299" customHeight="1">
      <c r="A1794" s="24">
        <f>HYPERLINK("#'Kiểm thử'!A"&amp;(MATCH("TC-RS-REG-005 / Base",'Kiểm thử'!$A$5:$A$573,0)+4),"TC-RS-REG-005 / Base")</f>
        <v/>
      </c>
      <c r="B1794" s="18" t="inlineStr">
        <is>
          <t>Điều kiện / thao tác</t>
        </is>
      </c>
      <c r="C1794" s="18" t="inlineStr">
        <is>
          <t>Cấu hình: cặp quy tắc phân nhánh theo trung bình 60 và quy tắc theo tỷ lệ điểm của nhóm từ 65% đang dùng nguồn của khối 1. Baseline: kết quả tổng hợp (trung bình, thứ hạng, số người) chạy trên build cũ với cùng dữ liệu.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cặp quy tắc phân nhánh theo trung bình 60, quy tắc theo tỷ lệ điểm của nhóm từ 65%
Toàn bộ thủ tục theo đúng thứ tự; các đối chứng cùng fixture được kiểm trong cùng lượt, không bỏ bước
Thao tác: 1. Chạy nút xanh rồi nút cam cho khối 1.
2. So trung bình, thứ hạng, số người với baseline.
Khôi phục: Trước mỗi biến thể, dựng lại điều kiện/dữ liệu đầu của case bằng đường được phép; giữ các reset/fixture độc lập đã nêu trong thủ tục.</t>
        </is>
      </c>
    </row>
    <row r="1795" ht="180" customHeight="1">
      <c r="A1795" s="24">
        <f>HYPERLINK("#'Kiểm thử'!A"&amp;(MATCH("TC-RS-REG-005 / Base",'Kiểm thử'!$A$5:$A$573,0)+4),"TC-RS-REG-005 / Base")</f>
        <v/>
      </c>
      <c r="B1795" s="18" t="inlineStr">
        <is>
          <t>Điều kiện / thao tác</t>
        </is>
      </c>
      <c r="C1795"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96" ht="299" customHeight="1">
      <c r="A1796" s="24">
        <f>HYPERLINK("#'Kiểm thử'!A"&amp;(MATCH("TC-RS-REG-013 / definition",'Kiểm thử'!$A$5:$A$573,0)+4),"TC-RS-REG-013 / definition")</f>
        <v/>
      </c>
      <c r="B1796" s="18" t="inlineStr">
        <is>
          <t>Điều kiện / thao tác</t>
        </is>
      </c>
      <c r="C1796" s="18" t="inlineStr">
        <is>
          <t>Cấu hình: Baseline trên build cũ: giá trị lưu, thông báo và danh sách job khi thực hiện ba bước dưới với cùng dữ liệu. mục điểm đơn vị (đơn vị U1 có M riêng 40) có quy tắc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tỷ lệ 30%; mục điểm đơn vị (đơn vị U1 có M riêng 40)
Đổi định nghĩa M
Thao tác: 1. Đổi định nghĩa M ở Thiết lập điểm tối đa（満点設定）, lưu, mở lại.
2. Đổi Giá trị tối đa（最大値）, lưu, mở lại.
3. Lưu ở Thiết lập điểm tối đa hàng loạt（満点一括設定） lựa chọn M=50 cho G-B; xem danh sách job.
Khôi phục: Trước mỗi biến thể, dựng lại điều kiện/dữ liệu đầu của case bằng đường được phép; giữ các reset/fixture độc lập đã nêu trong thủ tục.</t>
        </is>
      </c>
    </row>
    <row r="1797" ht="180" customHeight="1">
      <c r="A1797" s="24">
        <f>HYPERLINK("#'Kiểm thử'!A"&amp;(MATCH("TC-RS-REG-013 / definition",'Kiểm thử'!$A$5:$A$573,0)+4),"TC-RS-REG-013 / definition")</f>
        <v/>
      </c>
      <c r="B1797" s="18" t="inlineStr">
        <is>
          <t>Điều kiện / thao tác</t>
        </is>
      </c>
      <c r="C1797"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798" ht="299" customHeight="1">
      <c r="A1798" s="24">
        <f>HYPERLINK("#'Kiểm thử'!A"&amp;(MATCH("TC-RS-REG-013 / maximum",'Kiểm thử'!$A$5:$A$573,0)+4),"TC-RS-REG-013 / maximum")</f>
        <v/>
      </c>
      <c r="B1798" s="18" t="inlineStr">
        <is>
          <t>Điều kiện / thao tác</t>
        </is>
      </c>
      <c r="C1798" s="18" t="inlineStr">
        <is>
          <t>Cấu hình: Baseline trên build cũ: giá trị lưu, thông báo và danh sách job khi thực hiện ba bước dưới với cùng dữ liệu. mục điểm đơn vị (đơn vị U1 có M riêng 40) có quy tắc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tỷ lệ 30%; mục điểm đơn vị (đơn vị U1 có M riêng 40)
Đổi Giá trị tối đa
Thao tác: 1. Đổi định nghĩa M ở Thiết lập điểm tối đa（満点設定）, lưu, mở lại.
2. Đổi Giá trị tối đa（最大値）, lưu, mở lại.
3. Lưu ở Thiết lập điểm tối đa hàng loạt（満点一括設定） lựa chọn M=50 cho G-B; xem danh sách job.
Khôi phục: Trước mỗi biến thể, dựng lại điều kiện/dữ liệu đầu của case bằng đường được phép; giữ các reset/fixture độc lập đã nêu trong thủ tục.</t>
        </is>
      </c>
    </row>
    <row r="1799" ht="180" customHeight="1">
      <c r="A1799" s="24">
        <f>HYPERLINK("#'Kiểm thử'!A"&amp;(MATCH("TC-RS-REG-013 / maximum",'Kiểm thử'!$A$5:$A$573,0)+4),"TC-RS-REG-013 / maximum")</f>
        <v/>
      </c>
      <c r="B1799" s="18" t="inlineStr">
        <is>
          <t>Điều kiện / thao tác</t>
        </is>
      </c>
      <c r="C1799"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00" ht="299" customHeight="1">
      <c r="A1800" s="24">
        <f>HYPERLINK("#'Kiểm thử'!A"&amp;(MATCH("TC-RS-REG-013 / batch",'Kiểm thử'!$A$5:$A$573,0)+4),"TC-RS-REG-013 / batch")</f>
        <v/>
      </c>
      <c r="B1800" s="18" t="inlineStr">
        <is>
          <t>Điều kiện / thao tác</t>
        </is>
      </c>
      <c r="C1800" s="18" t="inlineStr">
        <is>
          <t>Cấu hình: Baseline trên build cũ: giá trị lưu, thông báo và danh sách job khi thực hiện ba bước dưới với cùng dữ liệu. mục điểm đơn vị (đơn vị U1 có M riêng 40) có quy tắc tỷ lệ 30%.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tỷ lệ 30%; mục điểm đơn vị (đơn vị U1 có M riêng 40)
Lưu điểm tối đa hàng loạt
Thao tác: 1. Đổi định nghĩa M ở Thiết lập điểm tối đa（満点設定）, lưu, mở lại.
2. Đổi Giá trị tối đa（最大値）, lưu, mở lại.
3. Lưu ở Thiết lập điểm tối đa hàng loạt（満点一括設定） lựa chọn M=50 cho G-B; xem danh sách job.
Khôi phục: Trước mỗi biến thể, dựng lại điều kiện/dữ liệu đầu của case bằng đường được phép; giữ các reset/fixture độc lập đã nêu trong thủ tục.</t>
        </is>
      </c>
    </row>
    <row r="1801" ht="180" customHeight="1">
      <c r="A1801" s="24">
        <f>HYPERLINK("#'Kiểm thử'!A"&amp;(MATCH("TC-RS-REG-013 / batch",'Kiểm thử'!$A$5:$A$573,0)+4),"TC-RS-REG-013 / batch")</f>
        <v/>
      </c>
      <c r="B1801" s="18" t="inlineStr">
        <is>
          <t>Điều kiện / thao tác</t>
        </is>
      </c>
      <c r="C1801" s="18" t="inlineStr">
        <is>
          <t xml:space="preserve">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02" ht="299" customHeight="1">
      <c r="A1802" s="24">
        <f>HYPERLINK("#'Kiểm thử'!A"&amp;(MATCH("TC-RS-REG-014 / size10",'Kiểm thử'!$A$5:$A$573,0)+4),"TC-RS-REG-014 / size10")</f>
        <v/>
      </c>
      <c r="B1802" s="18" t="inlineStr">
        <is>
          <t>Điều kiện / thao tác</t>
        </is>
      </c>
      <c r="C1802" s="18" t="inlineStr">
        <is>
          <t>Cấu hình: Khối có ít nhất 2 cỡ dữ liệu khác nhau (ví dụ 10 và 100 học sinh) trên môi trường local; bật log truy vấn.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môi trường test (trường A, năm học 2026)
Cỡ 10 học sinh
Thao tác: Chạy batch với từng cỡ dữ liệu; đếm truy vấn liên quan đến quy tắc/nguồn/kết quả đỏ.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803" ht="129" customHeight="1">
      <c r="A1803" s="24">
        <f>HYPERLINK("#'Kiểm thử'!A"&amp;(MATCH("TC-RS-REG-014 / size10",'Kiểm thử'!$A$5:$A$573,0)+4),"TC-RS-REG-014 / size10")</f>
        <v/>
      </c>
      <c r="B1803" s="18" t="inlineStr">
        <is>
          <t>Điều kiện / thao tác</t>
        </is>
      </c>
      <c r="C1803"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04" ht="299" customHeight="1">
      <c r="A1804" s="24">
        <f>HYPERLINK("#'Kiểm thử'!A"&amp;(MATCH("TC-RS-REG-014 / size100",'Kiểm thử'!$A$5:$A$573,0)+4),"TC-RS-REG-014 / size100")</f>
        <v/>
      </c>
      <c r="B1804" s="18" t="inlineStr">
        <is>
          <t>Điều kiện / thao tác</t>
        </is>
      </c>
      <c r="C1804" s="18" t="inlineStr">
        <is>
          <t>Cấu hình: Khối có ít nhất 2 cỡ dữ liệu khác nhau (ví dụ 10 và 100 học sinh) trên môi trường local; bật log truy vấn.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môi trường test (trường A, năm học 2026)
Cỡ 100 học sinh, đối chiếu log cả hai cỡ
Thao tác: Chạy batch với từng cỡ dữ liệu; đếm truy vấn liên quan đến quy tắc/nguồn/kết quả đỏ.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t>
        </is>
      </c>
    </row>
    <row r="1805" ht="129" customHeight="1">
      <c r="A1805" s="24">
        <f>HYPERLINK("#'Kiểm thử'!A"&amp;(MATCH("TC-RS-REG-014 / size100",'Kiểm thử'!$A$5:$A$573,0)+4),"TC-RS-REG-014 / size100")</f>
        <v/>
      </c>
      <c r="B1805" s="18" t="inlineStr">
        <is>
          <t>Điều kiện / thao tác</t>
        </is>
      </c>
      <c r="C1805" s="18" t="inlineStr">
        <is>
          <t xml:space="preserve">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06" ht="299" customHeight="1">
      <c r="A1806" s="24">
        <f>HYPERLINK("#'Kiểm thử'!A"&amp;(MATCH("TC-RS-REG-016 / direct",'Kiểm thử'!$A$5:$A$573,0)+4),"TC-RS-REG-016 / direct")</f>
        <v/>
      </c>
      <c r="B1806" s="18" t="inlineStr">
        <is>
          <t>Điều kiện / thao tác</t>
        </is>
      </c>
      <c r="C1806" s="18" t="inlineStr">
        <is>
          <t>Cấu hình: Mục có môn chính/môn con và quan điểm, có quy tắc tính tự động（自動計算設定） (mục số nguyên có thêm tính tự động) để các bước sau tính tự động chạy; baseline điểm môn chính, điểm quan điểm được sao chép và tín chỉ（単位） sau khi lưu điểm môn con. quy tắc “Cố định 30” (dưới 30) ở mục môn chính và ở mục nhận điểm sao chép theo quan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mục số nguyên (M=100); mục số nguyên có thêm tính tự động
Màn đăng ký NB, đủ bước 1–3
Thao tác: 1. Lưu điểm môn con qua đường ghi điểm “Màn lớp NB 成績登録 (đăng ký điểm)”, đường ghi điểm “CSV lớp NB”, đường ghi điểm “HR成績CSV一括登録 (đăng ký điểm hàng loạt bằng CSV)”.
2. So điểm môn chính, điểm quan điểm được sao chép và tín chỉ với baseline.</t>
        </is>
      </c>
    </row>
    <row r="1807" ht="248" customHeight="1">
      <c r="A1807" s="24">
        <f>HYPERLINK("#'Kiểm thử'!A"&amp;(MATCH("TC-RS-REG-016 / direct",'Kiểm thử'!$A$5:$A$573,0)+4),"TC-RS-REG-016 / direct")</f>
        <v/>
      </c>
      <c r="B1807" s="18" t="inlineStr">
        <is>
          <t>Điều kiện / thao tác</t>
        </is>
      </c>
      <c r="C1807" s="18" t="inlineStr">
        <is>
          <t xml:space="preserve">
3. Xem kết quả đỏ của ô môn chính và ô nhận điểm sao chép; chọn dữ liệu sao cho giá trị trung gian (trước bước môn chính/phụ hoặc sao chép) và giá trị cuối nằm khác phía ngưỡng 30.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08" ht="129" customHeight="1">
      <c r="A1808" s="24">
        <f>HYPERLINK("#'Kiểm thử'!A"&amp;(MATCH("TC-RS-REG-016 / direct",'Kiểm thử'!$A$5:$A$573,0)+4),"TC-RS-REG-016 / direct")</f>
        <v/>
      </c>
      <c r="B1808" s="18" t="inlineStr">
        <is>
          <t>Kết quả mong đợi</t>
        </is>
      </c>
      <c r="C1808" s="18" t="inlineStr">
        <is>
          <t>1–2. Điểm môn chính, điểm quan điểm được sao chép và tín chỉ bằng baseline; thông báo và hành vi lỗi của từng đường như baseline.
3. Ô môn chính và ô nhận điểm sao chép được xét theo giá trị cuối sau các bước sau tính tự động, không theo giá trị trung gian (đặc tả v2 mục 7.5 “Phạm vi một lượt và thứ tự hoàn tất”).
Bảo toàn: Giữ điểm, cấu hình và đối tượng không đích theo expected; chỉ thay phần thủ tục yêu cầu, không tự đổi oracle hoặc mở rộng phạm vi.</t>
        </is>
      </c>
    </row>
    <row r="1809" ht="299" customHeight="1">
      <c r="A1809" s="24">
        <f>HYPERLINK("#'Kiểm thử'!A"&amp;(MATCH("TC-RS-REG-016 / csv",'Kiểm thử'!$A$5:$A$573,0)+4),"TC-RS-REG-016 / csv")</f>
        <v/>
      </c>
      <c r="B1809" s="18" t="inlineStr">
        <is>
          <t>Điều kiện / thao tác</t>
        </is>
      </c>
      <c r="C1809" s="18" t="inlineStr">
        <is>
          <t>Cấu hình: Mục có môn chính/môn con và quan điểm, có quy tắc tính tự động（自動計算設定） (mục số nguyên có thêm tính tự động) để các bước sau tính tự động chạy; baseline điểm môn chính, điểm quan điểm được sao chép và tín chỉ（単位） sau khi lưu điểm môn con. quy tắc “Cố định 30” (dưới 30) ở mục môn chính và ở mục nhận điểm sao chép theo quan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mục số nguyên (M=100); mục số nguyên có thêm tính tự động
CSV lớp NB, đủ bước 1–3
Thao tác: 1. Lưu điểm môn con qua đường ghi điểm “Màn lớp NB 成績登録 (đăng ký điểm)”, đường ghi điểm “CSV lớp NB”, đường ghi điểm “HR成績CSV一括登録 (đăng ký điểm hàng loạt bằng CSV)”.
2. So điểm môn chính, điểm quan điểm được sao chép và tín chỉ với baseline.</t>
        </is>
      </c>
    </row>
    <row r="1810" ht="248" customHeight="1">
      <c r="A1810" s="24">
        <f>HYPERLINK("#'Kiểm thử'!A"&amp;(MATCH("TC-RS-REG-016 / csv",'Kiểm thử'!$A$5:$A$573,0)+4),"TC-RS-REG-016 / csv")</f>
        <v/>
      </c>
      <c r="B1810" s="18" t="inlineStr">
        <is>
          <t>Điều kiện / thao tác</t>
        </is>
      </c>
      <c r="C1810" s="18" t="inlineStr">
        <is>
          <t xml:space="preserve">
3. Xem kết quả đỏ của ô môn chính và ô nhận điểm sao chép; chọn dữ liệu sao cho giá trị trung gian (trước bước môn chính/phụ hoặc sao chép) và giá trị cuối nằm khác phía ngưỡng 30.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11" ht="129" customHeight="1">
      <c r="A1811" s="24">
        <f>HYPERLINK("#'Kiểm thử'!A"&amp;(MATCH("TC-RS-REG-016 / csv",'Kiểm thử'!$A$5:$A$573,0)+4),"TC-RS-REG-016 / csv")</f>
        <v/>
      </c>
      <c r="B1811" s="18" t="inlineStr">
        <is>
          <t>Kết quả mong đợi</t>
        </is>
      </c>
      <c r="C1811" s="18" t="inlineStr">
        <is>
          <t>1–2. Điểm môn chính, điểm quan điểm được sao chép và tín chỉ bằng baseline; thông báo và hành vi lỗi của từng đường như baseline.
3. Ô môn chính và ô nhận điểm sao chép được xét theo giá trị cuối sau các bước sau tính tự động, không theo giá trị trung gian (đặc tả v2 mục 7.5 “Phạm vi một lượt và thứ tự hoàn tất”).
Bảo toàn: Giữ điểm, cấu hình và đối tượng không đích theo expected; chỉ thay phần thủ tục yêu cầu, không tự đổi oracle hoặc mở rộng phạm vi.</t>
        </is>
      </c>
    </row>
    <row r="1812" ht="299" customHeight="1">
      <c r="A1812" s="24">
        <f>HYPERLINK("#'Kiểm thử'!A"&amp;(MATCH("TC-RS-REG-016 / hr-csv",'Kiểm thử'!$A$5:$A$573,0)+4),"TC-RS-REG-016 / hr-csv")</f>
        <v/>
      </c>
      <c r="B1812" s="18" t="inlineStr">
        <is>
          <t>Điều kiện / thao tác</t>
        </is>
      </c>
      <c r="C1812" s="18" t="inlineStr">
        <is>
          <t>Cấu hình: Mục có môn chính/môn con và quan điểm, có quy tắc tính tự động（自動計算設定） (mục số nguyên có thêm tính tự động) để các bước sau tính tự động chạy; baseline điểm môn chính, điểm quan điểm được sao chép và tín chỉ（単位） sau khi lưu điểm môn con. quy tắc “Cố định 30” (dưới 30) ở mục môn chính và ở mục nhận điểm sao chép theo quan điểm.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quy tắc “Cố định 30” (dưới 30); mục số nguyên (M=100); mục số nguyên có thêm tính tự động
CSV lớp chủ nhiệm hàng loạt, đủ bước 1–3
Thao tác: 1. Lưu điểm môn con qua đường ghi điểm “Màn lớp NB 成績登録 (đăng ký điểm)”, đường ghi điểm “CSV lớp NB”, đường ghi điểm “HR成績CSV一括登録 (đăng ký điểm hàng loạt bằng CSV)”.
2. So điểm môn chính, điểm quan điểm được sao chép và tín chỉ với baseline.</t>
        </is>
      </c>
    </row>
    <row r="1813" ht="248" customHeight="1">
      <c r="A1813" s="24">
        <f>HYPERLINK("#'Kiểm thử'!A"&amp;(MATCH("TC-RS-REG-016 / hr-csv",'Kiểm thử'!$A$5:$A$573,0)+4),"TC-RS-REG-016 / hr-csv")</f>
        <v/>
      </c>
      <c r="B1813" s="18" t="inlineStr">
        <is>
          <t>Điều kiện / thao tác</t>
        </is>
      </c>
      <c r="C1813" s="18" t="inlineStr">
        <is>
          <t xml:space="preserve">
3. Xem kết quả đỏ của ô môn chính và ô nhận điểm sao chép; chọn dữ liệu sao cho giá trị trung gian (trước bước môn chính/phụ hoặc sao chép) và giá trị cuối nằm khác phía ngưỡng 30.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14" ht="129" customHeight="1">
      <c r="A1814" s="24">
        <f>HYPERLINK("#'Kiểm thử'!A"&amp;(MATCH("TC-RS-REG-016 / hr-csv",'Kiểm thử'!$A$5:$A$573,0)+4),"TC-RS-REG-016 / hr-csv")</f>
        <v/>
      </c>
      <c r="B1814" s="18" t="inlineStr">
        <is>
          <t>Kết quả mong đợi</t>
        </is>
      </c>
      <c r="C1814" s="18" t="inlineStr">
        <is>
          <t>1–2. Điểm môn chính, điểm quan điểm được sao chép và tín chỉ bằng baseline; thông báo và hành vi lỗi của từng đường như baseline.
3. Ô môn chính và ô nhận điểm sao chép được xét theo giá trị cuối sau các bước sau tính tự động, không theo giá trị trung gian (đặc tả v2 mục 7.5 “Phạm vi một lượt và thứ tự hoàn tất”).
Bảo toàn: Giữ điểm, cấu hình và đối tượng không đích theo expected; chỉ thay phần thủ tục yêu cầu, không tự đổi oracle hoặc mở rộng phạm vi.</t>
        </is>
      </c>
    </row>
    <row r="1815" ht="44" customHeight="1">
      <c r="A1815" s="24">
        <f>HYPERLINK("#'Kiểm thử'!A"&amp;(MATCH("TC-RS-REG-017 / Base",'Kiểm thử'!$A$5:$A$573,0)+4),"TC-RS-REG-017 / Base")</f>
        <v/>
      </c>
      <c r="B1815" s="18" t="inlineStr">
        <is>
          <t>Màn hình / chức năng</t>
        </is>
      </c>
      <c r="C1815" s="18" t="inlineStr">
        <is>
          <t>Hồi quy AutoRating và các luồng hiện có — Hồi quy luồng hiện có
Thiết lập ô nhập（入力欄設定）: các hàng hiện có không bị ảnh hưởng</t>
        </is>
      </c>
    </row>
    <row r="1816" ht="299" customHeight="1">
      <c r="A1816" s="24">
        <f>HYPERLINK("#'Kiểm thử'!A"&amp;(MATCH("TC-RS-REG-017 / Base",'Kiểm thử'!$A$5:$A$573,0)+4),"TC-RS-REG-017 / Base")</f>
        <v/>
      </c>
      <c r="B1816" s="18" t="inlineStr">
        <is>
          <t>Điều kiện / thao tác</t>
        </is>
      </c>
      <c r="C1816" s="18" t="inlineStr">
        <is>
          <t xml:space="preserve">Cấu hình: Baseline màn với nhiều mục; có mục có tính tự động và mục bị ẩn.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mục số nguyên (M=100), mục số nguyên có thêm tính tự động
Toàn bộ thủ tục theo đúng thứ tự; các đối chứng cùng fixture được kiểm trong cùng lượt, không bỏ bước
Thao tác: 1. Mở màn, so bố cục với baseline.
2. Bấm link ở hàng Tính tự động（自動計算） và Thiết lập ẩn mục nhập（入力項目の非表示設定）.
3. Sửa một giá trị ở hàng khác, lưu.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817" ht="146" customHeight="1">
      <c r="A1817" s="24">
        <f>HYPERLINK("#'Kiểm thử'!A"&amp;(MATCH("TC-RS-REG-017 / Base",'Kiểm thử'!$A$5:$A$573,0)+4),"TC-RS-REG-017 / Base")</f>
        <v/>
      </c>
      <c r="B1817" s="18" t="inlineStr">
        <is>
          <t>Điều kiện / thao tác</t>
        </is>
      </c>
      <c r="C1817"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18" ht="299" customHeight="1">
      <c r="A1818" s="24">
        <f>HYPERLINK("#'Kiểm thử'!A"&amp;(MATCH("TC-RS-REG-011 / Base",'Kiểm thử'!$A$5:$A$573,0)+4),"TC-RS-REG-011 / Base")</f>
        <v/>
      </c>
      <c r="B1818" s="18" t="inlineStr">
        <is>
          <t>Điều kiện / thao tác</t>
        </is>
      </c>
      <c r="C1818" s="18" t="inlineStr">
        <is>
          <t>Cấu hình: - Consumer/báo cáo hiện có đang hiển thị giá trị legacy trước khi bật rule mới.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Consumer/báo cáo hiện có đang hiển thị giá trị legacy trước khi bật rule mới.
Toàn bộ thủ tục theo đúng thứ tự; các đối chứng cùng fixture được kiểm trong cùng lượt, không bỏ bước
Thao tác: 1. Thêm và chạy rule đỏ mới.
2. Mở consumer/báo cáo legacy cùng kỳ.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Excel/PDF, ảnh trạng thái hoặc request/đọc dữ liệu khi case yêu cầu. Chưa có bằng chứng không đ</t>
        </is>
      </c>
    </row>
    <row r="1819" ht="129" customHeight="1">
      <c r="A1819" s="24">
        <f>HYPERLINK("#'Kiểm thử'!A"&amp;(MATCH("TC-RS-REG-011 / Base",'Kiểm thử'!$A$5:$A$573,0)+4),"TC-RS-REG-011 / Base")</f>
        <v/>
      </c>
      <c r="B1819" s="18" t="inlineStr">
        <is>
          <t>Điều kiện / thao tác</t>
        </is>
      </c>
      <c r="C1819" s="18" t="inlineStr">
        <is>
          <t>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20" ht="299" customHeight="1">
      <c r="A1820" s="24">
        <f>HYPERLINK("#'Kiểm thử'!A"&amp;(MATCH("TC-RS-REG-012 / copy",'Kiểm thử'!$A$5:$A$573,0)+4),"TC-RS-REG-012 / copy")</f>
        <v/>
      </c>
      <c r="B1820" s="18" t="inlineStr">
        <is>
          <t>Điều kiện / thao tác</t>
        </is>
      </c>
      <c r="C1820" s="18" t="inlineStr">
        <is>
          <t xml:space="preserve">Cấu hình: - Có dữ liệu legacy và kết quả cá nhân ở nguồn; thực hiện một đường chuyển cấu hình được hỗ trợ.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Có dữ liệu legacy và kết quả cá nhân ở nguồn; thực hiện một đường chuyển cấu hình được hỗ trợ.
Đường copy DATA-015
Thao tác: 1. Chuyển cấu hình qua copy/năm mới/import hoặc sync.
2. Đọc lại nguồn và đích trên consumer/báo cáo.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821" ht="146" customHeight="1">
      <c r="A1821" s="24">
        <f>HYPERLINK("#'Kiểm thử'!A"&amp;(MATCH("TC-RS-REG-012 / copy",'Kiểm thử'!$A$5:$A$573,0)+4),"TC-RS-REG-012 / copy")</f>
        <v/>
      </c>
      <c r="B1821" s="18" t="inlineStr">
        <is>
          <t>Điều kiện / thao tác</t>
        </is>
      </c>
      <c r="C1821"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22" ht="299" customHeight="1">
      <c r="A1822" s="24">
        <f>HYPERLINK("#'Kiểm thử'!A"&amp;(MATCH("TC-RS-REG-012 / year",'Kiểm thử'!$A$5:$A$573,0)+4),"TC-RS-REG-012 / year")</f>
        <v/>
      </c>
      <c r="B1822" s="18" t="inlineStr">
        <is>
          <t>Điều kiện / thao tác</t>
        </is>
      </c>
      <c r="C1822" s="18" t="inlineStr">
        <is>
          <t xml:space="preserve">Cấu hình: - Có dữ liệu legacy và kết quả cá nhân ở nguồn; thực hiện một đường chuyển cấu hình được hỗ trợ.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Có dữ liệu legacy và kết quả cá nhân ở nguồn; thực hiện một đường chuyển cấu hình được hỗ trợ.
Đường năm mới DATA-016
Thao tác: 1. Chuyển cấu hình qua copy/năm mới/import hoặc sync.
2. Đọc lại nguồn và đích trên consumer/báo cáo.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823" ht="146" customHeight="1">
      <c r="A1823" s="24">
        <f>HYPERLINK("#'Kiểm thử'!A"&amp;(MATCH("TC-RS-REG-012 / year",'Kiểm thử'!$A$5:$A$573,0)+4),"TC-RS-REG-012 / year")</f>
        <v/>
      </c>
      <c r="B1823" s="18" t="inlineStr">
        <is>
          <t>Điều kiện / thao tác</t>
        </is>
      </c>
      <c r="C1823"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24" ht="299" customHeight="1">
      <c r="A1824" s="24">
        <f>HYPERLINK("#'Kiểm thử'!A"&amp;(MATCH("TC-RS-REG-012 / import",'Kiểm thử'!$A$5:$A$573,0)+4),"TC-RS-REG-012 / import")</f>
        <v/>
      </c>
      <c r="B1824" s="18" t="inlineStr">
        <is>
          <t>Điều kiện / thao tác</t>
        </is>
      </c>
      <c r="C1824" s="18" t="inlineStr">
        <is>
          <t xml:space="preserve">Cấu hình: - Có dữ liệu legacy và kết quả cá nhân ở nguồn; thực hiện một đường chuyển cấu hình được hỗ trợ.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Có dữ liệu legacy và kết quả cá nhân ở nguồn; thực hiện một đường chuyển cấu hình được hỗ trợ.
Đường import DATA-017
Thao tác: 1. Chuyển cấu hình qua copy/năm mới/import hoặc sync.
2. Đọc lại nguồn và đích trên consumer/báo cáo.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825" ht="146" customHeight="1">
      <c r="A1825" s="24">
        <f>HYPERLINK("#'Kiểm thử'!A"&amp;(MATCH("TC-RS-REG-012 / import",'Kiểm thử'!$A$5:$A$573,0)+4),"TC-RS-REG-012 / import")</f>
        <v/>
      </c>
      <c r="B1825" s="18" t="inlineStr">
        <is>
          <t>Điều kiện / thao tác</t>
        </is>
      </c>
      <c r="C1825"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row r="1826" ht="299" customHeight="1">
      <c r="A1826" s="24">
        <f>HYPERLINK("#'Kiểm thử'!A"&amp;(MATCH("TC-RS-REG-012 / sync",'Kiểm thử'!$A$5:$A$573,0)+4),"TC-RS-REG-012 / sync")</f>
        <v/>
      </c>
      <c r="B1826" s="18" t="inlineStr">
        <is>
          <t>Điều kiện / thao tác</t>
        </is>
      </c>
      <c r="C1826" s="18" t="inlineStr">
        <is>
          <t xml:space="preserve">Cấu hình: - Có dữ liệu legacy và kết quả cá nhân ở nguồn; thực hiện một đường chuyển cấu hình được hỗ trợ.
Kích hoạt: Thực hiện đúng thao tác và biến thể dưới đây; chỉ xem/xuất không tự chạy xét.
Vị trí quan sát: Quan sát nơi nêu trong thủ tục/expected; dùng trích xuất không lọc để thấy cả ô đối chứng. Trạng thái không có dấu đỏ cần đọc thêm trạng thái lưu; output Excel/PDF dùng file thật.
Vai trò / quyền: Dùng actor/quyền được nêu trong điều kiện; cấu hình bởi người được sửa đúng mục, ghi điểm bởi người phụ trách lớp, batch bởi người có quyền chạy; đầu ra và tài khoản học sinh giữ quyền riêng.
Dữ liệu: - Có dữ liệu legacy và kết quả cá nhân ở nguồn; thực hiện một đường chuyển cấu hình được hỗ trợ.
Đường sync DATA-019
Thao tác: 1. Chuyển cấu hình qua copy/năm mới/import hoặc sync.
2. Đọc lại nguồn và đích trên consumer/báo cáo.
Khôi phục: Trước mỗi biến thể, dựng lại điều kiện/dữ liệu đầu của case bằng đường được phép; giữ các reset/fixture độc lập đã nêu trong thủ tục.
Bằng chứng: Ghi actual và URL bằng chứng/lỗi của đúng case/variant trong cùng report; giữ file </t>
        </is>
      </c>
    </row>
    <row r="1827" ht="146" customHeight="1">
      <c r="A1827" s="24">
        <f>HYPERLINK("#'Kiểm thử'!A"&amp;(MATCH("TC-RS-REG-012 / sync",'Kiểm thử'!$A$5:$A$573,0)+4),"TC-RS-REG-012 / sync")</f>
        <v/>
      </c>
      <c r="B1827" s="18" t="inlineStr">
        <is>
          <t>Điều kiện / thao tác</t>
        </is>
      </c>
      <c r="C1827" s="18" t="inlineStr">
        <is>
          <t>Excel/PDF, ảnh trạng thái hoặc request/đọc dữ liệu khi case yêu cầu. Chưa có bằng chứng không được kết luận đã chạy.
Kỳ vọng: Đã xác nhận
Chuẩn bị: Đang chuẩn bị
Chỉ là quan sát; kỳ vọng hoặc điều kiện kiểm chưa được xác nhận.
Khoảng trống: Chưa có xác minh fixture, đường thực hiện và phép quan sát trên build của từng case chưa đánh giá.
Giữ Draft; chỉ chuyển Ready khi chuẩn bị và seam của đúng case đã được xác minh.</t>
        </is>
      </c>
    </row>
  </sheetData>
  <mergeCells count="1">
    <mergeCell ref="A2:C2"/>
  </mergeCells>
  <printOptions horizontalCentered="0"/>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BLEND</dc:creator>
  <dc:title xmlns:dc="http://purl.org/dc/elements/1.1/">Báo cáo kiểm thử</dc:title>
  <dcterms:created xmlns:dcterms="http://purl.org/dc/terms/" xmlns:xsi="http://www.w3.org/2001/XMLSchema-instance" xsi:type="dcterms:W3CDTF">2026-10-04T11:57:14Z</dcterms:created>
  <dcterms:modified xmlns:dcterms="http://purl.org/dc/terms/" xmlns:xsi="http://www.w3.org/2001/XMLSchema-instance" xsi:type="dcterms:W3CDTF">2026-10-04T11:58:34Z</dcterms:modified>
  <cp:lastModifiedBy>BLEND</cp:lastModifiedBy>
</cp:coreProperties>
</file>

<file path=docProps/custom.xml><?xml version="1.0" encoding="utf-8"?>
<Properties xmlns="http://schemas.openxmlformats.org/officeDocument/2006/custom-properties">
  <property name="TemplateFamily" fmtid="{D5CDD505-2E9C-101B-9397-08002B2CF9AE}" pid="2">
    <vt:lpwstr xmlns:vt="http://schemas.openxmlformats.org/officeDocument/2006/docPropsVTypes">test-report</vt:lpwstr>
  </property>
  <property name="TemplateVersion" fmtid="{D5CDD505-2E9C-101B-9397-08002B2CF9AE}" pid="3">
    <vt:lpwstr xmlns:vt="http://schemas.openxmlformats.org/officeDocument/2006/docPropsVTypes">1.0.1</vt:lpwstr>
  </property>
  <property name="Language" fmtid="{D5CDD505-2E9C-101B-9397-08002B2CF9AE}" pid="4">
    <vt:lpwstr xmlns:vt="http://schemas.openxmlformats.org/officeDocument/2006/docPropsVTypes">vi</vt:lpwstr>
  </property>
</Properties>
</file>