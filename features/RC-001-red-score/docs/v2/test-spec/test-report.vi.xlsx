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ns0:workbook xmlns:ns0="http://schemas.openxmlformats.org/spreadsheetml/2006/main" xmlns:ns1="http://schemas.openxmlformats.org/officeDocument/2006/relationships">
  <ns0:workbookPr filterPrivacy="1"/>
  <ns0:sheets>
    <ns0:sheet name="Tổng quan" sheetId="1" state="visible" ns1:id="rId1"/>
    <ns0:sheet name="Testcases" sheetId="2" state="visible" ns1:id="rId2"/>
  </ns0:sheets>
  <ns0:definedNames>
    <ns0:definedName name="_xlnm.Print_Area" localSheetId="0">'Tổng quan'!$A$1:$C$245</ns0:definedName>
    <ns0:definedName name="_xlnm.Print_Area" localSheetId="1">'Testcases'!$A$1:$E$8774</ns0:definedName>
  </ns0:definedNames>
</ns0:workbook>
</file>

<file path=xl/styles.xml><?xml version="1.0" encoding="utf-8"?>
<styleSheet xmlns="http://schemas.openxmlformats.org/spreadsheetml/2006/main">
  <numFmts count="1">
    <numFmt numFmtId="164" formatCode="0.0%"/>
  </numFmts>
  <fonts count="14">
    <font>
      <name val="Carlito"/>
      <sz val="11"/>
    </font>
    <font>
      <name val="Arial"/>
      <color rgb="FF172033"/>
      <sz val="11"/>
    </font>
    <font>
      <name val="Arial"/>
      <b val="1"/>
      <color rgb="FF172033"/>
      <sz val="15"/>
    </font>
    <font>
      <name val="Arial"/>
      <b val="1"/>
      <color rgb="FF172033"/>
      <sz val="11"/>
    </font>
    <font>
      <name val="Arial"/>
      <b val="1"/>
      <color rgb="FFFFFFFF"/>
      <sz val="11"/>
    </font>
    <font>
      <name val="Arial"/>
      <color rgb="FF475569"/>
      <sz val="11"/>
    </font>
    <font>
      <name val="Arial"/>
      <b val="1"/>
      <color rgb="00172033"/>
      <sz val="16"/>
    </font>
    <font>
      <name val="Arial"/>
      <b val="1"/>
      <sz val="11"/>
    </font>
    <font>
      <name val="Arial"/>
      <color rgb="00475569"/>
      <sz val="10"/>
    </font>
    <font>
      <name val="Arial"/>
      <b val="1"/>
      <color rgb="00FFFFFF"/>
      <sz val="14"/>
    </font>
    <font>
      <name val="Arial"/>
      <b val="1"/>
      <color rgb="00172033"/>
      <sz val="11"/>
    </font>
    <font>
      <name val="Arial"/>
      <color rgb="00172033"/>
      <sz val="11"/>
    </font>
    <font>
      <name val="Arial"/>
      <color rgb="001D4ED8"/>
      <sz val="11"/>
      <u val="single"/>
    </font>
    <font>
      <name val="Arial"/>
      <b val="1"/>
      <color rgb="00172033"/>
      <sz val="14"/>
    </font>
  </fonts>
  <fills count="9">
    <fill>
      <patternFill/>
    </fill>
    <fill>
      <patternFill patternType="gray125"/>
    </fill>
    <fill>
      <patternFill patternType="solid">
        <fgColor rgb="FFFFF3CD"/>
      </patternFill>
    </fill>
    <fill>
      <patternFill patternType="solid">
        <fgColor rgb="FF334155"/>
      </patternFill>
    </fill>
    <fill>
      <patternFill patternType="solid">
        <fgColor rgb="FFF1F5F9"/>
      </patternFill>
    </fill>
    <fill>
      <patternFill patternType="solid">
        <fgColor rgb="00334155"/>
      </patternFill>
    </fill>
    <fill>
      <patternFill patternType="solid">
        <fgColor rgb="00FFF3CD"/>
      </patternFill>
    </fill>
    <fill>
      <patternFill patternType="solid">
        <fgColor rgb="00E8EEF5"/>
      </patternFill>
    </fill>
    <fill>
      <patternFill patternType="solid">
        <fgColor rgb="00F8FAFC"/>
      </patternFill>
    </fill>
  </fills>
  <borders count="6">
    <border>
      <left/>
      <right/>
      <top/>
      <bottom/>
      <diagonal/>
    </border>
    <border>
      <bottom style="thin">
        <color rgb="00D9E2EC"/>
      </bottom>
    </border>
    <border>
      <left/>
      <right/>
      <top/>
      <bottom style="thin">
        <color rgb="00D9E2EC"/>
      </bottom>
      <diagonal/>
    </border>
    <border>
      <left style="thin">
        <color rgb="00D9E2EC"/>
      </left>
      <right/>
      <top style="thin">
        <color rgb="00D9E2EC"/>
      </top>
      <bottom style="thin">
        <color rgb="00D9E2EC"/>
      </bottom>
    </border>
    <border>
      <left/>
      <right/>
      <top style="thin">
        <color rgb="00D9E2EC"/>
      </top>
      <bottom style="thin">
        <color rgb="00D9E2EC"/>
      </bottom>
    </border>
    <border>
      <left/>
      <right style="thin">
        <color rgb="00D9E2EC"/>
      </right>
      <top style="thin">
        <color rgb="00D9E2EC"/>
      </top>
      <bottom style="thin">
        <color rgb="00D9E2EC"/>
      </bottom>
    </border>
  </borders>
  <cellStyleXfs count="1">
    <xf numFmtId="0" fontId="0" fillId="0" borderId="0"/>
  </cellStyleXfs>
  <cellXfs count="67">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2"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1" fillId="4" borderId="0" applyAlignment="1" pivotButton="0" quotePrefix="0" xfId="0">
      <alignment vertical="top" wrapText="1"/>
    </xf>
    <xf numFmtId="0" fontId="1" fillId="4" borderId="0" applyAlignment="1" pivotButton="0" quotePrefix="0" xfId="0">
      <alignment horizontal="left" vertical="top" wrapText="1"/>
    </xf>
    <xf numFmtId="3" fontId="1" fillId="4" borderId="0" applyAlignment="1" pivotButton="0" quotePrefix="0" xfId="0">
      <alignment horizontal="left" vertical="top" wrapText="1"/>
    </xf>
    <xf numFmtId="164" fontId="1" fillId="4" borderId="0" applyAlignment="1" pivotButton="0" quotePrefix="0" xfId="0">
      <alignment horizontal="left" vertical="top" wrapText="1"/>
    </xf>
    <xf numFmtId="0" fontId="5" fillId="0" borderId="0" applyAlignment="1" pivotButton="0" quotePrefix="0" xfId="0">
      <alignment vertical="top" wrapText="1"/>
    </xf>
    <xf numFmtId="0" fontId="4" fillId="3" borderId="0" applyAlignment="1" pivotButton="0" quotePrefix="0" xfId="0">
      <alignment horizontal="center" vertical="top" wrapText="1"/>
    </xf>
    <xf numFmtId="0" fontId="4" fillId="3" borderId="0" applyAlignment="1" pivotButton="0" quotePrefix="0" xfId="0">
      <alignment horizontal="center" vertical="center" wrapText="1"/>
    </xf>
    <xf numFmtId="3" fontId="1" fillId="4" borderId="0" applyAlignment="1" pivotButton="0" quotePrefix="0" xfId="0">
      <alignment horizontal="left" vertical="top" wrapText="1"/>
    </xf>
    <xf numFmtId="164" fontId="1" fillId="4" borderId="0" applyAlignment="1" pivotButton="0" quotePrefix="0" xfId="0">
      <alignment horizontal="left" vertical="top" wrapText="1"/>
    </xf>
    <xf numFmtId="0" fontId="6" fillId="0" borderId="0" pivotButton="0" quotePrefix="0" xfId="0"/>
    <xf numFmtId="0" fontId="0" fillId="0"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5" borderId="0" applyAlignment="1" pivotButton="0" quotePrefix="0" xfId="0">
      <alignment vertical="center" wrapText="1"/>
    </xf>
    <xf numFmtId="0" fontId="0" fillId="5" borderId="0" pivotButton="0" quotePrefix="0" xfId="0"/>
    <xf numFmtId="0" fontId="10" fillId="0" borderId="1" applyAlignment="1" pivotButton="0" quotePrefix="0" xfId="0">
      <alignment vertical="center" wrapText="1"/>
    </xf>
    <xf numFmtId="0" fontId="0" fillId="6" borderId="1" applyAlignment="1" pivotButton="0" quotePrefix="0" xfId="0">
      <alignment vertical="center" wrapText="1"/>
    </xf>
    <xf numFmtId="0" fontId="0" fillId="0" borderId="1" applyAlignment="1" pivotButton="0" quotePrefix="0" xfId="0">
      <alignment vertical="center" wrapText="1"/>
    </xf>
    <xf numFmtId="0" fontId="10" fillId="0" borderId="1" applyAlignment="1" pivotButton="0" quotePrefix="0" xfId="0">
      <alignment vertical="top" wrapText="1"/>
    </xf>
    <xf numFmtId="0" fontId="0" fillId="0" borderId="1" applyAlignment="1" pivotButton="0" quotePrefix="0" xfId="0">
      <alignment vertical="top" wrapText="1"/>
    </xf>
    <xf numFmtId="0" fontId="10" fillId="7" borderId="1" applyAlignment="1" pivotButton="0" quotePrefix="0" xfId="0">
      <alignment vertical="center" wrapText="1"/>
    </xf>
    <xf numFmtId="0" fontId="0" fillId="7" borderId="1" applyAlignment="1" pivotButton="0" quotePrefix="0" xfId="0">
      <alignment vertical="center" wrapText="1"/>
    </xf>
    <xf numFmtId="0" fontId="0" fillId="6" borderId="1" applyAlignment="1" pivotButton="0" quotePrefix="0" xfId="0">
      <alignment vertical="top" wrapText="1"/>
    </xf>
    <xf numFmtId="0" fontId="2" fillId="0" borderId="0" applyAlignment="1" pivotButton="0" quotePrefix="0" xfId="0">
      <alignment vertical="center" wrapText="1"/>
    </xf>
    <xf numFmtId="0" fontId="5" fillId="0" borderId="0" applyAlignment="1" pivotButton="0" quotePrefix="0" xfId="0">
      <alignment vertical="center" wrapText="1"/>
    </xf>
    <xf numFmtId="0" fontId="3" fillId="0" borderId="0" applyAlignment="1" pivotButton="0" quotePrefix="0" xfId="0">
      <alignment vertical="center" wrapText="1"/>
    </xf>
    <xf numFmtId="0" fontId="1" fillId="8" borderId="0" applyAlignment="1" pivotButton="0" quotePrefix="0" xfId="0">
      <alignment vertical="top" wrapText="1"/>
    </xf>
    <xf numFmtId="0" fontId="0" fillId="8" borderId="0" pivotButton="0" quotePrefix="0" xfId="0"/>
    <xf numFmtId="0" fontId="4" fillId="3" borderId="0" applyAlignment="1" pivotButton="0" quotePrefix="0" xfId="0">
      <alignment vertical="center" wrapText="1"/>
    </xf>
    <xf numFmtId="0" fontId="1" fillId="0" borderId="0" applyAlignment="1" pivotButton="0" quotePrefix="0" xfId="0">
      <alignment vertical="center" wrapText="1"/>
    </xf>
    <xf numFmtId="3" fontId="1" fillId="4" borderId="0" applyAlignment="1" pivotButton="0" quotePrefix="0" xfId="0">
      <alignment horizontal="left" vertical="center" wrapText="1"/>
    </xf>
    <xf numFmtId="164" fontId="1" fillId="4" borderId="0" applyAlignment="1" pivotButton="0" quotePrefix="0" xfId="0">
      <alignment horizontal="left" vertical="center" wrapText="1"/>
    </xf>
    <xf numFmtId="0" fontId="6" fillId="0" borderId="0" applyAlignment="1" pivotButton="0" quotePrefix="0" xfId="0">
      <alignment vertical="center" wrapText="1"/>
    </xf>
    <xf numFmtId="0" fontId="8" fillId="0" borderId="0" applyAlignment="1" pivotButton="0" quotePrefix="0" xfId="0">
      <alignment vertical="center" wrapText="1"/>
    </xf>
    <xf numFmtId="0" fontId="0" fillId="8" borderId="1" applyAlignment="1" pivotButton="0" quotePrefix="0" xfId="0">
      <alignment vertical="center" wrapText="1"/>
    </xf>
    <xf numFmtId="0" fontId="6"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5" borderId="0" applyAlignment="1" pivotButton="0" quotePrefix="0" xfId="0">
      <alignment horizontal="left" vertical="center" wrapText="1"/>
    </xf>
    <xf numFmtId="0" fontId="10" fillId="0" borderId="1" applyAlignment="1" pivotButton="0" quotePrefix="0" xfId="0">
      <alignment horizontal="left" vertical="center" wrapText="1"/>
    </xf>
    <xf numFmtId="0" fontId="0" fillId="8" borderId="1" applyAlignment="1" pivotButton="0" quotePrefix="0" xfId="0">
      <alignment horizontal="left" vertical="center" wrapText="1"/>
    </xf>
    <xf numFmtId="0" fontId="0" fillId="0" borderId="1" applyAlignment="1" pivotButton="0" quotePrefix="0" xfId="0">
      <alignment horizontal="left" vertical="center" wrapText="1"/>
    </xf>
    <xf numFmtId="0" fontId="10" fillId="7" borderId="1" applyAlignment="1" pivotButton="0" quotePrefix="0" xfId="0">
      <alignment horizontal="left" vertical="center" wrapText="1"/>
    </xf>
    <xf numFmtId="0" fontId="11" fillId="0" borderId="0" applyAlignment="1" pivotButton="0" quotePrefix="0" xfId="0">
      <alignment vertical="center" wrapText="1"/>
    </xf>
    <xf numFmtId="0" fontId="11" fillId="8" borderId="0" applyAlignment="1" applyProtection="1" pivotButton="0" quotePrefix="0" xfId="0">
      <alignment vertical="center" wrapText="1"/>
      <protection locked="0" hidden="0"/>
    </xf>
    <xf numFmtId="3" fontId="11" fillId="4" borderId="0" applyAlignment="1" pivotButton="0" quotePrefix="0" xfId="0">
      <alignment vertical="center" wrapText="1"/>
    </xf>
    <xf numFmtId="164" fontId="11" fillId="4" borderId="0" applyAlignment="1" pivotButton="0" quotePrefix="0" xfId="0">
      <alignment vertical="center" wrapText="1"/>
    </xf>
    <xf numFmtId="0" fontId="12" fillId="0" borderId="0" applyAlignment="1" pivotButton="0" quotePrefix="0" xfId="0">
      <alignment vertical="center" wrapText="1"/>
    </xf>
    <xf numFmtId="0" fontId="11" fillId="0" borderId="1" applyAlignment="1" pivotButton="0" quotePrefix="0" xfId="0">
      <alignment horizontal="left" vertical="center" wrapText="1"/>
    </xf>
    <xf numFmtId="0" fontId="0" fillId="0" borderId="1" pivotButton="0" quotePrefix="0" xfId="0"/>
    <xf numFmtId="0" fontId="10" fillId="7" borderId="0" applyAlignment="1" pivotButton="0" quotePrefix="0" xfId="0">
      <alignment horizontal="left" vertical="center" wrapText="1"/>
    </xf>
    <xf numFmtId="0" fontId="0" fillId="7" borderId="0" pivotButton="0" quotePrefix="0" xfId="0"/>
    <xf numFmtId="0" fontId="10" fillId="8" borderId="0" applyAlignment="1" pivotButton="0" quotePrefix="0" xfId="0">
      <alignment horizontal="left" vertical="center" wrapText="1"/>
    </xf>
    <xf numFmtId="0" fontId="11" fillId="8" borderId="1" applyAlignment="1" applyProtection="1" pivotButton="0" quotePrefix="0" xfId="0">
      <alignment horizontal="left" vertical="center" wrapText="1"/>
      <protection locked="0" hidden="0"/>
    </xf>
    <xf numFmtId="0" fontId="10" fillId="0" borderId="0" applyAlignment="1" pivotButton="0" quotePrefix="0" xfId="0">
      <alignment horizontal="left" vertical="center" wrapText="1"/>
    </xf>
    <xf numFmtId="49" fontId="11" fillId="8" borderId="3" applyAlignment="1" applyProtection="1" pivotButton="0" quotePrefix="0" xfId="0">
      <alignment horizontal="left" vertical="center" wrapText="1"/>
      <protection locked="0" hidden="0"/>
    </xf>
    <xf numFmtId="0" fontId="0" fillId="0" borderId="4" pivotButton="0" quotePrefix="0" xfId="0"/>
    <xf numFmtId="0" fontId="0" fillId="0" borderId="5" pivotButton="0" quotePrefix="0" xfId="0"/>
    <xf numFmtId="0" fontId="11" fillId="0" borderId="0"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00334155"/>
    <outlinePr summaryBelow="1" summaryRight="1"/>
    <pageSetUpPr fitToPage="1"/>
  </sheetPr>
  <dimension ref="A1:C245"/>
  <sheetViews>
    <sheetView showGridLines="0" workbookViewId="0">
      <selection activeCell="A1" sqref="A1"/>
    </sheetView>
  </sheetViews>
  <sheetFormatPr baseColWidth="8" defaultRowHeight="15"/>
  <cols>
    <col width="26" customWidth="1" min="1" max="1"/>
    <col width="83" customWidth="1" min="2" max="2"/>
    <col width="22" customWidth="1" min="3" max="3"/>
  </cols>
  <sheetData>
    <row r="1" ht="32" customHeight="1">
      <c r="A1" s="32" t="inlineStr">
        <is>
          <t>Báo cáo kiểm thử</t>
        </is>
      </c>
      <c r="B1" s="3" t="n"/>
    </row>
    <row r="2" ht="12" customHeight="1">
      <c r="A2" s="3" t="n"/>
      <c r="B2" s="3" t="n"/>
    </row>
    <row r="3" ht="32" customHeight="1">
      <c r="A3" s="33" t="inlineStr">
        <is>
          <t>Nhập lần kiểm thử, phiên bản ứng dụng, môi trường, người và thời điểm thực hiện.</t>
        </is>
      </c>
    </row>
    <row r="4" ht="30" customHeight="1">
      <c r="A4" s="34" t="inlineStr">
        <is>
          <t>Chức năng</t>
        </is>
      </c>
      <c r="B4" s="51" t="inlineStr">
        <is>
          <t>RC-001 — Điểm đỏ（赤点）</t>
        </is>
      </c>
    </row>
    <row r="5" ht="30" customHeight="1">
      <c r="A5" s="34" t="inlineStr">
        <is>
          <t>Phiên bản kiểm thử</t>
        </is>
      </c>
      <c r="B5" s="51" t="inlineStr">
        <is>
          <t>RC-001-v2-report-2026-10-04</t>
        </is>
      </c>
    </row>
    <row r="6" ht="30" customHeight="1">
      <c r="A6" s="34" t="inlineStr">
        <is>
          <t>Lần kiểm thử</t>
        </is>
      </c>
      <c r="B6" s="52" t="inlineStr"/>
    </row>
    <row r="7" ht="30" customHeight="1">
      <c r="A7" s="34" t="inlineStr">
        <is>
          <t>Phiên bản ứng dụng</t>
        </is>
      </c>
      <c r="B7" s="52" t="inlineStr"/>
    </row>
    <row r="8" ht="30" customHeight="1">
      <c r="A8" s="34" t="inlineStr">
        <is>
          <t>Môi trường</t>
        </is>
      </c>
      <c r="B8" s="52" t="inlineStr"/>
    </row>
    <row r="9" ht="30" customHeight="1">
      <c r="A9" s="34" t="inlineStr">
        <is>
          <t>Người thực hiện</t>
        </is>
      </c>
      <c r="B9" s="52" t="inlineStr"/>
    </row>
    <row r="10" ht="44" customHeight="1">
      <c r="A10" s="34" t="inlineStr">
        <is>
          <t>Thời điểm thực hiện (kèm múi giờ)</t>
        </is>
      </c>
      <c r="B10" s="52" t="inlineStr"/>
    </row>
    <row r="11" ht="180" customHeight="1">
      <c r="A11" s="34" t="inlineStr">
        <is>
          <t>Phạm vi</t>
        </is>
      </c>
      <c r="B11" s="51" t="inlineStr">
        <is>
          <t>216 case và 569 biến thể: cấu hình quy tắc; nguồn/ngưỡng; xét và vòng đời kết quả; trích xuất, công khai, phiếu điểm; quyền và bảo toàn legacy.
Chuẩn bị: Chuẩn bị và đọc lại đúng vai trò/quyền, lớp, mục, kỳ, nguồn và baseline của từng case. Ưu tiên UI hiện hữu; đường thực hiện chưa xác minh giữ Đang chuẩn bị/Bị chặn. Mỗi biến thể có trạng thái cần khôi phục dữ liệu đầu vào riêng.
Điều kiện bắt đầu: Đã xác định phiên bản ứng dụng, quyền ghi ở môi trường kiểm thử, dữ liệu kiểm thử, đường kích hoạt và nơi quan sát của lượt được chọn; chọn đúng lát cắt phát hành trước khi chạy.
Điều kiện kết thúc: Ghi kết quả thực tế, trạng thái, bằng chứng và lý do cho mọi lượt được chọn; chưa chuẩn bị/chưa chốt căn cứ kỳ vọng không được kết luận Đạt. Hoàn tất toàn bộ cần xác nhận đóng lượt và quyền xem bằng chứng thực tế.</t>
        </is>
      </c>
    </row>
    <row r="12" ht="44" customHeight="1">
      <c r="A12" s="34" t="inlineStr">
        <is>
          <t>Ngoài phạm vi</t>
        </is>
      </c>
      <c r="B12" s="51" t="inlineStr">
        <is>
          <t>Xét trực tiếp mục A/B/C hoặc đạt/không đạt; công thức tự do; chuyển legacy thành rule mới; triển khai hoặc phát hành ứng dụng.</t>
        </is>
      </c>
    </row>
    <row r="13" ht="78" customHeight="1">
      <c r="A13" s="34" t="inlineStr">
        <is>
          <t>Giới hạn</t>
        </is>
      </c>
      <c r="B13" s="51" t="inlineStr">
        <is>
          <t>Báo cáo mới chưa thực thi. Dữ liệu kiểm thử, đường thực hiện và phạm vi phát hành chưa xác minh vẫn Đang chuẩn bị/Bị chặn; không coi file có format đúng là QA hoàn tất.
23 khoảng trống được giữ trong Điều kiện kiểm thử của các testcase tương ứng.
216 testcase chưa có URL màn hình tương đối được xác minh.</t>
        </is>
      </c>
    </row>
    <row r="14" ht="44" customHeight="1">
      <c r="A14" s="34" t="inlineStr">
        <is>
          <t>Chuẩn bị theo testcase</t>
        </is>
      </c>
      <c r="B14" s="51" t="inlineStr">
        <is>
          <t>Ready: 1 · Draft: 198 · Blocked: 17
Tính theo TC, độc lập với execution status. Mỗi biến thể có status, actual và ảnh riêng.</t>
        </is>
      </c>
    </row>
    <row r="15" ht="32" customHeight="1">
      <c r="A15" s="37" t="inlineStr">
        <is>
          <t>Tiến độ và kết quả</t>
        </is>
      </c>
      <c r="B15" s="8" t="n"/>
    </row>
    <row r="16" ht="32" customHeight="1">
      <c r="A16" s="38" t="inlineStr">
        <is>
          <t>Số TC</t>
        </is>
      </c>
      <c r="B16" s="53">
        <f>216</f>
        <v/>
      </c>
    </row>
    <row r="17" ht="32" customHeight="1">
      <c r="A17" s="38" t="inlineStr">
        <is>
          <t>Số biến thể</t>
        </is>
      </c>
      <c r="B17" s="53">
        <f>569</f>
        <v/>
      </c>
    </row>
    <row r="18" ht="32" customHeight="1">
      <c r="A18" s="38" t="inlineStr">
        <is>
          <t>TC PASS</t>
        </is>
      </c>
      <c r="B18" s="53">
        <f>COUNTIF(C30:C245,"Đạt")</f>
        <v/>
      </c>
    </row>
    <row r="19" ht="32" customHeight="1">
      <c r="A19" s="38" t="inlineStr">
        <is>
          <t>TC FAIL</t>
        </is>
      </c>
      <c r="B19" s="53">
        <f>COUNTIF(C30:C245,"Không đạt")</f>
        <v/>
      </c>
    </row>
    <row r="20" ht="32" customHeight="1">
      <c r="A20" s="38" t="inlineStr">
        <is>
          <t>Biến thể bị chặn</t>
        </is>
      </c>
      <c r="B20" s="53">
        <f>SUMPRODUCT(--EXACT('Testcases'!B5:B8774,"Bị chặn"),--ISNUMBER(MATCH(ROW('Testcases'!B5:B8774),{28,36,44,73,81,89,118,168,176,205,213,246,254,262,270,317,325,333,341,349,357,365,410,418,426,434,442,467,493,525,550,574,598,644,652,660,708,716,748,756,764,789,840,848,856,864,872,880,888,896,904,912,920,928,936,944,952,960,968,976,984,992,1000,1008,1016,1041,1066,1093,1135,1143,1151,1159,1167,1175,1183,1191,1199,1207,1235,1260,1306,1314,1322,1349,1357,1383,1391,1399,1407,1437,1445,1453,1461,1503,1511,1519,1527,1535,1543,1551,1559,1585,1593,1601,1609,1637,1645,1673,1681,1689,1716,1724,1732,1778,1786,1794,1819,1844,1872,1914,1922,1948,1956,1964,1991,1999,2007,2015,2043,2051,2077,2085,2093,2121,2129,2137,2145,2153,2161,2169,2195,2203,2211,2265,2273,2281,2289,2297,2325,2333,2341,2349,2399,2407,2415,2443,2451,2459,2467,2475,2499,2555,2563,2571,2579,2587,2595,2603,2611,2619,2627,2635,2643,2651,2659,2667,2696,2704,2732,2740,2748,2775,2783,2791,2799,2827,2835,2843,2869,2877,2885,2910,2955,2963,2971,3002,3058,3066,3074,3082,3108,3154,3162,3170,3178,3203,3250,3258,3266,3274,3301,3327,3376,3384,3392,3400,3432,3440,3448,3474,3482,3490,3498,3506,3514,3544,3552,3560,3568,3576,3584,3592,3600,3608,3632,3676,3684,3692,3718,3763,3771,3779,3826,3834,3865,3873,3881,3906,3933,3978,3986,3994,4024,4070,4078,4086,4094,4142,4150,4158,4183,4210,4237,4282,4290,4298,4306,4314,4322,4369,4377,4385,4434,4442,4450,4485,4493,4501,4537,4545,4553,4561,4569,4577,4585,4613,4621,4650,4658,4666,4674,4682,4708,4716,4724,4769,4777,4785,4829,4837,4845,4853,4885,4893,4901,4909,4936,4944,4952,4960,4968,4976,5004,5012,5020,5055,5063,5071,5079,5087,5095,5123,5131,5139,5147,5155,5183,5207,5235,5282,5290,5298,5306,5314,5322,5349,5357,5365,5373,5406,5414,5422,5430,5438,5446,5454,5462,5492,5500,5526,5534,5542,5550,5579,5587,5595,5639,5647,5655,5701,5709,5717,5725,5751,5759,5767,5796,5804,5812,5857,5865,5873,5881,5930,5938,5946,5954,5981,5989,6016,6024,6051,6059,6089,6097,6105,6113,6143,6151,6159,6187,6195,6203,6228,6271,6279,6287,6295,6303,6311,6336,6379,6387,6395,6426,6434,6442,6450,6458,6466,6474,6482,6490,6498,6506,6514,6556,6564,6572,6580,6588,6596,6604,6612,6620,6628,6636,6644,6652,6660,6668,6676,6704,6712,6720,6728,6736,6744,6752,6760,6787,6795,6803,6837,6845,6871,6879,6887,6895,6903,6911,6941,6949,6957,6965,6973,6981,7009,7017,7045,7053,7080,7088,7096,7104,7112,7120,7128,7136,7163,7171,7198,7206,7214,7222,7250,7258,7266,7274,7304,7312,7320,7328,7352,7378,7408,7434,7479,7487,7495,7503,7529,7579,7587,7595,7630,7638,7646,7654,7662,7687,7713,7739,7765,7791,7817,7861,7869,7877,7885,7893,7937,7945,7973,7981,7989,8021,8029,8037,8045,8053,8061,8069,8077,8085,8093,8101,8109,8117,8125,8133,8165,8173,8181,8189,8235,8243,8251,8259,8296,8304,8312,8320,8328,8336,8365,8373,8381,8389,8415,8441,8466,8510,8518,8526,8571,8579,8587,8613,8621,8650,8658,8666,8674,8700,8744,8752,8760,8768},0)))</f>
        <v/>
      </c>
    </row>
    <row r="21" ht="32" customHeight="1">
      <c r="A21" s="38" t="inlineStr">
        <is>
          <t>Biến thể không thực hiện</t>
        </is>
      </c>
      <c r="B21" s="53">
        <f>SUMPRODUCT(--EXACT('Testcases'!B5:B8774,"Không thực hiện"),--ISNUMBER(MATCH(ROW('Testcases'!B5:B8774),{28,36,44,73,81,89,118,168,176,205,213,246,254,262,270,317,325,333,341,349,357,365,410,418,426,434,442,467,493,525,550,574,598,644,652,660,708,716,748,756,764,789,840,848,856,864,872,880,888,896,904,912,920,928,936,944,952,960,968,976,984,992,1000,1008,1016,1041,1066,1093,1135,1143,1151,1159,1167,1175,1183,1191,1199,1207,1235,1260,1306,1314,1322,1349,1357,1383,1391,1399,1407,1437,1445,1453,1461,1503,1511,1519,1527,1535,1543,1551,1559,1585,1593,1601,1609,1637,1645,1673,1681,1689,1716,1724,1732,1778,1786,1794,1819,1844,1872,1914,1922,1948,1956,1964,1991,1999,2007,2015,2043,2051,2077,2085,2093,2121,2129,2137,2145,2153,2161,2169,2195,2203,2211,2265,2273,2281,2289,2297,2325,2333,2341,2349,2399,2407,2415,2443,2451,2459,2467,2475,2499,2555,2563,2571,2579,2587,2595,2603,2611,2619,2627,2635,2643,2651,2659,2667,2696,2704,2732,2740,2748,2775,2783,2791,2799,2827,2835,2843,2869,2877,2885,2910,2955,2963,2971,3002,3058,3066,3074,3082,3108,3154,3162,3170,3178,3203,3250,3258,3266,3274,3301,3327,3376,3384,3392,3400,3432,3440,3448,3474,3482,3490,3498,3506,3514,3544,3552,3560,3568,3576,3584,3592,3600,3608,3632,3676,3684,3692,3718,3763,3771,3779,3826,3834,3865,3873,3881,3906,3933,3978,3986,3994,4024,4070,4078,4086,4094,4142,4150,4158,4183,4210,4237,4282,4290,4298,4306,4314,4322,4369,4377,4385,4434,4442,4450,4485,4493,4501,4537,4545,4553,4561,4569,4577,4585,4613,4621,4650,4658,4666,4674,4682,4708,4716,4724,4769,4777,4785,4829,4837,4845,4853,4885,4893,4901,4909,4936,4944,4952,4960,4968,4976,5004,5012,5020,5055,5063,5071,5079,5087,5095,5123,5131,5139,5147,5155,5183,5207,5235,5282,5290,5298,5306,5314,5322,5349,5357,5365,5373,5406,5414,5422,5430,5438,5446,5454,5462,5492,5500,5526,5534,5542,5550,5579,5587,5595,5639,5647,5655,5701,5709,5717,5725,5751,5759,5767,5796,5804,5812,5857,5865,5873,5881,5930,5938,5946,5954,5981,5989,6016,6024,6051,6059,6089,6097,6105,6113,6143,6151,6159,6187,6195,6203,6228,6271,6279,6287,6295,6303,6311,6336,6379,6387,6395,6426,6434,6442,6450,6458,6466,6474,6482,6490,6498,6506,6514,6556,6564,6572,6580,6588,6596,6604,6612,6620,6628,6636,6644,6652,6660,6668,6676,6704,6712,6720,6728,6736,6744,6752,6760,6787,6795,6803,6837,6845,6871,6879,6887,6895,6903,6911,6941,6949,6957,6965,6973,6981,7009,7017,7045,7053,7080,7088,7096,7104,7112,7120,7128,7136,7163,7171,7198,7206,7214,7222,7250,7258,7266,7274,7304,7312,7320,7328,7352,7378,7408,7434,7479,7487,7495,7503,7529,7579,7587,7595,7630,7638,7646,7654,7662,7687,7713,7739,7765,7791,7817,7861,7869,7877,7885,7893,7937,7945,7973,7981,7989,8021,8029,8037,8045,8053,8061,8069,8077,8085,8093,8101,8109,8117,8125,8133,8165,8173,8181,8189,8235,8243,8251,8259,8296,8304,8312,8320,8328,8336,8365,8373,8381,8389,8415,8441,8466,8510,8518,8526,8571,8579,8587,8613,8621,8650,8658,8666,8674,8700,8744,8752,8760,8768},0)))</f>
        <v/>
      </c>
    </row>
    <row r="22" ht="32" customHeight="1">
      <c r="A22" s="38" t="inlineStr">
        <is>
          <t>Biến thể chưa thực hiện</t>
        </is>
      </c>
      <c r="B22" s="53">
        <f>SUMPRODUCT(--EXACT('Testcases'!B5:B8774,"Chưa thực hiện"),--ISNUMBER(MATCH(ROW('Testcases'!B5:B8774),{28,36,44,73,81,89,118,168,176,205,213,246,254,262,270,317,325,333,341,349,357,365,410,418,426,434,442,467,493,525,550,574,598,644,652,660,708,716,748,756,764,789,840,848,856,864,872,880,888,896,904,912,920,928,936,944,952,960,968,976,984,992,1000,1008,1016,1041,1066,1093,1135,1143,1151,1159,1167,1175,1183,1191,1199,1207,1235,1260,1306,1314,1322,1349,1357,1383,1391,1399,1407,1437,1445,1453,1461,1503,1511,1519,1527,1535,1543,1551,1559,1585,1593,1601,1609,1637,1645,1673,1681,1689,1716,1724,1732,1778,1786,1794,1819,1844,1872,1914,1922,1948,1956,1964,1991,1999,2007,2015,2043,2051,2077,2085,2093,2121,2129,2137,2145,2153,2161,2169,2195,2203,2211,2265,2273,2281,2289,2297,2325,2333,2341,2349,2399,2407,2415,2443,2451,2459,2467,2475,2499,2555,2563,2571,2579,2587,2595,2603,2611,2619,2627,2635,2643,2651,2659,2667,2696,2704,2732,2740,2748,2775,2783,2791,2799,2827,2835,2843,2869,2877,2885,2910,2955,2963,2971,3002,3058,3066,3074,3082,3108,3154,3162,3170,3178,3203,3250,3258,3266,3274,3301,3327,3376,3384,3392,3400,3432,3440,3448,3474,3482,3490,3498,3506,3514,3544,3552,3560,3568,3576,3584,3592,3600,3608,3632,3676,3684,3692,3718,3763,3771,3779,3826,3834,3865,3873,3881,3906,3933,3978,3986,3994,4024,4070,4078,4086,4094,4142,4150,4158,4183,4210,4237,4282,4290,4298,4306,4314,4322,4369,4377,4385,4434,4442,4450,4485,4493,4501,4537,4545,4553,4561,4569,4577,4585,4613,4621,4650,4658,4666,4674,4682,4708,4716,4724,4769,4777,4785,4829,4837,4845,4853,4885,4893,4901,4909,4936,4944,4952,4960,4968,4976,5004,5012,5020,5055,5063,5071,5079,5087,5095,5123,5131,5139,5147,5155,5183,5207,5235,5282,5290,5298,5306,5314,5322,5349,5357,5365,5373,5406,5414,5422,5430,5438,5446,5454,5462,5492,5500,5526,5534,5542,5550,5579,5587,5595,5639,5647,5655,5701,5709,5717,5725,5751,5759,5767,5796,5804,5812,5857,5865,5873,5881,5930,5938,5946,5954,5981,5989,6016,6024,6051,6059,6089,6097,6105,6113,6143,6151,6159,6187,6195,6203,6228,6271,6279,6287,6295,6303,6311,6336,6379,6387,6395,6426,6434,6442,6450,6458,6466,6474,6482,6490,6498,6506,6514,6556,6564,6572,6580,6588,6596,6604,6612,6620,6628,6636,6644,6652,6660,6668,6676,6704,6712,6720,6728,6736,6744,6752,6760,6787,6795,6803,6837,6845,6871,6879,6887,6895,6903,6911,6941,6949,6957,6965,6973,6981,7009,7017,7045,7053,7080,7088,7096,7104,7112,7120,7128,7136,7163,7171,7198,7206,7214,7222,7250,7258,7266,7274,7304,7312,7320,7328,7352,7378,7408,7434,7479,7487,7495,7503,7529,7579,7587,7595,7630,7638,7646,7654,7662,7687,7713,7739,7765,7791,7817,7861,7869,7877,7885,7893,7937,7945,7973,7981,7989,8021,8029,8037,8045,8053,8061,8069,8077,8085,8093,8101,8109,8117,8125,8133,8165,8173,8181,8189,8235,8243,8251,8259,8296,8304,8312,8320,8328,8336,8365,8373,8381,8389,8415,8441,8466,8510,8518,8526,8571,8579,8587,8613,8621,8650,8658,8666,8674,8700,8744,8752,8760,8768},0)))</f>
        <v/>
      </c>
    </row>
    <row r="23" ht="52" customHeight="1">
      <c r="A23" s="38" t="inlineStr">
        <is>
          <t>TC đã đánh giá</t>
        </is>
      </c>
      <c r="B23" s="53">
        <f>B18+B19</f>
        <v/>
      </c>
    </row>
    <row r="24" ht="52" customHeight="1">
      <c r="A24" s="38" t="inlineStr">
        <is>
          <t>Tỷ lệ PASS theo TC</t>
        </is>
      </c>
      <c r="B24" s="54">
        <f>IF(B23=0,"Chưa có dữ liệu",B18/B23)</f>
        <v/>
      </c>
    </row>
    <row r="25" ht="52" customHeight="1">
      <c r="A25" s="38" t="inlineStr">
        <is>
          <t>Tiến độ theo TC</t>
        </is>
      </c>
      <c r="B25" s="54">
        <f>IF(B16=0,"Chưa có dữ liệu",B23/B16)</f>
        <v/>
      </c>
    </row>
    <row r="26" ht="32" customHeight="1">
      <c r="A26" s="38" t="inlineStr">
        <is>
          <t>TC chưa PASS</t>
        </is>
      </c>
      <c r="B26" s="53">
        <f>B16-B18</f>
        <v/>
      </c>
    </row>
    <row r="27" ht="32" customHeight="1">
      <c r="A27" s="38" t="inlineStr">
        <is>
          <t>Trạng thái biến thể không hợp lệ</t>
        </is>
      </c>
      <c r="B27" s="53">
        <f>B17-SUM(B20:B22,SUMPRODUCT(--EXACT('Testcases'!B5:B8774,"Đạt"),--ISNUMBER(MATCH(ROW('Testcases'!B5:B8774),{28,36,44,73,81,89,118,168,176,205,213,246,254,262,270,317,325,333,341,349,357,365,410,418,426,434,442,467,493,525,550,574,598,644,652,660,708,716,748,756,764,789,840,848,856,864,872,880,888,896,904,912,920,928,936,944,952,960,968,976,984,992,1000,1008,1016,1041,1066,1093,1135,1143,1151,1159,1167,1175,1183,1191,1199,1207,1235,1260,1306,1314,1322,1349,1357,1383,1391,1399,1407,1437,1445,1453,1461,1503,1511,1519,1527,1535,1543,1551,1559,1585,1593,1601,1609,1637,1645,1673,1681,1689,1716,1724,1732,1778,1786,1794,1819,1844,1872,1914,1922,1948,1956,1964,1991,1999,2007,2015,2043,2051,2077,2085,2093,2121,2129,2137,2145,2153,2161,2169,2195,2203,2211,2265,2273,2281,2289,2297,2325,2333,2341,2349,2399,2407,2415,2443,2451,2459,2467,2475,2499,2555,2563,2571,2579,2587,2595,2603,2611,2619,2627,2635,2643,2651,2659,2667,2696,2704,2732,2740,2748,2775,2783,2791,2799,2827,2835,2843,2869,2877,2885,2910,2955,2963,2971,3002,3058,3066,3074,3082,3108,3154,3162,3170,3178,3203,3250,3258,3266,3274,3301,3327,3376,3384,3392,3400,3432,3440,3448,3474,3482,3490,3498,3506,3514,3544,3552,3560,3568,3576,3584,3592,3600,3608,3632,3676,3684,3692,3718,3763,3771,3779,3826,3834,3865,3873,3881,3906,3933,3978,3986,3994,4024,4070,4078,4086,4094,4142,4150,4158,4183,4210,4237,4282,4290,4298,4306,4314,4322,4369,4377,4385,4434,4442,4450,4485,4493,4501,4537,4545,4553,4561,4569,4577,4585,4613,4621,4650,4658,4666,4674,4682,4708,4716,4724,4769,4777,4785,4829,4837,4845,4853,4885,4893,4901,4909,4936,4944,4952,4960,4968,4976,5004,5012,5020,5055,5063,5071,5079,5087,5095,5123,5131,5139,5147,5155,5183,5207,5235,5282,5290,5298,5306,5314,5322,5349,5357,5365,5373,5406,5414,5422,5430,5438,5446,5454,5462,5492,5500,5526,5534,5542,5550,5579,5587,5595,5639,5647,5655,5701,5709,5717,5725,5751,5759,5767,5796,5804,5812,5857,5865,5873,5881,5930,5938,5946,5954,5981,5989,6016,6024,6051,6059,6089,6097,6105,6113,6143,6151,6159,6187,6195,6203,6228,6271,6279,6287,6295,6303,6311,6336,6379,6387,6395,6426,6434,6442,6450,6458,6466,6474,6482,6490,6498,6506,6514,6556,6564,6572,6580,6588,6596,6604,6612,6620,6628,6636,6644,6652,6660,6668,6676,6704,6712,6720,6728,6736,6744,6752,6760,6787,6795,6803,6837,6845,6871,6879,6887,6895,6903,6911,6941,6949,6957,6965,6973,6981,7009,7017,7045,7053,7080,7088,7096,7104,7112,7120,7128,7136,7163,7171,7198,7206,7214,7222,7250,7258,7266,7274,7304,7312,7320,7328,7352,7378,7408,7434,7479,7487,7495,7503,7529,7579,7587,7595,7630,7638,7646,7654,7662,7687,7713,7739,7765,7791,7817,7861,7869,7877,7885,7893,7937,7945,7973,7981,7989,8021,8029,8037,8045,8053,8061,8069,8077,8085,8093,8101,8109,8117,8125,8133,8165,8173,8181,8189,8235,8243,8251,8259,8296,8304,8312,8320,8328,8336,8365,8373,8381,8389,8415,8441,8466,8510,8518,8526,8571,8579,8587,8613,8621,8650,8658,8666,8674,8700,8744,8752,8760,8768},0))),SUMPRODUCT(--EXACT('Testcases'!B5:B8774,"Không đạt"),--ISNUMBER(MATCH(ROW('Testcases'!B5:B8774),{28,36,44,73,81,89,118,168,176,205,213,246,254,262,270,317,325,333,341,349,357,365,410,418,426,434,442,467,493,525,550,574,598,644,652,660,708,716,748,756,764,789,840,848,856,864,872,880,888,896,904,912,920,928,936,944,952,960,968,976,984,992,1000,1008,1016,1041,1066,1093,1135,1143,1151,1159,1167,1175,1183,1191,1199,1207,1235,1260,1306,1314,1322,1349,1357,1383,1391,1399,1407,1437,1445,1453,1461,1503,1511,1519,1527,1535,1543,1551,1559,1585,1593,1601,1609,1637,1645,1673,1681,1689,1716,1724,1732,1778,1786,1794,1819,1844,1872,1914,1922,1948,1956,1964,1991,1999,2007,2015,2043,2051,2077,2085,2093,2121,2129,2137,2145,2153,2161,2169,2195,2203,2211,2265,2273,2281,2289,2297,2325,2333,2341,2349,2399,2407,2415,2443,2451,2459,2467,2475,2499,2555,2563,2571,2579,2587,2595,2603,2611,2619,2627,2635,2643,2651,2659,2667,2696,2704,2732,2740,2748,2775,2783,2791,2799,2827,2835,2843,2869,2877,2885,2910,2955,2963,2971,3002,3058,3066,3074,3082,3108,3154,3162,3170,3178,3203,3250,3258,3266,3274,3301,3327,3376,3384,3392,3400,3432,3440,3448,3474,3482,3490,3498,3506,3514,3544,3552,3560,3568,3576,3584,3592,3600,3608,3632,3676,3684,3692,3718,3763,3771,3779,3826,3834,3865,3873,3881,3906,3933,3978,3986,3994,4024,4070,4078,4086,4094,4142,4150,4158,4183,4210,4237,4282,4290,4298,4306,4314,4322,4369,4377,4385,4434,4442,4450,4485,4493,4501,4537,4545,4553,4561,4569,4577,4585,4613,4621,4650,4658,4666,4674,4682,4708,4716,4724,4769,4777,4785,4829,4837,4845,4853,4885,4893,4901,4909,4936,4944,4952,4960,4968,4976,5004,5012,5020,5055,5063,5071,5079,5087,5095,5123,5131,5139,5147,5155,5183,5207,5235,5282,5290,5298,5306,5314,5322,5349,5357,5365,5373,5406,5414,5422,5430,5438,5446,5454,5462,5492,5500,5526,5534,5542,5550,5579,5587,5595,5639,5647,5655,5701,5709,5717,5725,5751,5759,5767,5796,5804,5812,5857,5865,5873,5881,5930,5938,5946,5954,5981,5989,6016,6024,6051,6059,6089,6097,6105,6113,6143,6151,6159,6187,6195,6203,6228,6271,6279,6287,6295,6303,6311,6336,6379,6387,6395,6426,6434,6442,6450,6458,6466,6474,6482,6490,6498,6506,6514,6556,6564,6572,6580,6588,6596,6604,6612,6620,6628,6636,6644,6652,6660,6668,6676,6704,6712,6720,6728,6736,6744,6752,6760,6787,6795,6803,6837,6845,6871,6879,6887,6895,6903,6911,6941,6949,6957,6965,6973,6981,7009,7017,7045,7053,7080,7088,7096,7104,7112,7120,7128,7136,7163,7171,7198,7206,7214,7222,7250,7258,7266,7274,7304,7312,7320,7328,7352,7378,7408,7434,7479,7487,7495,7503,7529,7579,7587,7595,7630,7638,7646,7654,7662,7687,7713,7739,7765,7791,7817,7861,7869,7877,7885,7893,7937,7945,7973,7981,7989,8021,8029,8037,8045,8053,8061,8069,8077,8085,8093,8101,8109,8117,8125,8133,8165,8173,8181,8189,8235,8243,8251,8259,8296,8304,8312,8320,8328,8336,8365,8373,8381,8389,8415,8441,8466,8510,8518,8526,8571,8579,8587,8613,8621,8650,8658,8666,8674,8700,8744,8752,8760,8768},0))))</f>
        <v/>
      </c>
    </row>
    <row r="28" ht="32" customHeight="1">
      <c r="A28" s="3" t="n"/>
      <c r="B28" s="3" t="n"/>
    </row>
    <row r="29" ht="32" customHeight="1">
      <c r="A29" s="37" t="inlineStr">
        <is>
          <t>Mã TC</t>
        </is>
      </c>
      <c r="B29" s="37" t="inlineStr">
        <is>
          <t>Testcase</t>
        </is>
      </c>
      <c r="C29" s="37" t="inlineStr">
        <is>
          <t>Trạng thái tổng hợp</t>
        </is>
      </c>
    </row>
    <row r="30" ht="44" customHeight="1">
      <c r="A30" s="51" t="inlineStr">
        <is>
          <t>TC-RS-FUNC-001</t>
        </is>
      </c>
      <c r="B30" s="55" t="inlineStr">
        <is>
          <t>Hàng Thiết lập điểm đỏ（赤点設定） xuất hiện trong Thiết lập ô nhập（入力欄設定） cho mục điểm số</t>
        </is>
      </c>
      <c r="C30" s="51">
        <f>'Testcases'!B6</f>
        <v/>
      </c>
    </row>
    <row r="31" ht="44" customHeight="1">
      <c r="A31" s="51" t="inlineStr">
        <is>
          <t>TC-RS-FUNC-002</t>
        </is>
      </c>
      <c r="B31" s="55" t="inlineStr">
        <is>
          <t>Mục kiểu lựa chọn và Đạt/không đạt（合否） không có thao tác tạo quy tắc đỏ có hiệu lực</t>
        </is>
      </c>
      <c r="C31" s="51">
        <f>'Testcases'!B52</f>
        <v/>
      </c>
    </row>
    <row r="32" ht="44" customHeight="1">
      <c r="A32" s="51" t="inlineStr">
        <is>
          <t>TC-RS-FUNC-004</t>
        </is>
      </c>
      <c r="B32" s="55" t="inlineStr">
        <is>
          <t>Thêm quy tắc qua Điều kiện áp dụng（適用条件） và Ngưỡng（基準設定） rồi quay lại danh sách</t>
        </is>
      </c>
      <c r="C32" s="51">
        <f>IF(0&gt;0,"Không đạt",IF(0=1,"Đạt",IF(SUMPRODUCT(--EXACT('Testcases'!B89,"Không thực hiện"))=1,"Không thực hiện",IF(SUMPRODUCT(--EXACT('Testcases'!B89,"Bị chặn"))&gt;0,"Bị chặn",IF(SUMPRODUCT(--EXACT('Testcases'!B89,"Chưa thực hiện"))=1,"Chưa thực hiện","Chưa đủ kết luận")))))</f>
        <v/>
      </c>
    </row>
    <row r="33" ht="30" customHeight="1">
      <c r="A33" s="51" t="inlineStr">
        <is>
          <t>TC-RS-FUNC-005</t>
        </is>
      </c>
      <c r="B33" s="55" t="inlineStr">
        <is>
          <t>Nhiều quy tắc hiển thị theo ưu tiên; đổi thứ tự bằng ▲▼ được lưu</t>
        </is>
      </c>
      <c r="C33" s="51">
        <f>IF(0&gt;0,"Không đạt",IF(0=1,"Đạt",IF(SUMPRODUCT(--EXACT('Testcases'!B118,"Không thực hiện"))=1,"Không thực hiện",IF(SUMPRODUCT(--EXACT('Testcases'!B118,"Bị chặn"))&gt;0,"Bị chặn",IF(SUMPRODUCT(--EXACT('Testcases'!B118,"Chưa thực hiện"))=1,"Chưa thực hiện","Chưa đủ kết luận")))))</f>
        <v/>
      </c>
    </row>
    <row r="34" ht="30" customHeight="1">
      <c r="A34" s="51" t="inlineStr">
        <is>
          <t>TC-RS-FUNC-006</t>
        </is>
      </c>
      <c r="B34" s="55" t="inlineStr">
        <is>
          <t>Xóa một quy tắc có xác nhận; Hủy（キャンセル） giữ nguyên</t>
        </is>
      </c>
      <c r="C34" s="51">
        <f>'Testcases'!B147</f>
        <v/>
      </c>
    </row>
    <row r="35" ht="30" customHeight="1">
      <c r="A35" s="51" t="inlineStr">
        <is>
          <t>TC-RS-FUNC-007</t>
        </is>
      </c>
      <c r="B35" s="55" t="inlineStr">
        <is>
          <t>Quay lại（戻る）/hủy chỉnh sửa không lưu dữ liệu đang nhập</t>
        </is>
      </c>
      <c r="C35" s="51">
        <f>'Testcases'!B184</f>
        <v/>
      </c>
    </row>
    <row r="36" ht="30" customHeight="1">
      <c r="A36" s="51" t="inlineStr">
        <is>
          <t>TC-RS-FUNC-014</t>
        </is>
      </c>
      <c r="B36" s="55" t="inlineStr">
        <is>
          <t>Quy tắc mới chỉ có điều kiện, chưa có ngưỡng, không tham gia xét</t>
        </is>
      </c>
      <c r="C36" s="51">
        <f>'Testcases'!B221</f>
        <v/>
      </c>
    </row>
    <row r="37" ht="30" customHeight="1">
      <c r="A37" s="51" t="inlineStr">
        <is>
          <t>TC-RS-FUNC-033</t>
        </is>
      </c>
      <c r="B37" s="55" t="inlineStr">
        <is>
          <t>Đổi tên quy tắc: giữ liên kết, thứ tự và kết quả</t>
        </is>
      </c>
      <c r="C37" s="51">
        <f>IF(0&gt;0,"Không đạt",IF(0=1,"Đạt",IF(SUMPRODUCT(--EXACT('Testcases'!B270,"Không thực hiện"))=1,"Không thực hiện",IF(SUMPRODUCT(--EXACT('Testcases'!B270,"Bị chặn"))&gt;0,"Bị chặn",IF(SUMPRODUCT(--EXACT('Testcases'!B270,"Chưa thực hiện"))=1,"Chưa thực hiện","Chưa đủ kết luận")))))</f>
        <v/>
      </c>
    </row>
    <row r="38" ht="30" customHeight="1">
      <c r="A38" s="51" t="inlineStr">
        <is>
          <t>TC-RS-VAL-014</t>
        </is>
      </c>
      <c r="B38" s="55" t="inlineStr">
        <is>
          <t>Tên thiết lập: bắt buộc, độ dài, trùng tên</t>
        </is>
      </c>
      <c r="C38" s="51">
        <f>'Testcases'!B297</f>
        <v/>
      </c>
    </row>
    <row r="39" ht="30" customHeight="1">
      <c r="A39" s="51" t="inlineStr">
        <is>
          <t>TC-RS-VAL-016</t>
        </is>
      </c>
      <c r="B39" s="55" t="inlineStr">
        <is>
          <t>Lỗi khi lưu không làm mất cấu hình/kết quả đã lưu</t>
        </is>
      </c>
      <c r="C39" s="51">
        <f>IF(0&gt;0,"Không đạt",IF(0=1,"Đạt",IF(SUMPRODUCT(--EXACT('Testcases'!B365,"Không thực hiện"))=1,"Không thực hiện",IF(SUMPRODUCT(--EXACT('Testcases'!B365,"Bị chặn"))&gt;0,"Bị chặn",IF(SUMPRODUCT(--EXACT('Testcases'!B365,"Chưa thực hiện"))=1,"Chưa thực hiện","Chưa đủ kết luận")))))</f>
        <v/>
      </c>
    </row>
    <row r="40" ht="30" customHeight="1">
      <c r="A40" s="51" t="inlineStr">
        <is>
          <t>TC-RS-DATA-001</t>
        </is>
      </c>
      <c r="B40" s="55" t="inlineStr">
        <is>
          <t>Cấu hình lưu và mở lại đầy đủ, không cắt/làm tròn âm thầm</t>
        </is>
      </c>
      <c r="C40" s="51">
        <f>'Testcases'!B390</f>
        <v/>
      </c>
    </row>
    <row r="41" ht="30" customHeight="1">
      <c r="A41" s="51" t="inlineStr">
        <is>
          <t>TC-RS-DATA-004</t>
        </is>
      </c>
      <c r="B41" s="55" t="inlineStr">
        <is>
          <t>Xóa quy tắc không xóa dây chuyền kết quả hay điểm</t>
        </is>
      </c>
      <c r="C41" s="51">
        <f>IF(0&gt;0,"Không đạt",IF(0=1,"Đạt",IF(SUMPRODUCT(--EXACT('Testcases'!B442,"Không thực hiện"))=1,"Không thực hiện",IF(SUMPRODUCT(--EXACT('Testcases'!B442,"Bị chặn"))&gt;0,"Bị chặn",IF(SUMPRODUCT(--EXACT('Testcases'!B442,"Chưa thực hiện"))=1,"Chưa thực hiện","Chưa đủ kết luận")))))</f>
        <v/>
      </c>
    </row>
    <row r="42" ht="44" customHeight="1">
      <c r="A42" s="51" t="inlineStr">
        <is>
          <t>TC-RS-UI-001</t>
        </is>
      </c>
      <c r="B42" s="55" t="inlineStr">
        <is>
          <t>Nhãn trạng thái ở hàng Thiết lập điểm đỏ（赤点設定） trong Thiết lập ô nhập（入力欄設定）</t>
        </is>
      </c>
      <c r="C42" s="51">
        <f>IF(0&gt;0,"Không đạt",IF(0=1,"Đạt",IF(SUMPRODUCT(--EXACT('Testcases'!B467,"Không thực hiện"))=1,"Không thực hiện",IF(SUMPRODUCT(--EXACT('Testcases'!B467,"Bị chặn"))&gt;0,"Bị chặn",IF(SUMPRODUCT(--EXACT('Testcases'!B467,"Chưa thực hiện"))=1,"Chưa thực hiện","Chưa đủ kết luận")))))</f>
        <v/>
      </c>
    </row>
    <row r="43" ht="30" customHeight="1">
      <c r="A43" s="51" t="inlineStr">
        <is>
          <t>TC-RS-UI-002</t>
        </is>
      </c>
      <c r="B43" s="55" t="inlineStr">
        <is>
          <t>Cấu trúc màn danh sách Thiết lập điểm đỏ（赤点設定）</t>
        </is>
      </c>
      <c r="C43" s="51">
        <f>IF(0&gt;0,"Không đạt",IF(0=1,"Đạt",IF(SUMPRODUCT(--EXACT('Testcases'!B493,"Không thực hiện"))=1,"Không thực hiện",IF(SUMPRODUCT(--EXACT('Testcases'!B493,"Bị chặn"))&gt;0,"Bị chặn",IF(SUMPRODUCT(--EXACT('Testcases'!B493,"Chưa thực hiện"))=1,"Chưa thực hiện","Chưa đủ kết luận")))))</f>
        <v/>
      </c>
    </row>
    <row r="44" ht="30" customHeight="1">
      <c r="A44" s="51" t="inlineStr">
        <is>
          <t>TC-RS-UI-003</t>
        </is>
      </c>
      <c r="B44" s="55" t="inlineStr">
        <is>
          <t>Định dạng tiêu đề màn danh sách</t>
        </is>
      </c>
      <c r="C44" s="51">
        <f>IF(0&gt;0,"Không đạt",IF(0=1,"Đạt",IF(SUMPRODUCT(--EXACT('Testcases'!B525,"Không thực hiện"))=1,"Không thực hiện",IF(SUMPRODUCT(--EXACT('Testcases'!B525,"Bị chặn"))&gt;0,"Bị chặn",IF(SUMPRODUCT(--EXACT('Testcases'!B525,"Chưa thực hiện"))=1,"Chưa thực hiện","Chưa đủ kết luận")))))</f>
        <v/>
      </c>
    </row>
    <row r="45" ht="30" customHeight="1">
      <c r="A45" s="51" t="inlineStr">
        <is>
          <t>TC-RS-UI-004</t>
        </is>
      </c>
      <c r="B45" s="55" t="inlineStr">
        <is>
          <t>Tóm tắt điều kiện và ngưỡng trên từng dòng danh sách</t>
        </is>
      </c>
      <c r="C45" s="51">
        <f>IF(0&gt;0,"Không đạt",IF(0=1,"Đạt",IF(SUMPRODUCT(--EXACT('Testcases'!B550,"Không thực hiện"))=1,"Không thực hiện",IF(SUMPRODUCT(--EXACT('Testcases'!B550,"Bị chặn"))&gt;0,"Bị chặn",IF(SUMPRODUCT(--EXACT('Testcases'!B550,"Chưa thực hiện"))=1,"Chưa thực hiện","Chưa đủ kết luận")))))</f>
        <v/>
      </c>
    </row>
    <row r="46" ht="30" customHeight="1">
      <c r="A46" s="51" t="inlineStr">
        <is>
          <t>TC-RS-UI-005</t>
        </is>
      </c>
      <c r="B46" s="55" t="inlineStr">
        <is>
          <t>Trạng thái danh sách trống</t>
        </is>
      </c>
      <c r="C46" s="51">
        <f>IF(0&gt;0,"Không đạt",IF(0=1,"Đạt",IF(SUMPRODUCT(--EXACT('Testcases'!B574,"Không thực hiện"))=1,"Không thực hiện",IF(SUMPRODUCT(--EXACT('Testcases'!B574,"Bị chặn"))&gt;0,"Bị chặn",IF(SUMPRODUCT(--EXACT('Testcases'!B574,"Chưa thực hiện"))=1,"Chưa thực hiện","Chưa đủ kết luận")))))</f>
        <v/>
      </c>
    </row>
    <row r="47" ht="30" customHeight="1">
      <c r="A47" s="51" t="inlineStr">
        <is>
          <t>TC-RS-UI-006</t>
        </is>
      </c>
      <c r="B47" s="55" t="inlineStr">
        <is>
          <t>Hộp xác nhận khi xóa quy tắc cuối</t>
        </is>
      </c>
      <c r="C47" s="51">
        <f>IF(0&gt;0,"Không đạt",IF(0=1,"Đạt",IF(SUMPRODUCT(--EXACT('Testcases'!B598,"Không thực hiện"))=1,"Không thực hiện",IF(SUMPRODUCT(--EXACT('Testcases'!B598,"Bị chặn"))&gt;0,"Bị chặn",IF(SUMPRODUCT(--EXACT('Testcases'!B598,"Chưa thực hiện"))=1,"Chưa thực hiện","Chưa đủ kết luận")))))</f>
        <v/>
      </c>
    </row>
    <row r="48" ht="30" customHeight="1">
      <c r="A48" s="51" t="inlineStr">
        <is>
          <t>TC-RS-UI-007</t>
        </is>
      </c>
      <c r="B48" s="55" t="inlineStr">
        <is>
          <t>Dòng quy tắc mới chỉ có điều kiện, chưa có ngưỡng</t>
        </is>
      </c>
      <c r="C48" s="51">
        <f>'Testcases'!B622</f>
        <v/>
      </c>
    </row>
    <row r="49" ht="30" customHeight="1">
      <c r="A49" s="51" t="inlineStr">
        <is>
          <t>TC-RS-FUNC-003</t>
        </is>
      </c>
      <c r="B49" s="55" t="inlineStr">
        <is>
          <t>Danh sách trống không tự dựng rule từ cấu hình legacy</t>
        </is>
      </c>
      <c r="C49" s="51">
        <f>IF(0&gt;0,"Không đạt",IF(0=1,"Đạt",IF(SUMPRODUCT(--EXACT('Testcases'!B660,"Không thực hiện"))=1,"Không thực hiện",IF(SUMPRODUCT(--EXACT('Testcases'!B660,"Bị chặn"))&gt;0,"Bị chặn",IF(SUMPRODUCT(--EXACT('Testcases'!B660,"Chưa thực hiện"))=1,"Chưa thực hiện","Chưa đủ kết luận")))))</f>
        <v/>
      </c>
    </row>
    <row r="50" ht="44" customHeight="1">
      <c r="A50" s="51" t="inlineStr">
        <is>
          <t>TC-RS-FUNC-008</t>
        </is>
      </c>
      <c r="B50" s="55" t="inlineStr">
        <is>
          <t>Điều kiện áp dụng: Toàn bộ đối tượng hoặc giới hạn bằng bộ lọc kế thừa từ tính tự động</t>
        </is>
      </c>
      <c r="C50" s="51">
        <f>'Testcases'!B685</f>
        <v/>
      </c>
    </row>
    <row r="51" ht="30" customHeight="1">
      <c r="A51" s="51" t="inlineStr">
        <is>
          <t>TC-RS-FUNC-009</t>
        </is>
      </c>
      <c r="B51" s="55" t="inlineStr">
        <is>
          <t>Điều kiện phân nhánh theo Trung bình（平均点） được lưu cùng bộ nguồn</t>
        </is>
      </c>
      <c r="C51" s="51">
        <f>'Testcases'!B724</f>
        <v/>
      </c>
    </row>
    <row r="52" ht="30" customHeight="1">
      <c r="A52" s="51" t="inlineStr">
        <is>
          <t>TC-RS-FUNC-010</t>
        </is>
      </c>
      <c r="B52" s="55" t="inlineStr">
        <is>
          <t>Điều kiện Tỷ lệ điểm của nhóm（集団の得点率） được lưu cùng bộ nguồn</t>
        </is>
      </c>
      <c r="C52" s="51">
        <f>IF(0&gt;0,"Không đạt",IF(0=1,"Đạt",IF(SUMPRODUCT(--EXACT('Testcases'!B764,"Không thực hiện"))=1,"Không thực hiện",IF(SUMPRODUCT(--EXACT('Testcases'!B764,"Bị chặn"))&gt;0,"Bị chặn",IF(SUMPRODUCT(--EXACT('Testcases'!B764,"Chưa thực hiện"))=1,"Chưa thực hiện","Chưa đủ kết luận")))))</f>
        <v/>
      </c>
    </row>
    <row r="53" ht="30" customHeight="1">
      <c r="A53" s="51" t="inlineStr">
        <is>
          <t>TC-RS-BR-004</t>
        </is>
      </c>
      <c r="B53" s="55" t="inlineStr">
        <is>
          <t>Kết hợp bộ lọc: HOẶC trong cùng loại, VÀ giữa các loại</t>
        </is>
      </c>
      <c r="C53" s="51">
        <f>IF(0&gt;0,"Không đạt",IF(0=1,"Đạt",IF(SUMPRODUCT(--EXACT('Testcases'!B789,"Không thực hiện"))=1,"Không thực hiện",IF(SUMPRODUCT(--EXACT('Testcases'!B789,"Bị chặn"))&gt;0,"Bị chặn",IF(SUMPRODUCT(--EXACT('Testcases'!B789,"Chưa thực hiện"))=1,"Chưa thực hiện","Chưa đủ kết luận")))))</f>
        <v/>
      </c>
    </row>
    <row r="54" ht="30" customHeight="1">
      <c r="A54" s="51" t="inlineStr">
        <is>
          <t>TC-RS-BR-041</t>
        </is>
      </c>
      <c r="B54" s="55" t="inlineStr">
        <is>
          <t>Điều kiện trung bình cùng nguồn kết hợp AND</t>
        </is>
      </c>
      <c r="C54" s="51">
        <f>'Testcases'!B814</f>
        <v/>
      </c>
    </row>
    <row r="55" ht="30" customHeight="1">
      <c r="A55" s="51" t="inlineStr">
        <is>
          <t>TC-RS-BR-005</t>
        </is>
      </c>
      <c r="B55" s="55" t="inlineStr">
        <is>
          <t>Toàn bộ đối tượng（全員が対象） không vượt phạm vi mục, trường, năm</t>
        </is>
      </c>
      <c r="C55" s="51">
        <f>IF(0&gt;0,"Không đạt",IF(0=1,"Đạt",IF(SUMPRODUCT(--EXACT('Testcases'!B1016,"Không thực hiện"))=1,"Không thực hiện",IF(SUMPRODUCT(--EXACT('Testcases'!B1016,"Bị chặn"))&gt;0,"Bị chặn",IF(SUMPRODUCT(--EXACT('Testcases'!B1016,"Chưa thực hiện"))=1,"Chưa thực hiện","Chưa đủ kết luận")))))</f>
        <v/>
      </c>
    </row>
    <row r="56" ht="30" customHeight="1">
      <c r="A56" s="51" t="inlineStr">
        <is>
          <t>TC-RS-BR-029</t>
        </is>
      </c>
      <c r="B56" s="55" t="inlineStr">
        <is>
          <t>Mục lựa chọn không được xét, nhưng bộ lọc theo lựa chọn vẫn dùng để chọn đối tượng</t>
        </is>
      </c>
      <c r="C56" s="51">
        <f>IF(0&gt;0,"Không đạt",IF(0=1,"Đạt",IF(SUMPRODUCT(--EXACT('Testcases'!B1041,"Không thực hiện"))=1,"Không thực hiện",IF(SUMPRODUCT(--EXACT('Testcases'!B1041,"Bị chặn"))&gt;0,"Bị chặn",IF(SUMPRODUCT(--EXACT('Testcases'!B1041,"Chưa thực hiện"))=1,"Chưa thực hiện","Chưa đủ kết luận")))))</f>
        <v/>
      </c>
    </row>
    <row r="57" ht="30" customHeight="1">
      <c r="A57" s="51" t="inlineStr">
        <is>
          <t>TC-RS-BR-035</t>
        </is>
      </c>
      <c r="B57" s="55" t="inlineStr">
        <is>
          <t>Bộ lọc nhóm tổng hợp khác loại phải kết hợp VÀ</t>
        </is>
      </c>
      <c r="C57" s="51">
        <f>IF(0&gt;0,"Không đạt",IF(0=1,"Đạt",IF(SUMPRODUCT(--EXACT('Testcases'!B1066,"Không thực hiện"))=1,"Không thực hiện",IF(SUMPRODUCT(--EXACT('Testcases'!B1066,"Bị chặn"))&gt;0,"Bị chặn",IF(SUMPRODUCT(--EXACT('Testcases'!B1066,"Chưa thực hiện"))=1,"Chưa thực hiện","Chưa đủ kết luận")))))</f>
        <v/>
      </c>
    </row>
    <row r="58" ht="30" customHeight="1">
      <c r="A58" s="51" t="inlineStr">
        <is>
          <t>TC-RS-VAL-015</t>
        </is>
      </c>
      <c r="B58" s="55" t="inlineStr">
        <is>
          <t>Chọn giới hạn bằng bộ lọc nhưng không có bộ lọc nào</t>
        </is>
      </c>
      <c r="C58" s="51">
        <f>IF(0&gt;0,"Không đạt",IF(0=1,"Đạt",IF(SUMPRODUCT(--EXACT('Testcases'!B1093,"Không thực hiện"))=1,"Không thực hiện",IF(SUMPRODUCT(--EXACT('Testcases'!B1093,"Bị chặn"))&gt;0,"Bị chặn",IF(SUMPRODUCT(--EXACT('Testcases'!B1093,"Chưa thực hiện"))=1,"Chưa thực hiện","Chưa đủ kết luận")))))</f>
        <v/>
      </c>
    </row>
    <row r="59" ht="30" customHeight="1">
      <c r="A59" s="51" t="inlineStr">
        <is>
          <t>TC-RS-VAL-022</t>
        </is>
      </c>
      <c r="B59" s="55" t="inlineStr">
        <is>
          <t>Giá trị điều kiện phân nhánh (trung bình/tỷ lệ nhóm)</t>
        </is>
      </c>
      <c r="C59" s="51">
        <f>'Testcases'!B1117</f>
        <v/>
      </c>
    </row>
    <row r="60" ht="30" customHeight="1">
      <c r="A60" s="51" t="inlineStr">
        <is>
          <t>TC-RS-UI-008</t>
        </is>
      </c>
      <c r="B60" s="55" t="inlineStr">
        <is>
          <t>Màn Điều kiện áp dụng（適用条件設定）: bố cục và chuyển Toàn bộ/Bộ lọc</t>
        </is>
      </c>
      <c r="C60" s="51">
        <f>IF(0&gt;0,"Không đạt",IF(0=1,"Đạt",IF(SUMPRODUCT(--EXACT('Testcases'!B1207,"Không thực hiện"))=1,"Không thực hiện",IF(SUMPRODUCT(--EXACT('Testcases'!B1207,"Bị chặn"))&gt;0,"Bị chặn",IF(SUMPRODUCT(--EXACT('Testcases'!B1207,"Chưa thực hiện"))=1,"Chưa thực hiện","Chưa đủ kết luận")))))</f>
        <v/>
      </c>
    </row>
    <row r="61" ht="44" customHeight="1">
      <c r="A61" s="51" t="inlineStr">
        <is>
          <t>TC-RS-UI-009</t>
        </is>
      </c>
      <c r="B61" s="55" t="inlineStr">
        <is>
          <t>Khối điều kiện Trung bình（平均点） và nguồn tham chiếu, không có ô chọn "kết quả tổng hợp dùng để tham chiếu"</t>
        </is>
      </c>
      <c r="C61" s="51">
        <f>IF(0&gt;0,"Không đạt",IF(0=1,"Đạt",IF(SUMPRODUCT(--EXACT('Testcases'!B1235,"Không thực hiện"))=1,"Không thực hiện",IF(SUMPRODUCT(--EXACT('Testcases'!B1235,"Bị chặn"))&gt;0,"Bị chặn",IF(SUMPRODUCT(--EXACT('Testcases'!B1235,"Chưa thực hiện"))=1,"Chưa thực hiện","Chưa đủ kết luận")))))</f>
        <v/>
      </c>
    </row>
    <row r="62" ht="30" customHeight="1">
      <c r="A62" s="51" t="inlineStr">
        <is>
          <t>TC-RS-UI-010</t>
        </is>
      </c>
      <c r="B62" s="55" t="inlineStr">
        <is>
          <t>Khối điều kiện Tỷ lệ điểm của nhóm（集団の得点率）</t>
        </is>
      </c>
      <c r="C62" s="51">
        <f>IF(0&gt;0,"Không đạt",IF(0=1,"Đạt",IF(SUMPRODUCT(--EXACT('Testcases'!B1260,"Không thực hiện"))=1,"Không thực hiện",IF(SUMPRODUCT(--EXACT('Testcases'!B1260,"Bị chặn"))&gt;0,"Bị chặn",IF(SUMPRODUCT(--EXACT('Testcases'!B1260,"Chưa thực hiện"))=1,"Chưa thực hiện","Chưa đủ kết luận")))))</f>
        <v/>
      </c>
    </row>
    <row r="63" ht="30" customHeight="1">
      <c r="A63" s="51" t="inlineStr">
        <is>
          <t>TC-RS-FUNC-011</t>
        </is>
      </c>
      <c r="B63" s="55" t="inlineStr">
        <is>
          <t>Chọn loại ngưỡng làm thay đổi vùng nhập</t>
        </is>
      </c>
      <c r="C63" s="51">
        <f>'Testcases'!B1284</f>
        <v/>
      </c>
    </row>
    <row r="64" ht="30" customHeight="1">
      <c r="A64" s="51" t="inlineStr">
        <is>
          <t>TC-RS-FUNC-013</t>
        </is>
      </c>
      <c r="B64" s="55" t="inlineStr">
        <is>
          <t>Dấu so sánh Nhỏ hơn（未満）/Nhỏ hơn hoặc bằng（以下） được lưu và hiển thị</t>
        </is>
      </c>
      <c r="C64" s="51">
        <f>'Testcases'!B1330</f>
        <v/>
      </c>
    </row>
    <row r="65" ht="30" customHeight="1">
      <c r="A65" s="51" t="inlineStr">
        <is>
          <t>TC-RS-VAL-001</t>
        </is>
      </c>
      <c r="B65" s="55" t="inlineStr">
        <is>
          <t>Điểm cố định: biên −1 / 0 / 100 / 101 với M=100</t>
        </is>
      </c>
      <c r="C65" s="51">
        <f>'Testcases'!B1365</f>
        <v/>
      </c>
    </row>
    <row r="66" ht="30" customHeight="1">
      <c r="A66" s="51" t="inlineStr">
        <is>
          <t>TC-RS-VAL-002</t>
        </is>
      </c>
      <c r="B66" s="55" t="inlineStr">
        <is>
          <t>Điểm cố định phải ≤ M của mọi đối tượng (M=20 và M=100)</t>
        </is>
      </c>
      <c r="C66" s="51">
        <f>'Testcases'!B1415</f>
        <v/>
      </c>
    </row>
    <row r="67" ht="30" customHeight="1">
      <c r="A67" s="51" t="inlineStr">
        <is>
          <t>TC-RS-VAL-003</t>
        </is>
      </c>
      <c r="B67" s="55" t="inlineStr">
        <is>
          <t>Mở rộng phạm vi sau khi lưu: kiểm lại ngưỡng cố định với M của đối tượng mới</t>
        </is>
      </c>
      <c r="C67" s="51">
        <f>IF(0&gt;0,"Không đạt",IF(0=1,"Đạt",IF(SUMPRODUCT(--EXACT('Testcases'!B1461,"Không thực hiện"))=1,"Không thực hiện",IF(SUMPRODUCT(--EXACT('Testcases'!B1461,"Bị chặn"))&gt;0,"Bị chặn",IF(SUMPRODUCT(--EXACT('Testcases'!B1461,"Chưa thực hiện"))=1,"Chưa thực hiện","Chưa đủ kết luận")))))</f>
        <v/>
      </c>
    </row>
    <row r="68" ht="30" customHeight="1">
      <c r="A68" s="51" t="inlineStr">
        <is>
          <t>TC-RS-VAL-004</t>
        </is>
      </c>
      <c r="B68" s="55" t="inlineStr">
        <is>
          <t>Ngưỡng cố định/tỷ lệ trống hoặc không phải số</t>
        </is>
      </c>
      <c r="C68" s="51">
        <f>'Testcases'!B1485</f>
        <v/>
      </c>
    </row>
    <row r="69" ht="30" customHeight="1">
      <c r="A69" s="51" t="inlineStr">
        <is>
          <t>TC-RS-VAL-005</t>
        </is>
      </c>
      <c r="B69" s="55" t="inlineStr">
        <is>
          <t>Điểm cố định thập phân</t>
        </is>
      </c>
      <c r="C69" s="51">
        <f>'Testcases'!B1567</f>
        <v/>
      </c>
    </row>
    <row r="70" ht="30" customHeight="1">
      <c r="A70" s="51" t="inlineStr">
        <is>
          <t>TC-RS-CALC-001</t>
        </is>
      </c>
      <c r="B70" s="55" t="inlineStr">
        <is>
          <t>Ngưỡng cố định 30: S = 29 / 30 / 31 với [&lt;] và [≤]</t>
        </is>
      </c>
      <c r="C70" s="51">
        <f>'Testcases'!B1617</f>
        <v/>
      </c>
    </row>
    <row r="71" ht="30" customHeight="1">
      <c r="A71" s="51" t="inlineStr">
        <is>
          <t>TC-RS-CALC-002</t>
        </is>
      </c>
      <c r="B71" s="55" t="inlineStr">
        <is>
          <t>Điểm 0 với ngưỡng 0 và 30</t>
        </is>
      </c>
      <c r="C71" s="51">
        <f>'Testcases'!B1653</f>
        <v/>
      </c>
    </row>
    <row r="72" ht="30" customHeight="1">
      <c r="A72" s="51" t="inlineStr">
        <is>
          <t>TC-RS-CALC-003</t>
        </is>
      </c>
      <c r="B72" s="55" t="inlineStr">
        <is>
          <t>Điểm thập phân sát ngưỡng</t>
        </is>
      </c>
      <c r="C72" s="51">
        <f>'Testcases'!B1697</f>
        <v/>
      </c>
    </row>
    <row r="73" ht="30" customHeight="1">
      <c r="A73" s="51" t="inlineStr">
        <is>
          <t>TC-RS-CALC-004</t>
        </is>
      </c>
      <c r="B73" s="55" t="inlineStr">
        <is>
          <t>Ngưỡng cố định giữ [T=N] khi M đổi về sau</t>
        </is>
      </c>
      <c r="C73" s="51">
        <f>IF(0&gt;0,"Không đạt",IF(0=1,"Đạt",IF(SUMPRODUCT(--EXACT('Testcases'!B1732,"Không thực hiện"))=1,"Không thực hiện",IF(SUMPRODUCT(--EXACT('Testcases'!B1732,"Bị chặn"))&gt;0,"Bị chặn",IF(SUMPRODUCT(--EXACT('Testcases'!B1732,"Chưa thực hiện"))=1,"Chưa thực hiện","Chưa đủ kết luận")))))</f>
        <v/>
      </c>
    </row>
    <row r="74" ht="30" customHeight="1">
      <c r="A74" s="51" t="inlineStr">
        <is>
          <t>TC-RS-UI-011</t>
        </is>
      </c>
      <c r="B74" s="55" t="inlineStr">
        <is>
          <t>Màn Ngưỡng（基準設定）: ba loại, dấu so sánh và câu giải thích đổi theo dấu</t>
        </is>
      </c>
      <c r="C74" s="51">
        <f>'Testcases'!B1758</f>
        <v/>
      </c>
    </row>
    <row r="75" ht="30" customHeight="1">
      <c r="A75" s="51" t="inlineStr">
        <is>
          <t>TC-RS-UI-012</t>
        </is>
      </c>
      <c r="B75" s="55" t="inlineStr">
        <is>
          <t>Mặc định khi tạo quy tắc mới</t>
        </is>
      </c>
      <c r="C75" s="51">
        <f>IF(0&gt;0,"Không đạt",IF(0=1,"Đạt",IF(SUMPRODUCT(--EXACT('Testcases'!B1794,"Không thực hiện"))=1,"Không thực hiện",IF(SUMPRODUCT(--EXACT('Testcases'!B1794,"Bị chặn"))&gt;0,"Bị chặn",IF(SUMPRODUCT(--EXACT('Testcases'!B1794,"Chưa thực hiện"))=1,"Chưa thực hiện","Chưa đủ kết luận")))))</f>
        <v/>
      </c>
    </row>
    <row r="76" ht="30" customHeight="1">
      <c r="A76" s="51" t="inlineStr">
        <is>
          <t>TC-RS-UI-013</t>
        </is>
      </c>
      <c r="B76" s="55" t="inlineStr">
        <is>
          <t>Ngưỡng cố định không hiển thị nguồn trung bình</t>
        </is>
      </c>
      <c r="C76" s="51">
        <f>IF(0&gt;0,"Không đạt",IF(0=1,"Đạt",IF(SUMPRODUCT(--EXACT('Testcases'!B1819,"Không thực hiện"))=1,"Không thực hiện",IF(SUMPRODUCT(--EXACT('Testcases'!B1819,"Bị chặn"))&gt;0,"Bị chặn",IF(SUMPRODUCT(--EXACT('Testcases'!B1819,"Chưa thực hiện"))=1,"Chưa thực hiện","Chưa đủ kết luận")))))</f>
        <v/>
      </c>
    </row>
    <row r="77" ht="30" customHeight="1">
      <c r="A77" s="51" t="inlineStr">
        <is>
          <t>TC-RS-FUNC-012</t>
        </is>
      </c>
      <c r="B77" s="55" t="inlineStr">
        <is>
          <t>Công thức: thêm/xóa dòng, kết quả dòng cuối là ngưỡng</t>
        </is>
      </c>
      <c r="C77" s="51">
        <f>IF(0&gt;0,"Không đạt",IF(0=1,"Đạt",IF(SUMPRODUCT(--EXACT('Testcases'!B1844,"Không thực hiện"))=1,"Không thực hiện",IF(SUMPRODUCT(--EXACT('Testcases'!B1844,"Bị chặn"))&gt;0,"Bị chặn",IF(SUMPRODUCT(--EXACT('Testcases'!B1844,"Chưa thực hiện"))=1,"Chưa thực hiện","Chưa đủ kết luận")))))</f>
        <v/>
      </c>
    </row>
    <row r="78" ht="30" customHeight="1">
      <c r="A78" s="51" t="inlineStr">
        <is>
          <t>TC-RS-VAL-008</t>
        </is>
      </c>
      <c r="B78" s="55" t="inlineStr">
        <is>
          <t>Công thức phải có ít nhất một dòng</t>
        </is>
      </c>
      <c r="C78" s="51">
        <f>IF(0&gt;0,"Không đạt",IF(0=1,"Đạt",IF(SUMPRODUCT(--EXACT('Testcases'!B1872,"Không thực hiện"))=1,"Không thực hiện",IF(SUMPRODUCT(--EXACT('Testcases'!B1872,"Bị chặn"))&gt;0,"Bị chặn",IF(SUMPRODUCT(--EXACT('Testcases'!B1872,"Chưa thực hiện"))=1,"Chưa thực hiện","Chưa đủ kết luận")))))</f>
        <v/>
      </c>
    </row>
    <row r="79" ht="30" customHeight="1">
      <c r="A79" s="51" t="inlineStr">
        <is>
          <t>TC-RS-VAL-009</t>
        </is>
      </c>
      <c r="B79" s="55" t="inlineStr">
        <is>
          <t>Chia cho số cố định 0 không lưu được</t>
        </is>
      </c>
      <c r="C79" s="51">
        <f>'Testcases'!B1896</f>
        <v/>
      </c>
    </row>
    <row r="80" ht="30" customHeight="1">
      <c r="A80" s="51" t="inlineStr">
        <is>
          <t>TC-RS-VAL-010</t>
        </is>
      </c>
      <c r="B80" s="55" t="inlineStr">
        <is>
          <t>Toán hạng trống hoặc không phải số</t>
        </is>
      </c>
      <c r="C80" s="51">
        <f>'Testcases'!B1930</f>
        <v/>
      </c>
    </row>
    <row r="81" ht="30" customHeight="1">
      <c r="A81" s="51" t="inlineStr">
        <is>
          <t>TC-RS-VAL-011</t>
        </is>
      </c>
      <c r="B81" s="55" t="inlineStr">
        <is>
          <t>Kết quả phép tính（式の結果） chỉ tham chiếu dòng phía trước</t>
        </is>
      </c>
      <c r="C81" s="51">
        <f>'Testcases'!B1972</f>
        <v/>
      </c>
    </row>
    <row r="82" ht="30" customHeight="1">
      <c r="A82" s="51" t="inlineStr">
        <is>
          <t>TC-RS-VAL-012</t>
        </is>
      </c>
      <c r="B82" s="55" t="inlineStr">
        <is>
          <t>Xóa/đổi thứ tự dòng không tự nối lại tham chiếu</t>
        </is>
      </c>
      <c r="C82" s="51">
        <f>'Testcases'!B2023</f>
        <v/>
      </c>
    </row>
    <row r="83" ht="30" customHeight="1">
      <c r="A83" s="51" t="inlineStr">
        <is>
          <t>TC-RS-VAL-013</t>
        </is>
      </c>
      <c r="B83" s="55" t="inlineStr">
        <is>
          <t>Số cố định trong công thức không bị giới hạn 0–100</t>
        </is>
      </c>
      <c r="C83" s="51">
        <f>'Testcases'!B2059</f>
        <v/>
      </c>
    </row>
    <row r="84" ht="30" customHeight="1">
      <c r="A84" s="51" t="inlineStr">
        <is>
          <t>TC-RS-VAL-019</t>
        </is>
      </c>
      <c r="B84" s="55" t="inlineStr">
        <is>
          <t>Cảnh báo ngưỡng biên không chặn lưu</t>
        </is>
      </c>
      <c r="C84" s="51">
        <f>'Testcases'!B2101</f>
        <v/>
      </c>
    </row>
    <row r="85" ht="30" customHeight="1">
      <c r="A85" s="51" t="inlineStr">
        <is>
          <t>TC-RS-VAL-020</t>
        </is>
      </c>
      <c r="B85" s="55" t="inlineStr">
        <is>
          <t>Kết quả công thức âm hoặc vượt M không phải lỗi lưu</t>
        </is>
      </c>
      <c r="C85" s="51">
        <f>'Testcases'!B2177</f>
        <v/>
      </c>
    </row>
    <row r="86" ht="30" customHeight="1">
      <c r="A86" s="51" t="inlineStr">
        <is>
          <t>TC-RS-VAL-021</t>
        </is>
      </c>
      <c r="B86" s="55" t="inlineStr">
        <is>
          <t>Đổi loại ngưỡng trong cùng phiên sửa</t>
        </is>
      </c>
      <c r="C86" s="51">
        <f>IF(0&gt;0,"Không đạt",IF(0=1,"Đạt",IF(SUMPRODUCT(--EXACT('Testcases'!B2211,"Không thực hiện"))=1,"Không thực hiện",IF(SUMPRODUCT(--EXACT('Testcases'!B2211,"Bị chặn"))&gt;0,"Bị chặn",IF(SUMPRODUCT(--EXACT('Testcases'!B2211,"Chưa thực hiện"))=1,"Chưa thực hiện","Chưa đủ kết luận")))))</f>
        <v/>
      </c>
    </row>
    <row r="87" ht="30" customHeight="1">
      <c r="A87" s="51" t="inlineStr">
        <is>
          <t>TC-RS-VAL-023</t>
        </is>
      </c>
      <c r="B87" s="55" t="inlineStr">
        <is>
          <t>Giới hạn công thức: 20/21 dòng và số chữ số của số cố định</t>
        </is>
      </c>
      <c r="C87" s="51">
        <f>'Testcases'!B2243</f>
        <v/>
      </c>
    </row>
    <row r="88" ht="30" customHeight="1">
      <c r="A88" s="51" t="inlineStr">
        <is>
          <t>TC-RS-CALC-013</t>
        </is>
      </c>
      <c r="B88" s="55" t="inlineStr">
        <is>
          <t>Công thức một dòng với A=50</t>
        </is>
      </c>
      <c r="C88" s="51">
        <f>'Testcases'!B2305</f>
        <v/>
      </c>
    </row>
    <row r="89" ht="30" customHeight="1">
      <c r="A89" s="51" t="inlineStr">
        <is>
          <t>TC-RS-CALC-014</t>
        </is>
      </c>
      <c r="B89" s="55" t="inlineStr">
        <is>
          <t>Làm tròn theo từng dòng: A=49.7</t>
        </is>
      </c>
      <c r="C89" s="51">
        <f>IF(0&gt;0,"Không đạt",IF(0=1,"Đạt",IF(SUMPRODUCT(--EXACT('Testcases'!B2349,"Không thực hiện"))=1,"Không thực hiện",IF(SUMPRODUCT(--EXACT('Testcases'!B2349,"Bị chặn"))&gt;0,"Bị chặn",IF(SUMPRODUCT(--EXACT('Testcases'!B2349,"Chưa thực hiện"))=1,"Chưa thực hiện","Chưa đủ kết luận")))))</f>
        <v/>
      </c>
    </row>
    <row r="90" ht="30" customHeight="1">
      <c r="A90" s="51" t="inlineStr">
        <is>
          <t>TC-RS-CALC-015</t>
        </is>
      </c>
      <c r="B90" s="55" t="inlineStr">
        <is>
          <t>Công thức hai dòng theo Figma: (A÷2)×0.8, dòng 1 làm tròn xuống</t>
        </is>
      </c>
      <c r="C90" s="51">
        <f>'Testcases'!B2376</f>
        <v/>
      </c>
    </row>
    <row r="91" ht="30" customHeight="1">
      <c r="A91" s="51" t="inlineStr">
        <is>
          <t>TC-RS-CALC-016</t>
        </is>
      </c>
      <c r="B91" s="55" t="inlineStr">
        <is>
          <t>Ngưỡng âm: A=15, A−20 → T=−5</t>
        </is>
      </c>
      <c r="C91" s="51">
        <f>'Testcases'!B2423</f>
        <v/>
      </c>
    </row>
    <row r="92" ht="30" customHeight="1">
      <c r="A92" s="51" t="inlineStr">
        <is>
          <t>TC-RS-CALC-017</t>
        </is>
      </c>
      <c r="B92" s="55" t="inlineStr">
        <is>
          <t>Ngưỡng công thức vượt M vẫn hợp lệ</t>
        </is>
      </c>
      <c r="C92" s="51">
        <f>IF(0&gt;0,"Không đạt",IF(0=1,"Đạt",IF(SUMPRODUCT(--EXACT('Testcases'!B2475,"Không thực hiện"))=1,"Không thực hiện",IF(SUMPRODUCT(--EXACT('Testcases'!B2475,"Bị chặn"))&gt;0,"Bị chặn",IF(SUMPRODUCT(--EXACT('Testcases'!B2475,"Chưa thực hiện"))=1,"Chưa thực hiện","Chưa đủ kết luận")))))</f>
        <v/>
      </c>
    </row>
    <row r="93" ht="30" customHeight="1">
      <c r="A93" s="51" t="inlineStr">
        <is>
          <t>TC-RS-CALC-018</t>
        </is>
      </c>
      <c r="B93" s="55" t="inlineStr">
        <is>
          <t>Công thức A−0 cho ngưỡng bằng A</t>
        </is>
      </c>
      <c r="C93" s="51">
        <f>IF(0&gt;0,"Không đạt",IF(0=1,"Đạt",IF(SUMPRODUCT(--EXACT('Testcases'!B2499,"Không thực hiện"))=1,"Không thực hiện",IF(SUMPRODUCT(--EXACT('Testcases'!B2499,"Bị chặn"))&gt;0,"Bị chặn",IF(SUMPRODUCT(--EXACT('Testcases'!B2499,"Chưa thực hiện"))=1,"Chưa thực hiện","Chưa đủ kết luận")))))</f>
        <v/>
      </c>
    </row>
    <row r="94" ht="30" customHeight="1">
      <c r="A94" s="51" t="inlineStr">
        <is>
          <t>TC-RS-CALC-019</t>
        </is>
      </c>
      <c r="B94" s="55" t="inlineStr">
        <is>
          <t>Định nghĩa phương thức làm tròn, số âm và p=9</t>
        </is>
      </c>
      <c r="C94" s="51">
        <f>'Testcases'!B2525</f>
        <v/>
      </c>
    </row>
    <row r="95" ht="30" customHeight="1">
      <c r="A95" s="51" t="inlineStr">
        <is>
          <t>TC-RS-CALC-020</t>
        </is>
      </c>
      <c r="B95" s="55" t="inlineStr">
        <is>
          <t>Làm tròn ngưỡng, không làm tròn điểm học sinh</t>
        </is>
      </c>
      <c r="C95" s="51">
        <f>'Testcases'!B2675</f>
        <v/>
      </c>
    </row>
    <row r="96" ht="30" customHeight="1">
      <c r="A96" s="51" t="inlineStr">
        <is>
          <t>TC-RS-CALC-021</t>
        </is>
      </c>
      <c r="B96" s="55" t="inlineStr">
        <is>
          <t>Chia 0 phát sinh khi chạy → Chưa xét được</t>
        </is>
      </c>
      <c r="C96" s="51">
        <f>'Testcases'!B2712</f>
        <v/>
      </c>
    </row>
    <row r="97" ht="30" customHeight="1">
      <c r="A97" s="51" t="inlineStr">
        <is>
          <t>TC-RS-CALC-028</t>
        </is>
      </c>
      <c r="B97" s="55" t="inlineStr">
        <is>
          <t>Không sai kết quả do sai số dấu phẩy động</t>
        </is>
      </c>
      <c r="C97" s="51">
        <f>'Testcases'!B2756</f>
        <v/>
      </c>
    </row>
    <row r="98" ht="30" customHeight="1">
      <c r="A98" s="51" t="inlineStr">
        <is>
          <t>TC-RS-CALC-029</t>
        </is>
      </c>
      <c r="B98" s="55" t="inlineStr">
        <is>
          <t>Tràn số không tạo kết luận đỏ/không đỏ</t>
        </is>
      </c>
      <c r="C98" s="51">
        <f>'Testcases'!B2807</f>
        <v/>
      </c>
    </row>
    <row r="99" ht="30" customHeight="1">
      <c r="A99" s="51" t="inlineStr">
        <is>
          <t>TC-RS-CALC-030</t>
        </is>
      </c>
      <c r="B99" s="55" t="inlineStr">
        <is>
          <t>Công thức cho T=0; ô trống vẫn là Không có điểm</t>
        </is>
      </c>
      <c r="C99" s="51">
        <f>'Testcases'!B2851</f>
        <v/>
      </c>
    </row>
    <row r="100" ht="30" customHeight="1">
      <c r="A100" s="51" t="inlineStr">
        <is>
          <t>TC-RS-UI-015</t>
        </is>
      </c>
      <c r="B100" s="55" t="inlineStr">
        <is>
          <t>Màn Công thức: thứ tự khối nguồn trung bình và dòng công thức</t>
        </is>
      </c>
      <c r="C100" s="51">
        <f>IF(0&gt;0,"Không đạt",IF(0=1,"Đạt",IF(SUMPRODUCT(--EXACT('Testcases'!B2885,"Không thực hiện"))=1,"Không thực hiện",IF(SUMPRODUCT(--EXACT('Testcases'!B2885,"Bị chặn"))&gt;0,"Bị chặn",IF(SUMPRODUCT(--EXACT('Testcases'!B2885,"Chưa thực hiện"))=1,"Chưa thực hiện","Chưa đủ kết luận")))))</f>
        <v/>
      </c>
    </row>
    <row r="101" ht="30" customHeight="1">
      <c r="A101" s="51" t="inlineStr">
        <is>
          <t>TC-RS-UI-016</t>
        </is>
      </c>
      <c r="B101" s="55" t="inlineStr">
        <is>
          <t>Bảng dòng công thức</t>
        </is>
      </c>
      <c r="C101" s="51">
        <f>IF(0&gt;0,"Không đạt",IF(0=1,"Đạt",IF(SUMPRODUCT(--EXACT('Testcases'!B2910,"Không thực hiện"))=1,"Không thực hiện",IF(SUMPRODUCT(--EXACT('Testcases'!B2910,"Bị chặn"))&gt;0,"Bị chặn",IF(SUMPRODUCT(--EXACT('Testcases'!B2910,"Chưa thực hiện"))=1,"Chưa thực hiện","Chưa đủ kết luận")))))</f>
        <v/>
      </c>
    </row>
    <row r="102" ht="30" customHeight="1">
      <c r="A102" s="51" t="inlineStr">
        <is>
          <t>TC-RS-UI-017</t>
        </is>
      </c>
      <c r="B102" s="55" t="inlineStr">
        <is>
          <t>Thông báo lỗi vượt điểm tối đa và chia 0</t>
        </is>
      </c>
      <c r="C102" s="51">
        <f>'Testcases'!B2935</f>
        <v/>
      </c>
    </row>
    <row r="103" ht="30" customHeight="1">
      <c r="A103" s="51" t="inlineStr">
        <is>
          <t>TC-RS-FUNC-015</t>
        </is>
      </c>
      <c r="B103" s="55" t="inlineStr">
        <is>
          <t>Quy trình vận hành dùng trung bình: tắt tự tổng hợp → nút xanh → nút cam</t>
        </is>
      </c>
      <c r="C103" s="51">
        <f>IF(0&gt;0,"Không đạt",IF(0=1,"Đạt",IF(SUMPRODUCT(--EXACT('Testcases'!B2971,"Không thực hiện"))=1,"Không thực hiện",IF(SUMPRODUCT(--EXACT('Testcases'!B2971,"Bị chặn"))&gt;0,"Bị chặn",IF(SUMPRODUCT(--EXACT('Testcases'!B2971,"Chưa thực hiện"))=1,"Chưa thực hiện","Chưa đủ kết luận")))))</f>
        <v/>
      </c>
    </row>
    <row r="104" ht="30" customHeight="1">
      <c r="A104" s="51" t="inlineStr">
        <is>
          <t>TC-RS-FUNC-034</t>
        </is>
      </c>
      <c r="B104" s="55" t="inlineStr">
        <is>
          <t>Nguồn của điều kiện áp dụng và nguồn của công thức lưu độc lập</t>
        </is>
      </c>
      <c r="C104" s="51">
        <f>IF(0&gt;0,"Không đạt",IF(0=1,"Đạt",IF(SUMPRODUCT(--EXACT('Testcases'!B3002,"Không thực hiện"))=1,"Không thực hiện",IF(SUMPRODUCT(--EXACT('Testcases'!B3002,"Bị chặn"))&gt;0,"Bị chặn",IF(SUMPRODUCT(--EXACT('Testcases'!B3002,"Chưa thực hiện"))=1,"Chưa thực hiện","Chưa đủ kết luận")))))</f>
        <v/>
      </c>
    </row>
    <row r="105" ht="30" customHeight="1">
      <c r="A105" s="51" t="inlineStr">
        <is>
          <t>TC-RS-FUNC-036</t>
        </is>
      </c>
      <c r="B105" s="55" t="inlineStr">
        <is>
          <t>Danh sách nhóm tham chiếu theo thiết lập tổng hợp hiện hữu</t>
        </is>
      </c>
      <c r="C105" s="51">
        <f>'Testcases'!B3032</f>
        <v/>
      </c>
    </row>
    <row r="106" ht="30" customHeight="1">
      <c r="A106" s="51" t="inlineStr">
        <is>
          <t>TC-RS-BR-006</t>
        </is>
      </c>
      <c r="B106" s="55" t="inlineStr">
        <is>
          <t>Nhóm tham chiếu tách khỏi đối tượng áp dụng và danh sách đang lọc ở đầu ra</t>
        </is>
      </c>
      <c r="C106" s="51">
        <f>IF(0&gt;0,"Không đạt",IF(0=1,"Đạt",IF(SUMPRODUCT(--EXACT('Testcases'!B3082,"Không thực hiện"))=1,"Không thực hiện",IF(SUMPRODUCT(--EXACT('Testcases'!B3082,"Bị chặn"))&gt;0,"Bị chặn",IF(SUMPRODUCT(--EXACT('Testcases'!B3082,"Chưa thực hiện"))=1,"Chưa thực hiện","Chưa đủ kết luận")))))</f>
        <v/>
      </c>
    </row>
    <row r="107" ht="30" customHeight="1">
      <c r="A107" s="51" t="inlineStr">
        <is>
          <t>TC-RS-BR-007</t>
        </is>
      </c>
      <c r="B107" s="55" t="inlineStr">
        <is>
          <t>Nguồn: bản đã chốt được ưu tiên hơn tổng hợp mới hơn</t>
        </is>
      </c>
      <c r="C107" s="51">
        <f>IF(0&gt;0,"Không đạt",IF(0=1,"Đạt",IF(SUMPRODUCT(--EXACT('Testcases'!B3108,"Không thực hiện"))=1,"Không thực hiện",IF(SUMPRODUCT(--EXACT('Testcases'!B3108,"Bị chặn"))&gt;0,"Bị chặn",IF(SUMPRODUCT(--EXACT('Testcases'!B3108,"Chưa thực hiện"))=1,"Chưa thực hiện","Chưa đủ kết luận")))))</f>
        <v/>
      </c>
    </row>
    <row r="108" ht="30" customHeight="1">
      <c r="A108" s="51" t="inlineStr">
        <is>
          <t>TC-RS-BR-008</t>
        </is>
      </c>
      <c r="B108" s="55" t="inlineStr">
        <is>
          <t>Nguồn: chưa có bản chốt → dùng tổng hợp hoàn tất mới nhất cùng phạm vi</t>
        </is>
      </c>
      <c r="C108" s="51">
        <f>'Testcases'!B3133</f>
        <v/>
      </c>
    </row>
    <row r="109" ht="30" customHeight="1">
      <c r="A109" s="51" t="inlineStr">
        <is>
          <t>TC-RS-BR-009</t>
        </is>
      </c>
      <c r="B109" s="55" t="inlineStr">
        <is>
          <t>Nguồn: bản đã chốt thiếu dữ liệu → Chưa xét được, không chuyển sang bản thường</t>
        </is>
      </c>
      <c r="C109" s="51">
        <f>IF(0&gt;0,"Không đạt",IF(0=1,"Đạt",IF(SUMPRODUCT(--EXACT('Testcases'!B3178,"Không thực hiện"))=1,"Không thực hiện",IF(SUMPRODUCT(--EXACT('Testcases'!B3178,"Bị chặn"))&gt;0,"Bị chặn",IF(SUMPRODUCT(--EXACT('Testcases'!B3178,"Chưa thực hiện"))=1,"Chưa thực hiện","Chưa đủ kết luận")))))</f>
        <v/>
      </c>
    </row>
    <row r="110" ht="30" customHeight="1">
      <c r="A110" s="51" t="inlineStr">
        <is>
          <t>TC-RS-BR-010</t>
        </is>
      </c>
      <c r="B110" s="55" t="inlineStr">
        <is>
          <t>Chưa có kết quả tổng hợp → Chưa xét được, không thay bằng 0 hay nhóm khác</t>
        </is>
      </c>
      <c r="C110" s="51">
        <f>IF(0&gt;0,"Không đạt",IF(0=1,"Đạt",IF(SUMPRODUCT(--EXACT('Testcases'!B3203,"Không thực hiện"))=1,"Không thực hiện",IF(SUMPRODUCT(--EXACT('Testcases'!B3203,"Bị chặn"))&gt;0,"Bị chặn",IF(SUMPRODUCT(--EXACT('Testcases'!B3203,"Chưa thực hiện"))=1,"Chưa thực hiện","Chưa đủ kết luận")))))</f>
        <v/>
      </c>
    </row>
    <row r="111" ht="30" customHeight="1">
      <c r="A111" s="51" t="inlineStr">
        <is>
          <t>TC-RS-BR-011</t>
        </is>
      </c>
      <c r="B111" s="55" t="inlineStr">
        <is>
          <t>Nguồn chỉ cần khi quy tắc đọc trung bình/tỷ lệ nhóm</t>
        </is>
      </c>
      <c r="C111" s="51">
        <f>'Testcases'!B3228</f>
        <v/>
      </c>
    </row>
    <row r="112" ht="30" customHeight="1">
      <c r="A112" s="51" t="inlineStr">
        <is>
          <t>TC-RS-BR-028</t>
        </is>
      </c>
      <c r="B112" s="55" t="inlineStr">
        <is>
          <t>Nhóm tham chiếu có lớp khác M không gây lỗi dừng xử lý</t>
        </is>
      </c>
      <c r="C112" s="51">
        <f>IF(0&gt;0,"Không đạt",IF(0=1,"Đạt",IF(SUMPRODUCT(--EXACT('Testcases'!B3274,"Không thực hiện"))=1,"Không thực hiện",IF(SUMPRODUCT(--EXACT('Testcases'!B3274,"Bị chặn"))&gt;0,"Bị chặn",IF(SUMPRODUCT(--EXACT('Testcases'!B3274,"Chưa thực hiện"))=1,"Chưa thực hiện","Chưa đủ kết luận")))))</f>
        <v/>
      </c>
    </row>
    <row r="113" ht="44" customHeight="1">
      <c r="A113" s="51" t="inlineStr">
        <is>
          <t>TC-RS-BR-034</t>
        </is>
      </c>
      <c r="B113" s="55" t="inlineStr">
        <is>
          <t>Bật tự tổng hợp khi đăng ký: hệ thống không chặn; quy tắc độc lập với trung bình vẫn xét</t>
        </is>
      </c>
      <c r="C113" s="51">
        <f>IF(0&gt;0,"Không đạt",IF(0=1,"Đạt",IF(SUMPRODUCT(--EXACT('Testcases'!B3301,"Không thực hiện"))=1,"Không thực hiện",IF(SUMPRODUCT(--EXACT('Testcases'!B3301,"Bị chặn"))&gt;0,"Bị chặn",IF(SUMPRODUCT(--EXACT('Testcases'!B3301,"Chưa thực hiện"))=1,"Chưa thực hiện","Chưa đủ kết luận")))))</f>
        <v/>
      </c>
    </row>
    <row r="114" ht="30" customHeight="1">
      <c r="A114" s="51" t="inlineStr">
        <is>
          <t>TC-RS-BR-038</t>
        </is>
      </c>
      <c r="B114" s="55" t="inlineStr">
        <is>
          <t>Nhóm lớp học（授業）: dùng kết quả tổng hợp của đúng lớp chứa ô đang xét</t>
        </is>
      </c>
      <c r="C114" s="51">
        <f>IF(0&gt;0,"Không đạt",IF(0=1,"Đạt",IF(SUMPRODUCT(--EXACT('Testcases'!B3327,"Không thực hiện"))=1,"Không thực hiện",IF(SUMPRODUCT(--EXACT('Testcases'!B3327,"Bị chặn"))&gt;0,"Bị chặn",IF(SUMPRODUCT(--EXACT('Testcases'!B3327,"Chưa thực hiện"))=1,"Chưa thực hiện","Chưa đủ kết luận")))))</f>
        <v/>
      </c>
    </row>
    <row r="115" ht="44" customHeight="1">
      <c r="A115" s="51" t="inlineStr">
        <is>
          <t>TC-RS-BR-039</t>
        </is>
      </c>
      <c r="B115" s="55" t="inlineStr">
        <is>
          <t>Nhóm môn học（科目グループ）: dùng cấu hình riêng của môn hoặc default đã lưu; thiếu/sai thì Chưa xét được</t>
        </is>
      </c>
      <c r="C115" s="51">
        <f>'Testcases'!B3354</f>
        <v/>
      </c>
    </row>
    <row r="116" ht="44" customHeight="1">
      <c r="A116" s="51" t="inlineStr">
        <is>
          <t>TC-RS-BR-040</t>
        </is>
      </c>
      <c r="B116" s="55" t="inlineStr">
        <is>
          <t>Loại nhóm được bật nhưng chưa có kết quả, hoặc tham chiếu đã lưu không còn hợp lệ → Chưa xét được, không tự đổi nhóm</t>
        </is>
      </c>
      <c r="C116" s="51">
        <f>'Testcases'!B3408</f>
        <v/>
      </c>
    </row>
    <row r="117" ht="30" customHeight="1">
      <c r="A117" s="51" t="inlineStr">
        <is>
          <t>TC-RS-VAL-024</t>
        </is>
      </c>
      <c r="B117" s="55" t="inlineStr">
        <is>
          <t>Quy tắc dùng trung bình/tỷ lệ nhóm không lưu được khi thiếu nguồn</t>
        </is>
      </c>
      <c r="C117" s="51">
        <f>'Testcases'!B3456</f>
        <v/>
      </c>
    </row>
    <row r="118" ht="30" customHeight="1">
      <c r="A118" s="51" t="inlineStr">
        <is>
          <t>TC-RS-VAL-025</t>
        </is>
      </c>
      <c r="B118" s="55" t="inlineStr">
        <is>
          <t>Server từ chối lưu nhóm tham chiếu không khả dụng hoặc ngoài trường/năm</t>
        </is>
      </c>
      <c r="C118" s="51">
        <f>'Testcases'!B3522</f>
        <v/>
      </c>
    </row>
    <row r="119" ht="30" customHeight="1">
      <c r="A119" s="51" t="inlineStr">
        <is>
          <t>TC-RS-CALC-026</t>
        </is>
      </c>
      <c r="B119" s="55" t="inlineStr">
        <is>
          <t>Mẫu số trung bình khi có học sinh bị loại khỏi xếp hạng</t>
        </is>
      </c>
      <c r="C119" s="51">
        <f>IF(0&gt;0,"Không đạt",IF(0=1,"Đạt",IF(SUMPRODUCT(--EXACT('Testcases'!B3608,"Không thực hiện"))=1,"Không thực hiện",IF(SUMPRODUCT(--EXACT('Testcases'!B3608,"Bị chặn"))&gt;0,"Bị chặn",IF(SUMPRODUCT(--EXACT('Testcases'!B3608,"Chưa thực hiện"))=1,"Chưa thực hiện","Chưa đủ kết luận")))))</f>
        <v/>
      </c>
    </row>
    <row r="120" ht="30" customHeight="1">
      <c r="A120" s="51" t="inlineStr">
        <is>
          <t>TC-RS-CALC-027</t>
        </is>
      </c>
      <c r="B120" s="55" t="inlineStr">
        <is>
          <t>Trung bình riêng cho từng đơn vị</t>
        </is>
      </c>
      <c r="C120" s="51">
        <f>IF(0&gt;0,"Không đạt",IF(0=1,"Đạt",IF(SUMPRODUCT(--EXACT('Testcases'!B3632,"Không thực hiện"))=1,"Không thực hiện",IF(SUMPRODUCT(--EXACT('Testcases'!B3632,"Bị chặn"))&gt;0,"Bị chặn",IF(SUMPRODUCT(--EXACT('Testcases'!B3632,"Chưa thực hiện"))=1,"Chưa thực hiện","Chưa đủ kết luận")))))</f>
        <v/>
      </c>
    </row>
    <row r="121" ht="44" customHeight="1">
      <c r="A121" s="51" t="inlineStr">
        <is>
          <t>TC-RS-CALC-031</t>
        </is>
      </c>
      <c r="B121" s="55" t="inlineStr">
        <is>
          <t>Nguồn không có mẫu số hợp lệ (tổng điểm tối đa 0, số người có điểm 0) → Chưa xét được</t>
        </is>
      </c>
      <c r="C121" s="51">
        <f>'Testcases'!B3656</f>
        <v/>
      </c>
    </row>
    <row r="122" ht="30" customHeight="1">
      <c r="A122" s="51" t="inlineStr">
        <is>
          <t>TC-RS-CALC-032</t>
        </is>
      </c>
      <c r="B122" s="55" t="inlineStr">
        <is>
          <t>Tỷ lệ nhóm: tử số và mẫu số lấy cùng tập đóng góp</t>
        </is>
      </c>
      <c r="C122" s="51">
        <f>IF(0&gt;0,"Không đạt",IF(0=1,"Đạt",IF(SUMPRODUCT(--EXACT('Testcases'!B3692,"Không thực hiện"))=1,"Không thực hiện",IF(SUMPRODUCT(--EXACT('Testcases'!B3692,"Bị chặn"))&gt;0,"Bị chặn",IF(SUMPRODUCT(--EXACT('Testcases'!B3692,"Chưa thực hiện"))=1,"Chưa thực hiện","Chưa đủ kết luận")))))</f>
        <v/>
      </c>
    </row>
    <row r="123" ht="44" customHeight="1">
      <c r="A123" s="51" t="inlineStr">
        <is>
          <t>TC-RS-ERR-016</t>
        </is>
      </c>
      <c r="B123" s="55" t="inlineStr">
        <is>
          <t>Chưa xét được: sửa nguồn nhưng chỉ lưu cấu hình vẫn chưa có kết luận; xét lại mới có</t>
        </is>
      </c>
      <c r="C123" s="51">
        <f>IF(0&gt;0,"Không đạt",IF(0=1,"Đạt",IF(SUMPRODUCT(--EXACT('Testcases'!B3718,"Không thực hiện"))=1,"Không thực hiện",IF(SUMPRODUCT(--EXACT('Testcases'!B3718,"Bị chặn"))&gt;0,"Bị chặn",IF(SUMPRODUCT(--EXACT('Testcases'!B3718,"Chưa thực hiện"))=1,"Chưa thực hiện","Chưa đủ kết luận")))))</f>
        <v/>
      </c>
    </row>
    <row r="124" ht="30" customHeight="1">
      <c r="A124" s="51" t="inlineStr">
        <is>
          <t>TC-RS-BR-026</t>
        </is>
      </c>
      <c r="B124" s="55" t="inlineStr">
        <is>
          <t>Không fallback sang legacy khi rule mới thiếu hoặc không khớp dữ liệu</t>
        </is>
      </c>
      <c r="C124" s="51">
        <f>'Testcases'!B3744</f>
        <v/>
      </c>
    </row>
    <row r="125" ht="30" customHeight="1">
      <c r="A125" s="51" t="inlineStr">
        <is>
          <t>TC-RS-FUNC-016</t>
        </is>
      </c>
      <c r="B125" s="55" t="inlineStr">
        <is>
          <t>Đăng ký/sửa điểm trực tiếp ở màn lớp kích hoạt xét</t>
        </is>
      </c>
      <c r="C125" s="51">
        <f>IF(0&gt;0,"Không đạt",IF(0=1,"Đạt",IF(SUMPRODUCT(--EXACT('Testcases'!B3779,"Không thực hiện"))=1,"Không thực hiện",IF(SUMPRODUCT(--EXACT('Testcases'!B3779,"Bị chặn"))&gt;0,"Bị chặn",IF(SUMPRODUCT(--EXACT('Testcases'!B3779,"Chưa thực hiện"))=1,"Chưa thực hiện","Chưa đủ kết luận")))))</f>
        <v/>
      </c>
    </row>
    <row r="126" ht="30" customHeight="1">
      <c r="A126" s="51" t="inlineStr">
        <is>
          <t>TC-RS-FUNC-017</t>
        </is>
      </c>
      <c r="B126" s="55" t="inlineStr">
        <is>
          <t>Nhập CSV điểm lớp học phần (NB) kích hoạt xét</t>
        </is>
      </c>
      <c r="C126" s="51">
        <f>'Testcases'!B3804</f>
        <v/>
      </c>
    </row>
    <row r="127" ht="30" customHeight="1">
      <c r="A127" s="51" t="inlineStr">
        <is>
          <t>TC-RS-FUNC-018</t>
        </is>
      </c>
      <c r="B127" s="55" t="inlineStr">
        <is>
          <t>Liên kết kết quả chấm bài thi kích hoạt xét</t>
        </is>
      </c>
      <c r="C127" s="51">
        <f>'Testcases'!B3842</f>
        <v/>
      </c>
    </row>
    <row r="128" ht="30" customHeight="1">
      <c r="A128" s="51" t="inlineStr">
        <is>
          <t>TC-RS-FUNC-019</t>
        </is>
      </c>
      <c r="B128" s="55" t="inlineStr">
        <is>
          <t>Lưu lựa chọn điểm tối đa của lớp khi đăng ký điểm kích hoạt xét</t>
        </is>
      </c>
      <c r="C128" s="51">
        <f>IF(0&gt;0,"Không đạt",IF(0=1,"Đạt",IF(SUMPRODUCT(--EXACT('Testcases'!B3881,"Không thực hiện"))=1,"Không thực hiện",IF(SUMPRODUCT(--EXACT('Testcases'!B3881,"Bị chặn"))&gt;0,"Bị chặn",IF(SUMPRODUCT(--EXACT('Testcases'!B3881,"Chưa thực hiện"))=1,"Chưa thực hiện","Chưa đủ kết luận")))))</f>
        <v/>
      </c>
    </row>
    <row r="129" ht="44" customHeight="1">
      <c r="A129" s="51" t="inlineStr">
        <is>
          <t>TC-RS-FUNC-020</t>
        </is>
      </c>
      <c r="B129" s="55" t="inlineStr">
        <is>
          <t>Lưu Thiết lập điểm tối đa hàng loạt（満点一括設定） xếp hàng tính toán rồi mới có kết quả mới</t>
        </is>
      </c>
      <c r="C129" s="51">
        <f>IF(0&gt;0,"Không đạt",IF(0=1,"Đạt",IF(SUMPRODUCT(--EXACT('Testcases'!B3906,"Không thực hiện"))=1,"Không thực hiện",IF(SUMPRODUCT(--EXACT('Testcases'!B3906,"Bị chặn"))&gt;0,"Bị chặn",IF(SUMPRODUCT(--EXACT('Testcases'!B3906,"Chưa thực hiện"))=1,"Chưa thực hiện","Chưa đủ kết luận")))))</f>
        <v/>
      </c>
    </row>
    <row r="130" ht="30" customHeight="1">
      <c r="A130" s="51" t="inlineStr">
        <is>
          <t>TC-RS-FUNC-021</t>
        </is>
      </c>
      <c r="B130" s="55" t="inlineStr">
        <is>
          <t>Trường chỉ có quy tắc đỏ (không có tính tự động) vẫn có đường chạy hàng loạt</t>
        </is>
      </c>
      <c r="C130" s="51">
        <f>IF(0&gt;0,"Không đạt",IF(0=1,"Đạt",IF(SUMPRODUCT(--EXACT('Testcases'!B3933,"Không thực hiện"))=1,"Không thực hiện",IF(SUMPRODUCT(--EXACT('Testcases'!B3933,"Bị chặn"))&gt;0,"Bị chặn",IF(SUMPRODUCT(--EXACT('Testcases'!B3933,"Chưa thực hiện"))=1,"Chưa thực hiện","Chưa đủ kết luận")))))</f>
        <v/>
      </c>
    </row>
    <row r="131" ht="30" customHeight="1">
      <c r="A131" s="51" t="inlineStr">
        <is>
          <t>TC-RS-FUNC-035</t>
        </is>
      </c>
      <c r="B131" s="55" t="inlineStr">
        <is>
          <t>Nhập CSV đăng ký điểm lớp chủ nhiệm hàng loạt（HR成績CSV一括登録） kích hoạt xét</t>
        </is>
      </c>
      <c r="C131" s="51">
        <f>'Testcases'!B3959</f>
        <v/>
      </c>
    </row>
    <row r="132" ht="30" customHeight="1">
      <c r="A132" s="51" t="inlineStr">
        <is>
          <t>TC-RS-BR-015</t>
        </is>
      </c>
      <c r="B132" s="55" t="inlineStr">
        <is>
          <t>Lưu cấu hình không xét; kết quả trước giữ tới lần chạy lại</t>
        </is>
      </c>
      <c r="C132" s="51">
        <f>IF(0&gt;0,"Không đạt",IF(0=1,"Đạt",IF(SUMPRODUCT(--EXACT('Testcases'!B3994,"Không thực hiện"))=1,"Không thực hiện",IF(SUMPRODUCT(--EXACT('Testcases'!B3994,"Bị chặn"))&gt;0,"Bị chặn",IF(SUMPRODUCT(--EXACT('Testcases'!B3994,"Chưa thực hiện"))=1,"Chưa thực hiện","Chưa đủ kết luận")))))</f>
        <v/>
      </c>
    </row>
    <row r="133" ht="30" customHeight="1">
      <c r="A133" s="51" t="inlineStr">
        <is>
          <t>TC-RS-BR-016</t>
        </is>
      </c>
      <c r="B133" s="55" t="inlineStr">
        <is>
          <t>Sửa điểm 29 → 40 được lưu và xét trong cùng lượt</t>
        </is>
      </c>
      <c r="C133" s="51">
        <f>IF(0&gt;0,"Không đạt",IF(0=1,"Đạt",IF(SUMPRODUCT(--EXACT('Testcases'!B4024,"Không thực hiện"))=1,"Không thực hiện",IF(SUMPRODUCT(--EXACT('Testcases'!B4024,"Bị chặn"))&gt;0,"Bị chặn",IF(SUMPRODUCT(--EXACT('Testcases'!B4024,"Chưa thực hiện"))=1,"Chưa thực hiện","Chưa đủ kết luận")))))</f>
        <v/>
      </c>
    </row>
    <row r="134" ht="30" customHeight="1">
      <c r="A134" s="51" t="inlineStr">
        <is>
          <t>TC-RS-BR-017</t>
        </is>
      </c>
      <c r="B134" s="55" t="inlineStr">
        <is>
          <t>Chạy lại không tạo được ngưỡng hợp lệ → Chưa xét được, ngừng kết quả cũ, giữ điểm</t>
        </is>
      </c>
      <c r="C134" s="51">
        <f>'Testcases'!B4049</f>
        <v/>
      </c>
    </row>
    <row r="135" ht="44" customHeight="1">
      <c r="A135" s="51" t="inlineStr">
        <is>
          <t>TC-RS-BR-018</t>
        </is>
      </c>
      <c r="B135" s="55" t="inlineStr">
        <is>
          <t>Đổi phạm vi làm ô không còn quy tắc áp dụng: giữ khi chưa chạy; chạy lại → Không áp dụng</t>
        </is>
      </c>
      <c r="C135" s="51">
        <f>IF(0&gt;0,"Không đạt",IF(0=1,"Đạt",IF(SUMPRODUCT(--EXACT('Testcases'!B4094,"Không thực hiện"))=1,"Không thực hiện",IF(SUMPRODUCT(--EXACT('Testcases'!B4094,"Bị chặn"))&gt;0,"Bị chặn",IF(SUMPRODUCT(--EXACT('Testcases'!B4094,"Chưa thực hiện"))=1,"Chưa thực hiện","Chưa đủ kết luận")))))</f>
        <v/>
      </c>
    </row>
    <row r="136" ht="30" customHeight="1">
      <c r="A136" s="51" t="inlineStr">
        <is>
          <t>TC-RS-BR-019</t>
        </is>
      </c>
      <c r="B136" s="55" t="inlineStr">
        <is>
          <t>Xóa quy tắc cuối: giữ kết quả tới lần chạy lại; chạy lại → Không áp dụng</t>
        </is>
      </c>
      <c r="C136" s="51">
        <f>'Testcases'!B4120</f>
        <v/>
      </c>
    </row>
    <row r="137" ht="30" customHeight="1">
      <c r="A137" s="51" t="inlineStr">
        <is>
          <t>TC-RS-BR-020</t>
        </is>
      </c>
      <c r="B137" s="55" t="inlineStr">
        <is>
          <t>Xóa điểm thành trống → Không có điểm, bỏ dấu đỏ cũ</t>
        </is>
      </c>
      <c r="C137" s="51">
        <f>IF(0&gt;0,"Không đạt",IF(0=1,"Đạt",IF(SUMPRODUCT(--EXACT('Testcases'!B4158,"Không thực hiện"))=1,"Không thực hiện",IF(SUMPRODUCT(--EXACT('Testcases'!B4158,"Bị chặn"))&gt;0,"Bị chặn",IF(SUMPRODUCT(--EXACT('Testcases'!B4158,"Chưa thực hiện"))=1,"Chưa thực hiện","Chưa đủ kết luận")))))</f>
        <v/>
      </c>
    </row>
    <row r="138" ht="30" customHeight="1">
      <c r="A138" s="51" t="inlineStr">
        <is>
          <t>TC-RS-BR-021</t>
        </is>
      </c>
      <c r="B138" s="55" t="inlineStr">
        <is>
          <t>Tổng hợp lại hoặc đổi nhóm tham chiếu không tự xét lại</t>
        </is>
      </c>
      <c r="C138" s="51">
        <f>IF(0&gt;0,"Không đạt",IF(0=1,"Đạt",IF(SUMPRODUCT(--EXACT('Testcases'!B4183,"Không thực hiện"))=1,"Không thực hiện",IF(SUMPRODUCT(--EXACT('Testcases'!B4183,"Bị chặn"))&gt;0,"Bị chặn",IF(SUMPRODUCT(--EXACT('Testcases'!B4183,"Chưa thực hiện"))=1,"Chưa thực hiện","Chưa đủ kết luận")))))</f>
        <v/>
      </c>
    </row>
    <row r="139" ht="44" customHeight="1">
      <c r="A139" s="51" t="inlineStr">
        <is>
          <t>TC-RS-BR-022</t>
        </is>
      </c>
      <c r="B139" s="55" t="inlineStr">
        <is>
          <t>Đổi M ở Thiết lập điểm tối đa（満点設定） hoặc Giá trị tối đa（最大値） không tự xét lại</t>
        </is>
      </c>
      <c r="C139" s="51">
        <f>IF(0&gt;0,"Không đạt",IF(0=1,"Đạt",IF(SUMPRODUCT(--EXACT('Testcases'!B4210,"Không thực hiện"))=1,"Không thực hiện",IF(SUMPRODUCT(--EXACT('Testcases'!B4210,"Bị chặn"))&gt;0,"Bị chặn",IF(SUMPRODUCT(--EXACT('Testcases'!B4210,"Chưa thực hiện"))=1,"Chưa thực hiện","Chưa đủ kết luận")))))</f>
        <v/>
      </c>
    </row>
    <row r="140" ht="30" customHeight="1">
      <c r="A140" s="51" t="inlineStr">
        <is>
          <t>TC-RS-BR-023</t>
        </is>
      </c>
      <c r="B140" s="55" t="inlineStr">
        <is>
          <t>Nút xanh Thực hiện tổng hợp（集計実行） không xét điểm đỏ</t>
        </is>
      </c>
      <c r="C140" s="51">
        <f>IF(0&gt;0,"Không đạt",IF(0=1,"Đạt",IF(SUMPRODUCT(--EXACT('Testcases'!B4237,"Không thực hiện"))=1,"Không thực hiện",IF(SUMPRODUCT(--EXACT('Testcases'!B4237,"Bị chặn"))&gt;0,"Bị chặn",IF(SUMPRODUCT(--EXACT('Testcases'!B4237,"Chưa thực hiện"))=1,"Chưa thực hiện","Chưa đủ kết luận")))))</f>
        <v/>
      </c>
    </row>
    <row r="141" ht="30" customHeight="1">
      <c r="A141" s="51" t="inlineStr">
        <is>
          <t>TC-RS-BR-024</t>
        </is>
      </c>
      <c r="B141" s="55" t="inlineStr">
        <is>
          <t>Xem, xuất, công khai, in lại không kích hoạt xét</t>
        </is>
      </c>
      <c r="C141" s="51">
        <f>'Testcases'!B4262</f>
        <v/>
      </c>
    </row>
    <row r="142" ht="30" customHeight="1">
      <c r="A142" s="51" t="inlineStr">
        <is>
          <t>TC-RS-BR-027</t>
        </is>
      </c>
      <c r="B142" s="55" t="inlineStr">
        <is>
          <t>Chạy lại nhiều lần cho cùng kết quả, không nhân đôi dấu</t>
        </is>
      </c>
      <c r="C142" s="51">
        <f>IF(0&gt;0,"Không đạt",IF(0=1,"Đạt",IF(SUMPRODUCT(--EXACT('Testcases'!B4322,"Không thực hiện"))=1,"Không thực hiện",IF(SUMPRODUCT(--EXACT('Testcases'!B4322,"Bị chặn"))&gt;0,"Bị chặn",IF(SUMPRODUCT(--EXACT('Testcases'!B4322,"Chưa thực hiện"))=1,"Chưa thực hiện","Chưa đủ kết luận")))))</f>
        <v/>
      </c>
    </row>
    <row r="143" ht="30" customHeight="1">
      <c r="A143" s="51" t="inlineStr">
        <is>
          <t>TC-RS-BR-037</t>
        </is>
      </c>
      <c r="B143" s="55" t="inlineStr">
        <is>
          <t>Xóa hoặc thôi dùng điểm đơn vị thì ngừng kết quả đỏ cũ của ô đó</t>
        </is>
      </c>
      <c r="C143" s="51">
        <f>'Testcases'!B4347</f>
        <v/>
      </c>
    </row>
    <row r="144" ht="30" customHeight="1">
      <c r="A144" s="51" t="inlineStr">
        <is>
          <t>TC-RS-ERR-012</t>
        </is>
      </c>
      <c r="B144" s="55" t="inlineStr">
        <is>
          <t>Nhập CSV lựa chọn điểm tối đa của lớp</t>
        </is>
      </c>
      <c r="C144" s="51">
        <f>IF(0&gt;0,"Không đạt",IF(0=1,"Đạt",IF(SUMPRODUCT(--EXACT('Testcases'!B4385,"Không thực hiện"))=1,"Không thực hiện",IF(SUMPRODUCT(--EXACT('Testcases'!B4385,"Bị chặn"))&gt;0,"Bị chặn",IF(SUMPRODUCT(--EXACT('Testcases'!B4385,"Chưa thực hiện"))=1,"Chưa thực hiện","Chưa đủ kết luận")))))</f>
        <v/>
      </c>
    </row>
    <row r="145" ht="30" customHeight="1">
      <c r="A145" s="51" t="inlineStr">
        <is>
          <t>TC-RS-ERR-015</t>
        </is>
      </c>
      <c r="B145" s="55" t="inlineStr">
        <is>
          <t>Bản ghi điểm bị xóa rồi tạo lại không kế thừa kết quả cũ</t>
        </is>
      </c>
      <c r="C145" s="51">
        <f>'Testcases'!B4410</f>
        <v/>
      </c>
    </row>
    <row r="146" ht="30" customHeight="1">
      <c r="A146" s="51" t="inlineStr">
        <is>
          <t>TC-RS-FUNC-022</t>
        </is>
      </c>
      <c r="B146" s="55" t="inlineStr">
        <is>
          <t>Trích xuất thành tích（成績抽出）: các tùy chọn đỏ được lưu và mở lại đúng</t>
        </is>
      </c>
      <c r="C146" s="51">
        <f>'Testcases'!B4458</f>
        <v/>
      </c>
    </row>
    <row r="147" ht="30" customHeight="1">
      <c r="A147" s="51" t="inlineStr">
        <is>
          <t>TC-RS-FUNC-023</t>
        </is>
      </c>
      <c r="B147" s="55" t="inlineStr">
        <is>
          <t>Trích xuất: lọc giữ học sinh có ít nhất một ô đỏ trong phạm vi đang xét</t>
        </is>
      </c>
      <c r="C147" s="51">
        <f>'Testcases'!B4509</f>
        <v/>
      </c>
    </row>
    <row r="148" ht="30" customHeight="1">
      <c r="A148" s="51" t="inlineStr">
        <is>
          <t>TC-RS-FUNC-024</t>
        </is>
      </c>
      <c r="B148" s="55" t="inlineStr">
        <is>
          <t>Trích xuất: chỉ ô đỏ được thêm ký hiệu/tô màu</t>
        </is>
      </c>
      <c r="C148" s="51">
        <f>'Testcases'!B4593</f>
        <v/>
      </c>
    </row>
    <row r="149" ht="30" customHeight="1">
      <c r="A149" s="51" t="inlineStr">
        <is>
          <t>TC-RS-FUNC-025</t>
        </is>
      </c>
      <c r="B149" s="55" t="inlineStr">
        <is>
          <t>Trích xuất: file Excel khớp màn hình</t>
        </is>
      </c>
      <c r="C149" s="51">
        <f>'Testcases'!B4629</f>
        <v/>
      </c>
    </row>
    <row r="150" ht="30" customHeight="1">
      <c r="A150" s="51" t="inlineStr">
        <is>
          <t>TC-RS-VAL-017</t>
        </is>
      </c>
      <c r="B150" s="55" t="inlineStr">
        <is>
          <t>Trích xuất: bật ký hiệu thì bắt buộc nhập ký hiệu</t>
        </is>
      </c>
      <c r="C150" s="51">
        <f>'Testcases'!B4690</f>
        <v/>
      </c>
    </row>
    <row r="151" ht="30" customHeight="1">
      <c r="A151" s="51" t="inlineStr">
        <is>
          <t>TC-RS-UI-020</t>
        </is>
      </c>
      <c r="B151" s="55" t="inlineStr">
        <is>
          <t>Trích xuất: vị trí và nhãn tùy chọn đỏ</t>
        </is>
      </c>
      <c r="C151" s="51">
        <f>IF(0&gt;0,"Không đạt",IF(0=1,"Đạt",IF(SUMPRODUCT(--EXACT('Testcases'!B4724,"Không thực hiện"))=1,"Không thực hiện",IF(SUMPRODUCT(--EXACT('Testcases'!B4724,"Bị chặn"))&gt;0,"Bị chặn",IF(SUMPRODUCT(--EXACT('Testcases'!B4724,"Chưa thực hiện"))=1,"Chưa thực hiện","Chưa đủ kết luận")))))</f>
        <v/>
      </c>
    </row>
    <row r="152" ht="30" customHeight="1">
      <c r="A152" s="51" t="inlineStr">
        <is>
          <t>TC-RS-UI-021</t>
        </is>
      </c>
      <c r="B152" s="55" t="inlineStr">
        <is>
          <t>Trích xuất: kết quả 0 học sinh và hiển thị ô đỏ số thập phân</t>
        </is>
      </c>
      <c r="C152" s="51">
        <f>'Testcases'!B4750</f>
        <v/>
      </c>
    </row>
    <row r="153" ht="30" customHeight="1">
      <c r="A153" s="51" t="inlineStr">
        <is>
          <t>TC-RS-ERR-013</t>
        </is>
      </c>
      <c r="B153" s="55" t="inlineStr">
        <is>
          <t>Trích xuất: ô vừa thỏa điều kiện màu khác vừa là ô đỏ</t>
        </is>
      </c>
      <c r="C153" s="51">
        <f>IF(0&gt;0,"Không đạt",IF(0=1,"Đạt",IF(SUMPRODUCT(--EXACT('Testcases'!B4785,"Không thực hiện"))=1,"Không thực hiện",IF(SUMPRODUCT(--EXACT('Testcases'!B4785,"Bị chặn"))&gt;0,"Bị chặn",IF(SUMPRODUCT(--EXACT('Testcases'!B4785,"Chưa thực hiện"))=1,"Chưa thực hiện","Chưa đủ kết luận")))))</f>
        <v/>
      </c>
    </row>
    <row r="154" ht="30" customHeight="1">
      <c r="A154" s="51" t="inlineStr">
        <is>
          <t>TC-RS-REG-006</t>
        </is>
      </c>
      <c r="B154" s="55" t="inlineStr">
        <is>
          <t>Trích xuất: mẫu hiện có không cấu hình đỏ cho kết quả như trước</t>
        </is>
      </c>
      <c r="C154" s="51">
        <f>'Testcases'!B4809</f>
        <v/>
      </c>
    </row>
    <row r="155" ht="30" customHeight="1">
      <c r="A155" s="51" t="inlineStr">
        <is>
          <t>TC-RS-FUNC-026</t>
        </is>
      </c>
      <c r="B155" s="55" t="inlineStr">
        <is>
          <t>Công khai thành tích（成績公開）: ba hiệu ứng đỏ hiển thị đúng ở màn học sinh</t>
        </is>
      </c>
      <c r="C155" s="51">
        <f>'Testcases'!B4861</f>
        <v/>
      </c>
    </row>
    <row r="156" ht="30" customHeight="1">
      <c r="A156" s="51" t="inlineStr">
        <is>
          <t>TC-RS-FUNC-027</t>
        </is>
      </c>
      <c r="B156" s="55" t="inlineStr">
        <is>
          <t>Công khai: kết hợp hiệu ứng Điểm dự kiến（見込点） và điểm đỏ, khử trùng</t>
        </is>
      </c>
      <c r="C156" s="51">
        <f>'Testcases'!B4917</f>
        <v/>
      </c>
    </row>
    <row r="157" ht="30" customHeight="1">
      <c r="A157" s="51" t="inlineStr">
        <is>
          <t>TC-RS-FUNC-028</t>
        </is>
      </c>
      <c r="B157" s="55" t="inlineStr">
        <is>
          <t>Công khai: web, API và PDF học sinh dùng cùng kết quả và cùng hiệu ứng</t>
        </is>
      </c>
      <c r="C157" s="51">
        <f>'Testcases'!B4984</f>
        <v/>
      </c>
    </row>
    <row r="158" ht="30" customHeight="1">
      <c r="A158" s="51" t="inlineStr">
        <is>
          <t>TC-RS-FUNC-037</t>
        </is>
      </c>
      <c r="B158" s="55" t="inlineStr">
        <is>
          <t>Công khai: cùng mục dùng hiệu ứng đỏ khác nhau ở hai cấu hình công khai</t>
        </is>
      </c>
      <c r="C158" s="51">
        <f>'Testcases'!B5028</f>
        <v/>
      </c>
    </row>
    <row r="159" ht="30" customHeight="1">
      <c r="A159" s="51" t="inlineStr">
        <is>
          <t>TC-RS-BR-025</t>
        </is>
      </c>
      <c r="B159" s="55" t="inlineStr">
        <is>
          <t>Đầu ra không bị chặn vì chưa có hoặc chưa xét được kết quả đỏ</t>
        </is>
      </c>
      <c r="C159" s="51">
        <f>'Testcases'!B5103</f>
        <v/>
      </c>
    </row>
    <row r="160" ht="44" customHeight="1">
      <c r="A160" s="51" t="inlineStr">
        <is>
          <t>TC-RS-UI-022</t>
        </is>
      </c>
      <c r="B160" s="55" t="inlineStr">
        <is>
          <t>Công khai: dòng cách hiển thị đỏ theo mục có thiết lập, kể cả khi 0 học sinh đỏ hoặc vừa xóa thiết lập cuối</t>
        </is>
      </c>
      <c r="C160" s="51">
        <f>IF(0&gt;0,"Không đạt",IF(0=1,"Đạt",IF(SUMPRODUCT(--EXACT('Testcases'!B5155,"Không thực hiện"))=1,"Không thực hiện",IF(SUMPRODUCT(--EXACT('Testcases'!B5155,"Bị chặn"))&gt;0,"Bị chặn",IF(SUMPRODUCT(--EXACT('Testcases'!B5155,"Chưa thực hiện"))=1,"Chưa thực hiện","Chưa đủ kết luận")))))</f>
        <v/>
      </c>
    </row>
    <row r="161" ht="30" customHeight="1">
      <c r="A161" s="51" t="inlineStr">
        <is>
          <t>TC-RS-UI-023</t>
        </is>
      </c>
      <c r="B161" s="55" t="inlineStr">
        <is>
          <t>Công khai: danh sách tùy chọn hiển thị đỏ</t>
        </is>
      </c>
      <c r="C161" s="51">
        <f>IF(0&gt;0,"Không đạt",IF(0=1,"Đạt",IF(SUMPRODUCT(--EXACT('Testcases'!B5183,"Không thực hiện"))=1,"Không thực hiện",IF(SUMPRODUCT(--EXACT('Testcases'!B5183,"Bị chặn"))&gt;0,"Bị chặn",IF(SUMPRODUCT(--EXACT('Testcases'!B5183,"Chưa thực hiện"))=1,"Chưa thực hiện","Chưa đủ kết luận")))))</f>
        <v/>
      </c>
    </row>
    <row r="162" ht="30" customHeight="1">
      <c r="A162" s="51" t="inlineStr">
        <is>
          <t>TC-RS-UI-026</t>
        </is>
      </c>
      <c r="B162" s="55" t="inlineStr">
        <is>
          <t>Bộ chọn hiệu ứng đỏ của điểm thường và điểm đơn vị hiển thị độc lập</t>
        </is>
      </c>
      <c r="C162" s="51">
        <f>IF(0&gt;0,"Không đạt",IF(0=1,"Đạt",IF(SUMPRODUCT(--EXACT('Testcases'!B5207,"Không thực hiện"))=1,"Không thực hiện",IF(SUMPRODUCT(--EXACT('Testcases'!B5207,"Bị chặn"))&gt;0,"Bị chặn",IF(SUMPRODUCT(--EXACT('Testcases'!B5207,"Chưa thực hiện"))=1,"Chưa thực hiện","Chưa đủ kết luận")))))</f>
        <v/>
      </c>
    </row>
    <row r="163" ht="30" customHeight="1">
      <c r="A163" s="51" t="inlineStr">
        <is>
          <t>TC-RS-REG-007</t>
        </is>
      </c>
      <c r="B163" s="55" t="inlineStr">
        <is>
          <t>Công khai: hiệu ứng Điểm dự kiến（見込点） và thiết lập khác được giữ</t>
        </is>
      </c>
      <c r="C163" s="51">
        <f>IF(0&gt;0,"Không đạt",IF(0=1,"Đạt",IF(SUMPRODUCT(--EXACT('Testcases'!B5235,"Không thực hiện"))=1,"Không thực hiện",IF(SUMPRODUCT(--EXACT('Testcases'!B5235,"Bị chặn"))&gt;0,"Bị chặn",IF(SUMPRODUCT(--EXACT('Testcases'!B5235,"Chưa thực hiện"))=1,"Chưa thực hiện","Chưa đủ kết luận")))))</f>
        <v/>
      </c>
    </row>
    <row r="164" ht="30" customHeight="1">
      <c r="A164" s="51" t="inlineStr">
        <is>
          <t>TC-RS-REG-008</t>
        </is>
      </c>
      <c r="B164" s="55" t="inlineStr">
        <is>
          <t>Công khai: điểm ẩn, lịch và đối tượng công khai được giữ</t>
        </is>
      </c>
      <c r="C164" s="51">
        <f>'Testcases'!B5263</f>
        <v/>
      </c>
    </row>
    <row r="165" ht="30" customHeight="1">
      <c r="A165" s="51" t="inlineStr">
        <is>
          <t>TC-RS-FUNC-029</t>
        </is>
      </c>
      <c r="B165" s="55" t="inlineStr">
        <is>
          <t>Công cụ phiếu điểm（通知表ツール）: bốn cách hiển thị đỏ trên PDF</t>
        </is>
      </c>
      <c r="C165" s="51">
        <f>'Testcases'!B5330</f>
        <v/>
      </c>
    </row>
    <row r="166" ht="30" customHeight="1">
      <c r="A166" s="51" t="inlineStr">
        <is>
          <t>TC-RS-FUNC-030</t>
        </is>
      </c>
      <c r="B166" s="55" t="inlineStr">
        <is>
          <t>Phiếu điểm: thứ tự điều kiện và dừng ở điều kiện khớp đầu tiên</t>
        </is>
      </c>
      <c r="C166" s="51">
        <f>'Testcases'!B5381</f>
        <v/>
      </c>
    </row>
    <row r="167" ht="44" customHeight="1">
      <c r="A167" s="51" t="inlineStr">
        <is>
          <t>TC-RS-FUNC-031</t>
        </is>
      </c>
      <c r="B167" s="55" t="inlineStr">
        <is>
          <t>Phiếu điểm: lưu qua Cập nhật（更新する）, mở lại giữ lựa chọn; chỉ dùng điều kiện đỏ vẫn được ghi nhận</t>
        </is>
      </c>
      <c r="C167" s="51">
        <f>'Testcases'!B5470</f>
        <v/>
      </c>
    </row>
    <row r="168" ht="30" customHeight="1">
      <c r="A168" s="51" t="inlineStr">
        <is>
          <t>TC-RS-VAL-018</t>
        </is>
      </c>
      <c r="B168" s="55" t="inlineStr">
        <is>
          <t>Phiếu điểm: chỉ bắt buộc ký tự khi chọn phía trước/phía sau</t>
        </is>
      </c>
      <c r="C168" s="51">
        <f>'Testcases'!B5508</f>
        <v/>
      </c>
    </row>
    <row r="169" ht="30" customHeight="1">
      <c r="A169" s="51" t="inlineStr">
        <is>
          <t>TC-RS-DATA-010</t>
        </is>
      </c>
      <c r="B169" s="55" t="inlineStr">
        <is>
          <t>Sao chép mẫu phiếu điểm giữ lựa chọn hiển thị đỏ</t>
        </is>
      </c>
      <c r="C169" s="51">
        <f>'Testcases'!B5558</f>
        <v/>
      </c>
    </row>
    <row r="170" ht="44" customHeight="1">
      <c r="A170" s="51" t="inlineStr">
        <is>
          <t>TC-RS-UI-024</t>
        </is>
      </c>
      <c r="B170" s="55" t="inlineStr">
        <is>
          <t>Phiếu điểm: hộp Thiết lập hiển thị tùy chọn mục đăng ký điểm（成績登録項目オプション表示設定）</t>
        </is>
      </c>
      <c r="C170" s="51">
        <f>IF(0&gt;0,"Không đạt",IF(0=1,"Đạt",IF(SUMPRODUCT(--EXACT('Testcases'!B5595,"Không thực hiện"))=1,"Không thực hiện",IF(SUMPRODUCT(--EXACT('Testcases'!B5595,"Bị chặn"))&gt;0,"Bị chặn",IF(SUMPRODUCT(--EXACT('Testcases'!B5595,"Chưa thực hiện"))=1,"Chưa thực hiện","Chưa đủ kết luận")))))</f>
        <v/>
      </c>
    </row>
    <row r="171" ht="30" customHeight="1">
      <c r="A171" s="51" t="inlineStr">
        <is>
          <t>TC-RS-REG-009</t>
        </is>
      </c>
      <c r="B171" s="55" t="inlineStr">
        <is>
          <t>Phiếu điểm: các điều kiện hiển thị hiện có giữ hành vi</t>
        </is>
      </c>
      <c r="C171" s="51">
        <f>'Testcases'!B5621</f>
        <v/>
      </c>
    </row>
    <row r="172" ht="30" customHeight="1">
      <c r="A172" s="51" t="inlineStr">
        <is>
          <t>TC-RS-REG-010</t>
        </is>
      </c>
      <c r="B172" s="55" t="inlineStr">
        <is>
          <t>PDF phiếu: bố cục template không đổi khi có dấu đỏ</t>
        </is>
      </c>
      <c r="C172" s="51">
        <f>IF(0&gt;0,"Không đạt",IF(0=1,"Đạt",IF(SUMPRODUCT(--EXACT('Testcases'!B5655,"Không thực hiện"))=1,"Không thực hiện",IF(SUMPRODUCT(--EXACT('Testcases'!B5655,"Bị chặn"))&gt;0,"Bị chặn",IF(SUMPRODUCT(--EXACT('Testcases'!B5655,"Chưa thực hiện"))=1,"Chưa thực hiện","Chưa đủ kết luận")))))</f>
        <v/>
      </c>
    </row>
    <row r="173" ht="30" customHeight="1">
      <c r="A173" s="51" t="inlineStr">
        <is>
          <t>TC-RS-FUNC-032</t>
        </is>
      </c>
      <c r="B173" s="55" t="inlineStr">
        <is>
          <t>Ba đầu ra dùng cùng kết quả cho cùng ô</t>
        </is>
      </c>
      <c r="C173" s="51">
        <f>'Testcases'!B5679</f>
        <v/>
      </c>
    </row>
    <row r="174" ht="30" customHeight="1">
      <c r="A174" s="51" t="inlineStr">
        <is>
          <t>TC-RS-ERR-014</t>
        </is>
      </c>
      <c r="B174" s="55" t="inlineStr">
        <is>
          <t>Mục bị ẩn theo thiết lập ẩn mục nhập</t>
        </is>
      </c>
      <c r="C174" s="51">
        <f>'Testcases'!B5733</f>
        <v/>
      </c>
    </row>
    <row r="175" ht="30" customHeight="1">
      <c r="A175" s="51" t="inlineStr">
        <is>
          <t>TC-RS-BR-001</t>
        </is>
      </c>
      <c r="B175" s="55" t="inlineStr">
        <is>
          <t>Chọn quy tắc khớp đầu tiên theo ưu tiên, không lấy ngưỡng nghiêm hơn</t>
        </is>
      </c>
      <c r="C175" s="51">
        <f>'Testcases'!B5775</f>
        <v/>
      </c>
    </row>
    <row r="176" ht="30" customHeight="1">
      <c r="A176" s="51" t="inlineStr">
        <is>
          <t>TC-RS-BR-002</t>
        </is>
      </c>
      <c r="B176" s="55" t="inlineStr">
        <is>
          <t>Không quy tắc nào khớp khi đủ dữ liệu → Không áp dụng</t>
        </is>
      </c>
      <c r="C176" s="51">
        <f>IF(0&gt;0,"Không đạt",IF(0=1,"Đạt",IF(SUMPRODUCT(--EXACT('Testcases'!B5812,"Không thực hiện"))=1,"Không thực hiện",IF(SUMPRODUCT(--EXACT('Testcases'!B5812,"Bị chặn"))&gt;0,"Bị chặn",IF(SUMPRODUCT(--EXACT('Testcases'!B5812,"Chưa thực hiện"))=1,"Chưa thực hiện","Chưa đủ kết luận")))))</f>
        <v/>
      </c>
    </row>
    <row r="177" ht="30" customHeight="1">
      <c r="A177" s="51" t="inlineStr">
        <is>
          <t>TC-RS-BR-003</t>
        </is>
      </c>
      <c r="B177" s="55" t="inlineStr">
        <is>
          <t>Ưu tiên 1 khớp nhưng thiếu dữ liệu → Chưa xét được, không chuyển xuống ưu tiên 2</t>
        </is>
      </c>
      <c r="C177" s="51">
        <f>'Testcases'!B5837</f>
        <v/>
      </c>
    </row>
    <row r="178" ht="30" customHeight="1">
      <c r="A178" s="51" t="inlineStr">
        <is>
          <t>TC-RS-BR-036</t>
        </is>
      </c>
      <c r="B178" s="55" t="inlineStr">
        <is>
          <t>Cùng lượt đăng ký: ô thiếu nguồn chưa xét được, ô ngưỡng cố định vẫn được xét</t>
        </is>
      </c>
      <c r="C178" s="51">
        <f>IF(0&gt;0,"Không đạt",IF(0=1,"Đạt",IF(SUMPRODUCT(--EXACT('Testcases'!B5881,"Không thực hiện"))=1,"Không thực hiện",IF(SUMPRODUCT(--EXACT('Testcases'!B5881,"Bị chặn"))&gt;0,"Bị chặn",IF(SUMPRODUCT(--EXACT('Testcases'!B5881,"Chưa thực hiện"))=1,"Chưa thực hiện","Chưa đủ kết luận")))))</f>
        <v/>
      </c>
    </row>
    <row r="179" ht="30" customHeight="1">
      <c r="A179" s="51" t="inlineStr">
        <is>
          <t>TC-RS-CALC-022</t>
        </is>
      </c>
      <c r="B179" s="55" t="inlineStr">
        <is>
          <t>Phân nhánh theo trung bình: A = 40 / 50 / 49.99 (dùng A trước làm tròn)</t>
        </is>
      </c>
      <c r="C179" s="51">
        <f>'Testcases'!B5908</f>
        <v/>
      </c>
    </row>
    <row r="180" ht="30" customHeight="1">
      <c r="A180" s="51" t="inlineStr">
        <is>
          <t>TC-RS-CALC-023</t>
        </is>
      </c>
      <c r="B180" s="55" t="inlineStr">
        <is>
          <t>Biên nhánh A=60.00 và A=59.96</t>
        </is>
      </c>
      <c r="C180" s="51">
        <f>'Testcases'!B5962</f>
        <v/>
      </c>
    </row>
    <row r="181" ht="30" customHeight="1">
      <c r="A181" s="51" t="inlineStr">
        <is>
          <t>TC-RS-CALC-024</t>
        </is>
      </c>
      <c r="B181" s="55" t="inlineStr">
        <is>
          <t>Tỷ lệ nhóm R = 70% khớp điều kiện ≥ 65%</t>
        </is>
      </c>
      <c r="C181" s="51">
        <f>'Testcases'!B5997</f>
        <v/>
      </c>
    </row>
    <row r="182" ht="30" customHeight="1">
      <c r="A182" s="51" t="inlineStr">
        <is>
          <t>TC-RS-CALC-025</t>
        </is>
      </c>
      <c r="B182" s="55" t="inlineStr">
        <is>
          <t>Tỷ lệ nhóm 64.99% (hiển thị 65.0) không khớp ≥ 65%</t>
        </is>
      </c>
      <c r="C182" s="51">
        <f>'Testcases'!B6032</f>
        <v/>
      </c>
    </row>
    <row r="183" ht="30" customHeight="1">
      <c r="A183" s="51" t="inlineStr">
        <is>
          <t>TC-RS-BR-012</t>
        </is>
      </c>
      <c r="B183" s="55" t="inlineStr">
        <is>
          <t>Điểm được xét là điểm cuối đã lưu (dự kiến, sửa tay, sau giới hạn miền điểm)</t>
        </is>
      </c>
      <c r="C183" s="51">
        <f>'Testcases'!B6067</f>
        <v/>
      </c>
    </row>
    <row r="184" ht="30" customHeight="1">
      <c r="A184" s="51" t="inlineStr">
        <is>
          <t>TC-RS-BR-013</t>
        </is>
      </c>
      <c r="B184" s="55" t="inlineStr">
        <is>
          <t>Cờ Chưa dự thi（未受験） không loại điểm số khỏi xét</t>
        </is>
      </c>
      <c r="C184" s="51">
        <f>'Testcases'!B6121</f>
        <v/>
      </c>
    </row>
    <row r="185" ht="30" customHeight="1">
      <c r="A185" s="51" t="inlineStr">
        <is>
          <t>TC-RS-BR-014</t>
        </is>
      </c>
      <c r="B185" s="55" t="inlineStr">
        <is>
          <t>Ô trống không bị coi là 0 (trạng thái Không có điểm)</t>
        </is>
      </c>
      <c r="C185" s="51">
        <f>'Testcases'!B6167</f>
        <v/>
      </c>
    </row>
    <row r="186" ht="30" customHeight="1">
      <c r="A186" s="51" t="inlineStr">
        <is>
          <t>TC-RS-BR-030</t>
        </is>
      </c>
      <c r="B186" s="55" t="inlineStr">
        <is>
          <t>Ô điểm đơn vị được xét riêng theo từng đơn vị</t>
        </is>
      </c>
      <c r="C186" s="51">
        <f>IF(0&gt;0,"Không đạt",IF(0=1,"Đạt",IF(SUMPRODUCT(--EXACT('Testcases'!B6203,"Không thực hiện"))=1,"Không thực hiện",IF(SUMPRODUCT(--EXACT('Testcases'!B6203,"Bị chặn"))&gt;0,"Bị chặn",IF(SUMPRODUCT(--EXACT('Testcases'!B6203,"Chưa thực hiện"))=1,"Chưa thực hiện","Chưa đủ kết luận")))))</f>
        <v/>
      </c>
    </row>
    <row r="187" ht="30" customHeight="1">
      <c r="A187" s="51" t="inlineStr">
        <is>
          <t>TC-RS-REG-003</t>
        </is>
      </c>
      <c r="B187" s="55" t="inlineStr">
        <is>
          <t>Ô nhập tay được AutoRating bỏ qua vẫn giữ giá trị tay và vẫn được xét đỏ</t>
        </is>
      </c>
      <c r="C187" s="51">
        <f>IF(0&gt;0,"Không đạt",IF(0=1,"Đạt",IF(SUMPRODUCT(--EXACT('Testcases'!B6228,"Không thực hiện"))=1,"Không thực hiện",IF(SUMPRODUCT(--EXACT('Testcases'!B6228,"Bị chặn"))&gt;0,"Bị chặn",IF(SUMPRODUCT(--EXACT('Testcases'!B6228,"Chưa thực hiện"))=1,"Chưa thực hiện","Chưa đủ kết luận")))))</f>
        <v/>
      </c>
    </row>
    <row r="188" ht="30" customHeight="1">
      <c r="A188" s="51" t="inlineStr">
        <is>
          <t>TC-RS-BR-031</t>
        </is>
      </c>
      <c r="B188" s="55" t="inlineStr">
        <is>
          <t>Giáo viên có quyền sửa mục cấu hình được quy tắc đỏ</t>
        </is>
      </c>
      <c r="C188" s="51">
        <f>'Testcases'!B6253</f>
        <v/>
      </c>
    </row>
    <row r="189" ht="30" customHeight="1">
      <c r="A189" s="51" t="inlineStr">
        <is>
          <t>TC-RS-BR-032</t>
        </is>
      </c>
      <c r="B189" s="55" t="inlineStr">
        <is>
          <t>Vào được màn nhưng không có quyền sửa mục → không sửa được quy tắc của mục đó</t>
        </is>
      </c>
      <c r="C189" s="51">
        <f>IF(0&gt;0,"Không đạt",IF(0=1,"Đạt",IF(SUMPRODUCT(--EXACT('Testcases'!B6311,"Không thực hiện"))=1,"Không thực hiện",IF(SUMPRODUCT(--EXACT('Testcases'!B6311,"Bị chặn"))&gt;0,"Bị chặn",IF(SUMPRODUCT(--EXACT('Testcases'!B6311,"Chưa thực hiện"))=1,"Chưa thực hiện","Chưa đủ kết luận")))))</f>
        <v/>
      </c>
    </row>
    <row r="190" ht="30" customHeight="1">
      <c r="A190" s="51" t="inlineStr">
        <is>
          <t>TC-RS-BR-033</t>
        </is>
      </c>
      <c r="B190" s="55" t="inlineStr">
        <is>
          <t>Quyền sửa mục không tự cấp quyền chạy hàng loạt</t>
        </is>
      </c>
      <c r="C190" s="51">
        <f>IF(0&gt;0,"Không đạt",IF(0=1,"Đạt",IF(SUMPRODUCT(--EXACT('Testcases'!B6336,"Không thực hiện"))=1,"Không thực hiện",IF(SUMPRODUCT(--EXACT('Testcases'!B6336,"Bị chặn"))&gt;0,"Bị chặn",IF(SUMPRODUCT(--EXACT('Testcases'!B6336,"Chưa thực hiện"))=1,"Chưa thực hiện","Chưa đủ kết luận")))))</f>
        <v/>
      </c>
    </row>
    <row r="191" ht="30" customHeight="1">
      <c r="A191" s="51" t="inlineStr">
        <is>
          <t>TC-RS-ERR-006</t>
        </is>
      </c>
      <c r="B191" s="55" t="inlineStr">
        <is>
          <t>Gửi request lưu quy tắc trực tiếp khi không có quyền sửa mục</t>
        </is>
      </c>
      <c r="C191" s="51">
        <f>'Testcases'!B6361</f>
        <v/>
      </c>
    </row>
    <row r="192" ht="30" customHeight="1">
      <c r="A192" s="51" t="inlineStr">
        <is>
          <t>TC-RS-ERR-007</t>
        </is>
      </c>
      <c r="B192" s="55" t="inlineStr">
        <is>
          <t>Giả mạo ID khác trường/năm hoặc nguồn không được phép</t>
        </is>
      </c>
      <c r="C192" s="51">
        <f>'Testcases'!B6403</f>
        <v/>
      </c>
    </row>
    <row r="193" ht="30" customHeight="1">
      <c r="A193" s="51" t="inlineStr">
        <is>
          <t>TC-RS-ERR-008</t>
        </is>
      </c>
      <c r="B193" s="55" t="inlineStr">
        <is>
          <t>Gọi trực tiếp request chạy tính toán hàng loạt khi không có quyền chạy</t>
        </is>
      </c>
      <c r="C193" s="51">
        <f>IF(0&gt;0,"Không đạt",IF(0=1,"Đạt",IF(SUMPRODUCT(--EXACT('Testcases'!B6514,"Không thực hiện"))=1,"Không thực hiện",IF(SUMPRODUCT(--EXACT('Testcases'!B6514,"Bị chặn"))&gt;0,"Bị chặn",IF(SUMPRODUCT(--EXACT('Testcases'!B6514,"Chưa thực hiện"))=1,"Chưa thực hiện","Chưa đủ kết luận")))))</f>
        <v/>
      </c>
    </row>
    <row r="194" ht="30" customHeight="1">
      <c r="A194" s="51" t="inlineStr">
        <is>
          <t>TC-RS-ERR-009</t>
        </is>
      </c>
      <c r="B194" s="55" t="inlineStr">
        <is>
          <t>Server kiểm miền giá trị khi bỏ qua kiểm tra phía trình duyệt</t>
        </is>
      </c>
      <c r="C194" s="51">
        <f>'Testcases'!B6538</f>
        <v/>
      </c>
    </row>
    <row r="195" ht="30" customHeight="1">
      <c r="A195" s="51" t="inlineStr">
        <is>
          <t>TC-RS-ERR-010</t>
        </is>
      </c>
      <c r="B195" s="55" t="inlineStr">
        <is>
          <t>Server không tin cờ đỏ hoặc ngưỡng do trình duyệt gửi lên</t>
        </is>
      </c>
      <c r="C195" s="51">
        <f>'Testcases'!B6684</f>
        <v/>
      </c>
    </row>
    <row r="196" ht="30" customHeight="1">
      <c r="A196" s="51" t="inlineStr">
        <is>
          <t>TC-RS-ERR-017</t>
        </is>
      </c>
      <c r="B196" s="55" t="inlineStr">
        <is>
          <t>Tên quy tắc và ký hiệu hiển thị như chữ, không bị thực thi</t>
        </is>
      </c>
      <c r="C196" s="51">
        <f>'Testcases'!B6768</f>
        <v/>
      </c>
    </row>
    <row r="197" ht="30" customHeight="1">
      <c r="A197" s="51" t="inlineStr">
        <is>
          <t>TC-RS-REG-015</t>
        </is>
      </c>
      <c r="B197" s="55" t="inlineStr">
        <is>
          <t>Quyền học sinh/phụ huynh giữ nguyên</t>
        </is>
      </c>
      <c r="C197" s="51">
        <f>'Testcases'!B6811</f>
        <v/>
      </c>
    </row>
    <row r="198" ht="30" customHeight="1">
      <c r="A198" s="51" t="inlineStr">
        <is>
          <t>TC-RS-VAL-006</t>
        </is>
      </c>
      <c r="B198" s="55" t="inlineStr">
        <is>
          <t>Tỷ lệ N: biên −1 / 0 / 100 / 101</t>
        </is>
      </c>
      <c r="C198" s="51">
        <f>'Testcases'!B6853</f>
        <v/>
      </c>
    </row>
    <row r="199" ht="30" customHeight="1">
      <c r="A199" s="51" t="inlineStr">
        <is>
          <t>TC-RS-VAL-007</t>
        </is>
      </c>
      <c r="B199" s="55" t="inlineStr">
        <is>
          <t>Xử lý phần lẻ: bắt buộc chọn cách làm tròn; p = 0 / 1 / 9 / 10; lần đầu p=1</t>
        </is>
      </c>
      <c r="C199" s="51">
        <f>'Testcases'!B6919</f>
        <v/>
      </c>
    </row>
    <row r="200" ht="30" customHeight="1">
      <c r="A200" s="51" t="inlineStr">
        <is>
          <t>TC-RS-CALC-005</t>
        </is>
      </c>
      <c r="B200" s="55" t="inlineStr">
        <is>
          <t>Tỷ lệ 30% với M=100</t>
        </is>
      </c>
      <c r="C200" s="51">
        <f>'Testcases'!B6989</f>
        <v/>
      </c>
    </row>
    <row r="201" ht="30" customHeight="1">
      <c r="A201" s="51" t="inlineStr">
        <is>
          <t>TC-RS-CALC-006</t>
        </is>
      </c>
      <c r="B201" s="55" t="inlineStr">
        <is>
          <t>Tỷ lệ cho ngưỡng lẻ: M=45, N=30 → T=13.5</t>
        </is>
      </c>
      <c r="C201" s="51">
        <f>'Testcases'!B7025</f>
        <v/>
      </c>
    </row>
    <row r="202" ht="30" customHeight="1">
      <c r="A202" s="51" t="inlineStr">
        <is>
          <t>TC-RS-CALC-007</t>
        </is>
      </c>
      <c r="B202" s="55" t="inlineStr">
        <is>
          <t>Tỷ lệ có xử lý phần lẻ: xuống / gần nhất / lên tại p1</t>
        </is>
      </c>
      <c r="C202" s="51">
        <f>'Testcases'!B7061</f>
        <v/>
      </c>
    </row>
    <row r="203" ht="30" customHeight="1">
      <c r="A203" s="51" t="inlineStr">
        <is>
          <t>TC-RS-CALC-008</t>
        </is>
      </c>
      <c r="B203" s="55" t="inlineStr">
        <is>
          <t>Ví dụ đặc tả v2: M=75, N=30, S=22.2</t>
        </is>
      </c>
      <c r="C203" s="51">
        <f>'Testcases'!B7144</f>
        <v/>
      </c>
    </row>
    <row r="204" ht="30" customHeight="1">
      <c r="A204" s="51" t="inlineStr">
        <is>
          <t>TC-RS-CALC-009</t>
        </is>
      </c>
      <c r="B204" s="55" t="inlineStr">
        <is>
          <t>Tỷ lệ biên N=0 và N=100</t>
        </is>
      </c>
      <c r="C204" s="51">
        <f>'Testcases'!B7179</f>
        <v/>
      </c>
    </row>
    <row r="205" ht="30" customHeight="1">
      <c r="A205" s="51" t="inlineStr">
        <is>
          <t>TC-RS-CALC-010</t>
        </is>
      </c>
      <c r="B205" s="55" t="inlineStr">
        <is>
          <t>Tỷ lệ với M = 0, M &lt; 0 hoặc không xác định → Chưa xét được; cố định vẫn xét</t>
        </is>
      </c>
      <c r="C205" s="51">
        <f>'Testcases'!B7230</f>
        <v/>
      </c>
    </row>
    <row r="206" ht="30" customHeight="1">
      <c r="A206" s="51" t="inlineStr">
        <is>
          <t>TC-RS-CALC-011</t>
        </is>
      </c>
      <c r="B206" s="55" t="inlineStr">
        <is>
          <t>Phân giải M: mặc định → đơn vị → lựa chọn lớp</t>
        </is>
      </c>
      <c r="C206" s="51">
        <f>'Testcases'!B7282</f>
        <v/>
      </c>
    </row>
    <row r="207" ht="30" customHeight="1">
      <c r="A207" s="51" t="inlineStr">
        <is>
          <t>TC-RS-CALC-012</t>
        </is>
      </c>
      <c r="B207" s="55" t="inlineStr">
        <is>
          <t>Tỷ lệ dùng M hiện hành, không dùng M của bản tổng hợp đã chốt</t>
        </is>
      </c>
      <c r="C207" s="51">
        <f>IF(0&gt;0,"Không đạt",IF(0=1,"Đạt",IF(SUMPRODUCT(--EXACT('Testcases'!B7328,"Không thực hiện"))=1,"Không thực hiện",IF(SUMPRODUCT(--EXACT('Testcases'!B7328,"Bị chặn"))&gt;0,"Bị chặn",IF(SUMPRODUCT(--EXACT('Testcases'!B7328,"Chưa thực hiện"))=1,"Chưa thực hiện","Chưa đủ kết luận")))))</f>
        <v/>
      </c>
    </row>
    <row r="208" ht="30" customHeight="1">
      <c r="A208" s="51" t="inlineStr">
        <is>
          <t>TC-RS-UI-014</t>
        </is>
      </c>
      <c r="B208" s="55" t="inlineStr">
        <is>
          <t>Màn Tỷ lệ điểm tối đa（得点率）: mô tả M và xử lý phần lẻ</t>
        </is>
      </c>
      <c r="C208" s="51">
        <f>IF(0&gt;0,"Không đạt",IF(0=1,"Đạt",IF(SUMPRODUCT(--EXACT('Testcases'!B7352,"Không thực hiện"))=1,"Không thực hiện",IF(SUMPRODUCT(--EXACT('Testcases'!B7352,"Bị chặn"))&gt;0,"Bị chặn",IF(SUMPRODUCT(--EXACT('Testcases'!B7352,"Chưa thực hiện"))=1,"Chưa thực hiện","Chưa đủ kết luận")))))</f>
        <v/>
      </c>
    </row>
    <row r="209" ht="30" customHeight="1">
      <c r="A209" s="51" t="inlineStr">
        <is>
          <t>TC-RS-DATA-002</t>
        </is>
      </c>
      <c r="B209" s="55" t="inlineStr">
        <is>
          <t>Kết quả lưu theo định danh ô; mỗi ô chỉ một kết quả hiện hành</t>
        </is>
      </c>
      <c r="C209" s="51">
        <f>IF(0&gt;0,"Không đạt",IF(0=1,"Đạt",IF(SUMPRODUCT(--EXACT('Testcases'!B7378,"Không thực hiện"))=1,"Không thực hiện",IF(SUMPRODUCT(--EXACT('Testcases'!B7378,"Bị chặn"))&gt;0,"Bị chặn",IF(SUMPRODUCT(--EXACT('Testcases'!B7378,"Chưa thực hiện"))=1,"Chưa thực hiện","Chưa đủ kết luận")))))</f>
        <v/>
      </c>
    </row>
    <row r="210" ht="30" customHeight="1">
      <c r="A210" s="51" t="inlineStr">
        <is>
          <t>TC-RS-DATA-003</t>
        </is>
      </c>
      <c r="B210" s="55" t="inlineStr">
        <is>
          <t>Sáu trạng thái phân biệt được khi lưu</t>
        </is>
      </c>
      <c r="C210" s="51">
        <f>IF(0&gt;0,"Không đạt",IF(0=1,"Đạt",IF(SUMPRODUCT(--EXACT('Testcases'!B7408,"Không thực hiện"))=1,"Không thực hiện",IF(SUMPRODUCT(--EXACT('Testcases'!B7408,"Bị chặn"))&gt;0,"Bị chặn",IF(SUMPRODUCT(--EXACT('Testcases'!B7408,"Chưa thực hiện"))=1,"Chưa thực hiện","Chưa đủ kết luận")))))</f>
        <v/>
      </c>
    </row>
    <row r="211" ht="30" customHeight="1">
      <c r="A211" s="51" t="inlineStr">
        <is>
          <t>TC-RS-DATA-005</t>
        </is>
      </c>
      <c r="B211" s="55" t="inlineStr">
        <is>
          <t>Xét điểm đỏ không ghi đè điểm học sinh</t>
        </is>
      </c>
      <c r="C211" s="51">
        <f>IF(0&gt;0,"Không đạt",IF(0=1,"Đạt",IF(SUMPRODUCT(--EXACT('Testcases'!B7434,"Không thực hiện"))=1,"Không thực hiện",IF(SUMPRODUCT(--EXACT('Testcases'!B7434,"Bị chặn"))&gt;0,"Bị chặn",IF(SUMPRODUCT(--EXACT('Testcases'!B7434,"Chưa thực hiện"))=1,"Chưa thực hiện","Chưa đủ kết luận")))))</f>
        <v/>
      </c>
    </row>
    <row r="212" ht="30" customHeight="1">
      <c r="A212" s="51" t="inlineStr">
        <is>
          <t>TC-RS-DATA-007</t>
        </is>
      </c>
      <c r="B212" s="55" t="inlineStr">
        <is>
          <t>Cấu hình trình bày ở từng đầu ra lưu riêng, không làm đổi quy tắc/kết quả</t>
        </is>
      </c>
      <c r="C212" s="51">
        <f>'Testcases'!B7460</f>
        <v/>
      </c>
    </row>
    <row r="213" ht="30" customHeight="1">
      <c r="A213" s="51" t="inlineStr">
        <is>
          <t>TC-RS-DATA-008</t>
        </is>
      </c>
      <c r="B213" s="55" t="inlineStr">
        <is>
          <t>Lưu thông tin giải thích kết quả</t>
        </is>
      </c>
      <c r="C213" s="51">
        <f>IF(0&gt;0,"Không đạt",IF(0=1,"Đạt",IF(SUMPRODUCT(--EXACT('Testcases'!B7503,"Không thực hiện"))=1,"Không thực hiện",IF(SUMPRODUCT(--EXACT('Testcases'!B7503,"Bị chặn"))&gt;0,"Bị chặn",IF(SUMPRODUCT(--EXACT('Testcases'!B7503,"Chưa thực hiện"))=1,"Chưa thực hiện","Chưa đủ kết luận")))))</f>
        <v/>
      </c>
    </row>
    <row r="214" ht="30" customHeight="1">
      <c r="A214" s="51" t="inlineStr">
        <is>
          <t>TC-RS-DATA-011</t>
        </is>
      </c>
      <c r="B214" s="55" t="inlineStr">
        <is>
          <t>Bảng/cột mới theo quy tắc schema của BLEND</t>
        </is>
      </c>
      <c r="C214" s="51">
        <f>IF(0&gt;0,"Không đạt",IF(0=1,"Đạt",IF(SUMPRODUCT(--EXACT('Testcases'!B7529,"Không thực hiện"))=1,"Không thực hiện",IF(SUMPRODUCT(--EXACT('Testcases'!B7529,"Bị chặn"))&gt;0,"Bị chặn",IF(SUMPRODUCT(--EXACT('Testcases'!B7529,"Chưa thực hiện"))=1,"Chưa thực hiện","Chưa đủ kết luận")))))</f>
        <v/>
      </c>
    </row>
    <row r="215" ht="30" customHeight="1">
      <c r="A215" s="51" t="inlineStr">
        <is>
          <t>TC-RS-DATA-012</t>
        </is>
      </c>
      <c r="B215" s="55" t="inlineStr">
        <is>
          <t>Lưu, đọc lại và sao chép hiệu ứng đỏ theo dòng mục của cấu hình công khai</t>
        </is>
      </c>
      <c r="C215" s="51">
        <f>'Testcases'!B7555</f>
        <v/>
      </c>
    </row>
    <row r="216" ht="30" customHeight="1">
      <c r="A216" s="51" t="inlineStr">
        <is>
          <t>TC-RS-DATA-013</t>
        </is>
      </c>
      <c r="B216" s="55" t="inlineStr">
        <is>
          <t>Phiên bản quy tắc, dòng điều khiển và thế hệ ô được cập nhật đúng sự kiện</t>
        </is>
      </c>
      <c r="C216" s="51">
        <f>'Testcases'!B7603</f>
        <v/>
      </c>
    </row>
    <row r="217" ht="30" customHeight="1">
      <c r="A217" s="51" t="inlineStr">
        <is>
          <t>TC-RS-DATA-014</t>
        </is>
      </c>
      <c r="B217" s="55" t="inlineStr">
        <is>
          <t>Legacy: báo cáo riêng trường vẫn giữ cách dùng điểm đỏ cũ</t>
        </is>
      </c>
      <c r="C217" s="51">
        <f>IF(0&gt;0,"Không đạt",IF(0=1,"Đạt",IF(SUMPRODUCT(--EXACT('Testcases'!B7662,"Không thực hiện"))=1,"Không thực hiện",IF(SUMPRODUCT(--EXACT('Testcases'!B7662,"Bị chặn"))&gt;0,"Bị chặn",IF(SUMPRODUCT(--EXACT('Testcases'!B7662,"Chưa thực hiện"))=1,"Chưa thực hiện","Chưa đủ kết luận")))))</f>
        <v/>
      </c>
    </row>
    <row r="218" ht="30" customHeight="1">
      <c r="A218" s="51" t="inlineStr">
        <is>
          <t>TC-RS-DATA-015</t>
        </is>
      </c>
      <c r="B218" s="55" t="inlineStr">
        <is>
          <t>Sao chép cấu hình giữ riêng legacy và không sao chép kết quả cá nhân</t>
        </is>
      </c>
      <c r="C218" s="51">
        <f>IF(0&gt;0,"Không đạt",IF(0=1,"Đạt",IF(SUMPRODUCT(--EXACT('Testcases'!B7687,"Không thực hiện"))=1,"Không thực hiện",IF(SUMPRODUCT(--EXACT('Testcases'!B7687,"Bị chặn"))&gt;0,"Bị chặn",IF(SUMPRODUCT(--EXACT('Testcases'!B7687,"Chưa thực hiện"))=1,"Chưa thực hiện","Chưa đủ kết luận")))))</f>
        <v/>
      </c>
    </row>
    <row r="219" ht="30" customHeight="1">
      <c r="A219" s="51" t="inlineStr">
        <is>
          <t>TC-RS-DATA-016</t>
        </is>
      </c>
      <c r="B219" s="55" t="inlineStr">
        <is>
          <t>Kế thừa năm mới không dùng bản chốt hoặc kết quả cá nhân của năm cũ</t>
        </is>
      </c>
      <c r="C219" s="51">
        <f>IF(0&gt;0,"Không đạt",IF(0=1,"Đạt",IF(SUMPRODUCT(--EXACT('Testcases'!B7713,"Không thực hiện"))=1,"Không thực hiện",IF(SUMPRODUCT(--EXACT('Testcases'!B7713,"Bị chặn"))&gt;0,"Bị chặn",IF(SUMPRODUCT(--EXACT('Testcases'!B7713,"Chưa thực hiện"))=1,"Chưa thực hiện","Chưa đủ kết luận")))))</f>
        <v/>
      </c>
    </row>
    <row r="220" ht="30" customHeight="1">
      <c r="A220" s="51" t="inlineStr">
        <is>
          <t>TC-RS-DATA-017</t>
        </is>
      </c>
      <c r="B220" s="55" t="inlineStr">
        <is>
          <t>Xuất/nhập cấu hình giữ legacy riêng và không nhập kết quả cá nhân</t>
        </is>
      </c>
      <c r="C220" s="51">
        <f>IF(0&gt;0,"Không đạt",IF(0=1,"Đạt",IF(SUMPRODUCT(--EXACT('Testcases'!B7739,"Không thực hiện"))=1,"Không thực hiện",IF(SUMPRODUCT(--EXACT('Testcases'!B7739,"Bị chặn"))&gt;0,"Bị chặn",IF(SUMPRODUCT(--EXACT('Testcases'!B7739,"Chưa thực hiện"))=1,"Chưa thực hiện","Chưa đủ kết luận")))))</f>
        <v/>
      </c>
    </row>
    <row r="221" ht="30" customHeight="1">
      <c r="A221" s="51" t="inlineStr">
        <is>
          <t>TC-RS-DATA-018</t>
        </is>
      </c>
      <c r="B221" s="55" t="inlineStr">
        <is>
          <t>Khôi phục/thay khung không gắn kết quả vào ô mới</t>
        </is>
      </c>
      <c r="C221" s="51">
        <f>IF(0&gt;0,"Không đạt",IF(0=1,"Đạt",IF(SUMPRODUCT(--EXACT('Testcases'!B7765,"Không thực hiện"))=1,"Không thực hiện",IF(SUMPRODUCT(--EXACT('Testcases'!B7765,"Bị chặn"))&gt;0,"Bị chặn",IF(SUMPRODUCT(--EXACT('Testcases'!B7765,"Chưa thực hiện"))=1,"Chưa thực hiện","Chưa đủ kết luận")))))</f>
        <v/>
      </c>
    </row>
    <row r="222" ht="30" customHeight="1">
      <c r="A222" s="51" t="inlineStr">
        <is>
          <t>TC-RS-DATA-019</t>
        </is>
      </c>
      <c r="B222" s="55" t="inlineStr">
        <is>
          <t>Đồng bộ cấu hình không đồng nghĩa đã xét</t>
        </is>
      </c>
      <c r="C222" s="51">
        <f>IF(0&gt;0,"Không đạt",IF(0=1,"Đạt",IF(SUMPRODUCT(--EXACT('Testcases'!B7791,"Không thực hiện"))=1,"Không thực hiện",IF(SUMPRODUCT(--EXACT('Testcases'!B7791,"Bị chặn"))&gt;0,"Bị chặn",IF(SUMPRODUCT(--EXACT('Testcases'!B7791,"Chưa thực hiện"))=1,"Chưa thực hiện","Chưa đủ kết luận")))))</f>
        <v/>
      </c>
    </row>
    <row r="223" ht="30" customHeight="1">
      <c r="A223" s="51" t="inlineStr">
        <is>
          <t>TC-RS-DATA-006</t>
        </is>
      </c>
      <c r="B223" s="55" t="inlineStr">
        <is>
          <t>Giá trị legacy giữ nguyên khi thay đổi rule mới</t>
        </is>
      </c>
      <c r="C223" s="51">
        <f>IF(0&gt;0,"Không đạt",IF(0=1,"Đạt",IF(SUMPRODUCT(--EXACT('Testcases'!B7817,"Không thực hiện"))=1,"Không thực hiện",IF(SUMPRODUCT(--EXACT('Testcases'!B7817,"Bị chặn"))&gt;0,"Bị chặn",IF(SUMPRODUCT(--EXACT('Testcases'!B7817,"Chưa thực hiện"))=1,"Chưa thực hiện","Chưa đủ kết luận")))))</f>
        <v/>
      </c>
    </row>
    <row r="224" ht="30" customHeight="1">
      <c r="A224" s="51" t="inlineStr">
        <is>
          <t>TC-RS-DATA-009</t>
        </is>
      </c>
      <c r="B224" s="55" t="inlineStr">
        <is>
          <t>Copy, kế thừa năm, import/export và sync không mang kết quả cũ</t>
        </is>
      </c>
      <c r="C224" s="51">
        <f>'Testcases'!B7842</f>
        <v/>
      </c>
    </row>
    <row r="225" ht="30" customHeight="1">
      <c r="A225" s="51" t="inlineStr">
        <is>
          <t>TC-RS-UI-018</t>
        </is>
      </c>
      <c r="B225" s="55" t="inlineStr">
        <is>
          <t>Màn Tổng hợp thành tích（成績集計）: nút xanh/cam và lần chạy trước</t>
        </is>
      </c>
      <c r="C225" s="51">
        <f>IF(0&gt;0,"Không đạt",IF(0=1,"Đạt",IF(SUMPRODUCT(--EXACT('Testcases'!B7893,"Không thực hiện"))=1,"Không thực hiện",IF(SUMPRODUCT(--EXACT('Testcases'!B7893,"Bị chặn"))&gt;0,"Bị chặn",IF(SUMPRODUCT(--EXACT('Testcases'!B7893,"Chưa thực hiện"))=1,"Chưa thực hiện","Chưa đủ kết luận")))))</f>
        <v/>
      </c>
    </row>
    <row r="226" ht="30" customHeight="1">
      <c r="A226" s="51" t="inlineStr">
        <is>
          <t>TC-RS-UI-019</t>
        </is>
      </c>
      <c r="B226" s="55" t="inlineStr">
        <is>
          <t>Thông báo kết quả sau khi chạy: hoàn tất, chưa xét được, thất bại một phần</t>
        </is>
      </c>
      <c r="C226" s="51">
        <f>'Testcases'!B7917</f>
        <v/>
      </c>
    </row>
    <row r="227" ht="30" customHeight="1">
      <c r="A227" s="51" t="inlineStr">
        <is>
          <t>TC-RS-ERR-001</t>
        </is>
      </c>
      <c r="B227" s="55" t="inlineStr">
        <is>
          <t>Hiển thị theo từng trạng thái kết quả ở ba đầu ra</t>
        </is>
      </c>
      <c r="C227" s="51">
        <f>'Testcases'!B7953</f>
        <v/>
      </c>
    </row>
    <row r="228" ht="30" customHeight="1">
      <c r="A228" s="51" t="inlineStr">
        <is>
          <t>TC-RS-ERR-002</t>
        </is>
      </c>
      <c r="B228" s="55" t="inlineStr">
        <is>
          <t>Lỗi kỹ thuật khi lưu kết quả khác với Chưa xét được; không báo thành công giả</t>
        </is>
      </c>
      <c r="C228" s="51">
        <f>'Testcases'!B7997</f>
        <v/>
      </c>
    </row>
    <row r="229" ht="30" customHeight="1">
      <c r="A229" s="51" t="inlineStr">
        <is>
          <t>TC-RS-ERR-003</t>
        </is>
      </c>
      <c r="B229" s="55" t="inlineStr">
        <is>
          <t>Batch hoàn tất một phần: báo đúng phạm vi đã/không cập nhật</t>
        </is>
      </c>
      <c r="C229" s="51">
        <f>'Testcases'!B8141</f>
        <v/>
      </c>
    </row>
    <row r="230" ht="30" customHeight="1">
      <c r="A230" s="51" t="inlineStr">
        <is>
          <t>TC-RS-ERR-004</t>
        </is>
      </c>
      <c r="B230" s="55" t="inlineStr">
        <is>
          <t>Đã xếp hàng không phải đã hoàn tất; bấm chạy trùng</t>
        </is>
      </c>
      <c r="C230" s="51">
        <f>IF(0&gt;0,"Không đạt",IF(0=1,"Đạt",IF(SUMPRODUCT(--EXACT('Testcases'!B8189,"Không thực hiện"))=1,"Không thực hiện",IF(SUMPRODUCT(--EXACT('Testcases'!B8189,"Bị chặn"))&gt;0,"Bị chặn",IF(SUMPRODUCT(--EXACT('Testcases'!B8189,"Chưa thực hiện"))=1,"Chưa thực hiện","Chưa đủ kết luận")))))</f>
        <v/>
      </c>
    </row>
    <row r="231" ht="30" customHeight="1">
      <c r="A231" s="51" t="inlineStr">
        <is>
          <t>TC-RS-ERR-005</t>
        </is>
      </c>
      <c r="B231" s="55" t="inlineStr">
        <is>
          <t>Thông báo lỗi không lộ SQL, stack trace hoặc dữ liệu ngoài quyền</t>
        </is>
      </c>
      <c r="C231" s="51">
        <f>'Testcases'!B8217</f>
        <v/>
      </c>
    </row>
    <row r="232" ht="30" customHeight="1">
      <c r="A232" s="51" t="inlineStr">
        <is>
          <t>TC-RS-ERR-011</t>
        </is>
      </c>
      <c r="B232" s="55" t="inlineStr">
        <is>
          <t>Lượt cũ hoàn tất muộn không ghi đè kết quả của điểm/cấu hình mới hơn</t>
        </is>
      </c>
      <c r="C232" s="51">
        <f>'Testcases'!B8267</f>
        <v/>
      </c>
    </row>
    <row r="233" ht="30" customHeight="1">
      <c r="A233" s="51" t="inlineStr">
        <is>
          <t>TC-RS-ERR-018</t>
        </is>
      </c>
      <c r="B233" s="55" t="inlineStr">
        <is>
          <t>Hai lượt xét lần đầu đồng thời hoặc gửi lại thao tác hoàn tất chỉ tạo một kết quả</t>
        </is>
      </c>
      <c r="C233" s="51">
        <f>'Testcases'!B8344</f>
        <v/>
      </c>
    </row>
    <row r="234" ht="30" customHeight="1">
      <c r="A234" s="51" t="inlineStr">
        <is>
          <t>TC-RS-ERR-019</t>
        </is>
      </c>
      <c r="B234" s="55" t="inlineStr">
        <is>
          <t>Đăng ký lần đầu đồng thời hai mục khác nhau của cùng học sinh giữ đủ cả hai</t>
        </is>
      </c>
      <c r="C234" s="51">
        <f>IF(0&gt;0,"Không đạt",IF(0=1,"Đạt",IF(SUMPRODUCT(--EXACT('Testcases'!B8389,"Không thực hiện"))=1,"Không thực hiện",IF(SUMPRODUCT(--EXACT('Testcases'!B8389,"Bị chặn"))&gt;0,"Bị chặn",IF(SUMPRODUCT(--EXACT('Testcases'!B8389,"Chưa thực hiện"))=1,"Chưa thực hiện","Chưa đủ kết luận")))))</f>
        <v/>
      </c>
    </row>
    <row r="235" ht="30" customHeight="1">
      <c r="A235" s="51" t="inlineStr">
        <is>
          <t>TC-RS-UI-025</t>
        </is>
      </c>
      <c r="B235" s="55" t="inlineStr">
        <is>
          <t>Loại ngưỡng/điều kiện chưa thuộc phạm vi phát hành không hiện như đang hoạt động</t>
        </is>
      </c>
      <c r="C235" s="51">
        <f>IF(0&gt;0,"Không đạt",IF(0=1,"Đạt",IF(SUMPRODUCT(--EXACT('Testcases'!B8415,"Không thực hiện"))=1,"Không thực hiện",IF(SUMPRODUCT(--EXACT('Testcases'!B8415,"Bị chặn"))&gt;0,"Bị chặn",IF(SUMPRODUCT(--EXACT('Testcases'!B8415,"Chưa thực hiện"))=1,"Chưa thực hiện","Chưa đủ kết luận")))))</f>
        <v/>
      </c>
    </row>
    <row r="236" ht="30" customHeight="1">
      <c r="A236" s="51" t="inlineStr">
        <is>
          <t>TC-RS-REG-001</t>
        </is>
      </c>
      <c r="B236" s="55" t="inlineStr">
        <is>
          <t>Điểm do tính tự động（自動計算） tạo ra không đổi khi có quy tắc đỏ</t>
        </is>
      </c>
      <c r="C236" s="51">
        <f>IF(0&gt;0,"Không đạt",IF(0=1,"Đạt",IF(SUMPRODUCT(--EXACT('Testcases'!B8441,"Không thực hiện"))=1,"Không thực hiện",IF(SUMPRODUCT(--EXACT('Testcases'!B8441,"Bị chặn"))&gt;0,"Bị chặn",IF(SUMPRODUCT(--EXACT('Testcases'!B8441,"Chưa thực hiện"))=1,"Chưa thực hiện","Chưa đủ kết luận")))))</f>
        <v/>
      </c>
    </row>
    <row r="237" ht="30" customHeight="1">
      <c r="A237" s="51" t="inlineStr">
        <is>
          <t>TC-RS-REG-002</t>
        </is>
      </c>
      <c r="B237" s="55" t="inlineStr">
        <is>
          <t>Quy tắc đỏ không kế thừa hành vi "không khớp thì ghi NULL" của AutoRating</t>
        </is>
      </c>
      <c r="C237" s="51">
        <f>IF(0&gt;0,"Không đạt",IF(0=1,"Đạt",IF(SUMPRODUCT(--EXACT('Testcases'!B8466,"Không thực hiện"))=1,"Không thực hiện",IF(SUMPRODUCT(--EXACT('Testcases'!B8466,"Bị chặn"))&gt;0,"Bị chặn",IF(SUMPRODUCT(--EXACT('Testcases'!B8466,"Chưa thực hiện"))=1,"Chưa thực hiện","Chưa đủ kết luận")))))</f>
        <v/>
      </c>
    </row>
    <row r="238" ht="30" customHeight="1">
      <c r="A238" s="51" t="inlineStr">
        <is>
          <t>TC-RS-REG-004</t>
        </is>
      </c>
      <c r="B238" s="55" t="inlineStr">
        <is>
          <t>Nút cam/nút xanh của trường đang dùng AutoRating hoạt động như trước</t>
        </is>
      </c>
      <c r="C238" s="51">
        <f>'Testcases'!B8491</f>
        <v/>
      </c>
    </row>
    <row r="239" ht="30" customHeight="1">
      <c r="A239" s="51" t="inlineStr">
        <is>
          <t>TC-RS-REG-005</t>
        </is>
      </c>
      <c r="B239" s="55" t="inlineStr">
        <is>
          <t>Kết quả tổng hợp thứ hạng（順位集計） không đổi khi có quy tắc đỏ đọc nguồn</t>
        </is>
      </c>
      <c r="C239" s="51">
        <f>IF(0&gt;0,"Không đạt",IF(0=1,"Đạt",IF(SUMPRODUCT(--EXACT('Testcases'!B8526,"Không thực hiện"))=1,"Không thực hiện",IF(SUMPRODUCT(--EXACT('Testcases'!B8526,"Bị chặn"))&gt;0,"Bị chặn",IF(SUMPRODUCT(--EXACT('Testcases'!B8526,"Chưa thực hiện"))=1,"Chưa thực hiện","Chưa đủ kết luận")))))</f>
        <v/>
      </c>
    </row>
    <row r="240" ht="30" customHeight="1">
      <c r="A240" s="51" t="inlineStr">
        <is>
          <t>TC-RS-REG-013</t>
        </is>
      </c>
      <c r="B240" s="55" t="inlineStr">
        <is>
          <t>Các màn điểm tối đa lưu và xếp hàng như trước</t>
        </is>
      </c>
      <c r="C240" s="51">
        <f>'Testcases'!B8551</f>
        <v/>
      </c>
    </row>
    <row r="241" ht="30" customHeight="1">
      <c r="A241" s="51" t="inlineStr">
        <is>
          <t>TC-RS-REG-014</t>
        </is>
      </c>
      <c r="B241" s="55" t="inlineStr">
        <is>
          <t>Batch không phát sinh truy vấn theo từng ô（N+1）</t>
        </is>
      </c>
      <c r="C241" s="51">
        <f>'Testcases'!B8595</f>
        <v/>
      </c>
    </row>
    <row r="242" ht="30" customHeight="1">
      <c r="A242" s="51" t="inlineStr">
        <is>
          <t>TC-RS-REG-016</t>
        </is>
      </c>
      <c r="B242" s="55" t="inlineStr">
        <is>
          <t>Đăng ký điểm: xử lý điểm liên quan và giao dịch giữ như trước</t>
        </is>
      </c>
      <c r="C242" s="51">
        <f>'Testcases'!B8629</f>
        <v/>
      </c>
    </row>
    <row r="243" ht="30" customHeight="1">
      <c r="A243" s="51" t="inlineStr">
        <is>
          <t>TC-RS-REG-017</t>
        </is>
      </c>
      <c r="B243" s="55" t="inlineStr">
        <is>
          <t>Thiết lập ô nhập（入力欄設定）: các hàng hiện có không bị ảnh hưởng</t>
        </is>
      </c>
      <c r="C243" s="51">
        <f>IF(0&gt;0,"Không đạt",IF(0=1,"Đạt",IF(SUMPRODUCT(--EXACT('Testcases'!B8674,"Không thực hiện"))=1,"Không thực hiện",IF(SUMPRODUCT(--EXACT('Testcases'!B8674,"Bị chặn"))&gt;0,"Bị chặn",IF(SUMPRODUCT(--EXACT('Testcases'!B8674,"Chưa thực hiện"))=1,"Chưa thực hiện","Chưa đủ kết luận")))))</f>
        <v/>
      </c>
    </row>
    <row r="244" ht="30" customHeight="1">
      <c r="A244" s="51" t="inlineStr">
        <is>
          <t>TC-RS-REG-011</t>
        </is>
      </c>
      <c r="B244" s="55" t="inlineStr">
        <is>
          <t>Consumer legacy giữ hành vi sau khi thêm rule đỏ</t>
        </is>
      </c>
      <c r="C244" s="51">
        <f>IF(0&gt;0,"Không đạt",IF(0=1,"Đạt",IF(SUMPRODUCT(--EXACT('Testcases'!B8700,"Không thực hiện"))=1,"Không thực hiện",IF(SUMPRODUCT(--EXACT('Testcases'!B8700,"Bị chặn"))&gt;0,"Bị chặn",IF(SUMPRODUCT(--EXACT('Testcases'!B8700,"Chưa thực hiện"))=1,"Chưa thực hiện","Chưa đủ kết luận")))))</f>
        <v/>
      </c>
    </row>
    <row r="245" ht="30" customHeight="1">
      <c r="A245" s="51" t="inlineStr">
        <is>
          <t>TC-RS-REG-012</t>
        </is>
      </c>
      <c r="B245" s="55" t="inlineStr">
        <is>
          <t>Các luồng chuyển cấu hình không làm mất legacy</t>
        </is>
      </c>
      <c r="C245" s="51">
        <f>'Testcases'!B8725</f>
        <v/>
      </c>
    </row>
  </sheetData>
  <mergeCells count="12">
    <mergeCell ref="B13:C13"/>
    <mergeCell ref="B6:C6"/>
    <mergeCell ref="B7:C7"/>
    <mergeCell ref="B11:C11"/>
    <mergeCell ref="B5:C5"/>
    <mergeCell ref="B10:C10"/>
    <mergeCell ref="B14:C14"/>
    <mergeCell ref="B9:C9"/>
    <mergeCell ref="B8:C8"/>
    <mergeCell ref="A3:B3"/>
    <mergeCell ref="B4:C4"/>
    <mergeCell ref="B12:C12"/>
  </mergeCells>
  <hyperlinks>
    <hyperlink ref="B30" location="'Testcases'!A5" display="Hàng Thiết lập điểm đỏ（赤点設定） xuất hiện trong Thiết lập ô nhập（入力欄設定） cho mục điểm số"/>
    <hyperlink ref="B31" location="'Testcases'!A51" display="Mục kiểu lựa chọn và Đạt/không đạt（合否） không có thao tác tạo quy tắc đỏ có hiệu lực"/>
    <hyperlink ref="B32" location="'Testcases'!A88" display="Thêm quy tắc qua Điều kiện áp dụng（適用条件） và Ngưỡng（基準設定） rồi quay lại danh sách"/>
    <hyperlink ref="B33" location="'Testcases'!A117" display="Nhiều quy tắc hiển thị theo ưu tiên; đổi thứ tự bằng ▲▼ được lưu"/>
    <hyperlink ref="B34" location="'Testcases'!A146" display="Xóa một quy tắc có xác nhận; Hủy（キャンセル） giữ nguyên"/>
    <hyperlink ref="B35" location="'Testcases'!A183" display="Quay lại（戻る）/hủy chỉnh sửa không lưu dữ liệu đang nhập"/>
    <hyperlink ref="B36" location="'Testcases'!A220" display="Quy tắc mới chỉ có điều kiện, chưa có ngưỡng, không tham gia xét"/>
    <hyperlink ref="B37" location="'Testcases'!A269" display="Đổi tên quy tắc: giữ liên kết, thứ tự và kết quả"/>
    <hyperlink ref="B38" location="'Testcases'!A296" display="Tên thiết lập: bắt buộc, độ dài, trùng tên"/>
    <hyperlink ref="B39" location="'Testcases'!A364" display="Lỗi khi lưu không làm mất cấu hình/kết quả đã lưu"/>
    <hyperlink ref="B40" location="'Testcases'!A389" display="Cấu hình lưu và mở lại đầy đủ, không cắt/làm tròn âm thầm"/>
    <hyperlink ref="B41" location="'Testcases'!A441" display="Xóa quy tắc không xóa dây chuyền kết quả hay điểm"/>
    <hyperlink ref="B42" location="'Testcases'!A466" display="Nhãn trạng thái ở hàng Thiết lập điểm đỏ（赤点設定） trong Thiết lập ô nhập（入力欄設定）"/>
    <hyperlink ref="B43" location="'Testcases'!A492" display="Cấu trúc màn danh sách Thiết lập điểm đỏ（赤点設定）"/>
    <hyperlink ref="B44" location="'Testcases'!A524" display="Định dạng tiêu đề màn danh sách"/>
    <hyperlink ref="B45" location="'Testcases'!A549" display="Tóm tắt điều kiện và ngưỡng trên từng dòng danh sách"/>
    <hyperlink ref="B46" location="'Testcases'!A573" display="Trạng thái danh sách trống"/>
    <hyperlink ref="B47" location="'Testcases'!A597" display="Hộp xác nhận khi xóa quy tắc cuối"/>
    <hyperlink ref="B48" location="'Testcases'!A621" display="Dòng quy tắc mới chỉ có điều kiện, chưa có ngưỡng"/>
    <hyperlink ref="B49" location="'Testcases'!A659" display="Danh sách trống không tự dựng rule từ cấu hình legacy"/>
    <hyperlink ref="B50" location="'Testcases'!A684" display="Điều kiện áp dụng: Toàn bộ đối tượng hoặc giới hạn bằng bộ lọc kế thừa từ tính tự động"/>
    <hyperlink ref="B51" location="'Testcases'!A723" display="Điều kiện phân nhánh theo Trung bình（平均点） được lưu cùng bộ nguồn"/>
    <hyperlink ref="B52" location="'Testcases'!A763" display="Điều kiện Tỷ lệ điểm của nhóm（集団の得点率） được lưu cùng bộ nguồn"/>
    <hyperlink ref="B53" location="'Testcases'!A788" display="Kết hợp bộ lọc: HOẶC trong cùng loại, VÀ giữa các loại"/>
    <hyperlink ref="B54" location="'Testcases'!A813" display="Điều kiện trung bình cùng nguồn kết hợp AND"/>
    <hyperlink ref="B55" location="'Testcases'!A1015" display="Toàn bộ đối tượng（全員が対象） không vượt phạm vi mục, trường, năm"/>
    <hyperlink ref="B56" location="'Testcases'!A1040" display="Mục lựa chọn không được xét, nhưng bộ lọc theo lựa chọn vẫn dùng để chọn đối tượng"/>
    <hyperlink ref="B57" location="'Testcases'!A1065" display="Bộ lọc nhóm tổng hợp khác loại phải kết hợp VÀ"/>
    <hyperlink ref="B58" location="'Testcases'!A1092" display="Chọn giới hạn bằng bộ lọc nhưng không có bộ lọc nào"/>
    <hyperlink ref="B59" location="'Testcases'!A1116" display="Giá trị điều kiện phân nhánh (trung bình/tỷ lệ nhóm)"/>
    <hyperlink ref="B60" location="'Testcases'!A1206" display="Màn Điều kiện áp dụng（適用条件設定）: bố cục và chuyển Toàn bộ/Bộ lọc"/>
    <hyperlink ref="B61" location="'Testcases'!A1234" display="Khối điều kiện Trung bình（平均点） và nguồn tham chiếu, không có ô chọn &quot;kết quả tổng hợp dùng để tham chiếu&quot;"/>
    <hyperlink ref="B62" location="'Testcases'!A1259" display="Khối điều kiện Tỷ lệ điểm của nhóm（集団の得点率）"/>
    <hyperlink ref="B63" location="'Testcases'!A1283" display="Chọn loại ngưỡng làm thay đổi vùng nhập"/>
    <hyperlink ref="B64" location="'Testcases'!A1329" display="Dấu so sánh Nhỏ hơn（未満）/Nhỏ hơn hoặc bằng（以下） được lưu và hiển thị"/>
    <hyperlink ref="B65" location="'Testcases'!A1364" display="Điểm cố định: biên −1 / 0 / 100 / 101 với M=100"/>
    <hyperlink ref="B66" location="'Testcases'!A1414" display="Điểm cố định phải ≤ M của mọi đối tượng (M=20 và M=100)"/>
    <hyperlink ref="B67" location="'Testcases'!A1460" display="Mở rộng phạm vi sau khi lưu: kiểm lại ngưỡng cố định với M của đối tượng mới"/>
    <hyperlink ref="B68" location="'Testcases'!A1484" display="Ngưỡng cố định/tỷ lệ trống hoặc không phải số"/>
    <hyperlink ref="B69" location="'Testcases'!A1566" display="Điểm cố định thập phân"/>
    <hyperlink ref="B70" location="'Testcases'!A1616" display="Ngưỡng cố định 30: S = 29 / 30 / 31 với [&lt;] và [≤]"/>
    <hyperlink ref="B71" location="'Testcases'!A1652" display="Điểm 0 với ngưỡng 0 và 30"/>
    <hyperlink ref="B72" location="'Testcases'!A1696" display="Điểm thập phân sát ngưỡng"/>
    <hyperlink ref="B73" location="'Testcases'!A1731" display="Ngưỡng cố định giữ [T=N] khi M đổi về sau"/>
    <hyperlink ref="B74" location="'Testcases'!A1757" display="Màn Ngưỡng（基準設定）: ba loại, dấu so sánh và câu giải thích đổi theo dấu"/>
    <hyperlink ref="B75" location="'Testcases'!A1793" display="Mặc định khi tạo quy tắc mới"/>
    <hyperlink ref="B76" location="'Testcases'!A1818" display="Ngưỡng cố định không hiển thị nguồn trung bình"/>
    <hyperlink ref="B77" location="'Testcases'!A1843" display="Công thức: thêm/xóa dòng, kết quả dòng cuối là ngưỡng"/>
    <hyperlink ref="B78" location="'Testcases'!A1871" display="Công thức phải có ít nhất một dòng"/>
    <hyperlink ref="B79" location="'Testcases'!A1895" display="Chia cho số cố định 0 không lưu được"/>
    <hyperlink ref="B80" location="'Testcases'!A1929" display="Toán hạng trống hoặc không phải số"/>
    <hyperlink ref="B81" location="'Testcases'!A1971" display="Kết quả phép tính（式の結果） chỉ tham chiếu dòng phía trước"/>
    <hyperlink ref="B82" location="'Testcases'!A2022" display="Xóa/đổi thứ tự dòng không tự nối lại tham chiếu"/>
    <hyperlink ref="B83" location="'Testcases'!A2058" display="Số cố định trong công thức không bị giới hạn 0–100"/>
    <hyperlink ref="B84" location="'Testcases'!A2100" display="Cảnh báo ngưỡng biên không chặn lưu"/>
    <hyperlink ref="B85" location="'Testcases'!A2176" display="Kết quả công thức âm hoặc vượt M không phải lỗi lưu"/>
    <hyperlink ref="B86" location="'Testcases'!A2210" display="Đổi loại ngưỡng trong cùng phiên sửa"/>
    <hyperlink ref="B87" location="'Testcases'!A2242" display="Giới hạn công thức: 20/21 dòng và số chữ số của số cố định"/>
    <hyperlink ref="B88" location="'Testcases'!A2304" display="Công thức một dòng với A=50"/>
    <hyperlink ref="B89" location="'Testcases'!A2348" display="Làm tròn theo từng dòng: A=49.7"/>
    <hyperlink ref="B90" location="'Testcases'!A2375" display="Công thức hai dòng theo Figma: (A÷2)×0.8, dòng 1 làm tròn xuống"/>
    <hyperlink ref="B91" location="'Testcases'!A2422" display="Ngưỡng âm: A=15, A−20 → T=−5"/>
    <hyperlink ref="B92" location="'Testcases'!A2474" display="Ngưỡng công thức vượt M vẫn hợp lệ"/>
    <hyperlink ref="B93" location="'Testcases'!A2498" display="Công thức A−0 cho ngưỡng bằng A"/>
    <hyperlink ref="B94" location="'Testcases'!A2524" display="Định nghĩa phương thức làm tròn, số âm và p=9"/>
    <hyperlink ref="B95" location="'Testcases'!A2674" display="Làm tròn ngưỡng, không làm tròn điểm học sinh"/>
    <hyperlink ref="B96" location="'Testcases'!A2711" display="Chia 0 phát sinh khi chạy → Chưa xét được"/>
    <hyperlink ref="B97" location="'Testcases'!A2755" display="Không sai kết quả do sai số dấu phẩy động"/>
    <hyperlink ref="B98" location="'Testcases'!A2806" display="Tràn số không tạo kết luận đỏ/không đỏ"/>
    <hyperlink ref="B99" location="'Testcases'!A2850" display="Công thức cho T=0; ô trống vẫn là Không có điểm"/>
    <hyperlink ref="B100" location="'Testcases'!A2884" display="Màn Công thức: thứ tự khối nguồn trung bình và dòng công thức"/>
    <hyperlink ref="B101" location="'Testcases'!A2909" display="Bảng dòng công thức"/>
    <hyperlink ref="B102" location="'Testcases'!A2934" display="Thông báo lỗi vượt điểm tối đa và chia 0"/>
    <hyperlink ref="B103" location="'Testcases'!A2970" display="Quy trình vận hành dùng trung bình: tắt tự tổng hợp → nút xanh → nút cam"/>
    <hyperlink ref="B104" location="'Testcases'!A3001" display="Nguồn của điều kiện áp dụng và nguồn của công thức lưu độc lập"/>
    <hyperlink ref="B105" location="'Testcases'!A3031" display="Danh sách nhóm tham chiếu theo thiết lập tổng hợp hiện hữu"/>
    <hyperlink ref="B106" location="'Testcases'!A3081" display="Nhóm tham chiếu tách khỏi đối tượng áp dụng và danh sách đang lọc ở đầu ra"/>
    <hyperlink ref="B107" location="'Testcases'!A3107" display="Nguồn: bản đã chốt được ưu tiên hơn tổng hợp mới hơn"/>
    <hyperlink ref="B108" location="'Testcases'!A3132" display="Nguồn: chưa có bản chốt → dùng tổng hợp hoàn tất mới nhất cùng phạm vi"/>
    <hyperlink ref="B109" location="'Testcases'!A3177" display="Nguồn: bản đã chốt thiếu dữ liệu → Chưa xét được, không chuyển sang bản thường"/>
    <hyperlink ref="B110" location="'Testcases'!A3202" display="Chưa có kết quả tổng hợp → Chưa xét được, không thay bằng 0 hay nhóm khác"/>
    <hyperlink ref="B111" location="'Testcases'!A3227" display="Nguồn chỉ cần khi quy tắc đọc trung bình/tỷ lệ nhóm"/>
    <hyperlink ref="B112" location="'Testcases'!A3273" display="Nhóm tham chiếu có lớp khác M không gây lỗi dừng xử lý"/>
    <hyperlink ref="B113" location="'Testcases'!A3300" display="Bật tự tổng hợp khi đăng ký: hệ thống không chặn; quy tắc độc lập với trung bình vẫn xét"/>
    <hyperlink ref="B114" location="'Testcases'!A3326" display="Nhóm lớp học（授業）: dùng kết quả tổng hợp của đúng lớp chứa ô đang xét"/>
    <hyperlink ref="B115" location="'Testcases'!A3353" display="Nhóm môn học（科目グループ）: dùng cấu hình riêng của môn hoặc default đã lưu; thiếu/sai thì Chưa xét được"/>
    <hyperlink ref="B116" location="'Testcases'!A3407" display="Loại nhóm được bật nhưng chưa có kết quả, hoặc tham chiếu đã lưu không còn hợp lệ → Chưa xét được, không tự đổi nhóm"/>
    <hyperlink ref="B117" location="'Testcases'!A3455" display="Quy tắc dùng trung bình/tỷ lệ nhóm không lưu được khi thiếu nguồn"/>
    <hyperlink ref="B118" location="'Testcases'!A3521" display="Server từ chối lưu nhóm tham chiếu không khả dụng hoặc ngoài trường/năm"/>
    <hyperlink ref="B119" location="'Testcases'!A3607" display="Mẫu số trung bình khi có học sinh bị loại khỏi xếp hạng"/>
    <hyperlink ref="B120" location="'Testcases'!A3631" display="Trung bình riêng cho từng đơn vị"/>
    <hyperlink ref="B121" location="'Testcases'!A3655" display="Nguồn không có mẫu số hợp lệ (tổng điểm tối đa 0, số người có điểm 0) → Chưa xét được"/>
    <hyperlink ref="B122" location="'Testcases'!A3691" display="Tỷ lệ nhóm: tử số và mẫu số lấy cùng tập đóng góp"/>
    <hyperlink ref="B123" location="'Testcases'!A3717" display="Chưa xét được: sửa nguồn nhưng chỉ lưu cấu hình vẫn chưa có kết luận; xét lại mới có"/>
    <hyperlink ref="B124" location="'Testcases'!A3743" display="Không fallback sang legacy khi rule mới thiếu hoặc không khớp dữ liệu"/>
    <hyperlink ref="B125" location="'Testcases'!A3778" display="Đăng ký/sửa điểm trực tiếp ở màn lớp kích hoạt xét"/>
    <hyperlink ref="B126" location="'Testcases'!A3803" display="Nhập CSV điểm lớp học phần (NB) kích hoạt xét"/>
    <hyperlink ref="B127" location="'Testcases'!A3841" display="Liên kết kết quả chấm bài thi kích hoạt xét"/>
    <hyperlink ref="B128" location="'Testcases'!A3880" display="Lưu lựa chọn điểm tối đa của lớp khi đăng ký điểm kích hoạt xét"/>
    <hyperlink ref="B129" location="'Testcases'!A3905" display="Lưu Thiết lập điểm tối đa hàng loạt（満点一括設定） xếp hàng tính toán rồi mới có kết quả mới"/>
    <hyperlink ref="B130" location="'Testcases'!A3932" display="Trường chỉ có quy tắc đỏ (không có tính tự động) vẫn có đường chạy hàng loạt"/>
    <hyperlink ref="B131" location="'Testcases'!A3958" display="Nhập CSV đăng ký điểm lớp chủ nhiệm hàng loạt（HR成績CSV一括登録） kích hoạt xét"/>
    <hyperlink ref="B132" location="'Testcases'!A3993" display="Lưu cấu hình không xét; kết quả trước giữ tới lần chạy lại"/>
    <hyperlink ref="B133" location="'Testcases'!A4023" display="Sửa điểm 29 → 40 được lưu và xét trong cùng lượt"/>
    <hyperlink ref="B134" location="'Testcases'!A4048" display="Chạy lại không tạo được ngưỡng hợp lệ → Chưa xét được, ngừng kết quả cũ, giữ điểm"/>
    <hyperlink ref="B135" location="'Testcases'!A4093" display="Đổi phạm vi làm ô không còn quy tắc áp dụng: giữ khi chưa chạy; chạy lại → Không áp dụng"/>
    <hyperlink ref="B136" location="'Testcases'!A4119" display="Xóa quy tắc cuối: giữ kết quả tới lần chạy lại; chạy lại → Không áp dụng"/>
    <hyperlink ref="B137" location="'Testcases'!A4157" display="Xóa điểm thành trống → Không có điểm, bỏ dấu đỏ cũ"/>
    <hyperlink ref="B138" location="'Testcases'!A4182" display="Tổng hợp lại hoặc đổi nhóm tham chiếu không tự xét lại"/>
    <hyperlink ref="B139" location="'Testcases'!A4209" display="Đổi M ở Thiết lập điểm tối đa（満点設定） hoặc Giá trị tối đa（最大値） không tự xét lại"/>
    <hyperlink ref="B140" location="'Testcases'!A4236" display="Nút xanh Thực hiện tổng hợp（集計実行） không xét điểm đỏ"/>
    <hyperlink ref="B141" location="'Testcases'!A4261" display="Xem, xuất, công khai, in lại không kích hoạt xét"/>
    <hyperlink ref="B142" location="'Testcases'!A4321" display="Chạy lại nhiều lần cho cùng kết quả, không nhân đôi dấu"/>
    <hyperlink ref="B143" location="'Testcases'!A4346" display="Xóa hoặc thôi dùng điểm đơn vị thì ngừng kết quả đỏ cũ của ô đó"/>
    <hyperlink ref="B144" location="'Testcases'!A4384" display="Nhập CSV lựa chọn điểm tối đa của lớp"/>
    <hyperlink ref="B145" location="'Testcases'!A4409" display="Bản ghi điểm bị xóa rồi tạo lại không kế thừa kết quả cũ"/>
    <hyperlink ref="B146" location="'Testcases'!A4457" display="Trích xuất thành tích（成績抽出）: các tùy chọn đỏ được lưu và mở lại đúng"/>
    <hyperlink ref="B147" location="'Testcases'!A4508" display="Trích xuất: lọc giữ học sinh có ít nhất một ô đỏ trong phạm vi đang xét"/>
    <hyperlink ref="B148" location="'Testcases'!A4592" display="Trích xuất: chỉ ô đỏ được thêm ký hiệu/tô màu"/>
    <hyperlink ref="B149" location="'Testcases'!A4628" display="Trích xuất: file Excel khớp màn hình"/>
    <hyperlink ref="B150" location="'Testcases'!A4689" display="Trích xuất: bật ký hiệu thì bắt buộc nhập ký hiệu"/>
    <hyperlink ref="B151" location="'Testcases'!A4723" display="Trích xuất: vị trí và nhãn tùy chọn đỏ"/>
    <hyperlink ref="B152" location="'Testcases'!A4749" display="Trích xuất: kết quả 0 học sinh và hiển thị ô đỏ số thập phân"/>
    <hyperlink ref="B153" location="'Testcases'!A4784" display="Trích xuất: ô vừa thỏa điều kiện màu khác vừa là ô đỏ"/>
    <hyperlink ref="B154" location="'Testcases'!A4808" display="Trích xuất: mẫu hiện có không cấu hình đỏ cho kết quả như trước"/>
    <hyperlink ref="B155" location="'Testcases'!A4860" display="Công khai thành tích（成績公開）: ba hiệu ứng đỏ hiển thị đúng ở màn học sinh"/>
    <hyperlink ref="B156" location="'Testcases'!A4916" display="Công khai: kết hợp hiệu ứng Điểm dự kiến（見込点） và điểm đỏ, khử trùng"/>
    <hyperlink ref="B157" location="'Testcases'!A4983" display="Công khai: web, API và PDF học sinh dùng cùng kết quả và cùng hiệu ứng"/>
    <hyperlink ref="B158" location="'Testcases'!A5027" display="Công khai: cùng mục dùng hiệu ứng đỏ khác nhau ở hai cấu hình công khai"/>
    <hyperlink ref="B159" location="'Testcases'!A5102" display="Đầu ra không bị chặn vì chưa có hoặc chưa xét được kết quả đỏ"/>
    <hyperlink ref="B160" location="'Testcases'!A5154" display="Công khai: dòng cách hiển thị đỏ theo mục có thiết lập, kể cả khi 0 học sinh đỏ hoặc vừa xóa thiết lập cuối"/>
    <hyperlink ref="B161" location="'Testcases'!A5182" display="Công khai: danh sách tùy chọn hiển thị đỏ"/>
    <hyperlink ref="B162" location="'Testcases'!A5206" display="Bộ chọn hiệu ứng đỏ của điểm thường và điểm đơn vị hiển thị độc lập"/>
    <hyperlink ref="B163" location="'Testcases'!A5234" display="Công khai: hiệu ứng Điểm dự kiến（見込点） và thiết lập khác được giữ"/>
    <hyperlink ref="B164" location="'Testcases'!A5262" display="Công khai: điểm ẩn, lịch và đối tượng công khai được giữ"/>
    <hyperlink ref="B165" location="'Testcases'!A5329" display="Công cụ phiếu điểm（通知表ツール）: bốn cách hiển thị đỏ trên PDF"/>
    <hyperlink ref="B166" location="'Testcases'!A5380" display="Phiếu điểm: thứ tự điều kiện và dừng ở điều kiện khớp đầu tiên"/>
    <hyperlink ref="B167" location="'Testcases'!A5469" display="Phiếu điểm: lưu qua Cập nhật（更新する）, mở lại giữ lựa chọn; chỉ dùng điều kiện đỏ vẫn được ghi nhận"/>
    <hyperlink ref="B168" location="'Testcases'!A5507" display="Phiếu điểm: chỉ bắt buộc ký tự khi chọn phía trước/phía sau"/>
    <hyperlink ref="B169" location="'Testcases'!A5557" display="Sao chép mẫu phiếu điểm giữ lựa chọn hiển thị đỏ"/>
    <hyperlink ref="B170" location="'Testcases'!A5594" display="Phiếu điểm: hộp Thiết lập hiển thị tùy chọn mục đăng ký điểm（成績登録項目オプション表示設定）"/>
    <hyperlink ref="B171" location="'Testcases'!A5620" display="Phiếu điểm: các điều kiện hiển thị hiện có giữ hành vi"/>
    <hyperlink ref="B172" location="'Testcases'!A5654" display="PDF phiếu: bố cục template không đổi khi có dấu đỏ"/>
    <hyperlink ref="B173" location="'Testcases'!A5678" display="Ba đầu ra dùng cùng kết quả cho cùng ô"/>
    <hyperlink ref="B174" location="'Testcases'!A5732" display="Mục bị ẩn theo thiết lập ẩn mục nhập"/>
    <hyperlink ref="B175" location="'Testcases'!A5774" display="Chọn quy tắc khớp đầu tiên theo ưu tiên, không lấy ngưỡng nghiêm hơn"/>
    <hyperlink ref="B176" location="'Testcases'!A5811" display="Không quy tắc nào khớp khi đủ dữ liệu → Không áp dụng"/>
    <hyperlink ref="B177" location="'Testcases'!A5836" display="Ưu tiên 1 khớp nhưng thiếu dữ liệu → Chưa xét được, không chuyển xuống ưu tiên 2"/>
    <hyperlink ref="B178" location="'Testcases'!A5880" display="Cùng lượt đăng ký: ô thiếu nguồn chưa xét được, ô ngưỡng cố định vẫn được xét"/>
    <hyperlink ref="B179" location="'Testcases'!A5907" display="Phân nhánh theo trung bình: A = 40 / 50 / 49.99 (dùng A trước làm tròn)"/>
    <hyperlink ref="B180" location="'Testcases'!A5961" display="Biên nhánh A=60.00 và A=59.96"/>
    <hyperlink ref="B181" location="'Testcases'!A5996" display="Tỷ lệ nhóm R = 70% khớp điều kiện ≥ 65%"/>
    <hyperlink ref="B182" location="'Testcases'!A6031" display="Tỷ lệ nhóm 64.99% (hiển thị 65.0) không khớp ≥ 65%"/>
    <hyperlink ref="B183" location="'Testcases'!A6066" display="Điểm được xét là điểm cuối đã lưu (dự kiến, sửa tay, sau giới hạn miền điểm)"/>
    <hyperlink ref="B184" location="'Testcases'!A6120" display="Cờ Chưa dự thi（未受験） không loại điểm số khỏi xét"/>
    <hyperlink ref="B185" location="'Testcases'!A6166" display="Ô trống không bị coi là 0 (trạng thái Không có điểm)"/>
    <hyperlink ref="B186" location="'Testcases'!A6202" display="Ô điểm đơn vị được xét riêng theo từng đơn vị"/>
    <hyperlink ref="B187" location="'Testcases'!A6227" display="Ô nhập tay được AutoRating bỏ qua vẫn giữ giá trị tay và vẫn được xét đỏ"/>
    <hyperlink ref="B188" location="'Testcases'!A6252" display="Giáo viên có quyền sửa mục cấu hình được quy tắc đỏ"/>
    <hyperlink ref="B189" location="'Testcases'!A6310" display="Vào được màn nhưng không có quyền sửa mục → không sửa được quy tắc của mục đó"/>
    <hyperlink ref="B190" location="'Testcases'!A6335" display="Quyền sửa mục không tự cấp quyền chạy hàng loạt"/>
    <hyperlink ref="B191" location="'Testcases'!A6360" display="Gửi request lưu quy tắc trực tiếp khi không có quyền sửa mục"/>
    <hyperlink ref="B192" location="'Testcases'!A6402" display="Giả mạo ID khác trường/năm hoặc nguồn không được phép"/>
    <hyperlink ref="B193" location="'Testcases'!A6513" display="Gọi trực tiếp request chạy tính toán hàng loạt khi không có quyền chạy"/>
    <hyperlink ref="B194" location="'Testcases'!A6537" display="Server kiểm miền giá trị khi bỏ qua kiểm tra phía trình duyệt"/>
    <hyperlink ref="B195" location="'Testcases'!A6683" display="Server không tin cờ đỏ hoặc ngưỡng do trình duyệt gửi lên"/>
    <hyperlink ref="B196" location="'Testcases'!A6767" display="Tên quy tắc và ký hiệu hiển thị như chữ, không bị thực thi"/>
    <hyperlink ref="B197" location="'Testcases'!A6810" display="Quyền học sinh/phụ huynh giữ nguyên"/>
    <hyperlink ref="B198" location="'Testcases'!A6852" display="Tỷ lệ N: biên −1 / 0 / 100 / 101"/>
    <hyperlink ref="B199" location="'Testcases'!A6918" display="Xử lý phần lẻ: bắt buộc chọn cách làm tròn; p = 0 / 1 / 9 / 10; lần đầu p=1"/>
    <hyperlink ref="B200" location="'Testcases'!A6988" display="Tỷ lệ 30% với M=100"/>
    <hyperlink ref="B201" location="'Testcases'!A7024" display="Tỷ lệ cho ngưỡng lẻ: M=45, N=30 → T=13.5"/>
    <hyperlink ref="B202" location="'Testcases'!A7060" display="Tỷ lệ có xử lý phần lẻ: xuống / gần nhất / lên tại p1"/>
    <hyperlink ref="B203" location="'Testcases'!A7143" display="Ví dụ đặc tả v2: M=75, N=30, S=22.2"/>
    <hyperlink ref="B204" location="'Testcases'!A7178" display="Tỷ lệ biên N=0 và N=100"/>
    <hyperlink ref="B205" location="'Testcases'!A7229" display="Tỷ lệ với M = 0, M &lt; 0 hoặc không xác định → Chưa xét được; cố định vẫn xét"/>
    <hyperlink ref="B206" location="'Testcases'!A7281" display="Phân giải M: mặc định → đơn vị → lựa chọn lớp"/>
    <hyperlink ref="B207" location="'Testcases'!A7327" display="Tỷ lệ dùng M hiện hành, không dùng M của bản tổng hợp đã chốt"/>
    <hyperlink ref="B208" location="'Testcases'!A7351" display="Màn Tỷ lệ điểm tối đa（得点率）: mô tả M và xử lý phần lẻ"/>
    <hyperlink ref="B209" location="'Testcases'!A7377" display="Kết quả lưu theo định danh ô; mỗi ô chỉ một kết quả hiện hành"/>
    <hyperlink ref="B210" location="'Testcases'!A7407" display="Sáu trạng thái phân biệt được khi lưu"/>
    <hyperlink ref="B211" location="'Testcases'!A7433" display="Xét điểm đỏ không ghi đè điểm học sinh"/>
    <hyperlink ref="B212" location="'Testcases'!A7459" display="Cấu hình trình bày ở từng đầu ra lưu riêng, không làm đổi quy tắc/kết quả"/>
    <hyperlink ref="B213" location="'Testcases'!A7502" display="Lưu thông tin giải thích kết quả"/>
    <hyperlink ref="B214" location="'Testcases'!A7528" display="Bảng/cột mới theo quy tắc schema của BLEND"/>
    <hyperlink ref="B215" location="'Testcases'!A7554" display="Lưu, đọc lại và sao chép hiệu ứng đỏ theo dòng mục của cấu hình công khai"/>
    <hyperlink ref="B216" location="'Testcases'!A7602" display="Phiên bản quy tắc, dòng điều khiển và thế hệ ô được cập nhật đúng sự kiện"/>
    <hyperlink ref="B217" location="'Testcases'!A7661" display="Legacy: báo cáo riêng trường vẫn giữ cách dùng điểm đỏ cũ"/>
    <hyperlink ref="B218" location="'Testcases'!A7686" display="Sao chép cấu hình giữ riêng legacy và không sao chép kết quả cá nhân"/>
    <hyperlink ref="B219" location="'Testcases'!A7712" display="Kế thừa năm mới không dùng bản chốt hoặc kết quả cá nhân của năm cũ"/>
    <hyperlink ref="B220" location="'Testcases'!A7738" display="Xuất/nhập cấu hình giữ legacy riêng và không nhập kết quả cá nhân"/>
    <hyperlink ref="B221" location="'Testcases'!A7764" display="Khôi phục/thay khung không gắn kết quả vào ô mới"/>
    <hyperlink ref="B222" location="'Testcases'!A7790" display="Đồng bộ cấu hình không đồng nghĩa đã xét"/>
    <hyperlink ref="B223" location="'Testcases'!A7816" display="Giá trị legacy giữ nguyên khi thay đổi rule mới"/>
    <hyperlink ref="B224" location="'Testcases'!A7841" display="Copy, kế thừa năm, import/export và sync không mang kết quả cũ"/>
    <hyperlink ref="B225" location="'Testcases'!A7892" display="Màn Tổng hợp thành tích（成績集計）: nút xanh/cam và lần chạy trước"/>
    <hyperlink ref="B226" location="'Testcases'!A7916" display="Thông báo kết quả sau khi chạy: hoàn tất, chưa xét được, thất bại một phần"/>
    <hyperlink ref="B227" location="'Testcases'!A7952" display="Hiển thị theo từng trạng thái kết quả ở ba đầu ra"/>
    <hyperlink ref="B228" location="'Testcases'!A7996" display="Lỗi kỹ thuật khi lưu kết quả khác với Chưa xét được; không báo thành công giả"/>
    <hyperlink ref="B229" location="'Testcases'!A8140" display="Batch hoàn tất một phần: báo đúng phạm vi đã/không cập nhật"/>
    <hyperlink ref="B230" location="'Testcases'!A8188" display="Đã xếp hàng không phải đã hoàn tất; bấm chạy trùng"/>
    <hyperlink ref="B231" location="'Testcases'!A8216" display="Thông báo lỗi không lộ SQL, stack trace hoặc dữ liệu ngoài quyền"/>
    <hyperlink ref="B232" location="'Testcases'!A8266" display="Lượt cũ hoàn tất muộn không ghi đè kết quả của điểm/cấu hình mới hơn"/>
    <hyperlink ref="B233" location="'Testcases'!A8343" display="Hai lượt xét lần đầu đồng thời hoặc gửi lại thao tác hoàn tất chỉ tạo một kết quả"/>
    <hyperlink ref="B234" location="'Testcases'!A8388" display="Đăng ký lần đầu đồng thời hai mục khác nhau của cùng học sinh giữ đủ cả hai"/>
    <hyperlink ref="B235" location="'Testcases'!A8414" display="Loại ngưỡng/điều kiện chưa thuộc phạm vi phát hành không hiện như đang hoạt động"/>
    <hyperlink ref="B236" location="'Testcases'!A8440" display="Điểm do tính tự động（自動計算） tạo ra không đổi khi có quy tắc đỏ"/>
    <hyperlink ref="B237" location="'Testcases'!A8465" display="Quy tắc đỏ không kế thừa hành vi &quot;không khớp thì ghi NULL&quot; của AutoRating"/>
    <hyperlink ref="B238" location="'Testcases'!A8490" display="Nút cam/nút xanh của trường đang dùng AutoRating hoạt động như trước"/>
    <hyperlink ref="B239" location="'Testcases'!A8525" display="Kết quả tổng hợp thứ hạng（順位集計） không đổi khi có quy tắc đỏ đọc nguồn"/>
    <hyperlink ref="B240" location="'Testcases'!A8550" display="Các màn điểm tối đa lưu và xếp hàng như trước"/>
    <hyperlink ref="B241" location="'Testcases'!A8594" display="Batch không phát sinh truy vấn theo từng ô（N+1）"/>
    <hyperlink ref="B242" location="'Testcases'!A8628" display="Đăng ký điểm: xử lý điểm liên quan và giao dịch giữ như trước"/>
    <hyperlink ref="B243" location="'Testcases'!A8673" display="Thiết lập ô nhập（入力欄設定）: các hàng hiện có không bị ảnh hưởng"/>
    <hyperlink ref="B244" location="'Testcases'!A8699" display="Consumer legacy giữ hành vi sau khi thêm rule đỏ"/>
    <hyperlink ref="B245" location="'Testcases'!A8724" display="Các luồng chuyển cấu hình không làm mất legacy"/>
  </hyperlinks>
  <printOptions horizontalCentered="0"/>
  <pageMargins left="0.7" right="0.7" top="0.75" bottom="0.75" header="0.3" footer="0.3"/>
  <pageSetup orientation="landscape" paperSize="8" fitToHeight="0" fitToWidth="1"/>
</worksheet>
</file>

<file path=xl/worksheets/sheet2.xml><?xml version="1.0" encoding="utf-8"?>
<worksheet xmlns="http://schemas.openxmlformats.org/spreadsheetml/2006/main">
  <sheetPr>
    <tabColor rgb="0064748B"/>
    <outlinePr summaryBelow="1" summaryRight="1"/>
    <pageSetUpPr fitToPage="1"/>
  </sheetPr>
  <dimension ref="A1:E8774"/>
  <sheetViews>
    <sheetView showGridLines="0" workbookViewId="0">
      <pane ySplit="4" topLeftCell="A5" activePane="bottomLeft" state="frozen"/>
      <selection pane="bottomLeft" activeCell="A1" sqref="A1"/>
    </sheetView>
  </sheetViews>
  <sheetFormatPr baseColWidth="8" defaultRowHeight="15"/>
  <cols>
    <col width="23" customWidth="1" min="1" max="1"/>
    <col width="24" customWidth="1" min="2" max="2"/>
    <col width="26" customWidth="1" min="3" max="3"/>
    <col width="14" customWidth="1" min="4" max="4"/>
    <col width="45" customWidth="1" min="5" max="5"/>
    <col width="17" customWidth="1" min="6" max="6"/>
    <col width="28" customWidth="1" min="7" max="7"/>
  </cols>
  <sheetData>
    <row r="1" ht="32" customHeight="1">
      <c r="A1" s="44" t="inlineStr">
        <is>
          <t>Kiểm thử chi tiết</t>
        </is>
      </c>
    </row>
    <row r="2" ht="42" customHeight="1">
      <c r="A2" s="45" t="inlineStr">
        <is>
          <t>Chọn trạng thái, ghi kết quả thực tế và thêm ảnh tại vùng trống khi cần. Với Không đạt, Bị chặn hoặc Không thực hiện, ghi rõ lý do và bước tiếp theo trong Kết quả thực tế.</t>
        </is>
      </c>
    </row>
    <row r="3" ht="12" customHeight="1"/>
    <row r="4" ht="8" customHeight="1">
      <c r="A4" s="20" t="n"/>
    </row>
    <row r="5" ht="44" customHeight="1">
      <c r="A5" s="46" t="inlineStr">
        <is>
          <t>TC-RS-FUNC-001 — Hàng Thiết lập điểm đỏ（赤点設定） xuất hiện trong Thiết lập ô nhập（入力欄設定） cho mục điểm số</t>
        </is>
      </c>
      <c r="B5" s="23" t="n"/>
      <c r="C5" s="23" t="n"/>
      <c r="D5" s="23" t="n"/>
      <c r="E5" s="23" t="n"/>
    </row>
    <row r="6" ht="30" customHeight="1">
      <c r="A6" s="47" t="inlineStr">
        <is>
          <t>Trạng thái</t>
        </is>
      </c>
      <c r="B6" s="56">
        <f>IF(0&gt;0,"Không đạt",IF(0=3,"Đạt",IF(SUMPRODUCT(--EXACT('Testcases'!B28:B44,"Không thực hiện"))=3,"Không thực hiện",IF(SUMPRODUCT(--EXACT('Testcases'!B28:B44,"Bị chặn"))&gt;0,"Bị chặn",IF(SUMPRODUCT(--EXACT('Testcases'!B28:B44,"Chưa thực hiện"))=3,"Chưa thực hiện","Chưa đủ kết luận")))))</f>
        <v/>
      </c>
      <c r="C6" s="57" t="n"/>
      <c r="D6" s="57" t="n"/>
      <c r="E6" s="57" t="n"/>
    </row>
    <row r="7" ht="30" customHeight="1">
      <c r="A7" s="47" t="inlineStr">
        <is>
          <t>Màn hình / chức năng</t>
        </is>
      </c>
      <c r="B7" s="47" t="inlineStr">
        <is>
          <t>Thiết lập điểm đỏ（赤点設定）</t>
        </is>
      </c>
      <c r="C7" s="57" t="n"/>
      <c r="D7" s="47" t="inlineStr">
        <is>
          <t>Đường dẫn</t>
        </is>
      </c>
      <c r="E7" s="56" t="inlineStr">
        <is>
          <t>Chưa xác minh</t>
        </is>
      </c>
    </row>
    <row r="8" ht="30" customHeight="1">
      <c r="A8" s="58" t="inlineStr">
        <is>
          <t>Điều kiện kiểm thử</t>
        </is>
      </c>
      <c r="B8" s="59" t="n"/>
      <c r="C8" s="59" t="n"/>
      <c r="D8" s="59" t="n"/>
      <c r="E8" s="59" t="n"/>
    </row>
    <row r="9" ht="44" customHeight="1">
      <c r="A9" s="47" t="inlineStr">
        <is>
          <t>Cấu hình</t>
        </is>
      </c>
      <c r="B9" s="56" t="inlineStr">
        <is>
          <t>• Đăng nhập tài khoản giáo viên có quyền sửa mục. Chưa có quy tắc đỏ cho mục số nguyên (M=100);
• Mục số thập phân (M=100) có ít nhất một quy tắc.</t>
        </is>
      </c>
      <c r="C9" s="57" t="n"/>
      <c r="D9" s="57" t="n"/>
      <c r="E9" s="57" t="n"/>
    </row>
    <row r="10" ht="61" customHeight="1">
      <c r="A10" s="47" t="inlineStr">
        <is>
          <t>Vai trò / quyền</t>
        </is>
      </c>
      <c r="B1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0" s="57" t="n"/>
      <c r="D10" s="57" t="n"/>
      <c r="E10" s="57" t="n"/>
    </row>
    <row r="11" ht="44" customHeight="1">
      <c r="A11" s="47" t="inlineStr">
        <is>
          <t>Dữ liệu test</t>
        </is>
      </c>
      <c r="B11" s="56" t="inlineStr">
        <is>
          <t>• Môi trường test (trường A, năm học 2026), tài khoản giáo viên có quyền sửa mục, mục số nguyên (M=100), mục số thập phân (M=100), mục điểm đơn vị (đơn vị U1 có M riêng 40)</t>
        </is>
      </c>
      <c r="C11" s="57" t="n"/>
      <c r="D11" s="57" t="n"/>
      <c r="E11" s="57" t="n"/>
    </row>
    <row r="12" ht="30" customHeight="1">
      <c r="A12" s="47" t="inlineStr">
        <is>
          <t>Trigger</t>
        </is>
      </c>
      <c r="B12" s="56" t="inlineStr">
        <is>
          <t>• Chỉ xem/xuất không tự chạy xét.</t>
        </is>
      </c>
      <c r="C12" s="57" t="n"/>
      <c r="D12" s="57" t="n"/>
      <c r="E12" s="57" t="n"/>
    </row>
    <row r="13" ht="44" customHeight="1">
      <c r="A13" s="47" t="inlineStr">
        <is>
          <t>Blocker</t>
        </is>
      </c>
      <c r="B13" s="56" t="inlineStr">
        <is>
          <t>• G-PREP-UNASSESSED: Chưa có xác minh fixture, đường thực hiện và phép quan sát trên build của từng case chưa đánh giá.</t>
        </is>
      </c>
      <c r="C13" s="57" t="n"/>
      <c r="D13" s="57" t="n"/>
      <c r="E13" s="57" t="n"/>
    </row>
    <row r="14" ht="30" customHeight="1">
      <c r="A14" s="58" t="inlineStr">
        <is>
          <t>Thao tác</t>
        </is>
      </c>
      <c r="B14" s="59" t="n"/>
      <c r="C14" s="59" t="n"/>
      <c r="D14" s="59" t="n"/>
      <c r="E14" s="59" t="n"/>
    </row>
    <row r="15" ht="44" customHeight="1">
      <c r="A15" s="47" t="inlineStr">
        <is>
          <t>Step 1</t>
        </is>
      </c>
      <c r="B15" s="56" t="inlineStr">
        <is>
          <t>Mở Thiết lập nhập điểm（成績入力設定）→ Thiết lập ô nhập（入力欄設定） của kỳ 1学期期末 (cuối kỳ học kỳ 1).</t>
        </is>
      </c>
      <c r="C15" s="57" t="n"/>
      <c r="D15" s="57" t="n"/>
      <c r="E15" s="57" t="n"/>
    </row>
    <row r="16" ht="30" customHeight="1">
      <c r="A16" s="47" t="inlineStr">
        <is>
          <t>Step 2</t>
        </is>
      </c>
      <c r="B16" s="56" t="inlineStr">
        <is>
          <t>Tìm hàng Thiết lập điểm đỏ（赤点設定） ở bảng mục nhập.</t>
        </is>
      </c>
      <c r="C16" s="57" t="n"/>
      <c r="D16" s="57" t="n"/>
      <c r="E16" s="57" t="n"/>
    </row>
    <row r="17" ht="44" customHeight="1">
      <c r="A17" s="47" t="inlineStr">
        <is>
          <t>Step 3</t>
        </is>
      </c>
      <c r="B17" s="56" t="inlineStr">
        <is>
          <t>Bấm link của hàng này ở cột mục số nguyên (M=100), mục số thập phân (M=100), mục điểm đơn vị (đơn vị U1 có M riêng 40).</t>
        </is>
      </c>
      <c r="C17" s="57" t="n"/>
      <c r="D17" s="57" t="n"/>
      <c r="E17" s="57" t="n"/>
    </row>
    <row r="18" ht="44" customHeight="1">
      <c r="A18" s="47" t="inlineStr">
        <is>
          <t>Reset</t>
        </is>
      </c>
      <c r="B18" s="56" t="inlineStr">
        <is>
          <t>Trước mỗi biến thể, dựng lại điều kiện/dữ liệu đầu của case bằng đường được phép; giữ các reset/fixture độc lập đã nêu trong thủ tục.</t>
        </is>
      </c>
      <c r="C18" s="57" t="n"/>
      <c r="D18" s="57" t="n"/>
      <c r="E18" s="57" t="n"/>
    </row>
    <row r="19" ht="30" customHeight="1">
      <c r="A19" s="58" t="inlineStr">
        <is>
          <t>Kết quả mong đợi</t>
        </is>
      </c>
      <c r="B19" s="59" t="n"/>
      <c r="C19" s="59" t="n"/>
      <c r="D19" s="59" t="n"/>
      <c r="E19" s="59" t="n"/>
    </row>
    <row r="20" ht="61" customHeight="1">
      <c r="A20" s="47" t="inlineStr">
        <is>
          <t>1.</t>
        </is>
      </c>
      <c r="B20" s="56" t="inlineStr">
        <is>
          <t>Theo Figma MW, hàng Thiết lập điểm đỏ（赤点設定） được đặt giữa hàng Tính tự động（自動計算） và hàng Thiết lập ẩn mục nhập（入力項目の非表示設定）. Đây là oracle UI PROPOSED; nếu bố cục khác, ghi Notes để đối chiếu, không mở bug từ riêng vị trí.</t>
        </is>
      </c>
      <c r="C20" s="57" t="n"/>
      <c r="D20" s="57" t="n"/>
      <c r="E20" s="57" t="n"/>
    </row>
    <row r="21" ht="30" customHeight="1">
      <c r="A21" s="47" t="inlineStr">
        <is>
          <t>2.</t>
        </is>
      </c>
      <c r="B21" s="56" t="inlineStr">
        <is>
          <t>Có thao tác mở thiết lập cho mục số nguyên, số thập phân và điểm đơn vị.</t>
        </is>
      </c>
      <c r="C21" s="57" t="n"/>
      <c r="D21" s="57" t="n"/>
      <c r="E21" s="57" t="n"/>
    </row>
    <row r="22" ht="30" customHeight="1">
      <c r="A22" s="47" t="inlineStr">
        <is>
          <t>3.</t>
        </is>
      </c>
      <c r="B22" s="56" t="inlineStr">
        <is>
          <t>Bấm link chuyển sang màn danh sách Thiết lập điểm đỏ（赤点設定） của đúng mục.</t>
        </is>
      </c>
      <c r="C22" s="57" t="n"/>
      <c r="D22" s="57" t="n"/>
      <c r="E22" s="57" t="n"/>
    </row>
    <row r="23" ht="44" customHeight="1">
      <c r="A23" s="47" t="inlineStr">
        <is>
          <t>Giữ nguyên</t>
        </is>
      </c>
      <c r="B23" s="56" t="inlineStr">
        <is>
          <t>• Giữ điểm, cấu hình và đối tượng không đích theo expected;
• Chỉ thay phần thủ tục yêu cầu, không tự đổi oracle hoặc mở rộng phạm vi.</t>
        </is>
      </c>
      <c r="C23" s="57" t="n"/>
      <c r="D23" s="57" t="n"/>
      <c r="E23" s="57" t="n"/>
    </row>
    <row r="24" ht="61" customHeight="1">
      <c r="A24" s="47" t="inlineStr">
        <is>
          <t>Quan sát tại</t>
        </is>
      </c>
      <c r="B24" s="56" t="inlineStr">
        <is>
          <t>• Dùng trích xuất không lọc để thấy cả ô đối chứng. Trạng thái không có dấu đỏ cần đọc thêm trạng thái lưu;
• Output Excel/PDF dùng file thật.</t>
        </is>
      </c>
      <c r="C24" s="57" t="n"/>
      <c r="D24" s="57" t="n"/>
      <c r="E24" s="57" t="n"/>
    </row>
    <row r="25" ht="30" customHeight="1">
      <c r="A25" s="58" t="inlineStr">
        <is>
          <t>Kết quả thực tế</t>
        </is>
      </c>
      <c r="B25" s="59" t="n"/>
      <c r="C25" s="59" t="n"/>
      <c r="D25" s="59" t="n"/>
      <c r="E25" s="59" t="n"/>
    </row>
    <row r="26" ht="30" customHeight="1">
      <c r="A26" s="60" t="inlineStr">
        <is>
          <t>TC-RS-FUNC-001 / integer</t>
        </is>
      </c>
      <c r="B26" s="36" t="n"/>
      <c r="C26" s="36" t="n"/>
      <c r="D26" s="36" t="n"/>
      <c r="E26" s="36" t="n"/>
    </row>
    <row r="27" ht="30" customHeight="1">
      <c r="A27" s="47" t="inlineStr">
        <is>
          <t>Dữ liệu biến thể</t>
        </is>
      </c>
      <c r="B27" s="56" t="inlineStr">
        <is>
          <t>Mục số nguyên</t>
        </is>
      </c>
      <c r="C27" s="57" t="n"/>
      <c r="D27" s="57" t="n"/>
      <c r="E27" s="57" t="n"/>
    </row>
    <row r="28" ht="30" customHeight="1">
      <c r="A28" s="47" t="inlineStr">
        <is>
          <t>Trạng thái</t>
        </is>
      </c>
      <c r="B28" s="61" t="inlineStr">
        <is>
          <t>Chưa thực hiện</t>
        </is>
      </c>
      <c r="C28" s="57" t="n"/>
      <c r="D28" s="57" t="n"/>
      <c r="E28" s="57" t="n"/>
    </row>
    <row r="29" ht="30" customHeight="1">
      <c r="A29" s="62" t="inlineStr">
        <is>
          <t>Kết quả thực tế</t>
        </is>
      </c>
    </row>
    <row r="30" ht="64" customHeight="1">
      <c r="A30" s="63" t="inlineStr"/>
      <c r="B30" s="64" t="n"/>
      <c r="C30" s="64" t="n"/>
      <c r="D30" s="64" t="n"/>
      <c r="E30" s="65" t="n"/>
    </row>
    <row r="31" ht="30" customHeight="1">
      <c r="A31" s="62" t="inlineStr">
        <is>
          <t>Ảnh minh chứng</t>
        </is>
      </c>
    </row>
    <row r="32" ht="90" customHeight="1">
      <c r="A32" s="63" t="inlineStr"/>
      <c r="B32" s="64" t="n"/>
      <c r="C32" s="64" t="n"/>
      <c r="D32" s="64" t="n"/>
      <c r="E32" s="65" t="n"/>
    </row>
    <row r="33" ht="12" customHeight="1">
      <c r="A33" s="66" t="inlineStr"/>
    </row>
    <row r="34" ht="30" customHeight="1">
      <c r="A34" s="60" t="inlineStr">
        <is>
          <t>TC-RS-FUNC-001 / decimal</t>
        </is>
      </c>
      <c r="B34" s="36" t="n"/>
      <c r="C34" s="36" t="n"/>
      <c r="D34" s="36" t="n"/>
      <c r="E34" s="36" t="n"/>
    </row>
    <row r="35" ht="30" customHeight="1">
      <c r="A35" s="47" t="inlineStr">
        <is>
          <t>Dữ liệu biến thể</t>
        </is>
      </c>
      <c r="B35" s="56" t="inlineStr">
        <is>
          <t>Mục thập phân</t>
        </is>
      </c>
      <c r="C35" s="57" t="n"/>
      <c r="D35" s="57" t="n"/>
      <c r="E35" s="57" t="n"/>
    </row>
    <row r="36" ht="30" customHeight="1">
      <c r="A36" s="47" t="inlineStr">
        <is>
          <t>Trạng thái</t>
        </is>
      </c>
      <c r="B36" s="61" t="inlineStr">
        <is>
          <t>Chưa thực hiện</t>
        </is>
      </c>
      <c r="C36" s="57" t="n"/>
      <c r="D36" s="57" t="n"/>
      <c r="E36" s="57" t="n"/>
    </row>
    <row r="37" ht="30" customHeight="1">
      <c r="A37" s="62" t="inlineStr">
        <is>
          <t>Kết quả thực tế</t>
        </is>
      </c>
    </row>
    <row r="38" ht="64" customHeight="1">
      <c r="A38" s="63" t="inlineStr"/>
      <c r="B38" s="64" t="n"/>
      <c r="C38" s="64" t="n"/>
      <c r="D38" s="64" t="n"/>
      <c r="E38" s="65" t="n"/>
    </row>
    <row r="39" ht="30" customHeight="1">
      <c r="A39" s="62" t="inlineStr">
        <is>
          <t>Ảnh minh chứng</t>
        </is>
      </c>
    </row>
    <row r="40" ht="90" customHeight="1">
      <c r="A40" s="63" t="inlineStr"/>
      <c r="B40" s="64" t="n"/>
      <c r="C40" s="64" t="n"/>
      <c r="D40" s="64" t="n"/>
      <c r="E40" s="65" t="n"/>
    </row>
    <row r="41" ht="12" customHeight="1">
      <c r="A41" s="66" t="inlineStr"/>
    </row>
    <row r="42" ht="30" customHeight="1">
      <c r="A42" s="60" t="inlineStr">
        <is>
          <t>TC-RS-FUNC-001 / unit</t>
        </is>
      </c>
      <c r="B42" s="36" t="n"/>
      <c r="C42" s="36" t="n"/>
      <c r="D42" s="36" t="n"/>
      <c r="E42" s="36" t="n"/>
    </row>
    <row r="43" ht="30" customHeight="1">
      <c r="A43" s="47" t="inlineStr">
        <is>
          <t>Dữ liệu biến thể</t>
        </is>
      </c>
      <c r="B43" s="56" t="inlineStr">
        <is>
          <t>Mục đơn vị</t>
        </is>
      </c>
      <c r="C43" s="57" t="n"/>
      <c r="D43" s="57" t="n"/>
      <c r="E43" s="57" t="n"/>
    </row>
    <row r="44" ht="30" customHeight="1">
      <c r="A44" s="47" t="inlineStr">
        <is>
          <t>Trạng thái</t>
        </is>
      </c>
      <c r="B44" s="61" t="inlineStr">
        <is>
          <t>Chưa thực hiện</t>
        </is>
      </c>
      <c r="C44" s="57" t="n"/>
      <c r="D44" s="57" t="n"/>
      <c r="E44" s="57" t="n"/>
    </row>
    <row r="45" ht="30" customHeight="1">
      <c r="A45" s="62" t="inlineStr">
        <is>
          <t>Kết quả thực tế</t>
        </is>
      </c>
    </row>
    <row r="46" ht="64" customHeight="1">
      <c r="A46" s="63" t="inlineStr"/>
      <c r="B46" s="64" t="n"/>
      <c r="C46" s="64" t="n"/>
      <c r="D46" s="64" t="n"/>
      <c r="E46" s="65" t="n"/>
    </row>
    <row r="47" ht="30" customHeight="1">
      <c r="A47" s="62" t="inlineStr">
        <is>
          <t>Ảnh minh chứng</t>
        </is>
      </c>
    </row>
    <row r="48" ht="90" customHeight="1">
      <c r="A48" s="63" t="inlineStr"/>
      <c r="B48" s="64" t="n"/>
      <c r="C48" s="64" t="n"/>
      <c r="D48" s="64" t="n"/>
      <c r="E48" s="65" t="n"/>
    </row>
    <row r="49" ht="12" customHeight="1">
      <c r="A49" s="66" t="inlineStr"/>
    </row>
    <row r="50" ht="20" customHeight="1">
      <c r="A50" s="66" t="inlineStr"/>
    </row>
    <row r="51" ht="30" customHeight="1">
      <c r="A51" s="46" t="inlineStr">
        <is>
          <t>TC-RS-FUNC-002 — Mục kiểu lựa chọn và Đạt/không đạt（合否） không có thao tác tạo quy tắc đỏ có hiệu lực</t>
        </is>
      </c>
      <c r="B51" s="23" t="n"/>
      <c r="C51" s="23" t="n"/>
      <c r="D51" s="23" t="n"/>
      <c r="E51" s="23" t="n"/>
    </row>
    <row r="52" ht="30" customHeight="1">
      <c r="A52" s="47" t="inlineStr">
        <is>
          <t>Trạng thái</t>
        </is>
      </c>
      <c r="B52" s="56">
        <f>IF(0&gt;0,"Không đạt",IF(0=2,"Đạt",IF(SUMPRODUCT(--EXACT('Testcases'!B73:B81,"Không thực hiện"))=2,"Không thực hiện",IF(SUMPRODUCT(--EXACT('Testcases'!B73:B81,"Bị chặn"))&gt;0,"Bị chặn",IF(SUMPRODUCT(--EXACT('Testcases'!B73:B81,"Chưa thực hiện"))=2,"Chưa thực hiện","Chưa đủ kết luận")))))</f>
        <v/>
      </c>
      <c r="C52" s="57" t="n"/>
      <c r="D52" s="57" t="n"/>
      <c r="E52" s="57" t="n"/>
    </row>
    <row r="53" ht="30" customHeight="1">
      <c r="A53" s="47" t="inlineStr">
        <is>
          <t>Màn hình / chức năng</t>
        </is>
      </c>
      <c r="B53" s="47" t="inlineStr">
        <is>
          <t>Thiết lập điểm đỏ（赤点設定）</t>
        </is>
      </c>
      <c r="C53" s="57" t="n"/>
      <c r="D53" s="47" t="inlineStr">
        <is>
          <t>Đường dẫn</t>
        </is>
      </c>
      <c r="E53" s="56" t="inlineStr">
        <is>
          <t>Chưa xác minh</t>
        </is>
      </c>
    </row>
    <row r="54" ht="30" customHeight="1">
      <c r="A54" s="58" t="inlineStr">
        <is>
          <t>Điều kiện kiểm thử</t>
        </is>
      </c>
      <c r="B54" s="59" t="n"/>
      <c r="C54" s="59" t="n"/>
      <c r="D54" s="59" t="n"/>
      <c r="E54" s="59" t="n"/>
    </row>
    <row r="55" ht="30" customHeight="1">
      <c r="A55" s="47" t="inlineStr">
        <is>
          <t>Cấu hình</t>
        </is>
      </c>
      <c r="B55" s="56" t="inlineStr">
        <is>
          <t>• Đăng nhập tài khoản giáo viên có quyền sửa mục.</t>
        </is>
      </c>
      <c r="C55" s="57" t="n"/>
      <c r="D55" s="57" t="n"/>
      <c r="E55" s="57" t="n"/>
    </row>
    <row r="56" ht="61" customHeight="1">
      <c r="A56" s="47" t="inlineStr">
        <is>
          <t>Vai trò / quyền</t>
        </is>
      </c>
      <c r="B5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6" s="57" t="n"/>
      <c r="D56" s="57" t="n"/>
      <c r="E56" s="57" t="n"/>
    </row>
    <row r="57" ht="30" customHeight="1">
      <c r="A57" s="47" t="inlineStr">
        <is>
          <t>Dữ liệu test</t>
        </is>
      </c>
      <c r="B57" s="56" t="inlineStr">
        <is>
          <t>• Mục kiểu lựa chọn A/B/C, mục Đạt/không đạt（合否）</t>
        </is>
      </c>
      <c r="C57" s="57" t="n"/>
      <c r="D57" s="57" t="n"/>
      <c r="E57" s="57" t="n"/>
    </row>
    <row r="58" ht="30" customHeight="1">
      <c r="A58" s="47" t="inlineStr">
        <is>
          <t>Trigger</t>
        </is>
      </c>
      <c r="B58" s="56" t="inlineStr">
        <is>
          <t>• Chỉ xem/xuất không tự chạy xét.</t>
        </is>
      </c>
      <c r="C58" s="57" t="n"/>
      <c r="D58" s="57" t="n"/>
      <c r="E58" s="57" t="n"/>
    </row>
    <row r="59" ht="44" customHeight="1">
      <c r="A59" s="47" t="inlineStr">
        <is>
          <t>Blocker</t>
        </is>
      </c>
      <c r="B59" s="56" t="inlineStr">
        <is>
          <t>• G-PREP-TC-RS-FUNC-002: BLOCKED — cần route/build URL hiện hành để kiểm trực tiếp endpoint;
• Không coi việc chưa biết URL là READY.</t>
        </is>
      </c>
      <c r="C59" s="57" t="n"/>
      <c r="D59" s="57" t="n"/>
      <c r="E59" s="57" t="n"/>
    </row>
    <row r="60" ht="30" customHeight="1">
      <c r="A60" s="58" t="inlineStr">
        <is>
          <t>Thao tác</t>
        </is>
      </c>
      <c r="B60" s="59" t="n"/>
      <c r="C60" s="59" t="n"/>
      <c r="D60" s="59" t="n"/>
      <c r="E60" s="59" t="n"/>
    </row>
    <row r="61" ht="30" customHeight="1">
      <c r="A61" s="47" t="inlineStr">
        <is>
          <t>Step 1</t>
        </is>
      </c>
      <c r="B61" s="56" t="inlineStr">
        <is>
          <t>Mở Thiết lập ô nhập（入力欄設定）.</t>
        </is>
      </c>
      <c r="C61" s="57" t="n"/>
      <c r="D61" s="57" t="n"/>
      <c r="E61" s="57" t="n"/>
    </row>
    <row r="62" ht="30" customHeight="1">
      <c r="A62" s="47" t="inlineStr">
        <is>
          <t>Step 2</t>
        </is>
      </c>
      <c r="B62" s="56" t="inlineStr">
        <is>
          <t>Xem hàng Thiết lập điểm đỏ（赤点設定） ở cột mục kiểu lựa chọn A/B/C, mục Đạt/không đạt（合否）.</t>
        </is>
      </c>
      <c r="C62" s="57" t="n"/>
      <c r="D62" s="57" t="n"/>
      <c r="E62" s="57" t="n"/>
    </row>
    <row r="63" ht="30" customHeight="1">
      <c r="A63" s="47" t="inlineStr">
        <is>
          <t>Step 3</t>
        </is>
      </c>
      <c r="B63" s="56" t="inlineStr">
        <is>
          <t>Thử mở URL màn danh sách điểm đỏ của mục kiểu lựa chọn A/B/C bằng ID mục (nếu biết URL).</t>
        </is>
      </c>
      <c r="C63" s="57" t="n"/>
      <c r="D63" s="57" t="n"/>
      <c r="E63" s="57" t="n"/>
    </row>
    <row r="64" ht="44" customHeight="1">
      <c r="A64" s="47" t="inlineStr">
        <is>
          <t>Reset</t>
        </is>
      </c>
      <c r="B64" s="56" t="inlineStr">
        <is>
          <t>Trước mỗi biến thể, dựng lại điều kiện/dữ liệu đầu của case bằng đường được phép; giữ các reset/fixture độc lập đã nêu trong thủ tục.</t>
        </is>
      </c>
      <c r="C64" s="57" t="n"/>
      <c r="D64" s="57" t="n"/>
      <c r="E64" s="57" t="n"/>
    </row>
    <row r="65" ht="30" customHeight="1">
      <c r="A65" s="58" t="inlineStr">
        <is>
          <t>Kết quả mong đợi</t>
        </is>
      </c>
      <c r="B65" s="59" t="n"/>
      <c r="C65" s="59" t="n"/>
      <c r="D65" s="59" t="n"/>
      <c r="E65" s="59" t="n"/>
    </row>
    <row r="66" ht="30" customHeight="1">
      <c r="A66" s="47" t="inlineStr">
        <is>
          <t>1.</t>
        </is>
      </c>
      <c r="B66" s="56" t="inlineStr">
        <is>
          <t>Không có thao tác tạo quy tắc đỏ có hiệu lực cho hai mục này.</t>
        </is>
      </c>
      <c r="C66" s="57" t="n"/>
      <c r="D66" s="57" t="n"/>
      <c r="E66" s="57" t="n"/>
    </row>
    <row r="67" ht="44" customHeight="1">
      <c r="A67" s="47" t="inlineStr">
        <is>
          <t>2.</t>
        </is>
      </c>
      <c r="B67" s="56" t="inlineStr">
        <is>
          <t>Nếu có endpoint truy cập trực tiếp, server vẫn từ chối tạo/lưu quy tắc cho mục không thuộc loại số; không dùng việc URL không hiển thị làm bằng chứng duy nhất.</t>
        </is>
      </c>
      <c r="C67" s="57" t="n"/>
      <c r="D67" s="57" t="n"/>
      <c r="E67" s="57" t="n"/>
    </row>
    <row r="68" ht="44" customHeight="1">
      <c r="A68" s="47" t="inlineStr">
        <is>
          <t>Giữ nguyên</t>
        </is>
      </c>
      <c r="B68" s="56" t="inlineStr">
        <is>
          <t>• Giữ điểm, cấu hình và đối tượng không đích theo expected;
• Chỉ thay phần thủ tục yêu cầu, không tự đổi oracle hoặc mở rộng phạm vi.</t>
        </is>
      </c>
      <c r="C68" s="57" t="n"/>
      <c r="D68" s="57" t="n"/>
      <c r="E68" s="57" t="n"/>
    </row>
    <row r="69" ht="61" customHeight="1">
      <c r="A69" s="47" t="inlineStr">
        <is>
          <t>Quan sát tại</t>
        </is>
      </c>
      <c r="B69" s="56" t="inlineStr">
        <is>
          <t>• Dùng trích xuất không lọc để thấy cả ô đối chứng. Trạng thái không có dấu đỏ cần đọc thêm trạng thái lưu;
• Output Excel/PDF dùng file thật.</t>
        </is>
      </c>
      <c r="C69" s="57" t="n"/>
      <c r="D69" s="57" t="n"/>
      <c r="E69" s="57" t="n"/>
    </row>
    <row r="70" ht="30" customHeight="1">
      <c r="A70" s="58" t="inlineStr">
        <is>
          <t>Kết quả thực tế</t>
        </is>
      </c>
      <c r="B70" s="59" t="n"/>
      <c r="C70" s="59" t="n"/>
      <c r="D70" s="59" t="n"/>
      <c r="E70" s="59" t="n"/>
    </row>
    <row r="71" ht="30" customHeight="1">
      <c r="A71" s="60" t="inlineStr">
        <is>
          <t>TC-RS-FUNC-002 / choice</t>
        </is>
      </c>
      <c r="B71" s="36" t="n"/>
      <c r="C71" s="36" t="n"/>
      <c r="D71" s="36" t="n"/>
      <c r="E71" s="36" t="n"/>
    </row>
    <row r="72" ht="30" customHeight="1">
      <c r="A72" s="47" t="inlineStr">
        <is>
          <t>Dữ liệu biến thể</t>
        </is>
      </c>
      <c r="B72" s="56" t="inlineStr">
        <is>
          <t>Mục lựa chọn, gồm thử URL trực tiếp ở bước 3</t>
        </is>
      </c>
      <c r="C72" s="57" t="n"/>
      <c r="D72" s="57" t="n"/>
      <c r="E72" s="57" t="n"/>
    </row>
    <row r="73" ht="30" customHeight="1">
      <c r="A73" s="47" t="inlineStr">
        <is>
          <t>Trạng thái</t>
        </is>
      </c>
      <c r="B73" s="61" t="inlineStr">
        <is>
          <t>Chưa thực hiện</t>
        </is>
      </c>
      <c r="C73" s="57" t="n"/>
      <c r="D73" s="57" t="n"/>
      <c r="E73" s="57" t="n"/>
    </row>
    <row r="74" ht="30" customHeight="1">
      <c r="A74" s="62" t="inlineStr">
        <is>
          <t>Kết quả thực tế</t>
        </is>
      </c>
    </row>
    <row r="75" ht="64" customHeight="1">
      <c r="A75" s="63" t="inlineStr"/>
      <c r="B75" s="64" t="n"/>
      <c r="C75" s="64" t="n"/>
      <c r="D75" s="64" t="n"/>
      <c r="E75" s="65" t="n"/>
    </row>
    <row r="76" ht="30" customHeight="1">
      <c r="A76" s="62" t="inlineStr">
        <is>
          <t>Ảnh minh chứng</t>
        </is>
      </c>
    </row>
    <row r="77" ht="90" customHeight="1">
      <c r="A77" s="63" t="inlineStr"/>
      <c r="B77" s="64" t="n"/>
      <c r="C77" s="64" t="n"/>
      <c r="D77" s="64" t="n"/>
      <c r="E77" s="65" t="n"/>
    </row>
    <row r="78" ht="12" customHeight="1">
      <c r="A78" s="66" t="inlineStr"/>
    </row>
    <row r="79" ht="30" customHeight="1">
      <c r="A79" s="60" t="inlineStr">
        <is>
          <t>TC-RS-FUNC-002 / passfail</t>
        </is>
      </c>
      <c r="B79" s="36" t="n"/>
      <c r="C79" s="36" t="n"/>
      <c r="D79" s="36" t="n"/>
      <c r="E79" s="36" t="n"/>
    </row>
    <row r="80" ht="30" customHeight="1">
      <c r="A80" s="47" t="inlineStr">
        <is>
          <t>Dữ liệu biến thể</t>
        </is>
      </c>
      <c r="B80" s="56" t="inlineStr">
        <is>
          <t>Mục Đạt/không đạt ở bước 1–2</t>
        </is>
      </c>
      <c r="C80" s="57" t="n"/>
      <c r="D80" s="57" t="n"/>
      <c r="E80" s="57" t="n"/>
    </row>
    <row r="81" ht="30" customHeight="1">
      <c r="A81" s="47" t="inlineStr">
        <is>
          <t>Trạng thái</t>
        </is>
      </c>
      <c r="B81" s="61" t="inlineStr">
        <is>
          <t>Chưa thực hiện</t>
        </is>
      </c>
      <c r="C81" s="57" t="n"/>
      <c r="D81" s="57" t="n"/>
      <c r="E81" s="57" t="n"/>
    </row>
    <row r="82" ht="30" customHeight="1">
      <c r="A82" s="62" t="inlineStr">
        <is>
          <t>Kết quả thực tế</t>
        </is>
      </c>
    </row>
    <row r="83" ht="64" customHeight="1">
      <c r="A83" s="63" t="inlineStr"/>
      <c r="B83" s="64" t="n"/>
      <c r="C83" s="64" t="n"/>
      <c r="D83" s="64" t="n"/>
      <c r="E83" s="65" t="n"/>
    </row>
    <row r="84" ht="30" customHeight="1">
      <c r="A84" s="62" t="inlineStr">
        <is>
          <t>Ảnh minh chứng</t>
        </is>
      </c>
    </row>
    <row r="85" ht="90" customHeight="1">
      <c r="A85" s="63" t="inlineStr"/>
      <c r="B85" s="64" t="n"/>
      <c r="C85" s="64" t="n"/>
      <c r="D85" s="64" t="n"/>
      <c r="E85" s="65" t="n"/>
    </row>
    <row r="86" ht="12" customHeight="1">
      <c r="A86" s="66" t="inlineStr"/>
    </row>
    <row r="87" ht="20" customHeight="1">
      <c r="A87" s="66" t="inlineStr"/>
    </row>
    <row r="88" ht="30" customHeight="1">
      <c r="A88" s="46" t="inlineStr">
        <is>
          <t>TC-RS-FUNC-004 — Thêm quy tắc qua Điều kiện áp dụng（適用条件） và Ngưỡng（基準設定） rồi quay lại danh sách</t>
        </is>
      </c>
      <c r="B88" s="23" t="n"/>
      <c r="C88" s="23" t="n"/>
      <c r="D88" s="23" t="n"/>
      <c r="E88" s="23" t="n"/>
    </row>
    <row r="89" ht="30" customHeight="1">
      <c r="A89" s="47" t="inlineStr">
        <is>
          <t>Trạng thái</t>
        </is>
      </c>
      <c r="B89" s="61" t="inlineStr">
        <is>
          <t>Chưa thực hiện</t>
        </is>
      </c>
      <c r="C89" s="57" t="n"/>
      <c r="D89" s="57" t="n"/>
      <c r="E89" s="57" t="n"/>
    </row>
    <row r="90" ht="30" customHeight="1">
      <c r="A90" s="47" t="inlineStr">
        <is>
          <t>Màn hình / chức năng</t>
        </is>
      </c>
      <c r="B90" s="47" t="inlineStr">
        <is>
          <t>Thiết lập điểm đỏ（赤点設定）</t>
        </is>
      </c>
      <c r="C90" s="57" t="n"/>
      <c r="D90" s="47" t="inlineStr">
        <is>
          <t>Đường dẫn</t>
        </is>
      </c>
      <c r="E90" s="56" t="inlineStr">
        <is>
          <t>Chưa xác minh</t>
        </is>
      </c>
    </row>
    <row r="91" ht="30" customHeight="1">
      <c r="A91" s="58" t="inlineStr">
        <is>
          <t>Điều kiện kiểm thử</t>
        </is>
      </c>
      <c r="B91" s="59" t="n"/>
      <c r="C91" s="59" t="n"/>
      <c r="D91" s="59" t="n"/>
      <c r="E91" s="59" t="n"/>
    </row>
    <row r="92" ht="44" customHeight="1">
      <c r="A92" s="47" t="inlineStr">
        <is>
          <t>Cấu hình</t>
        </is>
      </c>
      <c r="B92" s="56" t="inlineStr">
        <is>
          <t>• Mục số nguyên (M=100) đã có cặp quy tắc cùng áp dụng (dưới 20 và dưới 30) (2 quy tắc). Đăng nhập tài khoản giáo viên có quyền sửa mục.</t>
        </is>
      </c>
      <c r="C92" s="57" t="n"/>
      <c r="D92" s="57" t="n"/>
      <c r="E92" s="57" t="n"/>
    </row>
    <row r="93" ht="61" customHeight="1">
      <c r="A93" s="47" t="inlineStr">
        <is>
          <t>Vai trò / quyền</t>
        </is>
      </c>
      <c r="B9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93" s="57" t="n"/>
      <c r="D93" s="57" t="n"/>
      <c r="E93" s="57" t="n"/>
    </row>
    <row r="94" ht="44" customHeight="1">
      <c r="A94" s="47" t="inlineStr">
        <is>
          <t>Dữ liệu test</t>
        </is>
      </c>
      <c r="B94" s="56" t="inlineStr">
        <is>
          <t>• Mục số nguyên (M=100), cặp quy tắc cùng áp dụng (dưới 20 và dưới 30);
• Quy tắc “Cố định 30” (dưới 30)</t>
        </is>
      </c>
      <c r="C94" s="57" t="n"/>
      <c r="D94" s="57" t="n"/>
      <c r="E94" s="57" t="n"/>
    </row>
    <row r="95" ht="30" customHeight="1">
      <c r="A95" s="47" t="inlineStr">
        <is>
          <t>Trigger</t>
        </is>
      </c>
      <c r="B95" s="56" t="inlineStr">
        <is>
          <t>• Chỉ xem/xuất không tự chạy xét.</t>
        </is>
      </c>
      <c r="C95" s="57" t="n"/>
      <c r="D95" s="57" t="n"/>
      <c r="E95" s="57" t="n"/>
    </row>
    <row r="96" ht="44" customHeight="1">
      <c r="A96" s="47" t="inlineStr">
        <is>
          <t>Blocker</t>
        </is>
      </c>
      <c r="B96" s="56" t="inlineStr">
        <is>
          <t>• G-PREP-UNASSESSED: Chưa có xác minh fixture, đường thực hiện và phép quan sát trên build của từng case chưa đánh giá.</t>
        </is>
      </c>
      <c r="C96" s="57" t="n"/>
      <c r="D96" s="57" t="n"/>
      <c r="E96" s="57" t="n"/>
    </row>
    <row r="97" ht="30" customHeight="1">
      <c r="A97" s="58" t="inlineStr">
        <is>
          <t>Thao tác</t>
        </is>
      </c>
      <c r="B97" s="59" t="n"/>
      <c r="C97" s="59" t="n"/>
      <c r="D97" s="59" t="n"/>
      <c r="E97" s="59" t="n"/>
    </row>
    <row r="98" ht="30" customHeight="1">
      <c r="A98" s="47" t="inlineStr">
        <is>
          <t>Step 1</t>
        </is>
      </c>
      <c r="B98" s="56" t="inlineStr">
        <is>
          <t>Ở danh sách, bấm Thêm thiết lập chi tiết（詳細設定の追加）.</t>
        </is>
      </c>
      <c r="C98" s="57" t="n"/>
      <c r="D98" s="57" t="n"/>
      <c r="E98" s="57" t="n"/>
    </row>
    <row r="99" ht="44" customHeight="1">
      <c r="A99" s="47" t="inlineStr">
        <is>
          <t>Step 2</t>
        </is>
      </c>
      <c r="B99" s="56" t="inlineStr">
        <is>
          <t>Nhập Tên thiết lập（設定名称） "Cố định 30", chọn Toàn bộ đối tượng（全員が対象）, bấm Cập nhật（更新する）.</t>
        </is>
      </c>
      <c r="C99" s="57" t="n"/>
      <c r="D99" s="57" t="n"/>
      <c r="E99" s="57" t="n"/>
    </row>
    <row r="100" ht="30" customHeight="1">
      <c r="A100" s="47" t="inlineStr">
        <is>
          <t>Step 3</t>
        </is>
      </c>
      <c r="B100" s="56" t="inlineStr">
        <is>
          <t>Mở Ngưỡng, chọn Điểm cố định（固定点数）, nhập 30, chọn Nhỏ hơn（未満）, bấm Cập nhật（更新する）.</t>
        </is>
      </c>
      <c r="C100" s="57" t="n"/>
      <c r="D100" s="57" t="n"/>
      <c r="E100" s="57" t="n"/>
    </row>
    <row r="101" ht="30" customHeight="1">
      <c r="A101" s="47" t="inlineStr">
        <is>
          <t>Step 4</t>
        </is>
      </c>
      <c r="B101" s="56" t="inlineStr">
        <is>
          <t>Xem danh sách.</t>
        </is>
      </c>
      <c r="C101" s="57" t="n"/>
      <c r="D101" s="57" t="n"/>
      <c r="E101" s="57" t="n"/>
    </row>
    <row r="102" ht="44" customHeight="1">
      <c r="A102" s="47" t="inlineStr">
        <is>
          <t>Reset</t>
        </is>
      </c>
      <c r="B102" s="56" t="inlineStr">
        <is>
          <t>Trước mỗi biến thể, dựng lại điều kiện/dữ liệu đầu của case bằng đường được phép; giữ các reset/fixture độc lập đã nêu trong thủ tục.</t>
        </is>
      </c>
      <c r="C102" s="57" t="n"/>
      <c r="D102" s="57" t="n"/>
      <c r="E102" s="57" t="n"/>
    </row>
    <row r="103" ht="30" customHeight="1">
      <c r="A103" s="58" t="inlineStr">
        <is>
          <t>Kết quả mong đợi</t>
        </is>
      </c>
      <c r="B103" s="59" t="n"/>
      <c r="C103" s="59" t="n"/>
      <c r="D103" s="59" t="n"/>
      <c r="E103" s="59" t="n"/>
    </row>
    <row r="104" ht="30" customHeight="1">
      <c r="A104" s="47" t="inlineStr">
        <is>
          <t>1.</t>
        </is>
      </c>
      <c r="B104" s="56" t="inlineStr">
        <is>
          <t>Sau mỗi lần cập nhật, màn quay về danh sách.</t>
        </is>
      </c>
      <c r="C104" s="57" t="n"/>
      <c r="D104" s="57" t="n"/>
      <c r="E104" s="57" t="n"/>
    </row>
    <row r="105" ht="44" customHeight="1">
      <c r="A105" s="47" t="inlineStr">
        <is>
          <t>2.</t>
        </is>
      </c>
      <c r="B105" s="56" t="inlineStr">
        <is>
          <t>Dòng mới hiện tên, tóm tắt điều kiện "toàn bộ" và ngưỡng "Điểm cố định: 30 điểm, Nhỏ hơn" đúng với dữ liệu đã lưu.</t>
        </is>
      </c>
      <c r="C105" s="57" t="n"/>
      <c r="D105" s="57" t="n"/>
      <c r="E105" s="57" t="n"/>
    </row>
    <row r="106" ht="30" customHeight="1">
      <c r="A106" s="47" t="inlineStr">
        <is>
          <t>3.</t>
        </is>
      </c>
      <c r="B106" s="56" t="inlineStr">
        <is>
          <t>PROPOSED (đặc tả v2 mục 4.4 “Lưu, đổi thứ tự và xóa”): dòng mới nằm sau các quy tắc đã có.</t>
        </is>
      </c>
      <c r="C106" s="57" t="n"/>
      <c r="D106" s="57" t="n"/>
      <c r="E106" s="57" t="n"/>
    </row>
    <row r="107" ht="44" customHeight="1">
      <c r="A107" s="47" t="inlineStr">
        <is>
          <t>Giữ nguyên</t>
        </is>
      </c>
      <c r="B107" s="56" t="inlineStr">
        <is>
          <t>• Giữ điểm, cấu hình và đối tượng không đích theo expected;
• Chỉ thay phần thủ tục yêu cầu, không tự đổi oracle hoặc mở rộng phạm vi.</t>
        </is>
      </c>
      <c r="C107" s="57" t="n"/>
      <c r="D107" s="57" t="n"/>
      <c r="E107" s="57" t="n"/>
    </row>
    <row r="108" ht="61" customHeight="1">
      <c r="A108" s="47" t="inlineStr">
        <is>
          <t>Quan sát tại</t>
        </is>
      </c>
      <c r="B108" s="56" t="inlineStr">
        <is>
          <t>• Dùng trích xuất không lọc để thấy cả ô đối chứng. Trạng thái không có dấu đỏ cần đọc thêm trạng thái lưu;
• Output Excel/PDF dùng file thật.</t>
        </is>
      </c>
      <c r="C108" s="57" t="n"/>
      <c r="D108" s="57" t="n"/>
      <c r="E108" s="57" t="n"/>
    </row>
    <row r="109" ht="30" customHeight="1">
      <c r="A109" s="58" t="inlineStr">
        <is>
          <t>Kết quả thực tế</t>
        </is>
      </c>
      <c r="B109" s="59" t="n"/>
      <c r="C109" s="59" t="n"/>
      <c r="D109" s="59" t="n"/>
      <c r="E109" s="59" t="n"/>
    </row>
    <row r="110" ht="30" customHeight="1">
      <c r="A110" s="47" t="inlineStr">
        <is>
          <t>Dữ liệu biến thể</t>
        </is>
      </c>
      <c r="B110" s="56" t="inlineStr">
        <is>
          <t>Toàn bộ thủ tục theo đúng thứ tự; các đối chứng cùng fixture được kiểm trong cùng lượt, không bỏ bước</t>
        </is>
      </c>
      <c r="C110" s="57" t="n"/>
      <c r="D110" s="57" t="n"/>
      <c r="E110" s="57" t="n"/>
    </row>
    <row r="111" ht="30" customHeight="1">
      <c r="A111" s="62" t="inlineStr">
        <is>
          <t>Kết quả thực tế</t>
        </is>
      </c>
    </row>
    <row r="112" ht="64" customHeight="1">
      <c r="A112" s="63" t="inlineStr"/>
      <c r="B112" s="64" t="n"/>
      <c r="C112" s="64" t="n"/>
      <c r="D112" s="64" t="n"/>
      <c r="E112" s="65" t="n"/>
    </row>
    <row r="113" ht="30" customHeight="1">
      <c r="A113" s="62" t="inlineStr">
        <is>
          <t>Ảnh minh chứng</t>
        </is>
      </c>
    </row>
    <row r="114" ht="90" customHeight="1">
      <c r="A114" s="63" t="inlineStr"/>
      <c r="B114" s="64" t="n"/>
      <c r="C114" s="64" t="n"/>
      <c r="D114" s="64" t="n"/>
      <c r="E114" s="65" t="n"/>
    </row>
    <row r="115" ht="12" customHeight="1">
      <c r="A115" s="66" t="inlineStr"/>
    </row>
    <row r="116" ht="20" customHeight="1">
      <c r="A116" s="66" t="inlineStr"/>
    </row>
    <row r="117" ht="30" customHeight="1">
      <c r="A117" s="46" t="inlineStr">
        <is>
          <t>TC-RS-FUNC-005 — Nhiều quy tắc hiển thị theo ưu tiên; đổi thứ tự bằng ▲▼ được lưu</t>
        </is>
      </c>
      <c r="B117" s="23" t="n"/>
      <c r="C117" s="23" t="n"/>
      <c r="D117" s="23" t="n"/>
      <c r="E117" s="23" t="n"/>
    </row>
    <row r="118" ht="30" customHeight="1">
      <c r="A118" s="47" t="inlineStr">
        <is>
          <t>Trạng thái</t>
        </is>
      </c>
      <c r="B118" s="61" t="inlineStr">
        <is>
          <t>Chưa thực hiện</t>
        </is>
      </c>
      <c r="C118" s="57" t="n"/>
      <c r="D118" s="57" t="n"/>
      <c r="E118" s="57" t="n"/>
    </row>
    <row r="119" ht="30" customHeight="1">
      <c r="A119" s="47" t="inlineStr">
        <is>
          <t>Màn hình / chức năng</t>
        </is>
      </c>
      <c r="B119" s="47" t="inlineStr">
        <is>
          <t>Thiết lập điểm đỏ（赤点設定）</t>
        </is>
      </c>
      <c r="C119" s="57" t="n"/>
      <c r="D119" s="47" t="inlineStr">
        <is>
          <t>Đường dẫn</t>
        </is>
      </c>
      <c r="E119" s="56" t="inlineStr">
        <is>
          <t>Chưa xác minh</t>
        </is>
      </c>
    </row>
    <row r="120" ht="30" customHeight="1">
      <c r="A120" s="58" t="inlineStr">
        <is>
          <t>Điều kiện kiểm thử</t>
        </is>
      </c>
      <c r="B120" s="59" t="n"/>
      <c r="C120" s="59" t="n"/>
      <c r="D120" s="59" t="n"/>
      <c r="E120" s="59" t="n"/>
    </row>
    <row r="121" ht="44" customHeight="1">
      <c r="A121" s="47" t="inlineStr">
        <is>
          <t>Cấu hình</t>
        </is>
      </c>
      <c r="B121" s="56" t="inlineStr">
        <is>
          <t>• Mục số nguyên (M=100) có 3 quy tắc tên quy tắc 1, quy tắc 2, quy tắc 3 (tên tạm trong case) theo thứ tự.</t>
        </is>
      </c>
      <c r="C121" s="57" t="n"/>
      <c r="D121" s="57" t="n"/>
      <c r="E121" s="57" t="n"/>
    </row>
    <row r="122" ht="61" customHeight="1">
      <c r="A122" s="47" t="inlineStr">
        <is>
          <t>Vai trò / quyền</t>
        </is>
      </c>
      <c r="B12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22" s="57" t="n"/>
      <c r="D122" s="57" t="n"/>
      <c r="E122" s="57" t="n"/>
    </row>
    <row r="123" ht="44" customHeight="1">
      <c r="A123" s="47" t="inlineStr">
        <is>
          <t>Dữ liệu test</t>
        </is>
      </c>
      <c r="B123" s="56" t="inlineStr">
        <is>
          <t>• Mục số nguyên (M=100);
• Quy tắc “Cố định 30” (dưới 30), cặp quy tắc cùng áp dụng (dưới 20 và dưới 30)</t>
        </is>
      </c>
      <c r="C123" s="57" t="n"/>
      <c r="D123" s="57" t="n"/>
      <c r="E123" s="57" t="n"/>
    </row>
    <row r="124" ht="30" customHeight="1">
      <c r="A124" s="47" t="inlineStr">
        <is>
          <t>Trigger</t>
        </is>
      </c>
      <c r="B124" s="56" t="inlineStr">
        <is>
          <t>• Chỉ xem/xuất không tự chạy xét.</t>
        </is>
      </c>
      <c r="C124" s="57" t="n"/>
      <c r="D124" s="57" t="n"/>
      <c r="E124" s="57" t="n"/>
    </row>
    <row r="125" ht="44" customHeight="1">
      <c r="A125" s="47" t="inlineStr">
        <is>
          <t>Blocker</t>
        </is>
      </c>
      <c r="B125" s="56" t="inlineStr">
        <is>
          <t>• G-PREP-UNASSESSED: Chưa có xác minh fixture, đường thực hiện và phép quan sát trên build của từng case chưa đánh giá.</t>
        </is>
      </c>
      <c r="C125" s="57" t="n"/>
      <c r="D125" s="57" t="n"/>
      <c r="E125" s="57" t="n"/>
    </row>
    <row r="126" ht="30" customHeight="1">
      <c r="A126" s="58" t="inlineStr">
        <is>
          <t>Thao tác</t>
        </is>
      </c>
      <c r="B126" s="59" t="n"/>
      <c r="C126" s="59" t="n"/>
      <c r="D126" s="59" t="n"/>
      <c r="E126" s="59" t="n"/>
    </row>
    <row r="127" ht="30" customHeight="1">
      <c r="A127" s="47" t="inlineStr">
        <is>
          <t>Step 1</t>
        </is>
      </c>
      <c r="B127" s="56" t="inlineStr">
        <is>
          <t>Bấm ▼ ở quy tắc 1.</t>
        </is>
      </c>
      <c r="C127" s="57" t="n"/>
      <c r="D127" s="57" t="n"/>
      <c r="E127" s="57" t="n"/>
    </row>
    <row r="128" ht="30" customHeight="1">
      <c r="A128" s="47" t="inlineStr">
        <is>
          <t>Step 2</t>
        </is>
      </c>
      <c r="B128" s="56" t="inlineStr">
        <is>
          <t>Tải lại trang.</t>
        </is>
      </c>
      <c r="C128" s="57" t="n"/>
      <c r="D128" s="57" t="n"/>
      <c r="E128" s="57" t="n"/>
    </row>
    <row r="129" ht="30" customHeight="1">
      <c r="A129" s="47" t="inlineStr">
        <is>
          <t>Step 3</t>
        </is>
      </c>
      <c r="B129" s="56" t="inlineStr">
        <is>
          <t>Bấm ▲ ở quy tắc 3.</t>
        </is>
      </c>
      <c r="C129" s="57" t="n"/>
      <c r="D129" s="57" t="n"/>
      <c r="E129" s="57" t="n"/>
    </row>
    <row r="130" ht="30" customHeight="1">
      <c r="A130" s="47" t="inlineStr">
        <is>
          <t>Step 4</t>
        </is>
      </c>
      <c r="B130" s="56" t="inlineStr">
        <is>
          <t>Đăng xuất, đăng nhập lại, mở danh sách.</t>
        </is>
      </c>
      <c r="C130" s="57" t="n"/>
      <c r="D130" s="57" t="n"/>
      <c r="E130" s="57" t="n"/>
    </row>
    <row r="131" ht="44" customHeight="1">
      <c r="A131" s="47" t="inlineStr">
        <is>
          <t>Reset</t>
        </is>
      </c>
      <c r="B131" s="56" t="inlineStr">
        <is>
          <t>Trước mỗi biến thể, dựng lại điều kiện/dữ liệu đầu của case bằng đường được phép; giữ các reset/fixture độc lập đã nêu trong thủ tục.</t>
        </is>
      </c>
      <c r="C131" s="57" t="n"/>
      <c r="D131" s="57" t="n"/>
      <c r="E131" s="57" t="n"/>
    </row>
    <row r="132" ht="30" customHeight="1">
      <c r="A132" s="58" t="inlineStr">
        <is>
          <t>Kết quả mong đợi</t>
        </is>
      </c>
      <c r="B132" s="59" t="n"/>
      <c r="C132" s="59" t="n"/>
      <c r="D132" s="59" t="n"/>
      <c r="E132" s="59" t="n"/>
    </row>
    <row r="133" ht="30" customHeight="1">
      <c r="A133" s="47" t="inlineStr">
        <is>
          <t>1.</t>
        </is>
      </c>
      <c r="B133" s="56" t="inlineStr">
        <is>
          <t>Sau bước 1 thứ tự là quy tắc 2, quy tắc 1, quy tắc 3 và giữ nguyên sau khi tải lại.</t>
        </is>
      </c>
      <c r="C133" s="57" t="n"/>
      <c r="D133" s="57" t="n"/>
      <c r="E133" s="57" t="n"/>
    </row>
    <row r="134" ht="30" customHeight="1">
      <c r="A134" s="47" t="inlineStr">
        <is>
          <t>2.</t>
        </is>
      </c>
      <c r="B134" s="56" t="inlineStr">
        <is>
          <t>Sau bước 3 thứ tự là quy tắc 2, quy tắc 3, quy tắc 1 và giữ nguyên khi mở lại.</t>
        </is>
      </c>
      <c r="C134" s="57" t="n"/>
      <c r="D134" s="57" t="n"/>
      <c r="E134" s="57" t="n"/>
    </row>
    <row r="135" ht="44" customHeight="1">
      <c r="A135" s="47" t="inlineStr">
        <is>
          <t>3.</t>
        </is>
      </c>
      <c r="B135" s="56" t="inlineStr">
        <is>
          <t>Đổi thứ tự không làm thay kết quả đỏ hiện có (kiểm ở case “Lưu cấu hình không xét; kết quả trước giữ tới lần chạy lại”).</t>
        </is>
      </c>
      <c r="C135" s="57" t="n"/>
      <c r="D135" s="57" t="n"/>
      <c r="E135" s="57" t="n"/>
    </row>
    <row r="136" ht="44" customHeight="1">
      <c r="A136" s="47" t="inlineStr">
        <is>
          <t>Giữ nguyên</t>
        </is>
      </c>
      <c r="B136" s="56" t="inlineStr">
        <is>
          <t>• Giữ điểm, cấu hình và đối tượng không đích theo expected;
• Chỉ thay phần thủ tục yêu cầu, không tự đổi oracle hoặc mở rộng phạm vi.</t>
        </is>
      </c>
      <c r="C136" s="57" t="n"/>
      <c r="D136" s="57" t="n"/>
      <c r="E136" s="57" t="n"/>
    </row>
    <row r="137" ht="61" customHeight="1">
      <c r="A137" s="47" t="inlineStr">
        <is>
          <t>Quan sát tại</t>
        </is>
      </c>
      <c r="B137" s="56" t="inlineStr">
        <is>
          <t>• Dùng trích xuất không lọc để thấy cả ô đối chứng. Trạng thái không có dấu đỏ cần đọc thêm trạng thái lưu;
• Output Excel/PDF dùng file thật.</t>
        </is>
      </c>
      <c r="C137" s="57" t="n"/>
      <c r="D137" s="57" t="n"/>
      <c r="E137" s="57" t="n"/>
    </row>
    <row r="138" ht="30" customHeight="1">
      <c r="A138" s="58" t="inlineStr">
        <is>
          <t>Kết quả thực tế</t>
        </is>
      </c>
      <c r="B138" s="59" t="n"/>
      <c r="C138" s="59" t="n"/>
      <c r="D138" s="59" t="n"/>
      <c r="E138" s="59" t="n"/>
    </row>
    <row r="139" ht="30" customHeight="1">
      <c r="A139" s="47" t="inlineStr">
        <is>
          <t>Dữ liệu biến thể</t>
        </is>
      </c>
      <c r="B139" s="56" t="inlineStr">
        <is>
          <t>Toàn bộ thủ tục theo đúng thứ tự; các đối chứng cùng fixture được kiểm trong cùng lượt, không bỏ bước</t>
        </is>
      </c>
      <c r="C139" s="57" t="n"/>
      <c r="D139" s="57" t="n"/>
      <c r="E139" s="57" t="n"/>
    </row>
    <row r="140" ht="30" customHeight="1">
      <c r="A140" s="62" t="inlineStr">
        <is>
          <t>Kết quả thực tế</t>
        </is>
      </c>
    </row>
    <row r="141" ht="64" customHeight="1">
      <c r="A141" s="63" t="inlineStr"/>
      <c r="B141" s="64" t="n"/>
      <c r="C141" s="64" t="n"/>
      <c r="D141" s="64" t="n"/>
      <c r="E141" s="65" t="n"/>
    </row>
    <row r="142" ht="30" customHeight="1">
      <c r="A142" s="62" t="inlineStr">
        <is>
          <t>Ảnh minh chứng</t>
        </is>
      </c>
    </row>
    <row r="143" ht="90" customHeight="1">
      <c r="A143" s="63" t="inlineStr"/>
      <c r="B143" s="64" t="n"/>
      <c r="C143" s="64" t="n"/>
      <c r="D143" s="64" t="n"/>
      <c r="E143" s="65" t="n"/>
    </row>
    <row r="144" ht="12" customHeight="1">
      <c r="A144" s="66" t="inlineStr"/>
    </row>
    <row r="145" ht="20" customHeight="1">
      <c r="A145" s="66" t="inlineStr"/>
    </row>
    <row r="146" ht="30" customHeight="1">
      <c r="A146" s="46" t="inlineStr">
        <is>
          <t>TC-RS-FUNC-006 — Xóa một quy tắc có xác nhận; Hủy（キャンセル） giữ nguyên</t>
        </is>
      </c>
      <c r="B146" s="23" t="n"/>
      <c r="C146" s="23" t="n"/>
      <c r="D146" s="23" t="n"/>
      <c r="E146" s="23" t="n"/>
    </row>
    <row r="147" ht="30" customHeight="1">
      <c r="A147" s="47" t="inlineStr">
        <is>
          <t>Trạng thái</t>
        </is>
      </c>
      <c r="B147" s="56">
        <f>IF(0&gt;0,"Không đạt",IF(0=2,"Đạt",IF(SUMPRODUCT(--EXACT('Testcases'!B168:B176,"Không thực hiện"))=2,"Không thực hiện",IF(SUMPRODUCT(--EXACT('Testcases'!B168:B176,"Bị chặn"))&gt;0,"Bị chặn",IF(SUMPRODUCT(--EXACT('Testcases'!B168:B176,"Chưa thực hiện"))=2,"Chưa thực hiện","Chưa đủ kết luận")))))</f>
        <v/>
      </c>
      <c r="C147" s="57" t="n"/>
      <c r="D147" s="57" t="n"/>
      <c r="E147" s="57" t="n"/>
    </row>
    <row r="148" ht="30" customHeight="1">
      <c r="A148" s="47" t="inlineStr">
        <is>
          <t>Màn hình / chức năng</t>
        </is>
      </c>
      <c r="B148" s="47" t="inlineStr">
        <is>
          <t>Thiết lập điểm đỏ（赤点設定）</t>
        </is>
      </c>
      <c r="C148" s="57" t="n"/>
      <c r="D148" s="47" t="inlineStr">
        <is>
          <t>Đường dẫn</t>
        </is>
      </c>
      <c r="E148" s="56" t="inlineStr">
        <is>
          <t>Chưa xác minh</t>
        </is>
      </c>
    </row>
    <row r="149" ht="30" customHeight="1">
      <c r="A149" s="58" t="inlineStr">
        <is>
          <t>Điều kiện kiểm thử</t>
        </is>
      </c>
      <c r="B149" s="59" t="n"/>
      <c r="C149" s="59" t="n"/>
      <c r="D149" s="59" t="n"/>
      <c r="E149" s="59" t="n"/>
    </row>
    <row r="150" ht="30" customHeight="1">
      <c r="A150" s="47" t="inlineStr">
        <is>
          <t>Cấu hình</t>
        </is>
      </c>
      <c r="B150" s="56" t="inlineStr">
        <is>
          <t>• Mục số nguyên (M=100) có 2 quy tắc.</t>
        </is>
      </c>
      <c r="C150" s="57" t="n"/>
      <c r="D150" s="57" t="n"/>
      <c r="E150" s="57" t="n"/>
    </row>
    <row r="151" ht="61" customHeight="1">
      <c r="A151" s="47" t="inlineStr">
        <is>
          <t>Vai trò / quyền</t>
        </is>
      </c>
      <c r="B15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51" s="57" t="n"/>
      <c r="D151" s="57" t="n"/>
      <c r="E151" s="57" t="n"/>
    </row>
    <row r="152" ht="44" customHeight="1">
      <c r="A152" s="47" t="inlineStr">
        <is>
          <t>Dữ liệu test</t>
        </is>
      </c>
      <c r="B152" s="56" t="inlineStr">
        <is>
          <t>• Mục số nguyên (M=100);
• Cặp quy tắc cùng áp dụng (dưới 20 và dưới 30)</t>
        </is>
      </c>
      <c r="C152" s="57" t="n"/>
      <c r="D152" s="57" t="n"/>
      <c r="E152" s="57" t="n"/>
    </row>
    <row r="153" ht="30" customHeight="1">
      <c r="A153" s="47" t="inlineStr">
        <is>
          <t>Trigger</t>
        </is>
      </c>
      <c r="B153" s="56" t="inlineStr">
        <is>
          <t>• Chỉ xem/xuất không tự chạy xét.</t>
        </is>
      </c>
      <c r="C153" s="57" t="n"/>
      <c r="D153" s="57" t="n"/>
      <c r="E153" s="57" t="n"/>
    </row>
    <row r="154" ht="44" customHeight="1">
      <c r="A154" s="47" t="inlineStr">
        <is>
          <t>Blocker</t>
        </is>
      </c>
      <c r="B154" s="56" t="inlineStr">
        <is>
          <t>• G-PREP-UNASSESSED: Chưa có xác minh fixture, đường thực hiện và phép quan sát trên build của từng case chưa đánh giá.</t>
        </is>
      </c>
      <c r="C154" s="57" t="n"/>
      <c r="D154" s="57" t="n"/>
      <c r="E154" s="57" t="n"/>
    </row>
    <row r="155" ht="30" customHeight="1">
      <c r="A155" s="58" t="inlineStr">
        <is>
          <t>Thao tác</t>
        </is>
      </c>
      <c r="B155" s="59" t="n"/>
      <c r="C155" s="59" t="n"/>
      <c r="D155" s="59" t="n"/>
      <c r="E155" s="59" t="n"/>
    </row>
    <row r="156" ht="30" customHeight="1">
      <c r="A156" s="47" t="inlineStr">
        <is>
          <t>Step 1</t>
        </is>
      </c>
      <c r="B156" s="56" t="inlineStr">
        <is>
          <t>Bấm Xóa（削除） ở quy tắc thứ 2, chọn Hủy（キャンセル）.</t>
        </is>
      </c>
      <c r="C156" s="57" t="n"/>
      <c r="D156" s="57" t="n"/>
      <c r="E156" s="57" t="n"/>
    </row>
    <row r="157" ht="30" customHeight="1">
      <c r="A157" s="47" t="inlineStr">
        <is>
          <t>Step 2</t>
        </is>
      </c>
      <c r="B157" s="56" t="inlineStr">
        <is>
          <t>Bấm Xóa（削除） lại, chọn Xóa（削除する）.</t>
        </is>
      </c>
      <c r="C157" s="57" t="n"/>
      <c r="D157" s="57" t="n"/>
      <c r="E157" s="57" t="n"/>
    </row>
    <row r="158" ht="44" customHeight="1">
      <c r="A158" s="47" t="inlineStr">
        <is>
          <t>Reset</t>
        </is>
      </c>
      <c r="B158" s="56" t="inlineStr">
        <is>
          <t>Trước mỗi biến thể, dựng lại điều kiện/dữ liệu đầu của case bằng đường được phép; giữ các reset/fixture độc lập đã nêu trong thủ tục.</t>
        </is>
      </c>
      <c r="C158" s="57" t="n"/>
      <c r="D158" s="57" t="n"/>
      <c r="E158" s="57" t="n"/>
    </row>
    <row r="159" ht="30" customHeight="1">
      <c r="A159" s="58" t="inlineStr">
        <is>
          <t>Kết quả mong đợi</t>
        </is>
      </c>
      <c r="B159" s="59" t="n"/>
      <c r="C159" s="59" t="n"/>
      <c r="D159" s="59" t="n"/>
      <c r="E159" s="59" t="n"/>
    </row>
    <row r="160" ht="30" customHeight="1">
      <c r="A160" s="47" t="inlineStr">
        <is>
          <t>1.</t>
        </is>
      </c>
      <c r="B160" s="56" t="inlineStr">
        <is>
          <t>Hộp xác nhận nêu thiết lập sẽ bị xóa và kết quả học sinh chỉ cập nhật ở lần xét tiếp theo.</t>
        </is>
      </c>
      <c r="C160" s="57" t="n"/>
      <c r="D160" s="57" t="n"/>
      <c r="E160" s="57" t="n"/>
    </row>
    <row r="161" ht="30" customHeight="1">
      <c r="A161" s="47" t="inlineStr">
        <is>
          <t>2.</t>
        </is>
      </c>
      <c r="B161" s="56" t="inlineStr">
        <is>
          <t>Hủy: danh sách giữ 2 quy tắc.</t>
        </is>
      </c>
      <c r="C161" s="57" t="n"/>
      <c r="D161" s="57" t="n"/>
      <c r="E161" s="57" t="n"/>
    </row>
    <row r="162" ht="44" customHeight="1">
      <c r="A162" s="47" t="inlineStr">
        <is>
          <t>3.</t>
        </is>
      </c>
      <c r="B162" s="56" t="inlineStr">
        <is>
          <t>Xóa: danh sách còn 1 quy tắc; kết quả đỏ hiện có không đổi cho tới lần xét tiếp theo (case “Xóa quy tắc cuối: giữ kết quả tới lần chạy lại; chạy lại → Không áp dụng”).</t>
        </is>
      </c>
      <c r="C162" s="57" t="n"/>
      <c r="D162" s="57" t="n"/>
      <c r="E162" s="57" t="n"/>
    </row>
    <row r="163" ht="44" customHeight="1">
      <c r="A163" s="47" t="inlineStr">
        <is>
          <t>Giữ nguyên</t>
        </is>
      </c>
      <c r="B163" s="56" t="inlineStr">
        <is>
          <t>• Giữ điểm, cấu hình và đối tượng không đích theo expected;
• Chỉ thay phần thủ tục yêu cầu, không tự đổi oracle hoặc mở rộng phạm vi.</t>
        </is>
      </c>
      <c r="C163" s="57" t="n"/>
      <c r="D163" s="57" t="n"/>
      <c r="E163" s="57" t="n"/>
    </row>
    <row r="164" ht="61" customHeight="1">
      <c r="A164" s="47" t="inlineStr">
        <is>
          <t>Quan sát tại</t>
        </is>
      </c>
      <c r="B164" s="56" t="inlineStr">
        <is>
          <t>• Dùng trích xuất không lọc để thấy cả ô đối chứng. Trạng thái không có dấu đỏ cần đọc thêm trạng thái lưu;
• Output Excel/PDF dùng file thật.</t>
        </is>
      </c>
      <c r="C164" s="57" t="n"/>
      <c r="D164" s="57" t="n"/>
      <c r="E164" s="57" t="n"/>
    </row>
    <row r="165" ht="30" customHeight="1">
      <c r="A165" s="58" t="inlineStr">
        <is>
          <t>Kết quả thực tế</t>
        </is>
      </c>
      <c r="B165" s="59" t="n"/>
      <c r="C165" s="59" t="n"/>
      <c r="D165" s="59" t="n"/>
      <c r="E165" s="59" t="n"/>
    </row>
    <row r="166" ht="30" customHeight="1">
      <c r="A166" s="60" t="inlineStr">
        <is>
          <t>TC-RS-FUNC-006 / cancel</t>
        </is>
      </c>
      <c r="B166" s="36" t="n"/>
      <c r="C166" s="36" t="n"/>
      <c r="D166" s="36" t="n"/>
      <c r="E166" s="36" t="n"/>
    </row>
    <row r="167" ht="30" customHeight="1">
      <c r="A167" s="47" t="inlineStr">
        <is>
          <t>Dữ liệu biến thể</t>
        </is>
      </c>
      <c r="B167" s="56" t="inlineStr">
        <is>
          <t>Hủy xóa</t>
        </is>
      </c>
      <c r="C167" s="57" t="n"/>
      <c r="D167" s="57" t="n"/>
      <c r="E167" s="57" t="n"/>
    </row>
    <row r="168" ht="30" customHeight="1">
      <c r="A168" s="47" t="inlineStr">
        <is>
          <t>Trạng thái</t>
        </is>
      </c>
      <c r="B168" s="61" t="inlineStr">
        <is>
          <t>Chưa thực hiện</t>
        </is>
      </c>
      <c r="C168" s="57" t="n"/>
      <c r="D168" s="57" t="n"/>
      <c r="E168" s="57" t="n"/>
    </row>
    <row r="169" ht="30" customHeight="1">
      <c r="A169" s="62" t="inlineStr">
        <is>
          <t>Kết quả thực tế</t>
        </is>
      </c>
    </row>
    <row r="170" ht="64" customHeight="1">
      <c r="A170" s="63" t="inlineStr"/>
      <c r="B170" s="64" t="n"/>
      <c r="C170" s="64" t="n"/>
      <c r="D170" s="64" t="n"/>
      <c r="E170" s="65" t="n"/>
    </row>
    <row r="171" ht="30" customHeight="1">
      <c r="A171" s="62" t="inlineStr">
        <is>
          <t>Ảnh minh chứng</t>
        </is>
      </c>
    </row>
    <row r="172" ht="90" customHeight="1">
      <c r="A172" s="63" t="inlineStr"/>
      <c r="B172" s="64" t="n"/>
      <c r="C172" s="64" t="n"/>
      <c r="D172" s="64" t="n"/>
      <c r="E172" s="65" t="n"/>
    </row>
    <row r="173" ht="12" customHeight="1">
      <c r="A173" s="66" t="inlineStr"/>
    </row>
    <row r="174" ht="30" customHeight="1">
      <c r="A174" s="60" t="inlineStr">
        <is>
          <t>TC-RS-FUNC-006 / delete</t>
        </is>
      </c>
      <c r="B174" s="36" t="n"/>
      <c r="C174" s="36" t="n"/>
      <c r="D174" s="36" t="n"/>
      <c r="E174" s="36" t="n"/>
    </row>
    <row r="175" ht="30" customHeight="1">
      <c r="A175" s="47" t="inlineStr">
        <is>
          <t>Dữ liệu biến thể</t>
        </is>
      </c>
      <c r="B175" s="56" t="inlineStr">
        <is>
          <t>Xác nhận xóa, dựng lại baseline trước lượt này</t>
        </is>
      </c>
      <c r="C175" s="57" t="n"/>
      <c r="D175" s="57" t="n"/>
      <c r="E175" s="57" t="n"/>
    </row>
    <row r="176" ht="30" customHeight="1">
      <c r="A176" s="47" t="inlineStr">
        <is>
          <t>Trạng thái</t>
        </is>
      </c>
      <c r="B176" s="61" t="inlineStr">
        <is>
          <t>Chưa thực hiện</t>
        </is>
      </c>
      <c r="C176" s="57" t="n"/>
      <c r="D176" s="57" t="n"/>
      <c r="E176" s="57" t="n"/>
    </row>
    <row r="177" ht="30" customHeight="1">
      <c r="A177" s="62" t="inlineStr">
        <is>
          <t>Kết quả thực tế</t>
        </is>
      </c>
    </row>
    <row r="178" ht="64" customHeight="1">
      <c r="A178" s="63" t="inlineStr"/>
      <c r="B178" s="64" t="n"/>
      <c r="C178" s="64" t="n"/>
      <c r="D178" s="64" t="n"/>
      <c r="E178" s="65" t="n"/>
    </row>
    <row r="179" ht="30" customHeight="1">
      <c r="A179" s="62" t="inlineStr">
        <is>
          <t>Ảnh minh chứng</t>
        </is>
      </c>
    </row>
    <row r="180" ht="90" customHeight="1">
      <c r="A180" s="63" t="inlineStr"/>
      <c r="B180" s="64" t="n"/>
      <c r="C180" s="64" t="n"/>
      <c r="D180" s="64" t="n"/>
      <c r="E180" s="65" t="n"/>
    </row>
    <row r="181" ht="12" customHeight="1">
      <c r="A181" s="66" t="inlineStr"/>
    </row>
    <row r="182" ht="20" customHeight="1">
      <c r="A182" s="66" t="inlineStr"/>
    </row>
    <row r="183" ht="30" customHeight="1">
      <c r="A183" s="46" t="inlineStr">
        <is>
          <t>TC-RS-FUNC-007 — Quay lại（戻る）/hủy chỉnh sửa không lưu dữ liệu đang nhập</t>
        </is>
      </c>
      <c r="B183" s="23" t="n"/>
      <c r="C183" s="23" t="n"/>
      <c r="D183" s="23" t="n"/>
      <c r="E183" s="23" t="n"/>
    </row>
    <row r="184" ht="30" customHeight="1">
      <c r="A184" s="47" t="inlineStr">
        <is>
          <t>Trạng thái</t>
        </is>
      </c>
      <c r="B184" s="56">
        <f>IF(0&gt;0,"Không đạt",IF(0=2,"Đạt",IF(SUMPRODUCT(--EXACT('Testcases'!B205:B213,"Không thực hiện"))=2,"Không thực hiện",IF(SUMPRODUCT(--EXACT('Testcases'!B205:B213,"Bị chặn"))&gt;0,"Bị chặn",IF(SUMPRODUCT(--EXACT('Testcases'!B205:B213,"Chưa thực hiện"))=2,"Chưa thực hiện","Chưa đủ kết luận")))))</f>
        <v/>
      </c>
      <c r="C184" s="57" t="n"/>
      <c r="D184" s="57" t="n"/>
      <c r="E184" s="57" t="n"/>
    </row>
    <row r="185" ht="30" customHeight="1">
      <c r="A185" s="47" t="inlineStr">
        <is>
          <t>Màn hình / chức năng</t>
        </is>
      </c>
      <c r="B185" s="47" t="inlineStr">
        <is>
          <t>Thiết lập điểm đỏ（赤点設定）</t>
        </is>
      </c>
      <c r="C185" s="57" t="n"/>
      <c r="D185" s="47" t="inlineStr">
        <is>
          <t>Đường dẫn</t>
        </is>
      </c>
      <c r="E185" s="56" t="inlineStr">
        <is>
          <t>Chưa xác minh</t>
        </is>
      </c>
    </row>
    <row r="186" ht="30" customHeight="1">
      <c r="A186" s="58" t="inlineStr">
        <is>
          <t>Điều kiện kiểm thử</t>
        </is>
      </c>
      <c r="B186" s="59" t="n"/>
      <c r="C186" s="59" t="n"/>
      <c r="D186" s="59" t="n"/>
      <c r="E186" s="59" t="n"/>
    </row>
    <row r="187" ht="30" customHeight="1">
      <c r="A187" s="47" t="inlineStr">
        <is>
          <t>Cấu hình</t>
        </is>
      </c>
      <c r="B187" s="56" t="inlineStr">
        <is>
          <t>• Mục số nguyên (M=100) có quy tắc “Cố định 30” (dưới 30).</t>
        </is>
      </c>
      <c r="C187" s="57" t="n"/>
      <c r="D187" s="57" t="n"/>
      <c r="E187" s="57" t="n"/>
    </row>
    <row r="188" ht="61" customHeight="1">
      <c r="A188" s="47" t="inlineStr">
        <is>
          <t>Vai trò / quyền</t>
        </is>
      </c>
      <c r="B18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88" s="57" t="n"/>
      <c r="D188" s="57" t="n"/>
      <c r="E188" s="57" t="n"/>
    </row>
    <row r="189" ht="44" customHeight="1">
      <c r="A189" s="47" t="inlineStr">
        <is>
          <t>Dữ liệu test</t>
        </is>
      </c>
      <c r="B189" s="56" t="inlineStr">
        <is>
          <t>• Mục số nguyên (M=100);
• Quy tắc “Cố định 30” (dưới 30)</t>
        </is>
      </c>
      <c r="C189" s="57" t="n"/>
      <c r="D189" s="57" t="n"/>
      <c r="E189" s="57" t="n"/>
    </row>
    <row r="190" ht="30" customHeight="1">
      <c r="A190" s="47" t="inlineStr">
        <is>
          <t>Trigger</t>
        </is>
      </c>
      <c r="B190" s="56" t="inlineStr">
        <is>
          <t>• Chỉ xem/xuất không tự chạy xét.</t>
        </is>
      </c>
      <c r="C190" s="57" t="n"/>
      <c r="D190" s="57" t="n"/>
      <c r="E190" s="57" t="n"/>
    </row>
    <row r="191" ht="44" customHeight="1">
      <c r="A191" s="47" t="inlineStr">
        <is>
          <t>Blocker</t>
        </is>
      </c>
      <c r="B191" s="56" t="inlineStr">
        <is>
          <t>• G-PREP-UNASSESSED: Chưa có xác minh fixture, đường thực hiện và phép quan sát trên build của từng case chưa đánh giá.</t>
        </is>
      </c>
      <c r="C191" s="57" t="n"/>
      <c r="D191" s="57" t="n"/>
      <c r="E191" s="57" t="n"/>
    </row>
    <row r="192" ht="30" customHeight="1">
      <c r="A192" s="58" t="inlineStr">
        <is>
          <t>Thao tác</t>
        </is>
      </c>
      <c r="B192" s="59" t="n"/>
      <c r="C192" s="59" t="n"/>
      <c r="D192" s="59" t="n"/>
      <c r="E192" s="59" t="n"/>
    </row>
    <row r="193" ht="30" customHeight="1">
      <c r="A193" s="47" t="inlineStr">
        <is>
          <t>Step 1</t>
        </is>
      </c>
      <c r="B193" s="56" t="inlineStr">
        <is>
          <t>Mở Ngưỡng của quy tắc “Cố định 30” (dưới 30), đổi 30 thành 35 và đổi sang Nhỏ hơn hoặc bằng（以下）.</t>
        </is>
      </c>
      <c r="C193" s="57" t="n"/>
      <c r="D193" s="57" t="n"/>
      <c r="E193" s="57" t="n"/>
    </row>
    <row r="194" ht="30" customHeight="1">
      <c r="A194" s="47" t="inlineStr">
        <is>
          <t>Step 2</t>
        </is>
      </c>
      <c r="B194" s="56" t="inlineStr">
        <is>
          <t>Bấm Quay lại（戻る）.</t>
        </is>
      </c>
      <c r="C194" s="57" t="n"/>
      <c r="D194" s="57" t="n"/>
      <c r="E194" s="57" t="n"/>
    </row>
    <row r="195" ht="30" customHeight="1">
      <c r="A195" s="47" t="inlineStr">
        <is>
          <t>Step 3</t>
        </is>
      </c>
      <c r="B195" s="56" t="inlineStr">
        <is>
          <t>Mở Điều kiện áp dụng, đổi tên, bấm Quay lại（戻る）.</t>
        </is>
      </c>
      <c r="C195" s="57" t="n"/>
      <c r="D195" s="57" t="n"/>
      <c r="E195" s="57" t="n"/>
    </row>
    <row r="196" ht="30" customHeight="1">
      <c r="A196" s="47" t="inlineStr">
        <is>
          <t>Step 4</t>
        </is>
      </c>
      <c r="B196" s="56" t="inlineStr">
        <is>
          <t>Mở lại hai màn.</t>
        </is>
      </c>
      <c r="C196" s="57" t="n"/>
      <c r="D196" s="57" t="n"/>
      <c r="E196" s="57" t="n"/>
    </row>
    <row r="197" ht="44" customHeight="1">
      <c r="A197" s="47" t="inlineStr">
        <is>
          <t>Reset</t>
        </is>
      </c>
      <c r="B197" s="56" t="inlineStr">
        <is>
          <t>Trước mỗi biến thể, dựng lại điều kiện/dữ liệu đầu của case bằng đường được phép; giữ các reset/fixture độc lập đã nêu trong thủ tục.</t>
        </is>
      </c>
      <c r="C197" s="57" t="n"/>
      <c r="D197" s="57" t="n"/>
      <c r="E197" s="57" t="n"/>
    </row>
    <row r="198" ht="30" customHeight="1">
      <c r="A198" s="58" t="inlineStr">
        <is>
          <t>Kết quả mong đợi</t>
        </is>
      </c>
      <c r="B198" s="59" t="n"/>
      <c r="C198" s="59" t="n"/>
      <c r="D198" s="59" t="n"/>
      <c r="E198" s="59" t="n"/>
    </row>
    <row r="199" ht="30" customHeight="1">
      <c r="A199" s="47" t="inlineStr">
        <is>
          <t>•</t>
        </is>
      </c>
      <c r="B199" s="56" t="inlineStr">
        <is>
          <t>Danh sách và hai màn vẫn hiện giá trị đã lưu trước đó (30, Nhỏ hơn, tên cũ).</t>
        </is>
      </c>
      <c r="C199" s="57" t="n"/>
      <c r="D199" s="57" t="n"/>
      <c r="E199" s="57" t="n"/>
    </row>
    <row r="200" ht="44" customHeight="1">
      <c r="A200" s="47" t="inlineStr">
        <is>
          <t>Giữ nguyên</t>
        </is>
      </c>
      <c r="B200" s="56" t="inlineStr">
        <is>
          <t>• Giữ điểm, cấu hình và đối tượng không đích theo expected;
• Chỉ thay phần thủ tục yêu cầu, không tự đổi oracle hoặc mở rộng phạm vi.</t>
        </is>
      </c>
      <c r="C200" s="57" t="n"/>
      <c r="D200" s="57" t="n"/>
      <c r="E200" s="57" t="n"/>
    </row>
    <row r="201" ht="61" customHeight="1">
      <c r="A201" s="47" t="inlineStr">
        <is>
          <t>Quan sát tại</t>
        </is>
      </c>
      <c r="B201" s="56" t="inlineStr">
        <is>
          <t>• Dùng trích xuất không lọc để thấy cả ô đối chứng. Trạng thái không có dấu đỏ cần đọc thêm trạng thái lưu;
• Output Excel/PDF dùng file thật.</t>
        </is>
      </c>
      <c r="C201" s="57" t="n"/>
      <c r="D201" s="57" t="n"/>
      <c r="E201" s="57" t="n"/>
    </row>
    <row r="202" ht="30" customHeight="1">
      <c r="A202" s="58" t="inlineStr">
        <is>
          <t>Kết quả thực tế</t>
        </is>
      </c>
      <c r="B202" s="59" t="n"/>
      <c r="C202" s="59" t="n"/>
      <c r="D202" s="59" t="n"/>
      <c r="E202" s="59" t="n"/>
    </row>
    <row r="203" ht="30" customHeight="1">
      <c r="A203" s="60" t="inlineStr">
        <is>
          <t>TC-RS-FUNC-007 / back-threshold</t>
        </is>
      </c>
      <c r="B203" s="36" t="n"/>
      <c r="C203" s="36" t="n"/>
      <c r="D203" s="36" t="n"/>
      <c r="E203" s="36" t="n"/>
    </row>
    <row r="204" ht="30" customHeight="1">
      <c r="A204" s="47" t="inlineStr">
        <is>
          <t>Dữ liệu biến thể</t>
        </is>
      </c>
      <c r="B204" s="56" t="inlineStr">
        <is>
          <t>Quay lại từ màn ngưỡng</t>
        </is>
      </c>
      <c r="C204" s="57" t="n"/>
      <c r="D204" s="57" t="n"/>
      <c r="E204" s="57" t="n"/>
    </row>
    <row r="205" ht="30" customHeight="1">
      <c r="A205" s="47" t="inlineStr">
        <is>
          <t>Trạng thái</t>
        </is>
      </c>
      <c r="B205" s="61" t="inlineStr">
        <is>
          <t>Chưa thực hiện</t>
        </is>
      </c>
      <c r="C205" s="57" t="n"/>
      <c r="D205" s="57" t="n"/>
      <c r="E205" s="57" t="n"/>
    </row>
    <row r="206" ht="30" customHeight="1">
      <c r="A206" s="62" t="inlineStr">
        <is>
          <t>Kết quả thực tế</t>
        </is>
      </c>
    </row>
    <row r="207" ht="64" customHeight="1">
      <c r="A207" s="63" t="inlineStr"/>
      <c r="B207" s="64" t="n"/>
      <c r="C207" s="64" t="n"/>
      <c r="D207" s="64" t="n"/>
      <c r="E207" s="65" t="n"/>
    </row>
    <row r="208" ht="30" customHeight="1">
      <c r="A208" s="62" t="inlineStr">
        <is>
          <t>Ảnh minh chứng</t>
        </is>
      </c>
    </row>
    <row r="209" ht="90" customHeight="1">
      <c r="A209" s="63" t="inlineStr"/>
      <c r="B209" s="64" t="n"/>
      <c r="C209" s="64" t="n"/>
      <c r="D209" s="64" t="n"/>
      <c r="E209" s="65" t="n"/>
    </row>
    <row r="210" ht="12" customHeight="1">
      <c r="A210" s="66" t="inlineStr"/>
    </row>
    <row r="211" ht="30" customHeight="1">
      <c r="A211" s="60" t="inlineStr">
        <is>
          <t>TC-RS-FUNC-007 / back-condition</t>
        </is>
      </c>
      <c r="B211" s="36" t="n"/>
      <c r="C211" s="36" t="n"/>
      <c r="D211" s="36" t="n"/>
      <c r="E211" s="36" t="n"/>
    </row>
    <row r="212" ht="30" customHeight="1">
      <c r="A212" s="47" t="inlineStr">
        <is>
          <t>Dữ liệu biến thể</t>
        </is>
      </c>
      <c r="B212" s="56" t="inlineStr">
        <is>
          <t>Quay lại từ màn điều kiện</t>
        </is>
      </c>
      <c r="C212" s="57" t="n"/>
      <c r="D212" s="57" t="n"/>
      <c r="E212" s="57" t="n"/>
    </row>
    <row r="213" ht="30" customHeight="1">
      <c r="A213" s="47" t="inlineStr">
        <is>
          <t>Trạng thái</t>
        </is>
      </c>
      <c r="B213" s="61" t="inlineStr">
        <is>
          <t>Chưa thực hiện</t>
        </is>
      </c>
      <c r="C213" s="57" t="n"/>
      <c r="D213" s="57" t="n"/>
      <c r="E213" s="57" t="n"/>
    </row>
    <row r="214" ht="30" customHeight="1">
      <c r="A214" s="62" t="inlineStr">
        <is>
          <t>Kết quả thực tế</t>
        </is>
      </c>
    </row>
    <row r="215" ht="64" customHeight="1">
      <c r="A215" s="63" t="inlineStr"/>
      <c r="B215" s="64" t="n"/>
      <c r="C215" s="64" t="n"/>
      <c r="D215" s="64" t="n"/>
      <c r="E215" s="65" t="n"/>
    </row>
    <row r="216" ht="30" customHeight="1">
      <c r="A216" s="62" t="inlineStr">
        <is>
          <t>Ảnh minh chứng</t>
        </is>
      </c>
    </row>
    <row r="217" ht="90" customHeight="1">
      <c r="A217" s="63" t="inlineStr"/>
      <c r="B217" s="64" t="n"/>
      <c r="C217" s="64" t="n"/>
      <c r="D217" s="64" t="n"/>
      <c r="E217" s="65" t="n"/>
    </row>
    <row r="218" ht="12" customHeight="1">
      <c r="A218" s="66" t="inlineStr"/>
    </row>
    <row r="219" ht="20" customHeight="1">
      <c r="A219" s="66" t="inlineStr"/>
    </row>
    <row r="220" ht="30" customHeight="1">
      <c r="A220" s="46" t="inlineStr">
        <is>
          <t>TC-RS-FUNC-014 — Quy tắc mới chỉ có điều kiện, chưa có ngưỡng, không tham gia xét</t>
        </is>
      </c>
      <c r="B220" s="23" t="n"/>
      <c r="C220" s="23" t="n"/>
      <c r="D220" s="23" t="n"/>
      <c r="E220" s="23" t="n"/>
    </row>
    <row r="221" ht="30" customHeight="1">
      <c r="A221" s="47" t="inlineStr">
        <is>
          <t>Trạng thái</t>
        </is>
      </c>
      <c r="B221" s="56">
        <f>IF(0&gt;0,"Không đạt",IF(0=3,"Đạt",IF(SUMPRODUCT(--EXACT('Testcases'!B246:B262,"Không thực hiện"))=3,"Không thực hiện",IF(SUMPRODUCT(--EXACT('Testcases'!B246:B262,"Bị chặn"))&gt;0,"Bị chặn",IF(SUMPRODUCT(--EXACT('Testcases'!B246:B262,"Chưa thực hiện"))=3,"Chưa thực hiện","Chưa đủ kết luận")))))</f>
        <v/>
      </c>
      <c r="C221" s="57" t="n"/>
      <c r="D221" s="57" t="n"/>
      <c r="E221" s="57" t="n"/>
    </row>
    <row r="222" ht="30" customHeight="1">
      <c r="A222" s="47" t="inlineStr">
        <is>
          <t>Màn hình / chức năng</t>
        </is>
      </c>
      <c r="B222" s="47" t="inlineStr">
        <is>
          <t>Thiết lập điểm đỏ（赤点設定）</t>
        </is>
      </c>
      <c r="C222" s="57" t="n"/>
      <c r="D222" s="47" t="inlineStr">
        <is>
          <t>Đường dẫn</t>
        </is>
      </c>
      <c r="E222" s="56" t="inlineStr">
        <is>
          <t>Chưa xác minh</t>
        </is>
      </c>
    </row>
    <row r="223" ht="30" customHeight="1">
      <c r="A223" s="58" t="inlineStr">
        <is>
          <t>Điều kiện kiểm thử</t>
        </is>
      </c>
      <c r="B223" s="59" t="n"/>
      <c r="C223" s="59" t="n"/>
      <c r="D223" s="59" t="n"/>
      <c r="E223" s="59" t="n"/>
    </row>
    <row r="224" ht="214" customHeight="1">
      <c r="A224" s="47" t="inlineStr">
        <is>
          <t>Cấu hình</t>
        </is>
      </c>
      <c r="B224" s="56" t="inlineStr">
        <is>
          <t>• Điều kiện chung: trường A/năm 2026, mục số nguyên TD-ITEM-01 (M=100), S01 có điểm 29;
• Giáo viên có quyền sửa rule và chạy xét lại. Hai tab cùng phạm vi mục/kỳ. Mỗi biến thể có bản reset riêng, đúng hai rule Toàn bộ với dấu [&lt;];
• Ghi identity rule ưu tiên 1 và rule đối chứng ưu tiên 2. Phạm vi trích xuất chỉ gồm ô này để ô đỏ khác không ảnh hưởng bộ lọc.
• [incomplete-excluded]: rule ưu tiên 1 chỉ lưu điều kiện, chưa có ngưỡng;
• Rule đối chứng ưu tiên 2 có T=30. Đây là fixture TD-RULE-13/TD-RULE-01.
• [complete-deleted-stale]: rule ưu tiên 1 hoàn chỉnh T=30, rule đối chứng ưu tiên 2 T=20;
• Chạy baseline S01=29 → Đỏ theo rule ưu tiên 1.
• [incomplete-deleted-stale]: rule ưu tiên 1 chỉ có điều kiện, rule đối chứng ưu tiên 2 T=20;
• Chạy baseline S01=29 → Không đỏ theo rule đối chứng. T=20 là cấu hình riêng của hai biến thể stale-form, không thay TD-RULE-01 dùng chung.</t>
        </is>
      </c>
      <c r="C224" s="57" t="n"/>
      <c r="D224" s="57" t="n"/>
      <c r="E224" s="57" t="n"/>
    </row>
    <row r="225" ht="61" customHeight="1">
      <c r="A225" s="47" t="inlineStr">
        <is>
          <t>Vai trò / quyền</t>
        </is>
      </c>
      <c r="B22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25" s="57" t="n"/>
      <c r="D225" s="57" t="n"/>
      <c r="E225" s="57" t="n"/>
    </row>
    <row r="226" ht="214" customHeight="1">
      <c r="A226" s="47" t="inlineStr">
        <is>
          <t>Dữ liệu test</t>
        </is>
      </c>
      <c r="B226" s="56" t="inlineStr">
        <is>
          <t>• Điều kiện chung: trường A/năm 2026, mục số nguyên TD-ITEM-01 (M=100), S01 có điểm 29;
• Giáo viên có quyền sửa rule và chạy xét lại. Hai tab cùng phạm vi mục/kỳ. Mỗi biến thể có bản reset riêng, đúng hai rule Toàn bộ với dấu [&lt;];
• Ghi identity rule ưu tiên 1 và rule đối chứng ưu tiên 2. Phạm vi trích xuất chỉ gồm ô này để ô đỏ khác không ảnh hưởng bộ lọc.
• [incomplete-excluded]: rule ưu tiên 1 chỉ lưu điều kiện, chưa có ngưỡng;
• Rule đối chứng ưu tiên 2 có T=30. Đây là fixture TD-RULE-13/TD-RULE-01.
• [complete-deleted-stale]: rule ưu tiên 1 hoàn chỉnh T=30, rule đối chứng ưu tiên 2 T=20;
• Chạy baseline S01=29 → Đỏ theo rule ưu tiên 1.
• [incomplete-deleted-stale]: rule ưu tiên 1 chỉ có điều kiện, rule đối chứng ưu tiên 2 T=20;
• Chạy baseline S01=29 → Không đỏ theo rule đối chứng. T=20 là cấu hình riêng của hai biến thể stale-form, không thay TD-RULE-01 dùng chung.</t>
        </is>
      </c>
      <c r="C226" s="57" t="n"/>
      <c r="D226" s="57" t="n"/>
      <c r="E226" s="57" t="n"/>
    </row>
    <row r="227" ht="30" customHeight="1">
      <c r="A227" s="47" t="inlineStr">
        <is>
          <t>Trigger</t>
        </is>
      </c>
      <c r="B227" s="56" t="inlineStr">
        <is>
          <t>• Chỉ xem/xuất không tự chạy xét.</t>
        </is>
      </c>
      <c r="C227" s="57" t="n"/>
      <c r="D227" s="57" t="n"/>
      <c r="E227" s="57" t="n"/>
    </row>
    <row r="228" ht="61" customHeight="1">
      <c r="A228" s="47" t="inlineStr">
        <is>
          <t>Blocker</t>
        </is>
      </c>
      <c r="B228" s="56" t="inlineStr">
        <is>
          <t>• G-PREP-TC-RS-FUNC-014: BLOCKED — cần xác minh form ngưỡng gửi từ tab cũ, đường chạy xét lại và reader cho identity rule/ngưỡng đã dùng;
• Nếu chưa quan sát được rule được chọn thì không suy kết quả từ danh sách UI.</t>
        </is>
      </c>
      <c r="C228" s="57" t="n"/>
      <c r="D228" s="57" t="n"/>
      <c r="E228" s="57" t="n"/>
    </row>
    <row r="229" ht="30" customHeight="1">
      <c r="A229" s="58" t="inlineStr">
        <is>
          <t>Thao tác</t>
        </is>
      </c>
      <c r="B229" s="59" t="n"/>
      <c r="C229" s="59" t="n"/>
      <c r="D229" s="59" t="n"/>
      <c r="E229" s="59" t="n"/>
    </row>
    <row r="230" ht="44" customHeight="1">
      <c r="A230" s="47" t="inlineStr">
        <is>
          <t>Step 1</t>
        </is>
      </c>
      <c r="B230" s="56" t="inlineStr">
        <is>
          <t>Với [incomplete-excluded], dựng fixture riêng, xem dòng chưa hoàn chỉnh; đăng ký S01=29 và đọc kết quả, identity rule/ngưỡng đã dùng cùng đầu ra trích xuất.</t>
        </is>
      </c>
      <c r="C230" s="57" t="n"/>
      <c r="D230" s="57" t="n"/>
      <c r="E230" s="57" t="n"/>
    </row>
    <row r="231" ht="61" customHeight="1">
      <c r="A231" s="47" t="inlineStr">
        <is>
          <t>Step 2</t>
        </is>
      </c>
      <c r="B231" s="56" t="inlineStr">
        <is>
          <t>Với [complete-deleted-stale], reset và xác nhận baseline Đỏ/T=30. Mở form ngưỡng của rule ưu tiên 1 ở tab A. Xóa đúng rule đó ở tab B, rồi gửi lưu T=30 từ form cũ ở tab A. Reload danh sách và đọc trạng thái rule; trước khi chạy xét lại, đọc điểm/kết quả đã hoàn tất của S01.</t>
        </is>
      </c>
      <c r="C231" s="57" t="n"/>
      <c r="D231" s="57" t="n"/>
      <c r="E231" s="57" t="n"/>
    </row>
    <row r="232" ht="44" customHeight="1">
      <c r="A232" s="47" t="inlineStr">
        <is>
          <t>Step 3</t>
        </is>
      </c>
      <c r="B232" s="56" t="inlineStr">
        <is>
          <t>Chạy xét lại thành công cho đúng ô của [complete-deleted-stale]; đọc identity rule/ngưỡng được chọn. Chạy trích xuất một lượt tắt lọc để thấy điểm và dấu, một lượt bật lọc đỏ để kiểm membership của S01.</t>
        </is>
      </c>
      <c r="C232" s="57" t="n"/>
      <c r="D232" s="57" t="n"/>
      <c r="E232" s="57" t="n"/>
    </row>
    <row r="233" ht="61" customHeight="1">
      <c r="A233" s="47" t="inlineStr">
        <is>
          <t>Step 4</t>
        </is>
      </c>
      <c r="B233" s="56" t="inlineStr">
        <is>
          <t>Với [incomplete-deleted-stale], reset và xác nhận baseline Không đỏ/T=20. Mở form ngưỡng của rule nhập dở ở tab A, nhập T=40 nhưng chưa lưu. Xóa đúng rule nhập dở ở tab B, rồi gửi T=40 từ form cũ ở tab A. Reload danh sách và đọc trạng thái rule.</t>
        </is>
      </c>
      <c r="C233" s="57" t="n"/>
      <c r="D233" s="57" t="n"/>
      <c r="E233" s="57" t="n"/>
    </row>
    <row r="234" ht="61" customHeight="1">
      <c r="A234" s="47" t="inlineStr">
        <is>
          <t>Step 5</t>
        </is>
      </c>
      <c r="B234" s="56" t="inlineStr">
        <is>
          <t>Chạy xét lại thành công cho đúng ô của [incomplete-deleted-stale]; đọc identity rule/ngưỡng và thực hiện hai lượt trích xuất tắt/bật lọc như bước 3. Lưu bằng chứng riêng cho từng biến thể, không dùng kết quả của biến thể trước.</t>
        </is>
      </c>
      <c r="C234" s="57" t="n"/>
      <c r="D234" s="57" t="n"/>
      <c r="E234" s="57" t="n"/>
    </row>
    <row r="235" ht="44" customHeight="1">
      <c r="A235" s="47" t="inlineStr">
        <is>
          <t>Reset</t>
        </is>
      </c>
      <c r="B235" s="56" t="inlineStr">
        <is>
          <t>Trước mỗi biến thể, dựng lại điều kiện/dữ liệu đầu của case bằng đường được phép; giữ các reset/fixture độc lập đã nêu trong thủ tục.</t>
        </is>
      </c>
      <c r="C235" s="57" t="n"/>
      <c r="D235" s="57" t="n"/>
      <c r="E235" s="57" t="n"/>
    </row>
    <row r="236" ht="30" customHeight="1">
      <c r="A236" s="58" t="inlineStr">
        <is>
          <t>Kết quả mong đợi</t>
        </is>
      </c>
      <c r="B236" s="59" t="n"/>
      <c r="C236" s="59" t="n"/>
      <c r="D236" s="59" t="n"/>
      <c r="E236" s="59" t="n"/>
    </row>
    <row r="237" ht="44" customHeight="1">
      <c r="A237" s="47" t="inlineStr">
        <is>
          <t>1.</t>
        </is>
      </c>
      <c r="B237" s="56" t="inlineStr">
        <is>
          <t>[incomplete-excluded]: dòng nhập dở hiện chưa thiết lập và cho mở ngưỡng; không tạo ngưỡng 0 ngầm. Bộ xét chọn đúng rule đối chứng T=30, S01=29 Đỏ; rule nhập dở không tham gia xét.</t>
        </is>
      </c>
      <c r="C237" s="57" t="n"/>
      <c r="D237" s="57" t="n"/>
      <c r="E237" s="57" t="n"/>
    </row>
    <row r="238" ht="61" customHeight="1">
      <c r="A238" s="47" t="inlineStr">
        <is>
          <t>2.</t>
        </is>
      </c>
      <c r="B238" s="56" t="inlineStr">
        <is>
          <t>[complete-deleted-stale]: lưu form cũ không phục hồi rule đã xóa trong danh sách hoặc bộ xét. Trước lần xét lại, S01 vẫn giữ điểm 29 và kết quả Đỏ/T=30 đã hoàn tất. Sau lần xét lại, bộ xét chọn đúng identity rule đối chứng T=20 → Không đỏ; lượt tắt lọc hiện 29 không dấu đỏ, lượt bật lọc không có S01.</t>
        </is>
      </c>
      <c r="C238" s="57" t="n"/>
      <c r="D238" s="57" t="n"/>
      <c r="E238" s="57" t="n"/>
    </row>
    <row r="239" ht="78" customHeight="1">
      <c r="A239" s="47" t="inlineStr">
        <is>
          <t>3.</t>
        </is>
      </c>
      <c r="B239" s="56" t="inlineStr">
        <is>
          <t>[incomplete-deleted-stale]: T=40 gửi từ form cũ không làm rule nhập dở đã xóa sống lại hoặc trở thành rule hoàn chỉnh. Sau lần xét lại, bộ xét vẫn chọn đúng rule đối chứng T=20 → Không đỏ, điểm 29 giữ nguyên; lượt tắt lọc không có dấu đỏ, lượt bật lọc không có S01. Nếu rule 40 bị phục hồi thì 29&lt;40 sẽ Đỏ, nên không được PASS trường hợp đó dù danh sách đã ẩn rule.</t>
        </is>
      </c>
      <c r="C239" s="57" t="n"/>
      <c r="D239" s="57" t="n"/>
      <c r="E239" s="57" t="n"/>
    </row>
    <row r="240" ht="61" customHeight="1">
      <c r="A240" s="47" t="inlineStr">
        <is>
          <t>4.</t>
        </is>
      </c>
      <c r="B240" s="56" t="inlineStr">
        <is>
          <t>Rule đối chứng giữ nguyên cấu hình/identity ở cả hai biến thể stale-form. Nếu từ chối form cũ, thông báo an toàn; không áp đặt mã HTTP hoặc enum/schema chưa được xác nhận. Thiếu seam gửi form, chạy xét hoặc reader đáng tin thì ghi BLOCKED cho biến thể liên quan.</t>
        </is>
      </c>
      <c r="C240" s="57" t="n"/>
      <c r="D240" s="57" t="n"/>
      <c r="E240" s="57" t="n"/>
    </row>
    <row r="241" ht="44" customHeight="1">
      <c r="A241" s="47" t="inlineStr">
        <is>
          <t>Giữ nguyên</t>
        </is>
      </c>
      <c r="B241" s="56" t="inlineStr">
        <is>
          <t>• Giữ điểm, cấu hình và đối tượng không đích theo expected;
• Chỉ thay phần thủ tục yêu cầu, không tự đổi oracle hoặc mở rộng phạm vi.</t>
        </is>
      </c>
      <c r="C241" s="57" t="n"/>
      <c r="D241" s="57" t="n"/>
      <c r="E241" s="57" t="n"/>
    </row>
    <row r="242" ht="61" customHeight="1">
      <c r="A242" s="47" t="inlineStr">
        <is>
          <t>Quan sát tại</t>
        </is>
      </c>
      <c r="B242" s="56" t="inlineStr">
        <is>
          <t>• Dùng trích xuất không lọc để thấy cả ô đối chứng. Trạng thái không có dấu đỏ cần đọc thêm trạng thái lưu;
• Output Excel/PDF dùng file thật.</t>
        </is>
      </c>
      <c r="C242" s="57" t="n"/>
      <c r="D242" s="57" t="n"/>
      <c r="E242" s="57" t="n"/>
    </row>
    <row r="243" ht="30" customHeight="1">
      <c r="A243" s="58" t="inlineStr">
        <is>
          <t>Kết quả thực tế</t>
        </is>
      </c>
      <c r="B243" s="59" t="n"/>
      <c r="C243" s="59" t="n"/>
      <c r="D243" s="59" t="n"/>
      <c r="E243" s="59" t="n"/>
    </row>
    <row r="244" ht="30" customHeight="1">
      <c r="A244" s="60" t="inlineStr">
        <is>
          <t>TC-RS-FUNC-014 / incomplete-excluded</t>
        </is>
      </c>
      <c r="B244" s="36" t="n"/>
      <c r="C244" s="36" t="n"/>
      <c r="D244" s="36" t="n"/>
      <c r="E244" s="36" t="n"/>
    </row>
    <row r="245" ht="44" customHeight="1">
      <c r="A245" s="47" t="inlineStr">
        <is>
          <t>Dữ liệu biến thể</t>
        </is>
      </c>
      <c r="B245" s="56" t="inlineStr">
        <is>
          <t>Nhánh incomplete-excluded trong thủ tục và Expected của case; thực hiện các bước chuẩn bị chung trước nhánh</t>
        </is>
      </c>
      <c r="C245" s="57" t="n"/>
      <c r="D245" s="57" t="n"/>
      <c r="E245" s="57" t="n"/>
    </row>
    <row r="246" ht="30" customHeight="1">
      <c r="A246" s="47" t="inlineStr">
        <is>
          <t>Trạng thái</t>
        </is>
      </c>
      <c r="B246" s="61" t="inlineStr">
        <is>
          <t>Chưa thực hiện</t>
        </is>
      </c>
      <c r="C246" s="57" t="n"/>
      <c r="D246" s="57" t="n"/>
      <c r="E246" s="57" t="n"/>
    </row>
    <row r="247" ht="30" customHeight="1">
      <c r="A247" s="62" t="inlineStr">
        <is>
          <t>Kết quả thực tế</t>
        </is>
      </c>
    </row>
    <row r="248" ht="64" customHeight="1">
      <c r="A248" s="63" t="inlineStr"/>
      <c r="B248" s="64" t="n"/>
      <c r="C248" s="64" t="n"/>
      <c r="D248" s="64" t="n"/>
      <c r="E248" s="65" t="n"/>
    </row>
    <row r="249" ht="30" customHeight="1">
      <c r="A249" s="62" t="inlineStr">
        <is>
          <t>Ảnh minh chứng</t>
        </is>
      </c>
    </row>
    <row r="250" ht="90" customHeight="1">
      <c r="A250" s="63" t="inlineStr"/>
      <c r="B250" s="64" t="n"/>
      <c r="C250" s="64" t="n"/>
      <c r="D250" s="64" t="n"/>
      <c r="E250" s="65" t="n"/>
    </row>
    <row r="251" ht="12" customHeight="1">
      <c r="A251" s="66" t="inlineStr"/>
    </row>
    <row r="252" ht="30" customHeight="1">
      <c r="A252" s="60" t="inlineStr">
        <is>
          <t>TC-RS-FUNC-014 / complete-deleted-stale</t>
        </is>
      </c>
      <c r="B252" s="36" t="n"/>
      <c r="C252" s="36" t="n"/>
      <c r="D252" s="36" t="n"/>
      <c r="E252" s="36" t="n"/>
    </row>
    <row r="253" ht="44" customHeight="1">
      <c r="A253" s="47" t="inlineStr">
        <is>
          <t>Dữ liệu biến thể</t>
        </is>
      </c>
      <c r="B253" s="56" t="inlineStr">
        <is>
          <t>Nhánh complete-deleted-stale trong thủ tục và Expected của case; thực hiện các bước chuẩn bị chung trước nhánh</t>
        </is>
      </c>
      <c r="C253" s="57" t="n"/>
      <c r="D253" s="57" t="n"/>
      <c r="E253" s="57" t="n"/>
    </row>
    <row r="254" ht="30" customHeight="1">
      <c r="A254" s="47" t="inlineStr">
        <is>
          <t>Trạng thái</t>
        </is>
      </c>
      <c r="B254" s="61" t="inlineStr">
        <is>
          <t>Chưa thực hiện</t>
        </is>
      </c>
      <c r="C254" s="57" t="n"/>
      <c r="D254" s="57" t="n"/>
      <c r="E254" s="57" t="n"/>
    </row>
    <row r="255" ht="30" customHeight="1">
      <c r="A255" s="62" t="inlineStr">
        <is>
          <t>Kết quả thực tế</t>
        </is>
      </c>
    </row>
    <row r="256" ht="64" customHeight="1">
      <c r="A256" s="63" t="inlineStr"/>
      <c r="B256" s="64" t="n"/>
      <c r="C256" s="64" t="n"/>
      <c r="D256" s="64" t="n"/>
      <c r="E256" s="65" t="n"/>
    </row>
    <row r="257" ht="30" customHeight="1">
      <c r="A257" s="62" t="inlineStr">
        <is>
          <t>Ảnh minh chứng</t>
        </is>
      </c>
    </row>
    <row r="258" ht="90" customHeight="1">
      <c r="A258" s="63" t="inlineStr"/>
      <c r="B258" s="64" t="n"/>
      <c r="C258" s="64" t="n"/>
      <c r="D258" s="64" t="n"/>
      <c r="E258" s="65" t="n"/>
    </row>
    <row r="259" ht="12" customHeight="1">
      <c r="A259" s="66" t="inlineStr"/>
    </row>
    <row r="260" ht="30" customHeight="1">
      <c r="A260" s="60" t="inlineStr">
        <is>
          <t>TC-RS-FUNC-014 / incomplete-deleted-stale</t>
        </is>
      </c>
      <c r="B260" s="36" t="n"/>
      <c r="C260" s="36" t="n"/>
      <c r="D260" s="36" t="n"/>
      <c r="E260" s="36" t="n"/>
    </row>
    <row r="261" ht="44" customHeight="1">
      <c r="A261" s="47" t="inlineStr">
        <is>
          <t>Dữ liệu biến thể</t>
        </is>
      </c>
      <c r="B261" s="56" t="inlineStr">
        <is>
          <t>Nhánh incomplete-deleted-stale trong thủ tục và Expected của case; thực hiện các bước chuẩn bị chung trước nhánh</t>
        </is>
      </c>
      <c r="C261" s="57" t="n"/>
      <c r="D261" s="57" t="n"/>
      <c r="E261" s="57" t="n"/>
    </row>
    <row r="262" ht="30" customHeight="1">
      <c r="A262" s="47" t="inlineStr">
        <is>
          <t>Trạng thái</t>
        </is>
      </c>
      <c r="B262" s="61" t="inlineStr">
        <is>
          <t>Chưa thực hiện</t>
        </is>
      </c>
      <c r="C262" s="57" t="n"/>
      <c r="D262" s="57" t="n"/>
      <c r="E262" s="57" t="n"/>
    </row>
    <row r="263" ht="30" customHeight="1">
      <c r="A263" s="62" t="inlineStr">
        <is>
          <t>Kết quả thực tế</t>
        </is>
      </c>
    </row>
    <row r="264" ht="64" customHeight="1">
      <c r="A264" s="63" t="inlineStr"/>
      <c r="B264" s="64" t="n"/>
      <c r="C264" s="64" t="n"/>
      <c r="D264" s="64" t="n"/>
      <c r="E264" s="65" t="n"/>
    </row>
    <row r="265" ht="30" customHeight="1">
      <c r="A265" s="62" t="inlineStr">
        <is>
          <t>Ảnh minh chứng</t>
        </is>
      </c>
    </row>
    <row r="266" ht="90" customHeight="1">
      <c r="A266" s="63" t="inlineStr"/>
      <c r="B266" s="64" t="n"/>
      <c r="C266" s="64" t="n"/>
      <c r="D266" s="64" t="n"/>
      <c r="E266" s="65" t="n"/>
    </row>
    <row r="267" ht="12" customHeight="1">
      <c r="A267" s="66" t="inlineStr"/>
    </row>
    <row r="268" ht="20" customHeight="1">
      <c r="A268" s="66" t="inlineStr"/>
    </row>
    <row r="269" ht="30" customHeight="1">
      <c r="A269" s="46" t="inlineStr">
        <is>
          <t>TC-RS-FUNC-033 — Đổi tên quy tắc: giữ liên kết, thứ tự và kết quả</t>
        </is>
      </c>
      <c r="B269" s="23" t="n"/>
      <c r="C269" s="23" t="n"/>
      <c r="D269" s="23" t="n"/>
      <c r="E269" s="23" t="n"/>
    </row>
    <row r="270" ht="30" customHeight="1">
      <c r="A270" s="47" t="inlineStr">
        <is>
          <t>Trạng thái</t>
        </is>
      </c>
      <c r="B270" s="61" t="inlineStr">
        <is>
          <t>Chưa thực hiện</t>
        </is>
      </c>
      <c r="C270" s="57" t="n"/>
      <c r="D270" s="57" t="n"/>
      <c r="E270" s="57" t="n"/>
    </row>
    <row r="271" ht="30" customHeight="1">
      <c r="A271" s="47" t="inlineStr">
        <is>
          <t>Màn hình / chức năng</t>
        </is>
      </c>
      <c r="B271" s="47" t="inlineStr">
        <is>
          <t>Thiết lập điểm đỏ（赤点設定）</t>
        </is>
      </c>
      <c r="C271" s="57" t="n"/>
      <c r="D271" s="47" t="inlineStr">
        <is>
          <t>Đường dẫn</t>
        </is>
      </c>
      <c r="E271" s="56" t="inlineStr">
        <is>
          <t>Chưa xác minh</t>
        </is>
      </c>
    </row>
    <row r="272" ht="30" customHeight="1">
      <c r="A272" s="58" t="inlineStr">
        <is>
          <t>Điều kiện kiểm thử</t>
        </is>
      </c>
      <c r="B272" s="59" t="n"/>
      <c r="C272" s="59" t="n"/>
      <c r="D272" s="59" t="n"/>
      <c r="E272" s="59" t="n"/>
    </row>
    <row r="273" ht="30" customHeight="1">
      <c r="A273" s="47" t="inlineStr">
        <is>
          <t>Cấu hình</t>
        </is>
      </c>
      <c r="B273" s="56" t="inlineStr">
        <is>
          <t>• Quy tắc “Cố định 30” (dưới 30) đã xét: S01 Đỏ.</t>
        </is>
      </c>
      <c r="C273" s="57" t="n"/>
      <c r="D273" s="57" t="n"/>
      <c r="E273" s="57" t="n"/>
    </row>
    <row r="274" ht="61" customHeight="1">
      <c r="A274" s="47" t="inlineStr">
        <is>
          <t>Vai trò / quyền</t>
        </is>
      </c>
      <c r="B27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74" s="57" t="n"/>
      <c r="D274" s="57" t="n"/>
      <c r="E274" s="57" t="n"/>
    </row>
    <row r="275" ht="30" customHeight="1">
      <c r="A275" s="47" t="inlineStr">
        <is>
          <t>Dữ liệu test</t>
        </is>
      </c>
      <c r="B275" s="56" t="inlineStr">
        <is>
          <t>• Quy tắc “Cố định 30” (dưới 30), học sinh S01 (điểm 29)</t>
        </is>
      </c>
      <c r="C275" s="57" t="n"/>
      <c r="D275" s="57" t="n"/>
      <c r="E275" s="57" t="n"/>
    </row>
    <row r="276" ht="30" customHeight="1">
      <c r="A276" s="47" t="inlineStr">
        <is>
          <t>Trigger</t>
        </is>
      </c>
      <c r="B276" s="56" t="inlineStr">
        <is>
          <t>• Chỉ xem/xuất không tự chạy xét.</t>
        </is>
      </c>
      <c r="C276" s="57" t="n"/>
      <c r="D276" s="57" t="n"/>
      <c r="E276" s="57" t="n"/>
    </row>
    <row r="277" ht="44" customHeight="1">
      <c r="A277" s="47" t="inlineStr">
        <is>
          <t>Blocker</t>
        </is>
      </c>
      <c r="B277" s="56" t="inlineStr">
        <is>
          <t>• G-PREP-UNASSESSED: Chưa có xác minh fixture, đường thực hiện và phép quan sát trên build của từng case chưa đánh giá.</t>
        </is>
      </c>
      <c r="C277" s="57" t="n"/>
      <c r="D277" s="57" t="n"/>
      <c r="E277" s="57" t="n"/>
    </row>
    <row r="278" ht="30" customHeight="1">
      <c r="A278" s="58" t="inlineStr">
        <is>
          <t>Thao tác</t>
        </is>
      </c>
      <c r="B278" s="59" t="n"/>
      <c r="C278" s="59" t="n"/>
      <c r="D278" s="59" t="n"/>
      <c r="E278" s="59" t="n"/>
    </row>
    <row r="279" ht="30" customHeight="1">
      <c r="A279" s="47" t="inlineStr">
        <is>
          <t>Step 1</t>
        </is>
      </c>
      <c r="B279" s="56" t="inlineStr">
        <is>
          <t>Đổi tên quy tắc “Cố định 30” (dưới 30) từ "Cố định 30" thành "Ngưỡng học kỳ 1", Lưu.</t>
        </is>
      </c>
      <c r="C279" s="57" t="n"/>
      <c r="D279" s="57" t="n"/>
      <c r="E279" s="57" t="n"/>
    </row>
    <row r="280" ht="30" customHeight="1">
      <c r="A280" s="47" t="inlineStr">
        <is>
          <t>Step 2</t>
        </is>
      </c>
      <c r="B280" s="56" t="inlineStr">
        <is>
          <t>Xem danh sách và ba đầu ra.</t>
        </is>
      </c>
      <c r="C280" s="57" t="n"/>
      <c r="D280" s="57" t="n"/>
      <c r="E280" s="57" t="n"/>
    </row>
    <row r="281" ht="30" customHeight="1">
      <c r="A281" s="47" t="inlineStr">
        <is>
          <t>Step 3</t>
        </is>
      </c>
      <c r="B281" s="56" t="inlineStr">
        <is>
          <t>Chạy lại bằng đăng ký điểm S01=29.</t>
        </is>
      </c>
      <c r="C281" s="57" t="n"/>
      <c r="D281" s="57" t="n"/>
      <c r="E281" s="57" t="n"/>
    </row>
    <row r="282" ht="44" customHeight="1">
      <c r="A282" s="47" t="inlineStr">
        <is>
          <t>Reset</t>
        </is>
      </c>
      <c r="B282" s="56" t="inlineStr">
        <is>
          <t>Trước mỗi biến thể, dựng lại điều kiện/dữ liệu đầu của case bằng đường được phép; giữ các reset/fixture độc lập đã nêu trong thủ tục.</t>
        </is>
      </c>
      <c r="C282" s="57" t="n"/>
      <c r="D282" s="57" t="n"/>
      <c r="E282" s="57" t="n"/>
    </row>
    <row r="283" ht="30" customHeight="1">
      <c r="A283" s="58" t="inlineStr">
        <is>
          <t>Kết quả mong đợi</t>
        </is>
      </c>
      <c r="B283" s="59" t="n"/>
      <c r="C283" s="59" t="n"/>
      <c r="D283" s="59" t="n"/>
      <c r="E283" s="59" t="n"/>
    </row>
    <row r="284" ht="30" customHeight="1">
      <c r="A284" s="47" t="inlineStr">
        <is>
          <t>•</t>
        </is>
      </c>
      <c r="B284" s="56" t="inlineStr">
        <is>
          <t>1–2. Danh sách hiện tên mới ở cùng vị trí ưu tiên, tóm tắt không đổi; S01 vẫn Đỏ ở ba đầu ra.</t>
        </is>
      </c>
      <c r="C284" s="57" t="n"/>
      <c r="D284" s="57" t="n"/>
      <c r="E284" s="57" t="n"/>
    </row>
    <row r="285" ht="30" customHeight="1">
      <c r="A285" s="47" t="inlineStr">
        <is>
          <t>3.</t>
        </is>
      </c>
      <c r="B285" s="56" t="inlineStr">
        <is>
          <t>S01 Đỏ; quy tắc được chọn vẫn là quy tắc đã đổi tên (không tạo quy tắc mới, không mất liên kết).</t>
        </is>
      </c>
      <c r="C285" s="57" t="n"/>
      <c r="D285" s="57" t="n"/>
      <c r="E285" s="57" t="n"/>
    </row>
    <row r="286" ht="44" customHeight="1">
      <c r="A286" s="47" t="inlineStr">
        <is>
          <t>Giữ nguyên</t>
        </is>
      </c>
      <c r="B286" s="56" t="inlineStr">
        <is>
          <t>• Giữ điểm, cấu hình và đối tượng không đích theo expected;
• Chỉ thay phần thủ tục yêu cầu, không tự đổi oracle hoặc mở rộng phạm vi.</t>
        </is>
      </c>
      <c r="C286" s="57" t="n"/>
      <c r="D286" s="57" t="n"/>
      <c r="E286" s="57" t="n"/>
    </row>
    <row r="287" ht="61" customHeight="1">
      <c r="A287" s="47" t="inlineStr">
        <is>
          <t>Quan sát tại</t>
        </is>
      </c>
      <c r="B287" s="56" t="inlineStr">
        <is>
          <t>• Dùng trích xuất không lọc để thấy cả ô đối chứng. Trạng thái không có dấu đỏ cần đọc thêm trạng thái lưu;
• Output Excel/PDF dùng file thật.</t>
        </is>
      </c>
      <c r="C287" s="57" t="n"/>
      <c r="D287" s="57" t="n"/>
      <c r="E287" s="57" t="n"/>
    </row>
    <row r="288" ht="30" customHeight="1">
      <c r="A288" s="58" t="inlineStr">
        <is>
          <t>Kết quả thực tế</t>
        </is>
      </c>
      <c r="B288" s="59" t="n"/>
      <c r="C288" s="59" t="n"/>
      <c r="D288" s="59" t="n"/>
      <c r="E288" s="59" t="n"/>
    </row>
    <row r="289" ht="30" customHeight="1">
      <c r="A289" s="47" t="inlineStr">
        <is>
          <t>Dữ liệu biến thể</t>
        </is>
      </c>
      <c r="B289" s="56" t="inlineStr">
        <is>
          <t>Toàn bộ thủ tục theo đúng thứ tự; các đối chứng cùng fixture được kiểm trong cùng lượt, không bỏ bước</t>
        </is>
      </c>
      <c r="C289" s="57" t="n"/>
      <c r="D289" s="57" t="n"/>
      <c r="E289" s="57" t="n"/>
    </row>
    <row r="290" ht="30" customHeight="1">
      <c r="A290" s="62" t="inlineStr">
        <is>
          <t>Kết quả thực tế</t>
        </is>
      </c>
    </row>
    <row r="291" ht="64" customHeight="1">
      <c r="A291" s="63" t="inlineStr"/>
      <c r="B291" s="64" t="n"/>
      <c r="C291" s="64" t="n"/>
      <c r="D291" s="64" t="n"/>
      <c r="E291" s="65" t="n"/>
    </row>
    <row r="292" ht="30" customHeight="1">
      <c r="A292" s="62" t="inlineStr">
        <is>
          <t>Ảnh minh chứng</t>
        </is>
      </c>
    </row>
    <row r="293" ht="90" customHeight="1">
      <c r="A293" s="63" t="inlineStr"/>
      <c r="B293" s="64" t="n"/>
      <c r="C293" s="64" t="n"/>
      <c r="D293" s="64" t="n"/>
      <c r="E293" s="65" t="n"/>
    </row>
    <row r="294" ht="12" customHeight="1">
      <c r="A294" s="66" t="inlineStr"/>
    </row>
    <row r="295" ht="20" customHeight="1">
      <c r="A295" s="66" t="inlineStr"/>
    </row>
    <row r="296" ht="30" customHeight="1">
      <c r="A296" s="46" t="inlineStr">
        <is>
          <t>TC-RS-VAL-014 — Tên thiết lập: bắt buộc, độ dài, trùng tên</t>
        </is>
      </c>
      <c r="B296" s="23" t="n"/>
      <c r="C296" s="23" t="n"/>
      <c r="D296" s="23" t="n"/>
      <c r="E296" s="23" t="n"/>
    </row>
    <row r="297" ht="30" customHeight="1">
      <c r="A297" s="47" t="inlineStr">
        <is>
          <t>Trạng thái</t>
        </is>
      </c>
      <c r="B297" s="56">
        <f>IF(0&gt;0,"Không đạt",IF(0=6,"Đạt",IF(SUMPRODUCT(--EXACT('Testcases'!B317:B357,"Không thực hiện"))=6,"Không thực hiện",IF(SUMPRODUCT(--EXACT('Testcases'!B317:B357,"Bị chặn"))&gt;0,"Bị chặn",IF(SUMPRODUCT(--EXACT('Testcases'!B317:B357,"Chưa thực hiện"))=6,"Chưa thực hiện","Chưa đủ kết luận")))))</f>
        <v/>
      </c>
      <c r="C297" s="57" t="n"/>
      <c r="D297" s="57" t="n"/>
      <c r="E297" s="57" t="n"/>
    </row>
    <row r="298" ht="30" customHeight="1">
      <c r="A298" s="47" t="inlineStr">
        <is>
          <t>Màn hình / chức năng</t>
        </is>
      </c>
      <c r="B298" s="47" t="inlineStr">
        <is>
          <t>Thiết lập điểm đỏ（赤点設定）</t>
        </is>
      </c>
      <c r="C298" s="57" t="n"/>
      <c r="D298" s="47" t="inlineStr">
        <is>
          <t>Đường dẫn</t>
        </is>
      </c>
      <c r="E298" s="56" t="inlineStr">
        <is>
          <t>Chưa xác minh</t>
        </is>
      </c>
    </row>
    <row r="299" ht="30" customHeight="1">
      <c r="A299" s="58" t="inlineStr">
        <is>
          <t>Điều kiện kiểm thử</t>
        </is>
      </c>
      <c r="B299" s="59" t="n"/>
      <c r="C299" s="59" t="n"/>
      <c r="D299" s="59" t="n"/>
      <c r="E299" s="59" t="n"/>
    </row>
    <row r="300" ht="30" customHeight="1">
      <c r="A300" s="47" t="inlineStr">
        <is>
          <t>Cấu hình</t>
        </is>
      </c>
      <c r="B300" s="56" t="inlineStr">
        <is>
          <t>• Màn thêm quy tắc.</t>
        </is>
      </c>
      <c r="C300" s="57" t="n"/>
      <c r="D300" s="57" t="n"/>
      <c r="E300" s="57" t="n"/>
    </row>
    <row r="301" ht="61" customHeight="1">
      <c r="A301" s="47" t="inlineStr">
        <is>
          <t>Vai trò / quyền</t>
        </is>
      </c>
      <c r="B30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01" s="57" t="n"/>
      <c r="D301" s="57" t="n"/>
      <c r="E301" s="57" t="n"/>
    </row>
    <row r="302" ht="112" customHeight="1">
      <c r="A302" s="47" t="inlineStr">
        <is>
          <t>Dữ liệu test</t>
        </is>
      </c>
      <c r="B302" s="56" t="inlineStr">
        <is>
          <t>• Tên trống;
• Tên chỉ khoảng trắng;
• 255 Ký tự;
• 256 Ký tự;
• 255 Ký tự có thêm khoảng trắng ở đầu và cuối;
• Hai quy tắc cùng tên</t>
        </is>
      </c>
      <c r="C302" s="57" t="n"/>
      <c r="D302" s="57" t="n"/>
      <c r="E302" s="57" t="n"/>
    </row>
    <row r="303" ht="30" customHeight="1">
      <c r="A303" s="47" t="inlineStr">
        <is>
          <t>Trigger</t>
        </is>
      </c>
      <c r="B303" s="56" t="inlineStr">
        <is>
          <t>• Chỉ xem/xuất không tự chạy xét.</t>
        </is>
      </c>
      <c r="C303" s="57" t="n"/>
      <c r="D303" s="57" t="n"/>
      <c r="E303" s="57" t="n"/>
    </row>
    <row r="304" ht="44" customHeight="1">
      <c r="A304" s="47" t="inlineStr">
        <is>
          <t>Blocker</t>
        </is>
      </c>
      <c r="B304" s="56" t="inlineStr">
        <is>
          <t>• G-PREP-UNASSESSED: Chưa có xác minh fixture, đường thực hiện và phép quan sát trên build của từng case chưa đánh giá.</t>
        </is>
      </c>
      <c r="C304" s="57" t="n"/>
      <c r="D304" s="57" t="n"/>
      <c r="E304" s="57" t="n"/>
    </row>
    <row r="305" ht="30" customHeight="1">
      <c r="A305" s="58" t="inlineStr">
        <is>
          <t>Thao tác</t>
        </is>
      </c>
      <c r="B305" s="59" t="n"/>
      <c r="C305" s="59" t="n"/>
      <c r="D305" s="59" t="n"/>
      <c r="E305" s="59" t="n"/>
    </row>
    <row r="306" ht="30" customHeight="1">
      <c r="A306" s="47" t="inlineStr">
        <is>
          <t>Step 1</t>
        </is>
      </c>
      <c r="B306" s="56" t="inlineStr">
        <is>
          <t>Nhập từng giá trị, Lưu, mở lại.</t>
        </is>
      </c>
      <c r="C306" s="57" t="n"/>
      <c r="D306" s="57" t="n"/>
      <c r="E306" s="57" t="n"/>
    </row>
    <row r="307" ht="30" customHeight="1">
      <c r="A307" s="47" t="inlineStr">
        <is>
          <t>Step 2</t>
        </is>
      </c>
      <c r="B307" s="56" t="inlineStr">
        <is>
          <t>Tạo quy tắc thứ hai trùng tên quy tắc thứ nhất, Lưu.</t>
        </is>
      </c>
      <c r="C307" s="57" t="n"/>
      <c r="D307" s="57" t="n"/>
      <c r="E307" s="57" t="n"/>
    </row>
    <row r="308" ht="44" customHeight="1">
      <c r="A308" s="47" t="inlineStr">
        <is>
          <t>Reset</t>
        </is>
      </c>
      <c r="B308" s="56" t="inlineStr">
        <is>
          <t>Trước mỗi biến thể, dựng lại điều kiện/dữ liệu đầu của case bằng đường được phép; giữ các reset/fixture độc lập đã nêu trong thủ tục.</t>
        </is>
      </c>
      <c r="C308" s="57" t="n"/>
      <c r="D308" s="57" t="n"/>
      <c r="E308" s="57" t="n"/>
    </row>
    <row r="309" ht="30" customHeight="1">
      <c r="A309" s="58" t="inlineStr">
        <is>
          <t>Kết quả mong đợi</t>
        </is>
      </c>
      <c r="B309" s="59" t="n"/>
      <c r="C309" s="59" t="n"/>
      <c r="D309" s="59" t="n"/>
      <c r="E309" s="59" t="n"/>
    </row>
    <row r="310" ht="44" customHeight="1">
      <c r="A310" s="47" t="inlineStr">
        <is>
          <t>1.</t>
        </is>
      </c>
      <c r="B310" s="56" t="inlineStr">
        <is>
          <t>Trống/chỉ khoảng trắng: không lưu được. 255 ký tự: lưu được, mở lại đủ. 256 ký tự: bị từ chối, không tự cắt. 255 ký tự kèm khoảng trắng đầu/cuối: lưu được, tên lưu đã bỏ khoảng trắng đầu/cuối (đủ 255 ký tự).</t>
        </is>
      </c>
      <c r="C310" s="57" t="n"/>
      <c r="D310" s="57" t="n"/>
      <c r="E310" s="57" t="n"/>
    </row>
    <row r="311" ht="30" customHeight="1">
      <c r="A311" s="47" t="inlineStr">
        <is>
          <t>2.</t>
        </is>
      </c>
      <c r="B311" s="56" t="inlineStr">
        <is>
          <t>Lưu được; hai dòng riêng theo ưu tiên.</t>
        </is>
      </c>
      <c r="C311" s="57" t="n"/>
      <c r="D311" s="57" t="n"/>
      <c r="E311" s="57" t="n"/>
    </row>
    <row r="312" ht="44" customHeight="1">
      <c r="A312" s="47" t="inlineStr">
        <is>
          <t>Giữ nguyên</t>
        </is>
      </c>
      <c r="B312" s="56" t="inlineStr">
        <is>
          <t>• Giữ điểm, cấu hình và đối tượng không đích theo expected;
• Chỉ thay phần thủ tục yêu cầu, không tự đổi oracle hoặc mở rộng phạm vi.</t>
        </is>
      </c>
      <c r="C312" s="57" t="n"/>
      <c r="D312" s="57" t="n"/>
      <c r="E312" s="57" t="n"/>
    </row>
    <row r="313" ht="61" customHeight="1">
      <c r="A313" s="47" t="inlineStr">
        <is>
          <t>Quan sát tại</t>
        </is>
      </c>
      <c r="B313" s="56" t="inlineStr">
        <is>
          <t>• Dùng trích xuất không lọc để thấy cả ô đối chứng. Trạng thái không có dấu đỏ cần đọc thêm trạng thái lưu;
• Output Excel/PDF dùng file thật.</t>
        </is>
      </c>
      <c r="C313" s="57" t="n"/>
      <c r="D313" s="57" t="n"/>
      <c r="E313" s="57" t="n"/>
    </row>
    <row r="314" ht="30" customHeight="1">
      <c r="A314" s="58" t="inlineStr">
        <is>
          <t>Kết quả thực tế</t>
        </is>
      </c>
      <c r="B314" s="59" t="n"/>
      <c r="C314" s="59" t="n"/>
      <c r="D314" s="59" t="n"/>
      <c r="E314" s="59" t="n"/>
    </row>
    <row r="315" ht="30" customHeight="1">
      <c r="A315" s="60" t="inlineStr">
        <is>
          <t>TC-RS-VAL-014 / empty</t>
        </is>
      </c>
      <c r="B315" s="36" t="n"/>
      <c r="C315" s="36" t="n"/>
      <c r="D315" s="36" t="n"/>
      <c r="E315" s="36" t="n"/>
    </row>
    <row r="316" ht="30" customHeight="1">
      <c r="A316" s="47" t="inlineStr">
        <is>
          <t>Dữ liệu biến thể</t>
        </is>
      </c>
      <c r="B316" s="56" t="inlineStr">
        <is>
          <t>Tên trống</t>
        </is>
      </c>
      <c r="C316" s="57" t="n"/>
      <c r="D316" s="57" t="n"/>
      <c r="E316" s="57" t="n"/>
    </row>
    <row r="317" ht="30" customHeight="1">
      <c r="A317" s="47" t="inlineStr">
        <is>
          <t>Trạng thái</t>
        </is>
      </c>
      <c r="B317" s="61" t="inlineStr">
        <is>
          <t>Chưa thực hiện</t>
        </is>
      </c>
      <c r="C317" s="57" t="n"/>
      <c r="D317" s="57" t="n"/>
      <c r="E317" s="57" t="n"/>
    </row>
    <row r="318" ht="30" customHeight="1">
      <c r="A318" s="62" t="inlineStr">
        <is>
          <t>Kết quả thực tế</t>
        </is>
      </c>
    </row>
    <row r="319" ht="64" customHeight="1">
      <c r="A319" s="63" t="inlineStr"/>
      <c r="B319" s="64" t="n"/>
      <c r="C319" s="64" t="n"/>
      <c r="D319" s="64" t="n"/>
      <c r="E319" s="65" t="n"/>
    </row>
    <row r="320" ht="30" customHeight="1">
      <c r="A320" s="62" t="inlineStr">
        <is>
          <t>Ảnh minh chứng</t>
        </is>
      </c>
    </row>
    <row r="321" ht="90" customHeight="1">
      <c r="A321" s="63" t="inlineStr"/>
      <c r="B321" s="64" t="n"/>
      <c r="C321" s="64" t="n"/>
      <c r="D321" s="64" t="n"/>
      <c r="E321" s="65" t="n"/>
    </row>
    <row r="322" ht="12" customHeight="1">
      <c r="A322" s="66" t="inlineStr"/>
    </row>
    <row r="323" ht="30" customHeight="1">
      <c r="A323" s="60" t="inlineStr">
        <is>
          <t>TC-RS-VAL-014 / space</t>
        </is>
      </c>
      <c r="B323" s="36" t="n"/>
      <c r="C323" s="36" t="n"/>
      <c r="D323" s="36" t="n"/>
      <c r="E323" s="36" t="n"/>
    </row>
    <row r="324" ht="30" customHeight="1">
      <c r="A324" s="47" t="inlineStr">
        <is>
          <t>Dữ liệu biến thể</t>
        </is>
      </c>
      <c r="B324" s="56" t="inlineStr">
        <is>
          <t>Chỉ khoảng trắng</t>
        </is>
      </c>
      <c r="C324" s="57" t="n"/>
      <c r="D324" s="57" t="n"/>
      <c r="E324" s="57" t="n"/>
    </row>
    <row r="325" ht="30" customHeight="1">
      <c r="A325" s="47" t="inlineStr">
        <is>
          <t>Trạng thái</t>
        </is>
      </c>
      <c r="B325" s="61" t="inlineStr">
        <is>
          <t>Chưa thực hiện</t>
        </is>
      </c>
      <c r="C325" s="57" t="n"/>
      <c r="D325" s="57" t="n"/>
      <c r="E325" s="57" t="n"/>
    </row>
    <row r="326" ht="30" customHeight="1">
      <c r="A326" s="62" t="inlineStr">
        <is>
          <t>Kết quả thực tế</t>
        </is>
      </c>
    </row>
    <row r="327" ht="64" customHeight="1">
      <c r="A327" s="63" t="inlineStr"/>
      <c r="B327" s="64" t="n"/>
      <c r="C327" s="64" t="n"/>
      <c r="D327" s="64" t="n"/>
      <c r="E327" s="65" t="n"/>
    </row>
    <row r="328" ht="30" customHeight="1">
      <c r="A328" s="62" t="inlineStr">
        <is>
          <t>Ảnh minh chứng</t>
        </is>
      </c>
    </row>
    <row r="329" ht="90" customHeight="1">
      <c r="A329" s="63" t="inlineStr"/>
      <c r="B329" s="64" t="n"/>
      <c r="C329" s="64" t="n"/>
      <c r="D329" s="64" t="n"/>
      <c r="E329" s="65" t="n"/>
    </row>
    <row r="330" ht="12" customHeight="1">
      <c r="A330" s="66" t="inlineStr"/>
    </row>
    <row r="331" ht="30" customHeight="1">
      <c r="A331" s="60" t="inlineStr">
        <is>
          <t>TC-RS-VAL-014 / len255</t>
        </is>
      </c>
      <c r="B331" s="36" t="n"/>
      <c r="C331" s="36" t="n"/>
      <c r="D331" s="36" t="n"/>
      <c r="E331" s="36" t="n"/>
    </row>
    <row r="332" ht="30" customHeight="1">
      <c r="A332" s="47" t="inlineStr">
        <is>
          <t>Dữ liệu biến thể</t>
        </is>
      </c>
      <c r="B332" s="56" t="inlineStr">
        <is>
          <t>255 Ký tự</t>
        </is>
      </c>
      <c r="C332" s="57" t="n"/>
      <c r="D332" s="57" t="n"/>
      <c r="E332" s="57" t="n"/>
    </row>
    <row r="333" ht="30" customHeight="1">
      <c r="A333" s="47" t="inlineStr">
        <is>
          <t>Trạng thái</t>
        </is>
      </c>
      <c r="B333" s="61" t="inlineStr">
        <is>
          <t>Chưa thực hiện</t>
        </is>
      </c>
      <c r="C333" s="57" t="n"/>
      <c r="D333" s="57" t="n"/>
      <c r="E333" s="57" t="n"/>
    </row>
    <row r="334" ht="30" customHeight="1">
      <c r="A334" s="62" t="inlineStr">
        <is>
          <t>Kết quả thực tế</t>
        </is>
      </c>
    </row>
    <row r="335" ht="64" customHeight="1">
      <c r="A335" s="63" t="inlineStr"/>
      <c r="B335" s="64" t="n"/>
      <c r="C335" s="64" t="n"/>
      <c r="D335" s="64" t="n"/>
      <c r="E335" s="65" t="n"/>
    </row>
    <row r="336" ht="30" customHeight="1">
      <c r="A336" s="62" t="inlineStr">
        <is>
          <t>Ảnh minh chứng</t>
        </is>
      </c>
    </row>
    <row r="337" ht="90" customHeight="1">
      <c r="A337" s="63" t="inlineStr"/>
      <c r="B337" s="64" t="n"/>
      <c r="C337" s="64" t="n"/>
      <c r="D337" s="64" t="n"/>
      <c r="E337" s="65" t="n"/>
    </row>
    <row r="338" ht="12" customHeight="1">
      <c r="A338" s="66" t="inlineStr"/>
    </row>
    <row r="339" ht="30" customHeight="1">
      <c r="A339" s="60" t="inlineStr">
        <is>
          <t>TC-RS-VAL-014 / len256</t>
        </is>
      </c>
      <c r="B339" s="36" t="n"/>
      <c r="C339" s="36" t="n"/>
      <c r="D339" s="36" t="n"/>
      <c r="E339" s="36" t="n"/>
    </row>
    <row r="340" ht="30" customHeight="1">
      <c r="A340" s="47" t="inlineStr">
        <is>
          <t>Dữ liệu biến thể</t>
        </is>
      </c>
      <c r="B340" s="56" t="inlineStr">
        <is>
          <t>256 Ký tự</t>
        </is>
      </c>
      <c r="C340" s="57" t="n"/>
      <c r="D340" s="57" t="n"/>
      <c r="E340" s="57" t="n"/>
    </row>
    <row r="341" ht="30" customHeight="1">
      <c r="A341" s="47" t="inlineStr">
        <is>
          <t>Trạng thái</t>
        </is>
      </c>
      <c r="B341" s="61" t="inlineStr">
        <is>
          <t>Chưa thực hiện</t>
        </is>
      </c>
      <c r="C341" s="57" t="n"/>
      <c r="D341" s="57" t="n"/>
      <c r="E341" s="57" t="n"/>
    </row>
    <row r="342" ht="30" customHeight="1">
      <c r="A342" s="62" t="inlineStr">
        <is>
          <t>Kết quả thực tế</t>
        </is>
      </c>
    </row>
    <row r="343" ht="64" customHeight="1">
      <c r="A343" s="63" t="inlineStr"/>
      <c r="B343" s="64" t="n"/>
      <c r="C343" s="64" t="n"/>
      <c r="D343" s="64" t="n"/>
      <c r="E343" s="65" t="n"/>
    </row>
    <row r="344" ht="30" customHeight="1">
      <c r="A344" s="62" t="inlineStr">
        <is>
          <t>Ảnh minh chứng</t>
        </is>
      </c>
    </row>
    <row r="345" ht="90" customHeight="1">
      <c r="A345" s="63" t="inlineStr"/>
      <c r="B345" s="64" t="n"/>
      <c r="C345" s="64" t="n"/>
      <c r="D345" s="64" t="n"/>
      <c r="E345" s="65" t="n"/>
    </row>
    <row r="346" ht="12" customHeight="1">
      <c r="A346" s="66" t="inlineStr"/>
    </row>
    <row r="347" ht="30" customHeight="1">
      <c r="A347" s="60" t="inlineStr">
        <is>
          <t>TC-RS-VAL-014 / padded255</t>
        </is>
      </c>
      <c r="B347" s="36" t="n"/>
      <c r="C347" s="36" t="n"/>
      <c r="D347" s="36" t="n"/>
      <c r="E347" s="36" t="n"/>
    </row>
    <row r="348" ht="30" customHeight="1">
      <c r="A348" s="47" t="inlineStr">
        <is>
          <t>Dữ liệu biến thể</t>
        </is>
      </c>
      <c r="B348" s="56" t="inlineStr">
        <is>
          <t>255 Ký tự kèm khoảng trắng</t>
        </is>
      </c>
      <c r="C348" s="57" t="n"/>
      <c r="D348" s="57" t="n"/>
      <c r="E348" s="57" t="n"/>
    </row>
    <row r="349" ht="30" customHeight="1">
      <c r="A349" s="47" t="inlineStr">
        <is>
          <t>Trạng thái</t>
        </is>
      </c>
      <c r="B349" s="61" t="inlineStr">
        <is>
          <t>Chưa thực hiện</t>
        </is>
      </c>
      <c r="C349" s="57" t="n"/>
      <c r="D349" s="57" t="n"/>
      <c r="E349" s="57" t="n"/>
    </row>
    <row r="350" ht="30" customHeight="1">
      <c r="A350" s="62" t="inlineStr">
        <is>
          <t>Kết quả thực tế</t>
        </is>
      </c>
    </row>
    <row r="351" ht="64" customHeight="1">
      <c r="A351" s="63" t="inlineStr"/>
      <c r="B351" s="64" t="n"/>
      <c r="C351" s="64" t="n"/>
      <c r="D351" s="64" t="n"/>
      <c r="E351" s="65" t="n"/>
    </row>
    <row r="352" ht="30" customHeight="1">
      <c r="A352" s="62" t="inlineStr">
        <is>
          <t>Ảnh minh chứng</t>
        </is>
      </c>
    </row>
    <row r="353" ht="90" customHeight="1">
      <c r="A353" s="63" t="inlineStr"/>
      <c r="B353" s="64" t="n"/>
      <c r="C353" s="64" t="n"/>
      <c r="D353" s="64" t="n"/>
      <c r="E353" s="65" t="n"/>
    </row>
    <row r="354" ht="12" customHeight="1">
      <c r="A354" s="66" t="inlineStr"/>
    </row>
    <row r="355" ht="30" customHeight="1">
      <c r="A355" s="60" t="inlineStr">
        <is>
          <t>TC-RS-VAL-014 / duplicate</t>
        </is>
      </c>
      <c r="B355" s="36" t="n"/>
      <c r="C355" s="36" t="n"/>
      <c r="D355" s="36" t="n"/>
      <c r="E355" s="36" t="n"/>
    </row>
    <row r="356" ht="30" customHeight="1">
      <c r="A356" s="47" t="inlineStr">
        <is>
          <t>Dữ liệu biến thể</t>
        </is>
      </c>
      <c r="B356" s="56" t="inlineStr">
        <is>
          <t>Trùng tên</t>
        </is>
      </c>
      <c r="C356" s="57" t="n"/>
      <c r="D356" s="57" t="n"/>
      <c r="E356" s="57" t="n"/>
    </row>
    <row r="357" ht="30" customHeight="1">
      <c r="A357" s="47" t="inlineStr">
        <is>
          <t>Trạng thái</t>
        </is>
      </c>
      <c r="B357" s="61" t="inlineStr">
        <is>
          <t>Chưa thực hiện</t>
        </is>
      </c>
      <c r="C357" s="57" t="n"/>
      <c r="D357" s="57" t="n"/>
      <c r="E357" s="57" t="n"/>
    </row>
    <row r="358" ht="30" customHeight="1">
      <c r="A358" s="62" t="inlineStr">
        <is>
          <t>Kết quả thực tế</t>
        </is>
      </c>
    </row>
    <row r="359" ht="64" customHeight="1">
      <c r="A359" s="63" t="inlineStr"/>
      <c r="B359" s="64" t="n"/>
      <c r="C359" s="64" t="n"/>
      <c r="D359" s="64" t="n"/>
      <c r="E359" s="65" t="n"/>
    </row>
    <row r="360" ht="30" customHeight="1">
      <c r="A360" s="62" t="inlineStr">
        <is>
          <t>Ảnh minh chứng</t>
        </is>
      </c>
    </row>
    <row r="361" ht="90" customHeight="1">
      <c r="A361" s="63" t="inlineStr"/>
      <c r="B361" s="64" t="n"/>
      <c r="C361" s="64" t="n"/>
      <c r="D361" s="64" t="n"/>
      <c r="E361" s="65" t="n"/>
    </row>
    <row r="362" ht="12" customHeight="1">
      <c r="A362" s="66" t="inlineStr"/>
    </row>
    <row r="363" ht="20" customHeight="1">
      <c r="A363" s="66" t="inlineStr"/>
    </row>
    <row r="364" ht="30" customHeight="1">
      <c r="A364" s="46" t="inlineStr">
        <is>
          <t>TC-RS-VAL-016 — Lỗi khi lưu không làm mất cấu hình/kết quả đã lưu</t>
        </is>
      </c>
      <c r="B364" s="23" t="n"/>
      <c r="C364" s="23" t="n"/>
      <c r="D364" s="23" t="n"/>
      <c r="E364" s="23" t="n"/>
    </row>
    <row r="365" ht="30" customHeight="1">
      <c r="A365" s="47" t="inlineStr">
        <is>
          <t>Trạng thái</t>
        </is>
      </c>
      <c r="B365" s="61" t="inlineStr">
        <is>
          <t>Chưa thực hiện</t>
        </is>
      </c>
      <c r="C365" s="57" t="n"/>
      <c r="D365" s="57" t="n"/>
      <c r="E365" s="57" t="n"/>
    </row>
    <row r="366" ht="30" customHeight="1">
      <c r="A366" s="47" t="inlineStr">
        <is>
          <t>Màn hình / chức năng</t>
        </is>
      </c>
      <c r="B366" s="47" t="inlineStr">
        <is>
          <t>Thiết lập điểm đỏ（赤点設定）</t>
        </is>
      </c>
      <c r="C366" s="57" t="n"/>
      <c r="D366" s="47" t="inlineStr">
        <is>
          <t>Đường dẫn</t>
        </is>
      </c>
      <c r="E366" s="56" t="inlineStr">
        <is>
          <t>Chưa xác minh</t>
        </is>
      </c>
    </row>
    <row r="367" ht="30" customHeight="1">
      <c r="A367" s="58" t="inlineStr">
        <is>
          <t>Điều kiện kiểm thử</t>
        </is>
      </c>
      <c r="B367" s="59" t="n"/>
      <c r="C367" s="59" t="n"/>
      <c r="D367" s="59" t="n"/>
      <c r="E367" s="59" t="n"/>
    </row>
    <row r="368" ht="44" customHeight="1">
      <c r="A368" s="47" t="inlineStr">
        <is>
          <t>Cấu hình</t>
        </is>
      </c>
      <c r="B368" s="56" t="inlineStr">
        <is>
          <t>• Quy tắc “Cố định 30” (dưới 30) đã lưu;
• S01 Đỏ.</t>
        </is>
      </c>
      <c r="C368" s="57" t="n"/>
      <c r="D368" s="57" t="n"/>
      <c r="E368" s="57" t="n"/>
    </row>
    <row r="369" ht="61" customHeight="1">
      <c r="A369" s="47" t="inlineStr">
        <is>
          <t>Vai trò / quyền</t>
        </is>
      </c>
      <c r="B36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69" s="57" t="n"/>
      <c r="D369" s="57" t="n"/>
      <c r="E369" s="57" t="n"/>
    </row>
    <row r="370" ht="44" customHeight="1">
      <c r="A370" s="47" t="inlineStr">
        <is>
          <t>Dữ liệu test</t>
        </is>
      </c>
      <c r="B370" s="56" t="inlineStr">
        <is>
          <t>• Quy tắc “Cố định 30” (dưới 30);
• N = 101</t>
        </is>
      </c>
      <c r="C370" s="57" t="n"/>
      <c r="D370" s="57" t="n"/>
      <c r="E370" s="57" t="n"/>
    </row>
    <row r="371" ht="30" customHeight="1">
      <c r="A371" s="47" t="inlineStr">
        <is>
          <t>Trigger</t>
        </is>
      </c>
      <c r="B371" s="56" t="inlineStr">
        <is>
          <t>• Chỉ xem/xuất không tự chạy xét.</t>
        </is>
      </c>
      <c r="C371" s="57" t="n"/>
      <c r="D371" s="57" t="n"/>
      <c r="E371" s="57" t="n"/>
    </row>
    <row r="372" ht="44" customHeight="1">
      <c r="A372" s="47" t="inlineStr">
        <is>
          <t>Blocker</t>
        </is>
      </c>
      <c r="B372" s="56" t="inlineStr">
        <is>
          <t>• G-PREP-UNASSESSED: Chưa có xác minh fixture, đường thực hiện và phép quan sát trên build của từng case chưa đánh giá.</t>
        </is>
      </c>
      <c r="C372" s="57" t="n"/>
      <c r="D372" s="57" t="n"/>
      <c r="E372" s="57" t="n"/>
    </row>
    <row r="373" ht="30" customHeight="1">
      <c r="A373" s="58" t="inlineStr">
        <is>
          <t>Thao tác</t>
        </is>
      </c>
      <c r="B373" s="59" t="n"/>
      <c r="C373" s="59" t="n"/>
      <c r="D373" s="59" t="n"/>
      <c r="E373" s="59" t="n"/>
    </row>
    <row r="374" ht="30" customHeight="1">
      <c r="A374" s="47" t="inlineStr">
        <is>
          <t>Step 1</t>
        </is>
      </c>
      <c r="B374" s="56" t="inlineStr">
        <is>
          <t>Mở quy tắc “Cố định 30” (dưới 30), đổi N=101, Lưu (lỗi).</t>
        </is>
      </c>
      <c r="C374" s="57" t="n"/>
      <c r="D374" s="57" t="n"/>
      <c r="E374" s="57" t="n"/>
    </row>
    <row r="375" ht="30" customHeight="1">
      <c r="A375" s="47" t="inlineStr">
        <is>
          <t>Step 2</t>
        </is>
      </c>
      <c r="B375" s="56" t="inlineStr">
        <is>
          <t>Quay lại danh sách, xem ba đầu ra.</t>
        </is>
      </c>
      <c r="C375" s="57" t="n"/>
      <c r="D375" s="57" t="n"/>
      <c r="E375" s="57" t="n"/>
    </row>
    <row r="376" ht="44" customHeight="1">
      <c r="A376" s="47" t="inlineStr">
        <is>
          <t>Reset</t>
        </is>
      </c>
      <c r="B376" s="56" t="inlineStr">
        <is>
          <t>Trước mỗi biến thể, dựng lại điều kiện/dữ liệu đầu của case bằng đường được phép; giữ các reset/fixture độc lập đã nêu trong thủ tục.</t>
        </is>
      </c>
      <c r="C376" s="57" t="n"/>
      <c r="D376" s="57" t="n"/>
      <c r="E376" s="57" t="n"/>
    </row>
    <row r="377" ht="30" customHeight="1">
      <c r="A377" s="58" t="inlineStr">
        <is>
          <t>Kết quả mong đợi</t>
        </is>
      </c>
      <c r="B377" s="59" t="n"/>
      <c r="C377" s="59" t="n"/>
      <c r="D377" s="59" t="n"/>
      <c r="E377" s="59" t="n"/>
    </row>
    <row r="378" ht="44" customHeight="1">
      <c r="A378" s="47" t="inlineStr">
        <is>
          <t>•</t>
        </is>
      </c>
      <c r="B378" s="56" t="inlineStr">
        <is>
          <t>Cấu hình vẫn 30; S01 vẫn Đỏ. Giá trị vừa nhập có được giữ trên form hay không: PROPOSED (không must-pass).</t>
        </is>
      </c>
      <c r="C378" s="57" t="n"/>
      <c r="D378" s="57" t="n"/>
      <c r="E378" s="57" t="n"/>
    </row>
    <row r="379" ht="44" customHeight="1">
      <c r="A379" s="47" t="inlineStr">
        <is>
          <t>Giữ nguyên</t>
        </is>
      </c>
      <c r="B379" s="56" t="inlineStr">
        <is>
          <t>• Giữ điểm, cấu hình và đối tượng không đích theo expected;
• Chỉ thay phần thủ tục yêu cầu, không tự đổi oracle hoặc mở rộng phạm vi.</t>
        </is>
      </c>
      <c r="C379" s="57" t="n"/>
      <c r="D379" s="57" t="n"/>
      <c r="E379" s="57" t="n"/>
    </row>
    <row r="380" ht="61" customHeight="1">
      <c r="A380" s="47" t="inlineStr">
        <is>
          <t>Quan sát tại</t>
        </is>
      </c>
      <c r="B380" s="56" t="inlineStr">
        <is>
          <t>• Dùng trích xuất không lọc để thấy cả ô đối chứng. Trạng thái không có dấu đỏ cần đọc thêm trạng thái lưu;
• Output Excel/PDF dùng file thật.</t>
        </is>
      </c>
      <c r="C380" s="57" t="n"/>
      <c r="D380" s="57" t="n"/>
      <c r="E380" s="57" t="n"/>
    </row>
    <row r="381" ht="30" customHeight="1">
      <c r="A381" s="58" t="inlineStr">
        <is>
          <t>Kết quả thực tế</t>
        </is>
      </c>
      <c r="B381" s="59" t="n"/>
      <c r="C381" s="59" t="n"/>
      <c r="D381" s="59" t="n"/>
      <c r="E381" s="59" t="n"/>
    </row>
    <row r="382" ht="30" customHeight="1">
      <c r="A382" s="47" t="inlineStr">
        <is>
          <t>Dữ liệu biến thể</t>
        </is>
      </c>
      <c r="B382" s="56" t="inlineStr">
        <is>
          <t>Toàn bộ thủ tục theo đúng thứ tự; các đối chứng cùng fixture được kiểm trong cùng lượt, không bỏ bước</t>
        </is>
      </c>
      <c r="C382" s="57" t="n"/>
      <c r="D382" s="57" t="n"/>
      <c r="E382" s="57" t="n"/>
    </row>
    <row r="383" ht="30" customHeight="1">
      <c r="A383" s="62" t="inlineStr">
        <is>
          <t>Kết quả thực tế</t>
        </is>
      </c>
    </row>
    <row r="384" ht="64" customHeight="1">
      <c r="A384" s="63" t="inlineStr"/>
      <c r="B384" s="64" t="n"/>
      <c r="C384" s="64" t="n"/>
      <c r="D384" s="64" t="n"/>
      <c r="E384" s="65" t="n"/>
    </row>
    <row r="385" ht="30" customHeight="1">
      <c r="A385" s="62" t="inlineStr">
        <is>
          <t>Ảnh minh chứng</t>
        </is>
      </c>
    </row>
    <row r="386" ht="90" customHeight="1">
      <c r="A386" s="63" t="inlineStr"/>
      <c r="B386" s="64" t="n"/>
      <c r="C386" s="64" t="n"/>
      <c r="D386" s="64" t="n"/>
      <c r="E386" s="65" t="n"/>
    </row>
    <row r="387" ht="12" customHeight="1">
      <c r="A387" s="66" t="inlineStr"/>
    </row>
    <row r="388" ht="20" customHeight="1">
      <c r="A388" s="66" t="inlineStr"/>
    </row>
    <row r="389" ht="30" customHeight="1">
      <c r="A389" s="46" t="inlineStr">
        <is>
          <t>TC-RS-DATA-001 — Cấu hình lưu và mở lại đầy đủ, không cắt/làm tròn âm thầm</t>
        </is>
      </c>
      <c r="B389" s="23" t="n"/>
      <c r="C389" s="23" t="n"/>
      <c r="D389" s="23" t="n"/>
      <c r="E389" s="23" t="n"/>
    </row>
    <row r="390" ht="30" customHeight="1">
      <c r="A390" s="47" t="inlineStr">
        <is>
          <t>Trạng thái</t>
        </is>
      </c>
      <c r="B390" s="56">
        <f>IF(0&gt;0,"Không đạt",IF(0=4,"Đạt",IF(SUMPRODUCT(--EXACT('Testcases'!B410:B434,"Không thực hiện"))=4,"Không thực hiện",IF(SUMPRODUCT(--EXACT('Testcases'!B410:B434,"Bị chặn"))&gt;0,"Bị chặn",IF(SUMPRODUCT(--EXACT('Testcases'!B410:B434,"Chưa thực hiện"))=4,"Chưa thực hiện","Chưa đủ kết luận")))))</f>
        <v/>
      </c>
      <c r="C390" s="57" t="n"/>
      <c r="D390" s="57" t="n"/>
      <c r="E390" s="57" t="n"/>
    </row>
    <row r="391" ht="30" customHeight="1">
      <c r="A391" s="47" t="inlineStr">
        <is>
          <t>Màn hình / chức năng</t>
        </is>
      </c>
      <c r="B391" s="47" t="inlineStr">
        <is>
          <t>Thiết lập điểm đỏ（赤点設定）</t>
        </is>
      </c>
      <c r="C391" s="57" t="n"/>
      <c r="D391" s="47" t="inlineStr">
        <is>
          <t>Đường dẫn</t>
        </is>
      </c>
      <c r="E391" s="56" t="inlineStr">
        <is>
          <t>Chưa xác minh</t>
        </is>
      </c>
    </row>
    <row r="392" ht="30" customHeight="1">
      <c r="A392" s="58" t="inlineStr">
        <is>
          <t>Điều kiện kiểm thử</t>
        </is>
      </c>
      <c r="B392" s="59" t="n"/>
      <c r="C392" s="59" t="n"/>
      <c r="D392" s="59" t="n"/>
      <c r="E392" s="59" t="n"/>
    </row>
    <row r="393" ht="30" customHeight="1">
      <c r="A393" s="47" t="inlineStr">
        <is>
          <t>Cấu hình</t>
        </is>
      </c>
      <c r="B393" s="56" t="inlineStr">
        <is>
          <t>• Mục số thập phân (M=100).</t>
        </is>
      </c>
      <c r="C393" s="57" t="n"/>
      <c r="D393" s="57" t="n"/>
      <c r="E393" s="57" t="n"/>
    </row>
    <row r="394" ht="61" customHeight="1">
      <c r="A394" s="47" t="inlineStr">
        <is>
          <t>Vai trò / quyền</t>
        </is>
      </c>
      <c r="B39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94" s="57" t="n"/>
      <c r="D394" s="57" t="n"/>
      <c r="E394" s="57" t="n"/>
    </row>
    <row r="395" ht="95" customHeight="1">
      <c r="A395" s="47" t="inlineStr">
        <is>
          <t>Dữ liệu test</t>
        </is>
      </c>
      <c r="B395" s="56" t="inlineStr">
        <is>
          <t>• Mục số thập phân (M=100);
• Quy tắc “Cố định 30” (dưới 30) với N=29.5;
• Quy tắc tỷ lệ 30% làm tròn xuống;
• Quy tắc công thức hai dòng (trung bình ÷ 2 × 0.8);
• Quy tắc có bộ lọc kết hợp (khối 1 hoặc 2, nhóm Nâng cao)</t>
        </is>
      </c>
      <c r="C395" s="57" t="n"/>
      <c r="D395" s="57" t="n"/>
      <c r="E395" s="57" t="n"/>
    </row>
    <row r="396" ht="30" customHeight="1">
      <c r="A396" s="47" t="inlineStr">
        <is>
          <t>Trigger</t>
        </is>
      </c>
      <c r="B396" s="56" t="inlineStr">
        <is>
          <t>• Chỉ xem/xuất không tự chạy xét.</t>
        </is>
      </c>
      <c r="C396" s="57" t="n"/>
      <c r="D396" s="57" t="n"/>
      <c r="E396" s="57" t="n"/>
    </row>
    <row r="397" ht="44" customHeight="1">
      <c r="A397" s="47" t="inlineStr">
        <is>
          <t>Blocker</t>
        </is>
      </c>
      <c r="B397" s="56" t="inlineStr">
        <is>
          <t>• G-PREP-UNASSESSED: Chưa có xác minh fixture, đường thực hiện và phép quan sát trên build của từng case chưa đánh giá.</t>
        </is>
      </c>
      <c r="C397" s="57" t="n"/>
      <c r="D397" s="57" t="n"/>
      <c r="E397" s="57" t="n"/>
    </row>
    <row r="398" ht="30" customHeight="1">
      <c r="A398" s="58" t="inlineStr">
        <is>
          <t>Thao tác</t>
        </is>
      </c>
      <c r="B398" s="59" t="n"/>
      <c r="C398" s="59" t="n"/>
      <c r="D398" s="59" t="n"/>
      <c r="E398" s="59" t="n"/>
    </row>
    <row r="399" ht="30" customHeight="1">
      <c r="A399" s="47" t="inlineStr">
        <is>
          <t>Step 1</t>
        </is>
      </c>
      <c r="B399" s="56" t="inlineStr">
        <is>
          <t>Lưu từng quy tắc.</t>
        </is>
      </c>
      <c r="C399" s="57" t="n"/>
      <c r="D399" s="57" t="n"/>
      <c r="E399" s="57" t="n"/>
    </row>
    <row r="400" ht="30" customHeight="1">
      <c r="A400" s="47" t="inlineStr">
        <is>
          <t>Step 2</t>
        </is>
      </c>
      <c r="B400" s="56" t="inlineStr">
        <is>
          <t>Tải lại trang, mở từng quy tắc.</t>
        </is>
      </c>
      <c r="C400" s="57" t="n"/>
      <c r="D400" s="57" t="n"/>
      <c r="E400" s="57" t="n"/>
    </row>
    <row r="401" ht="30" customHeight="1">
      <c r="A401" s="47" t="inlineStr">
        <is>
          <t>Step 3</t>
        </is>
      </c>
      <c r="B401" s="56" t="inlineStr">
        <is>
          <t>SELECT cấu hình (khi có schema).</t>
        </is>
      </c>
      <c r="C401" s="57" t="n"/>
      <c r="D401" s="57" t="n"/>
      <c r="E401" s="57" t="n"/>
    </row>
    <row r="402" ht="44" customHeight="1">
      <c r="A402" s="47" t="inlineStr">
        <is>
          <t>Reset</t>
        </is>
      </c>
      <c r="B402" s="56" t="inlineStr">
        <is>
          <t>Trước mỗi biến thể, dựng lại điều kiện/dữ liệu đầu của case bằng đường được phép; giữ các reset/fixture độc lập đã nêu trong thủ tục.</t>
        </is>
      </c>
      <c r="C402" s="57" t="n"/>
      <c r="D402" s="57" t="n"/>
      <c r="E402" s="57" t="n"/>
    </row>
    <row r="403" ht="30" customHeight="1">
      <c r="A403" s="58" t="inlineStr">
        <is>
          <t>Kết quả mong đợi</t>
        </is>
      </c>
      <c r="B403" s="59" t="n"/>
      <c r="C403" s="59" t="n"/>
      <c r="D403" s="59" t="n"/>
      <c r="E403" s="59" t="n"/>
    </row>
    <row r="404" ht="44" customHeight="1">
      <c r="A404" s="47" t="inlineStr">
        <is>
          <t>•</t>
        </is>
      </c>
      <c r="B404" s="56" t="inlineStr">
        <is>
          <t>Mọi trường (tên, phạm vi, bộ lọc, điều kiện, loại, N, p, cách làm tròn, toán hạng, so sánh, thứ tự) trùng giá trị đã nhập.</t>
        </is>
      </c>
      <c r="C404" s="57" t="n"/>
      <c r="D404" s="57" t="n"/>
      <c r="E404" s="57" t="n"/>
    </row>
    <row r="405" ht="44" customHeight="1">
      <c r="A405" s="47" t="inlineStr">
        <is>
          <t>Giữ nguyên</t>
        </is>
      </c>
      <c r="B405" s="56" t="inlineStr">
        <is>
          <t>• Giữ điểm, cấu hình và đối tượng không đích theo expected;
• Chỉ thay phần thủ tục yêu cầu, không tự đổi oracle hoặc mở rộng phạm vi.</t>
        </is>
      </c>
      <c r="C405" s="57" t="n"/>
      <c r="D405" s="57" t="n"/>
      <c r="E405" s="57" t="n"/>
    </row>
    <row r="406" ht="61" customHeight="1">
      <c r="A406" s="47" t="inlineStr">
        <is>
          <t>Quan sát tại</t>
        </is>
      </c>
      <c r="B406" s="56" t="inlineStr">
        <is>
          <t>• Dùng trích xuất không lọc để thấy cả ô đối chứng. Trạng thái không có dấu đỏ cần đọc thêm trạng thái lưu;
• Output Excel/PDF dùng file thật.</t>
        </is>
      </c>
      <c r="C406" s="57" t="n"/>
      <c r="D406" s="57" t="n"/>
      <c r="E406" s="57" t="n"/>
    </row>
    <row r="407" ht="30" customHeight="1">
      <c r="A407" s="58" t="inlineStr">
        <is>
          <t>Kết quả thực tế</t>
        </is>
      </c>
      <c r="B407" s="59" t="n"/>
      <c r="C407" s="59" t="n"/>
      <c r="D407" s="59" t="n"/>
      <c r="E407" s="59" t="n"/>
    </row>
    <row r="408" ht="30" customHeight="1">
      <c r="A408" s="60" t="inlineStr">
        <is>
          <t>TC-RS-DATA-001 / fixed</t>
        </is>
      </c>
      <c r="B408" s="36" t="n"/>
      <c r="C408" s="36" t="n"/>
      <c r="D408" s="36" t="n"/>
      <c r="E408" s="36" t="n"/>
    </row>
    <row r="409" ht="30" customHeight="1">
      <c r="A409" s="47" t="inlineStr">
        <is>
          <t>Dữ liệu biến thể</t>
        </is>
      </c>
      <c r="B409" s="56" t="inlineStr">
        <is>
          <t>Cố định 29.5</t>
        </is>
      </c>
      <c r="C409" s="57" t="n"/>
      <c r="D409" s="57" t="n"/>
      <c r="E409" s="57" t="n"/>
    </row>
    <row r="410" ht="30" customHeight="1">
      <c r="A410" s="47" t="inlineStr">
        <is>
          <t>Trạng thái</t>
        </is>
      </c>
      <c r="B410" s="61" t="inlineStr">
        <is>
          <t>Chưa thực hiện</t>
        </is>
      </c>
      <c r="C410" s="57" t="n"/>
      <c r="D410" s="57" t="n"/>
      <c r="E410" s="57" t="n"/>
    </row>
    <row r="411" ht="30" customHeight="1">
      <c r="A411" s="62" t="inlineStr">
        <is>
          <t>Kết quả thực tế</t>
        </is>
      </c>
    </row>
    <row r="412" ht="64" customHeight="1">
      <c r="A412" s="63" t="inlineStr"/>
      <c r="B412" s="64" t="n"/>
      <c r="C412" s="64" t="n"/>
      <c r="D412" s="64" t="n"/>
      <c r="E412" s="65" t="n"/>
    </row>
    <row r="413" ht="30" customHeight="1">
      <c r="A413" s="62" t="inlineStr">
        <is>
          <t>Ảnh minh chứng</t>
        </is>
      </c>
    </row>
    <row r="414" ht="90" customHeight="1">
      <c r="A414" s="63" t="inlineStr"/>
      <c r="B414" s="64" t="n"/>
      <c r="C414" s="64" t="n"/>
      <c r="D414" s="64" t="n"/>
      <c r="E414" s="65" t="n"/>
    </row>
    <row r="415" ht="12" customHeight="1">
      <c r="A415" s="66" t="inlineStr"/>
    </row>
    <row r="416" ht="30" customHeight="1">
      <c r="A416" s="60" t="inlineStr">
        <is>
          <t>TC-RS-DATA-001 / ratio</t>
        </is>
      </c>
      <c r="B416" s="36" t="n"/>
      <c r="C416" s="36" t="n"/>
      <c r="D416" s="36" t="n"/>
      <c r="E416" s="36" t="n"/>
    </row>
    <row r="417" ht="30" customHeight="1">
      <c r="A417" s="47" t="inlineStr">
        <is>
          <t>Dữ liệu biến thể</t>
        </is>
      </c>
      <c r="B417" s="56" t="inlineStr">
        <is>
          <t>Tỷ lệ 30 phần trăm cắt xuống</t>
        </is>
      </c>
      <c r="C417" s="57" t="n"/>
      <c r="D417" s="57" t="n"/>
      <c r="E417" s="57" t="n"/>
    </row>
    <row r="418" ht="30" customHeight="1">
      <c r="A418" s="47" t="inlineStr">
        <is>
          <t>Trạng thái</t>
        </is>
      </c>
      <c r="B418" s="61" t="inlineStr">
        <is>
          <t>Chưa thực hiện</t>
        </is>
      </c>
      <c r="C418" s="57" t="n"/>
      <c r="D418" s="57" t="n"/>
      <c r="E418" s="57" t="n"/>
    </row>
    <row r="419" ht="30" customHeight="1">
      <c r="A419" s="62" t="inlineStr">
        <is>
          <t>Kết quả thực tế</t>
        </is>
      </c>
    </row>
    <row r="420" ht="64" customHeight="1">
      <c r="A420" s="63" t="inlineStr"/>
      <c r="B420" s="64" t="n"/>
      <c r="C420" s="64" t="n"/>
      <c r="D420" s="64" t="n"/>
      <c r="E420" s="65" t="n"/>
    </row>
    <row r="421" ht="30" customHeight="1">
      <c r="A421" s="62" t="inlineStr">
        <is>
          <t>Ảnh minh chứng</t>
        </is>
      </c>
    </row>
    <row r="422" ht="90" customHeight="1">
      <c r="A422" s="63" t="inlineStr"/>
      <c r="B422" s="64" t="n"/>
      <c r="C422" s="64" t="n"/>
      <c r="D422" s="64" t="n"/>
      <c r="E422" s="65" t="n"/>
    </row>
    <row r="423" ht="12" customHeight="1">
      <c r="A423" s="66" t="inlineStr"/>
    </row>
    <row r="424" ht="30" customHeight="1">
      <c r="A424" s="60" t="inlineStr">
        <is>
          <t>TC-RS-DATA-001 / formula</t>
        </is>
      </c>
      <c r="B424" s="36" t="n"/>
      <c r="C424" s="36" t="n"/>
      <c r="D424" s="36" t="n"/>
      <c r="E424" s="36" t="n"/>
    </row>
    <row r="425" ht="30" customHeight="1">
      <c r="A425" s="47" t="inlineStr">
        <is>
          <t>Dữ liệu biến thể</t>
        </is>
      </c>
      <c r="B425" s="56" t="inlineStr">
        <is>
          <t>Công thức hai dòng</t>
        </is>
      </c>
      <c r="C425" s="57" t="n"/>
      <c r="D425" s="57" t="n"/>
      <c r="E425" s="57" t="n"/>
    </row>
    <row r="426" ht="30" customHeight="1">
      <c r="A426" s="47" t="inlineStr">
        <is>
          <t>Trạng thái</t>
        </is>
      </c>
      <c r="B426" s="61" t="inlineStr">
        <is>
          <t>Chưa thực hiện</t>
        </is>
      </c>
      <c r="C426" s="57" t="n"/>
      <c r="D426" s="57" t="n"/>
      <c r="E426" s="57" t="n"/>
    </row>
    <row r="427" ht="30" customHeight="1">
      <c r="A427" s="62" t="inlineStr">
        <is>
          <t>Kết quả thực tế</t>
        </is>
      </c>
    </row>
    <row r="428" ht="64" customHeight="1">
      <c r="A428" s="63" t="inlineStr"/>
      <c r="B428" s="64" t="n"/>
      <c r="C428" s="64" t="n"/>
      <c r="D428" s="64" t="n"/>
      <c r="E428" s="65" t="n"/>
    </row>
    <row r="429" ht="30" customHeight="1">
      <c r="A429" s="62" t="inlineStr">
        <is>
          <t>Ảnh minh chứng</t>
        </is>
      </c>
    </row>
    <row r="430" ht="90" customHeight="1">
      <c r="A430" s="63" t="inlineStr"/>
      <c r="B430" s="64" t="n"/>
      <c r="C430" s="64" t="n"/>
      <c r="D430" s="64" t="n"/>
      <c r="E430" s="65" t="n"/>
    </row>
    <row r="431" ht="12" customHeight="1">
      <c r="A431" s="66" t="inlineStr"/>
    </row>
    <row r="432" ht="30" customHeight="1">
      <c r="A432" s="60" t="inlineStr">
        <is>
          <t>TC-RS-DATA-001 / filter</t>
        </is>
      </c>
      <c r="B432" s="36" t="n"/>
      <c r="C432" s="36" t="n"/>
      <c r="D432" s="36" t="n"/>
      <c r="E432" s="36" t="n"/>
    </row>
    <row r="433" ht="30" customHeight="1">
      <c r="A433" s="47" t="inlineStr">
        <is>
          <t>Dữ liệu biến thể</t>
        </is>
      </c>
      <c r="B433" s="56" t="inlineStr">
        <is>
          <t>Bộ lọc kết hợp</t>
        </is>
      </c>
      <c r="C433" s="57" t="n"/>
      <c r="D433" s="57" t="n"/>
      <c r="E433" s="57" t="n"/>
    </row>
    <row r="434" ht="30" customHeight="1">
      <c r="A434" s="47" t="inlineStr">
        <is>
          <t>Trạng thái</t>
        </is>
      </c>
      <c r="B434" s="61" t="inlineStr">
        <is>
          <t>Chưa thực hiện</t>
        </is>
      </c>
      <c r="C434" s="57" t="n"/>
      <c r="D434" s="57" t="n"/>
      <c r="E434" s="57" t="n"/>
    </row>
    <row r="435" ht="30" customHeight="1">
      <c r="A435" s="62" t="inlineStr">
        <is>
          <t>Kết quả thực tế</t>
        </is>
      </c>
    </row>
    <row r="436" ht="64" customHeight="1">
      <c r="A436" s="63" t="inlineStr"/>
      <c r="B436" s="64" t="n"/>
      <c r="C436" s="64" t="n"/>
      <c r="D436" s="64" t="n"/>
      <c r="E436" s="65" t="n"/>
    </row>
    <row r="437" ht="30" customHeight="1">
      <c r="A437" s="62" t="inlineStr">
        <is>
          <t>Ảnh minh chứng</t>
        </is>
      </c>
    </row>
    <row r="438" ht="90" customHeight="1">
      <c r="A438" s="63" t="inlineStr"/>
      <c r="B438" s="64" t="n"/>
      <c r="C438" s="64" t="n"/>
      <c r="D438" s="64" t="n"/>
      <c r="E438" s="65" t="n"/>
    </row>
    <row r="439" ht="12" customHeight="1">
      <c r="A439" s="66" t="inlineStr"/>
    </row>
    <row r="440" ht="20" customHeight="1">
      <c r="A440" s="66" t="inlineStr"/>
    </row>
    <row r="441" ht="30" customHeight="1">
      <c r="A441" s="46" t="inlineStr">
        <is>
          <t>TC-RS-DATA-004 — Xóa quy tắc không xóa dây chuyền kết quả hay điểm</t>
        </is>
      </c>
      <c r="B441" s="23" t="n"/>
      <c r="C441" s="23" t="n"/>
      <c r="D441" s="23" t="n"/>
      <c r="E441" s="23" t="n"/>
    </row>
    <row r="442" ht="30" customHeight="1">
      <c r="A442" s="47" t="inlineStr">
        <is>
          <t>Trạng thái</t>
        </is>
      </c>
      <c r="B442" s="61" t="inlineStr">
        <is>
          <t>Chưa thực hiện</t>
        </is>
      </c>
      <c r="C442" s="57" t="n"/>
      <c r="D442" s="57" t="n"/>
      <c r="E442" s="57" t="n"/>
    </row>
    <row r="443" ht="30" customHeight="1">
      <c r="A443" s="47" t="inlineStr">
        <is>
          <t>Màn hình / chức năng</t>
        </is>
      </c>
      <c r="B443" s="47" t="inlineStr">
        <is>
          <t>Thiết lập điểm đỏ（赤点設定）</t>
        </is>
      </c>
      <c r="C443" s="57" t="n"/>
      <c r="D443" s="47" t="inlineStr">
        <is>
          <t>Đường dẫn</t>
        </is>
      </c>
      <c r="E443" s="56" t="inlineStr">
        <is>
          <t>Chưa xác minh</t>
        </is>
      </c>
    </row>
    <row r="444" ht="30" customHeight="1">
      <c r="A444" s="58" t="inlineStr">
        <is>
          <t>Điều kiện kiểm thử</t>
        </is>
      </c>
      <c r="B444" s="59" t="n"/>
      <c r="C444" s="59" t="n"/>
      <c r="D444" s="59" t="n"/>
      <c r="E444" s="59" t="n"/>
    </row>
    <row r="445" ht="44" customHeight="1">
      <c r="A445" s="47" t="inlineStr">
        <is>
          <t>Cấu hình</t>
        </is>
      </c>
      <c r="B445" s="56" t="inlineStr">
        <is>
          <t>• Quy tắc “Cố định 30” (dưới 30);
• S01 Đỏ.</t>
        </is>
      </c>
      <c r="C445" s="57" t="n"/>
      <c r="D445" s="57" t="n"/>
      <c r="E445" s="57" t="n"/>
    </row>
    <row r="446" ht="61" customHeight="1">
      <c r="A446" s="47" t="inlineStr">
        <is>
          <t>Vai trò / quyền</t>
        </is>
      </c>
      <c r="B44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46" s="57" t="n"/>
      <c r="D446" s="57" t="n"/>
      <c r="E446" s="57" t="n"/>
    </row>
    <row r="447" ht="44" customHeight="1">
      <c r="A447" s="47" t="inlineStr">
        <is>
          <t>Dữ liệu test</t>
        </is>
      </c>
      <c r="B447" s="56" t="inlineStr">
        <is>
          <t>• Quy tắc “Cố định 30” (dưới 30);
• Học sinh S01 (điểm 29)</t>
        </is>
      </c>
      <c r="C447" s="57" t="n"/>
      <c r="D447" s="57" t="n"/>
      <c r="E447" s="57" t="n"/>
    </row>
    <row r="448" ht="30" customHeight="1">
      <c r="A448" s="47" t="inlineStr">
        <is>
          <t>Trigger</t>
        </is>
      </c>
      <c r="B448" s="56" t="inlineStr">
        <is>
          <t>• Chỉ xem/xuất không tự chạy xét.</t>
        </is>
      </c>
      <c r="C448" s="57" t="n"/>
      <c r="D448" s="57" t="n"/>
      <c r="E448" s="57" t="n"/>
    </row>
    <row r="449" ht="44" customHeight="1">
      <c r="A449" s="47" t="inlineStr">
        <is>
          <t>Blocker</t>
        </is>
      </c>
      <c r="B449" s="56" t="inlineStr">
        <is>
          <t>• G-PREP-UNASSESSED: Chưa có xác minh fixture, đường thực hiện và phép quan sát trên build của từng case chưa đánh giá.</t>
        </is>
      </c>
      <c r="C449" s="57" t="n"/>
      <c r="D449" s="57" t="n"/>
      <c r="E449" s="57" t="n"/>
    </row>
    <row r="450" ht="30" customHeight="1">
      <c r="A450" s="58" t="inlineStr">
        <is>
          <t>Thao tác</t>
        </is>
      </c>
      <c r="B450" s="59" t="n"/>
      <c r="C450" s="59" t="n"/>
      <c r="D450" s="59" t="n"/>
      <c r="E450" s="59" t="n"/>
    </row>
    <row r="451" ht="30" customHeight="1">
      <c r="A451" s="47" t="inlineStr">
        <is>
          <t>Step 1</t>
        </is>
      </c>
      <c r="B451" s="56" t="inlineStr">
        <is>
          <t>Xóa quy tắc “Cố định 30” (dưới 30).</t>
        </is>
      </c>
      <c r="C451" s="57" t="n"/>
      <c r="D451" s="57" t="n"/>
      <c r="E451" s="57" t="n"/>
    </row>
    <row r="452" ht="30" customHeight="1">
      <c r="A452" s="47" t="inlineStr">
        <is>
          <t>Step 2</t>
        </is>
      </c>
      <c r="B452" s="56" t="inlineStr">
        <is>
          <t>SELECT kết quả và điểm của S01.</t>
        </is>
      </c>
      <c r="C452" s="57" t="n"/>
      <c r="D452" s="57" t="n"/>
      <c r="E452" s="57" t="n"/>
    </row>
    <row r="453" ht="44" customHeight="1">
      <c r="A453" s="47" t="inlineStr">
        <is>
          <t>Reset</t>
        </is>
      </c>
      <c r="B453" s="56" t="inlineStr">
        <is>
          <t>Trước mỗi biến thể, dựng lại điều kiện/dữ liệu đầu của case bằng đường được phép; giữ các reset/fixture độc lập đã nêu trong thủ tục.</t>
        </is>
      </c>
      <c r="C453" s="57" t="n"/>
      <c r="D453" s="57" t="n"/>
      <c r="E453" s="57" t="n"/>
    </row>
    <row r="454" ht="30" customHeight="1">
      <c r="A454" s="58" t="inlineStr">
        <is>
          <t>Kết quả mong đợi</t>
        </is>
      </c>
      <c r="B454" s="59" t="n"/>
      <c r="C454" s="59" t="n"/>
      <c r="D454" s="59" t="n"/>
      <c r="E454" s="59" t="n"/>
    </row>
    <row r="455" ht="30" customHeight="1">
      <c r="A455" s="47" t="inlineStr">
        <is>
          <t>•</t>
        </is>
      </c>
      <c r="B455" s="56" t="inlineStr">
        <is>
          <t>Kết quả S01 vẫn còn; điểm 29 giữ nguyên.</t>
        </is>
      </c>
      <c r="C455" s="57" t="n"/>
      <c r="D455" s="57" t="n"/>
      <c r="E455" s="57" t="n"/>
    </row>
    <row r="456" ht="44" customHeight="1">
      <c r="A456" s="47" t="inlineStr">
        <is>
          <t>Giữ nguyên</t>
        </is>
      </c>
      <c r="B456" s="56" t="inlineStr">
        <is>
          <t>• Giữ điểm, cấu hình và đối tượng không đích theo expected;
• Chỉ thay phần thủ tục yêu cầu, không tự đổi oracle hoặc mở rộng phạm vi.</t>
        </is>
      </c>
      <c r="C456" s="57" t="n"/>
      <c r="D456" s="57" t="n"/>
      <c r="E456" s="57" t="n"/>
    </row>
    <row r="457" ht="61" customHeight="1">
      <c r="A457" s="47" t="inlineStr">
        <is>
          <t>Quan sát tại</t>
        </is>
      </c>
      <c r="B457" s="56" t="inlineStr">
        <is>
          <t>• Dùng trích xuất không lọc để thấy cả ô đối chứng. Trạng thái không có dấu đỏ cần đọc thêm trạng thái lưu;
• Output Excel/PDF dùng file thật.</t>
        </is>
      </c>
      <c r="C457" s="57" t="n"/>
      <c r="D457" s="57" t="n"/>
      <c r="E457" s="57" t="n"/>
    </row>
    <row r="458" ht="30" customHeight="1">
      <c r="A458" s="58" t="inlineStr">
        <is>
          <t>Kết quả thực tế</t>
        </is>
      </c>
      <c r="B458" s="59" t="n"/>
      <c r="C458" s="59" t="n"/>
      <c r="D458" s="59" t="n"/>
      <c r="E458" s="59" t="n"/>
    </row>
    <row r="459" ht="30" customHeight="1">
      <c r="A459" s="47" t="inlineStr">
        <is>
          <t>Dữ liệu biến thể</t>
        </is>
      </c>
      <c r="B459" s="56" t="inlineStr">
        <is>
          <t>Toàn bộ thủ tục theo đúng thứ tự; các đối chứng cùng fixture được kiểm trong cùng lượt, không bỏ bước</t>
        </is>
      </c>
      <c r="C459" s="57" t="n"/>
      <c r="D459" s="57" t="n"/>
      <c r="E459" s="57" t="n"/>
    </row>
    <row r="460" ht="30" customHeight="1">
      <c r="A460" s="62" t="inlineStr">
        <is>
          <t>Kết quả thực tế</t>
        </is>
      </c>
    </row>
    <row r="461" ht="64" customHeight="1">
      <c r="A461" s="63" t="inlineStr"/>
      <c r="B461" s="64" t="n"/>
      <c r="C461" s="64" t="n"/>
      <c r="D461" s="64" t="n"/>
      <c r="E461" s="65" t="n"/>
    </row>
    <row r="462" ht="30" customHeight="1">
      <c r="A462" s="62" t="inlineStr">
        <is>
          <t>Ảnh minh chứng</t>
        </is>
      </c>
    </row>
    <row r="463" ht="90" customHeight="1">
      <c r="A463" s="63" t="inlineStr"/>
      <c r="B463" s="64" t="n"/>
      <c r="C463" s="64" t="n"/>
      <c r="D463" s="64" t="n"/>
      <c r="E463" s="65" t="n"/>
    </row>
    <row r="464" ht="12" customHeight="1">
      <c r="A464" s="66" t="inlineStr"/>
    </row>
    <row r="465" ht="20" customHeight="1">
      <c r="A465" s="66" t="inlineStr"/>
    </row>
    <row r="466" ht="30" customHeight="1">
      <c r="A466" s="46" t="inlineStr">
        <is>
          <t>TC-RS-UI-001 — Nhãn trạng thái ở hàng Thiết lập điểm đỏ（赤点設定） trong Thiết lập ô nhập（入力欄設定）</t>
        </is>
      </c>
      <c r="B466" s="23" t="n"/>
      <c r="C466" s="23" t="n"/>
      <c r="D466" s="23" t="n"/>
      <c r="E466" s="23" t="n"/>
    </row>
    <row r="467" ht="30" customHeight="1">
      <c r="A467" s="47" t="inlineStr">
        <is>
          <t>Trạng thái</t>
        </is>
      </c>
      <c r="B467" s="61" t="inlineStr">
        <is>
          <t>Chưa thực hiện</t>
        </is>
      </c>
      <c r="C467" s="57" t="n"/>
      <c r="D467" s="57" t="n"/>
      <c r="E467" s="57" t="n"/>
    </row>
    <row r="468" ht="30" customHeight="1">
      <c r="A468" s="47" t="inlineStr">
        <is>
          <t>Màn hình / chức năng</t>
        </is>
      </c>
      <c r="B468" s="47" t="inlineStr">
        <is>
          <t>Thiết lập điểm đỏ（赤点設定）</t>
        </is>
      </c>
      <c r="C468" s="57" t="n"/>
      <c r="D468" s="47" t="inlineStr">
        <is>
          <t>Đường dẫn</t>
        </is>
      </c>
      <c r="E468" s="56" t="inlineStr">
        <is>
          <t>Chưa xác minh</t>
        </is>
      </c>
    </row>
    <row r="469" ht="30" customHeight="1">
      <c r="A469" s="58" t="inlineStr">
        <is>
          <t>Điều kiện kiểm thử</t>
        </is>
      </c>
      <c r="B469" s="59" t="n"/>
      <c r="C469" s="59" t="n"/>
      <c r="D469" s="59" t="n"/>
      <c r="E469" s="59" t="n"/>
    </row>
    <row r="470" ht="61" customHeight="1">
      <c r="A470" s="47" t="inlineStr">
        <is>
          <t>Cấu hình</t>
        </is>
      </c>
      <c r="B470" s="56" t="inlineStr">
        <is>
          <t>• Mục số nguyên (M=100) chưa có quy tắc;
• Mục số thập phân (M=100) có quy tắc;
• Mục kiểu lựa chọn A/B/C là mục lựa chọn. tài khoản giáo viên có quyền sửa mục.</t>
        </is>
      </c>
      <c r="C470" s="57" t="n"/>
      <c r="D470" s="57" t="n"/>
      <c r="E470" s="57" t="n"/>
    </row>
    <row r="471" ht="61" customHeight="1">
      <c r="A471" s="47" t="inlineStr">
        <is>
          <t>Vai trò / quyền</t>
        </is>
      </c>
      <c r="B47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71" s="57" t="n"/>
      <c r="D471" s="57" t="n"/>
      <c r="E471" s="57" t="n"/>
    </row>
    <row r="472" ht="30" customHeight="1">
      <c r="A472" s="47" t="inlineStr">
        <is>
          <t>Dữ liệu test</t>
        </is>
      </c>
      <c r="B472" s="56" t="inlineStr">
        <is>
          <t>• Mục số nguyên (M=100), mục số thập phân (M=100), mục kiểu lựa chọn A/B/C</t>
        </is>
      </c>
      <c r="C472" s="57" t="n"/>
      <c r="D472" s="57" t="n"/>
      <c r="E472" s="57" t="n"/>
    </row>
    <row r="473" ht="30" customHeight="1">
      <c r="A473" s="47" t="inlineStr">
        <is>
          <t>Trigger</t>
        </is>
      </c>
      <c r="B473" s="56" t="inlineStr">
        <is>
          <t>• Chỉ xem/xuất không tự chạy xét.</t>
        </is>
      </c>
      <c r="C473" s="57" t="n"/>
      <c r="D473" s="57" t="n"/>
      <c r="E473" s="57" t="n"/>
    </row>
    <row r="474" ht="44" customHeight="1">
      <c r="A474" s="47" t="inlineStr">
        <is>
          <t>Blocker</t>
        </is>
      </c>
      <c r="B474" s="56" t="inlineStr">
        <is>
          <t>• G-PREP-UNASSESSED: Chưa có xác minh fixture, đường thực hiện và phép quan sát trên build của từng case chưa đánh giá.</t>
        </is>
      </c>
      <c r="C474" s="57" t="n"/>
      <c r="D474" s="57" t="n"/>
      <c r="E474" s="57" t="n"/>
    </row>
    <row r="475" ht="30" customHeight="1">
      <c r="A475" s="58" t="inlineStr">
        <is>
          <t>Thao tác</t>
        </is>
      </c>
      <c r="B475" s="59" t="n"/>
      <c r="C475" s="59" t="n"/>
      <c r="D475" s="59" t="n"/>
      <c r="E475" s="59" t="n"/>
    </row>
    <row r="476" ht="30" customHeight="1">
      <c r="A476" s="47" t="inlineStr">
        <is>
          <t>Step 1</t>
        </is>
      </c>
      <c r="B476" s="56" t="inlineStr">
        <is>
          <t>Mở Thiết lập ô nhập（入力欄設定）.</t>
        </is>
      </c>
      <c r="C476" s="57" t="n"/>
      <c r="D476" s="57" t="n"/>
      <c r="E476" s="57" t="n"/>
    </row>
    <row r="477" ht="30" customHeight="1">
      <c r="A477" s="47" t="inlineStr">
        <is>
          <t>Step 2</t>
        </is>
      </c>
      <c r="B477" s="56" t="inlineStr">
        <is>
          <t>Ghi lại nhãn/ký hiệu ở hàng Thiết lập điểm đỏ（赤点設定） cho từng cột mục.</t>
        </is>
      </c>
      <c r="C477" s="57" t="n"/>
      <c r="D477" s="57" t="n"/>
      <c r="E477" s="57" t="n"/>
    </row>
    <row r="478" ht="44" customHeight="1">
      <c r="A478" s="47" t="inlineStr">
        <is>
          <t>Reset</t>
        </is>
      </c>
      <c r="B478" s="56" t="inlineStr">
        <is>
          <t>Trước mỗi biến thể, dựng lại điều kiện/dữ liệu đầu của case bằng đường được phép; giữ các reset/fixture độc lập đã nêu trong thủ tục.</t>
        </is>
      </c>
      <c r="C478" s="57" t="n"/>
      <c r="D478" s="57" t="n"/>
      <c r="E478" s="57" t="n"/>
    </row>
    <row r="479" ht="30" customHeight="1">
      <c r="A479" s="58" t="inlineStr">
        <is>
          <t>Kết quả mong đợi</t>
        </is>
      </c>
      <c r="B479" s="59" t="n"/>
      <c r="C479" s="59" t="n"/>
      <c r="D479" s="59" t="n"/>
      <c r="E479" s="59" t="n"/>
    </row>
    <row r="480" ht="44" customHeight="1">
      <c r="A480" s="47" t="inlineStr">
        <is>
          <t>•</t>
        </is>
      </c>
      <c r="B480" s="56" t="inlineStr">
        <is>
          <t>Mục chưa có quy tắc và mục đã có quy tắc được phân biệt được; mục lựa chọn không có thao tác mở thiết lập (đặc tả v2 mục 4.1 “Điểm vào và trạng thái trống”).</t>
        </is>
      </c>
      <c r="C480" s="57" t="n"/>
      <c r="D480" s="57" t="n"/>
      <c r="E480" s="57" t="n"/>
    </row>
    <row r="481" ht="30" customHeight="1">
      <c r="A481" s="47" t="inlineStr">
        <is>
          <t>•</t>
        </is>
      </c>
      <c r="B481" s="56" t="inlineStr">
        <is>
          <t>Nhãn cụ thể theo Figma (PROPOSED): [設定する] (thiết lập) / 編集 (sửa) + 設定済み (đã thiết lập) / —.</t>
        </is>
      </c>
      <c r="C481" s="57" t="n"/>
      <c r="D481" s="57" t="n"/>
      <c r="E481" s="57" t="n"/>
    </row>
    <row r="482" ht="44" customHeight="1">
      <c r="A482" s="47" t="inlineStr">
        <is>
          <t>Giữ nguyên</t>
        </is>
      </c>
      <c r="B482" s="56" t="inlineStr">
        <is>
          <t>• Giữ điểm, cấu hình và đối tượng không đích theo expected;
• Chỉ thay phần thủ tục yêu cầu, không tự đổi oracle hoặc mở rộng phạm vi.</t>
        </is>
      </c>
      <c r="C482" s="57" t="n"/>
      <c r="D482" s="57" t="n"/>
      <c r="E482" s="57" t="n"/>
    </row>
    <row r="483" ht="61" customHeight="1">
      <c r="A483" s="47" t="inlineStr">
        <is>
          <t>Quan sát tại</t>
        </is>
      </c>
      <c r="B483" s="56" t="inlineStr">
        <is>
          <t>• Dùng trích xuất không lọc để thấy cả ô đối chứng. Trạng thái không có dấu đỏ cần đọc thêm trạng thái lưu;
• Output Excel/PDF dùng file thật.</t>
        </is>
      </c>
      <c r="C483" s="57" t="n"/>
      <c r="D483" s="57" t="n"/>
      <c r="E483" s="57" t="n"/>
    </row>
    <row r="484" ht="30" customHeight="1">
      <c r="A484" s="58" t="inlineStr">
        <is>
          <t>Kết quả thực tế</t>
        </is>
      </c>
      <c r="B484" s="59" t="n"/>
      <c r="C484" s="59" t="n"/>
      <c r="D484" s="59" t="n"/>
      <c r="E484" s="59" t="n"/>
    </row>
    <row r="485" ht="30" customHeight="1">
      <c r="A485" s="47" t="inlineStr">
        <is>
          <t>Dữ liệu biến thể</t>
        </is>
      </c>
      <c r="B485" s="56" t="inlineStr">
        <is>
          <t>Toàn bộ thủ tục theo đúng thứ tự; các đối chứng cùng fixture được kiểm trong cùng lượt, không bỏ bước</t>
        </is>
      </c>
      <c r="C485" s="57" t="n"/>
      <c r="D485" s="57" t="n"/>
      <c r="E485" s="57" t="n"/>
    </row>
    <row r="486" ht="30" customHeight="1">
      <c r="A486" s="62" t="inlineStr">
        <is>
          <t>Kết quả thực tế</t>
        </is>
      </c>
    </row>
    <row r="487" ht="64" customHeight="1">
      <c r="A487" s="63" t="inlineStr"/>
      <c r="B487" s="64" t="n"/>
      <c r="C487" s="64" t="n"/>
      <c r="D487" s="64" t="n"/>
      <c r="E487" s="65" t="n"/>
    </row>
    <row r="488" ht="30" customHeight="1">
      <c r="A488" s="62" t="inlineStr">
        <is>
          <t>Ảnh minh chứng</t>
        </is>
      </c>
    </row>
    <row r="489" ht="90" customHeight="1">
      <c r="A489" s="63" t="inlineStr"/>
      <c r="B489" s="64" t="n"/>
      <c r="C489" s="64" t="n"/>
      <c r="D489" s="64" t="n"/>
      <c r="E489" s="65" t="n"/>
    </row>
    <row r="490" ht="12" customHeight="1">
      <c r="A490" s="66" t="inlineStr"/>
    </row>
    <row r="491" ht="20" customHeight="1">
      <c r="A491" s="66" t="inlineStr"/>
    </row>
    <row r="492" ht="30" customHeight="1">
      <c r="A492" s="46" t="inlineStr">
        <is>
          <t>TC-RS-UI-002 — Cấu trúc màn danh sách Thiết lập điểm đỏ（赤点設定）</t>
        </is>
      </c>
      <c r="B492" s="23" t="n"/>
      <c r="C492" s="23" t="n"/>
      <c r="D492" s="23" t="n"/>
      <c r="E492" s="23" t="n"/>
    </row>
    <row r="493" ht="30" customHeight="1">
      <c r="A493" s="47" t="inlineStr">
        <is>
          <t>Trạng thái</t>
        </is>
      </c>
      <c r="B493" s="61" t="inlineStr">
        <is>
          <t>Chưa thực hiện</t>
        </is>
      </c>
      <c r="C493" s="57" t="n"/>
      <c r="D493" s="57" t="n"/>
      <c r="E493" s="57" t="n"/>
    </row>
    <row r="494" ht="30" customHeight="1">
      <c r="A494" s="47" t="inlineStr">
        <is>
          <t>Màn hình / chức năng</t>
        </is>
      </c>
      <c r="B494" s="47" t="inlineStr">
        <is>
          <t>Thiết lập điểm đỏ（赤点設定）</t>
        </is>
      </c>
      <c r="C494" s="57" t="n"/>
      <c r="D494" s="47" t="inlineStr">
        <is>
          <t>Đường dẫn</t>
        </is>
      </c>
      <c r="E494" s="56" t="inlineStr">
        <is>
          <t>Chưa xác minh</t>
        </is>
      </c>
    </row>
    <row r="495" ht="30" customHeight="1">
      <c r="A495" s="58" t="inlineStr">
        <is>
          <t>Điều kiện kiểm thử</t>
        </is>
      </c>
      <c r="B495" s="59" t="n"/>
      <c r="C495" s="59" t="n"/>
      <c r="D495" s="59" t="n"/>
      <c r="E495" s="59" t="n"/>
    </row>
    <row r="496" ht="30" customHeight="1">
      <c r="A496" s="47" t="inlineStr">
        <is>
          <t>Cấu hình</t>
        </is>
      </c>
      <c r="B496" s="56" t="inlineStr">
        <is>
          <t>• Mục số nguyên (M=100) có cặp quy tắc phân nhánh theo trung bình 60 (2 quy tắc).</t>
        </is>
      </c>
      <c r="C496" s="57" t="n"/>
      <c r="D496" s="57" t="n"/>
      <c r="E496" s="57" t="n"/>
    </row>
    <row r="497" ht="61" customHeight="1">
      <c r="A497" s="47" t="inlineStr">
        <is>
          <t>Vai trò / quyền</t>
        </is>
      </c>
      <c r="B49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97" s="57" t="n"/>
      <c r="D497" s="57" t="n"/>
      <c r="E497" s="57" t="n"/>
    </row>
    <row r="498" ht="44" customHeight="1">
      <c r="A498" s="47" t="inlineStr">
        <is>
          <t>Dữ liệu test</t>
        </is>
      </c>
      <c r="B498" s="56" t="inlineStr">
        <is>
          <t>• Mục số nguyên (M=100);
• Cặp quy tắc phân nhánh theo trung bình 60</t>
        </is>
      </c>
      <c r="C498" s="57" t="n"/>
      <c r="D498" s="57" t="n"/>
      <c r="E498" s="57" t="n"/>
    </row>
    <row r="499" ht="30" customHeight="1">
      <c r="A499" s="47" t="inlineStr">
        <is>
          <t>Trigger</t>
        </is>
      </c>
      <c r="B499" s="56" t="inlineStr">
        <is>
          <t>• Chỉ xem/xuất không tự chạy xét.</t>
        </is>
      </c>
      <c r="C499" s="57" t="n"/>
      <c r="D499" s="57" t="n"/>
      <c r="E499" s="57" t="n"/>
    </row>
    <row r="500" ht="44" customHeight="1">
      <c r="A500" s="47" t="inlineStr">
        <is>
          <t>Blocker</t>
        </is>
      </c>
      <c r="B500" s="56" t="inlineStr">
        <is>
          <t>• G-PREP-UNASSESSED: Chưa có xác minh fixture, đường thực hiện và phép quan sát trên build của từng case chưa đánh giá.</t>
        </is>
      </c>
      <c r="C500" s="57" t="n"/>
      <c r="D500" s="57" t="n"/>
      <c r="E500" s="57" t="n"/>
    </row>
    <row r="501" ht="30" customHeight="1">
      <c r="A501" s="58" t="inlineStr">
        <is>
          <t>Thao tác</t>
        </is>
      </c>
      <c r="B501" s="59" t="n"/>
      <c r="C501" s="59" t="n"/>
      <c r="D501" s="59" t="n"/>
      <c r="E501" s="59" t="n"/>
    </row>
    <row r="502" ht="44" customHeight="1">
      <c r="A502" s="47" t="inlineStr">
        <is>
          <t>Step 1</t>
        </is>
      </c>
      <c r="B502" s="56" t="inlineStr">
        <is>
          <t>Mở Thiết lập nhập điểm（成績入力設定） (URL ở đường dẫn các màn liên quan) → Thiết lập ô nhập（入力欄設定） của kỳ Cuối kỳ học kỳ 1（1学期期末）.</t>
        </is>
      </c>
      <c r="C502" s="57" t="n"/>
      <c r="D502" s="57" t="n"/>
      <c r="E502" s="57" t="n"/>
    </row>
    <row r="503" ht="44" customHeight="1">
      <c r="A503" s="47" t="inlineStr">
        <is>
          <t>Step 2</t>
        </is>
      </c>
      <c r="B503" s="56" t="inlineStr">
        <is>
          <t>Ở hàng Thiết lập điểm đỏ（赤点設定） của cột mục số nguyên (M=100), bấm nút mở thiết lập (Figma: 編集 (sửa)).</t>
        </is>
      </c>
      <c r="C503" s="57" t="n"/>
      <c r="D503" s="57" t="n"/>
      <c r="E503" s="57" t="n"/>
    </row>
    <row r="504" ht="30" customHeight="1">
      <c r="A504" s="47" t="inlineStr">
        <is>
          <t>Step 3</t>
        </is>
      </c>
      <c r="B504" s="56" t="inlineStr">
        <is>
          <t>Trên màn danh sách, đối chiếu lần lượt các mục a–g ở Expected Result.</t>
        </is>
      </c>
      <c r="C504" s="57" t="n"/>
      <c r="D504" s="57" t="n"/>
      <c r="E504" s="57" t="n"/>
    </row>
    <row r="505" ht="44" customHeight="1">
      <c r="A505" s="47" t="inlineStr">
        <is>
          <t>Reset</t>
        </is>
      </c>
      <c r="B505" s="56" t="inlineStr">
        <is>
          <t>Trước mỗi biến thể, dựng lại điều kiện/dữ liệu đầu của case bằng đường được phép; giữ các reset/fixture độc lập đã nêu trong thủ tục.</t>
        </is>
      </c>
      <c r="C505" s="57" t="n"/>
      <c r="D505" s="57" t="n"/>
      <c r="E505" s="57" t="n"/>
    </row>
    <row r="506" ht="30" customHeight="1">
      <c r="A506" s="58" t="inlineStr">
        <is>
          <t>Kết quả mong đợi</t>
        </is>
      </c>
      <c r="B506" s="59" t="n"/>
      <c r="C506" s="59" t="n"/>
      <c r="D506" s="59" t="n"/>
      <c r="E506" s="59" t="n"/>
    </row>
    <row r="507" ht="44" customHeight="1">
      <c r="A507" s="47" t="inlineStr">
        <is>
          <t>•</t>
        </is>
      </c>
      <c r="B507" s="56" t="inlineStr">
        <is>
          <t>A. Breadcrumb: Thiết lập bảng thành tích（成績帳票設定） - Thiết lập thành tích（成績設定） - Thiết lập nhập điểm（成績入力設定） - Thiết lập điểm đỏ（赤点設定）.</t>
        </is>
      </c>
      <c r="C507" s="57" t="n"/>
      <c r="D507" s="57" t="n"/>
      <c r="E507" s="57" t="n"/>
    </row>
    <row r="508" ht="30" customHeight="1">
      <c r="A508" s="47" t="inlineStr">
        <is>
          <t>•</t>
        </is>
      </c>
      <c r="B508" s="56" t="inlineStr">
        <is>
          <t>B. Link Quay lại Thiết lập nhập điểm（[成績入力設定へ戻る]）.</t>
        </is>
      </c>
      <c r="C508" s="57" t="n"/>
      <c r="D508" s="57" t="n"/>
      <c r="E508" s="57" t="n"/>
    </row>
    <row r="509" ht="30" customHeight="1">
      <c r="A509" s="47" t="inlineStr">
        <is>
          <t>•</t>
        </is>
      </c>
      <c r="B509" s="56" t="inlineStr">
        <is>
          <t>C. Khối Giải thích bổ sung（※補足説明※） thu gọn/mở được.</t>
        </is>
      </c>
      <c r="C509" s="57" t="n"/>
      <c r="D509" s="57" t="n"/>
      <c r="E509" s="57" t="n"/>
    </row>
    <row r="510" ht="30" customHeight="1">
      <c r="A510" s="47" t="inlineStr">
        <is>
          <t>•</t>
        </is>
      </c>
      <c r="B510" s="56" t="inlineStr">
        <is>
          <t>D. Nút Thêm thiết lập chi tiết（詳細設定の追加）.</t>
        </is>
      </c>
      <c r="C510" s="57" t="n"/>
      <c r="D510" s="57" t="n"/>
      <c r="E510" s="57" t="n"/>
    </row>
    <row r="511" ht="61" customHeight="1">
      <c r="A511" s="47" t="inlineStr">
        <is>
          <t>•</t>
        </is>
      </c>
      <c r="B511" s="56" t="inlineStr">
        <is>
          <t>E. Bảng có các cột Tên thiết lập（設定名称）; Điều kiện áp dụng（適用条件） kèm Sửa（[編集]）; Ngưỡng đỏ（赤点の基準） kèm Sửa（[編集]）; Xóa（削除）; Ưu tiên（優先順位） ▲▼; có 2 dòng theo cặp quy tắc phân nhánh theo trung bình 60.</t>
        </is>
      </c>
      <c r="C511" s="57" t="n"/>
      <c r="D511" s="57" t="n"/>
      <c r="E511" s="57" t="n"/>
    </row>
    <row r="512" ht="44" customHeight="1">
      <c r="A512" s="47" t="inlineStr">
        <is>
          <t>•</t>
        </is>
      </c>
      <c r="B512" s="56" t="inlineStr">
        <is>
          <t>F. Câu 「上から順に適用条件を確認し、最初に一致した設定を使用します。」 (kiểm điều kiện từ trên xuống, dùng thiết lập khớp đầu tiên).</t>
        </is>
      </c>
      <c r="C512" s="57" t="n"/>
      <c r="D512" s="57" t="n"/>
      <c r="E512" s="57" t="n"/>
    </row>
    <row r="513" ht="44" customHeight="1">
      <c r="A513" s="47" t="inlineStr">
        <is>
          <t>•</t>
        </is>
      </c>
      <c r="B513" s="56" t="inlineStr">
        <is>
          <t>G. Câu cuối trang 「設定を変更した場合は、成績登録または成績集計の自動算出を再実行してください。」 (đổi thiết lập thì chạy lại đăng ký điểm hoặc tính tự động).</t>
        </is>
      </c>
      <c r="C513" s="57" t="n"/>
      <c r="D513" s="57" t="n"/>
      <c r="E513" s="57" t="n"/>
    </row>
    <row r="514" ht="44" customHeight="1">
      <c r="A514" s="47" t="inlineStr">
        <is>
          <t>Giữ nguyên</t>
        </is>
      </c>
      <c r="B514" s="56" t="inlineStr">
        <is>
          <t>• Giữ điểm, cấu hình và đối tượng không đích theo expected;
• Chỉ thay phần thủ tục yêu cầu, không tự đổi oracle hoặc mở rộng phạm vi.</t>
        </is>
      </c>
      <c r="C514" s="57" t="n"/>
      <c r="D514" s="57" t="n"/>
      <c r="E514" s="57" t="n"/>
    </row>
    <row r="515" ht="61" customHeight="1">
      <c r="A515" s="47" t="inlineStr">
        <is>
          <t>Quan sát tại</t>
        </is>
      </c>
      <c r="B515" s="56" t="inlineStr">
        <is>
          <t>• Dùng trích xuất không lọc để thấy cả ô đối chứng. Trạng thái không có dấu đỏ cần đọc thêm trạng thái lưu;
• Output Excel/PDF dùng file thật.</t>
        </is>
      </c>
      <c r="C515" s="57" t="n"/>
      <c r="D515" s="57" t="n"/>
      <c r="E515" s="57" t="n"/>
    </row>
    <row r="516" ht="30" customHeight="1">
      <c r="A516" s="58" t="inlineStr">
        <is>
          <t>Kết quả thực tế</t>
        </is>
      </c>
      <c r="B516" s="59" t="n"/>
      <c r="C516" s="59" t="n"/>
      <c r="D516" s="59" t="n"/>
      <c r="E516" s="59" t="n"/>
    </row>
    <row r="517" ht="30" customHeight="1">
      <c r="A517" s="47" t="inlineStr">
        <is>
          <t>Dữ liệu biến thể</t>
        </is>
      </c>
      <c r="B517" s="56" t="inlineStr">
        <is>
          <t>Toàn bộ thủ tục theo đúng thứ tự; các đối chứng cùng fixture được kiểm trong cùng lượt, không bỏ bước</t>
        </is>
      </c>
      <c r="C517" s="57" t="n"/>
      <c r="D517" s="57" t="n"/>
      <c r="E517" s="57" t="n"/>
    </row>
    <row r="518" ht="30" customHeight="1">
      <c r="A518" s="62" t="inlineStr">
        <is>
          <t>Kết quả thực tế</t>
        </is>
      </c>
    </row>
    <row r="519" ht="64" customHeight="1">
      <c r="A519" s="63" t="inlineStr"/>
      <c r="B519" s="64" t="n"/>
      <c r="C519" s="64" t="n"/>
      <c r="D519" s="64" t="n"/>
      <c r="E519" s="65" t="n"/>
    </row>
    <row r="520" ht="30" customHeight="1">
      <c r="A520" s="62" t="inlineStr">
        <is>
          <t>Ảnh minh chứng</t>
        </is>
      </c>
    </row>
    <row r="521" ht="90" customHeight="1">
      <c r="A521" s="63" t="inlineStr"/>
      <c r="B521" s="64" t="n"/>
      <c r="C521" s="64" t="n"/>
      <c r="D521" s="64" t="n"/>
      <c r="E521" s="65" t="n"/>
    </row>
    <row r="522" ht="12" customHeight="1">
      <c r="A522" s="66" t="inlineStr"/>
    </row>
    <row r="523" ht="20" customHeight="1">
      <c r="A523" s="66" t="inlineStr"/>
    </row>
    <row r="524" ht="30" customHeight="1">
      <c r="A524" s="46" t="inlineStr">
        <is>
          <t>TC-RS-UI-003 — Định dạng tiêu đề màn danh sách</t>
        </is>
      </c>
      <c r="B524" s="23" t="n"/>
      <c r="C524" s="23" t="n"/>
      <c r="D524" s="23" t="n"/>
      <c r="E524" s="23" t="n"/>
    </row>
    <row r="525" ht="30" customHeight="1">
      <c r="A525" s="47" t="inlineStr">
        <is>
          <t>Trạng thái</t>
        </is>
      </c>
      <c r="B525" s="61" t="inlineStr">
        <is>
          <t>Chưa thực hiện</t>
        </is>
      </c>
      <c r="C525" s="57" t="n"/>
      <c r="D525" s="57" t="n"/>
      <c r="E525" s="57" t="n"/>
    </row>
    <row r="526" ht="30" customHeight="1">
      <c r="A526" s="47" t="inlineStr">
        <is>
          <t>Màn hình / chức năng</t>
        </is>
      </c>
      <c r="B526" s="47" t="inlineStr">
        <is>
          <t>Thiết lập điểm đỏ（赤点設定）</t>
        </is>
      </c>
      <c r="C526" s="57" t="n"/>
      <c r="D526" s="47" t="inlineStr">
        <is>
          <t>Đường dẫn</t>
        </is>
      </c>
      <c r="E526" s="56" t="inlineStr">
        <is>
          <t>Chưa xác minh</t>
        </is>
      </c>
    </row>
    <row r="527" ht="30" customHeight="1">
      <c r="A527" s="58" t="inlineStr">
        <is>
          <t>Điều kiện kiểm thử</t>
        </is>
      </c>
      <c r="B527" s="59" t="n"/>
      <c r="C527" s="59" t="n"/>
      <c r="D527" s="59" t="n"/>
      <c r="E527" s="59" t="n"/>
    </row>
    <row r="528" ht="30" customHeight="1">
      <c r="A528" s="47" t="inlineStr">
        <is>
          <t>Cấu hình</t>
        </is>
      </c>
      <c r="B528" s="56" t="inlineStr">
        <is>
          <t>• Mục số thập phân (M=100).</t>
        </is>
      </c>
      <c r="C528" s="57" t="n"/>
      <c r="D528" s="57" t="n"/>
      <c r="E528" s="57" t="n"/>
    </row>
    <row r="529" ht="61" customHeight="1">
      <c r="A529" s="47" t="inlineStr">
        <is>
          <t>Vai trò / quyền</t>
        </is>
      </c>
      <c r="B52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29" s="57" t="n"/>
      <c r="D529" s="57" t="n"/>
      <c r="E529" s="57" t="n"/>
    </row>
    <row r="530" ht="30" customHeight="1">
      <c r="A530" s="47" t="inlineStr">
        <is>
          <t>Dữ liệu test</t>
        </is>
      </c>
      <c r="B530" s="56" t="inlineStr">
        <is>
          <t>• Mục số thập phân (M=100)</t>
        </is>
      </c>
      <c r="C530" s="57" t="n"/>
      <c r="D530" s="57" t="n"/>
      <c r="E530" s="57" t="n"/>
    </row>
    <row r="531" ht="30" customHeight="1">
      <c r="A531" s="47" t="inlineStr">
        <is>
          <t>Trigger</t>
        </is>
      </c>
      <c r="B531" s="56" t="inlineStr">
        <is>
          <t>• Chỉ xem/xuất không tự chạy xét.</t>
        </is>
      </c>
      <c r="C531" s="57" t="n"/>
      <c r="D531" s="57" t="n"/>
      <c r="E531" s="57" t="n"/>
    </row>
    <row r="532" ht="44" customHeight="1">
      <c r="A532" s="47" t="inlineStr">
        <is>
          <t>Blocker</t>
        </is>
      </c>
      <c r="B532" s="56" t="inlineStr">
        <is>
          <t>• G-PREP-UNASSESSED: Chưa có xác minh fixture, đường thực hiện và phép quan sát trên build của từng case chưa đánh giá.</t>
        </is>
      </c>
      <c r="C532" s="57" t="n"/>
      <c r="D532" s="57" t="n"/>
      <c r="E532" s="57" t="n"/>
    </row>
    <row r="533" ht="30" customHeight="1">
      <c r="A533" s="58" t="inlineStr">
        <is>
          <t>Thao tác</t>
        </is>
      </c>
      <c r="B533" s="59" t="n"/>
      <c r="C533" s="59" t="n"/>
      <c r="D533" s="59" t="n"/>
      <c r="E533" s="59" t="n"/>
    </row>
    <row r="534" ht="30" customHeight="1">
      <c r="A534" s="47" t="inlineStr">
        <is>
          <t>•</t>
        </is>
      </c>
      <c r="B534" s="56" t="inlineStr">
        <is>
          <t>Mở màn danh sách của mục số thập phân (M=100), đọc tiêu đề.</t>
        </is>
      </c>
      <c r="C534" s="57" t="n"/>
      <c r="D534" s="57" t="n"/>
      <c r="E534" s="57" t="n"/>
    </row>
    <row r="535" ht="44" customHeight="1">
      <c r="A535" s="47" t="inlineStr">
        <is>
          <t>Reset</t>
        </is>
      </c>
      <c r="B535" s="56" t="inlineStr">
        <is>
          <t>Trước mỗi biến thể, dựng lại điều kiện/dữ liệu đầu của case bằng đường được phép; giữ các reset/fixture độc lập đã nêu trong thủ tục.</t>
        </is>
      </c>
      <c r="C535" s="57" t="n"/>
      <c r="D535" s="57" t="n"/>
      <c r="E535" s="57" t="n"/>
    </row>
    <row r="536" ht="30" customHeight="1">
      <c r="A536" s="58" t="inlineStr">
        <is>
          <t>Kết quả mong đợi</t>
        </is>
      </c>
      <c r="B536" s="59" t="n"/>
      <c r="C536" s="59" t="n"/>
      <c r="D536" s="59" t="n"/>
      <c r="E536" s="59" t="n"/>
    </row>
    <row r="537" ht="44" customHeight="1">
      <c r="A537" s="47" t="inlineStr">
        <is>
          <t>•</t>
        </is>
      </c>
      <c r="B537" s="56" t="inlineStr">
        <is>
          <t>Theo tiêu chí nghiệm thu “Lưu và mở lại nhiều thiết lập”: màn danh sách thể hiện kỳ Cuối kỳ học kỳ 1（1学期期末）, tên mục, kiểu nhập Nhập số – thập phân（数値入力・小数） và Thiết lập điểm đỏ（赤点設定）.</t>
        </is>
      </c>
      <c r="C537" s="57" t="n"/>
      <c r="D537" s="57" t="n"/>
      <c r="E537" s="57" t="n"/>
    </row>
    <row r="538" ht="44" customHeight="1">
      <c r="A538" s="47" t="inlineStr">
        <is>
          <t>•</t>
        </is>
      </c>
      <c r="B538" s="56" t="inlineStr">
        <is>
          <t>Định dạng tiêu đề theo Figma (PROPOSED): 「1学期期末 ／ 評点（数値入力・小数） の赤点設定」; lệch thì ghi Notes, không FAIL.</t>
        </is>
      </c>
      <c r="C538" s="57" t="n"/>
      <c r="D538" s="57" t="n"/>
      <c r="E538" s="57" t="n"/>
    </row>
    <row r="539" ht="44" customHeight="1">
      <c r="A539" s="47" t="inlineStr">
        <is>
          <t>Giữ nguyên</t>
        </is>
      </c>
      <c r="B539" s="56" t="inlineStr">
        <is>
          <t>• Giữ điểm, cấu hình và đối tượng không đích theo expected;
• Chỉ thay phần thủ tục yêu cầu, không tự đổi oracle hoặc mở rộng phạm vi.</t>
        </is>
      </c>
      <c r="C539" s="57" t="n"/>
      <c r="D539" s="57" t="n"/>
      <c r="E539" s="57" t="n"/>
    </row>
    <row r="540" ht="61" customHeight="1">
      <c r="A540" s="47" t="inlineStr">
        <is>
          <t>Quan sát tại</t>
        </is>
      </c>
      <c r="B540" s="56" t="inlineStr">
        <is>
          <t>• Dùng trích xuất không lọc để thấy cả ô đối chứng. Trạng thái không có dấu đỏ cần đọc thêm trạng thái lưu;
• Output Excel/PDF dùng file thật.</t>
        </is>
      </c>
      <c r="C540" s="57" t="n"/>
      <c r="D540" s="57" t="n"/>
      <c r="E540" s="57" t="n"/>
    </row>
    <row r="541" ht="30" customHeight="1">
      <c r="A541" s="58" t="inlineStr">
        <is>
          <t>Kết quả thực tế</t>
        </is>
      </c>
      <c r="B541" s="59" t="n"/>
      <c r="C541" s="59" t="n"/>
      <c r="D541" s="59" t="n"/>
      <c r="E541" s="59" t="n"/>
    </row>
    <row r="542" ht="30" customHeight="1">
      <c r="A542" s="47" t="inlineStr">
        <is>
          <t>Dữ liệu biến thể</t>
        </is>
      </c>
      <c r="B542" s="56" t="inlineStr">
        <is>
          <t>Toàn bộ thủ tục theo đúng thứ tự; các đối chứng cùng fixture được kiểm trong cùng lượt, không bỏ bước</t>
        </is>
      </c>
      <c r="C542" s="57" t="n"/>
      <c r="D542" s="57" t="n"/>
      <c r="E542" s="57" t="n"/>
    </row>
    <row r="543" ht="30" customHeight="1">
      <c r="A543" s="62" t="inlineStr">
        <is>
          <t>Kết quả thực tế</t>
        </is>
      </c>
    </row>
    <row r="544" ht="64" customHeight="1">
      <c r="A544" s="63" t="inlineStr"/>
      <c r="B544" s="64" t="n"/>
      <c r="C544" s="64" t="n"/>
      <c r="D544" s="64" t="n"/>
      <c r="E544" s="65" t="n"/>
    </row>
    <row r="545" ht="30" customHeight="1">
      <c r="A545" s="62" t="inlineStr">
        <is>
          <t>Ảnh minh chứng</t>
        </is>
      </c>
    </row>
    <row r="546" ht="90" customHeight="1">
      <c r="A546" s="63" t="inlineStr"/>
      <c r="B546" s="64" t="n"/>
      <c r="C546" s="64" t="n"/>
      <c r="D546" s="64" t="n"/>
      <c r="E546" s="65" t="n"/>
    </row>
    <row r="547" ht="12" customHeight="1">
      <c r="A547" s="66" t="inlineStr"/>
    </row>
    <row r="548" ht="20" customHeight="1">
      <c r="A548" s="66" t="inlineStr"/>
    </row>
    <row r="549" ht="30" customHeight="1">
      <c r="A549" s="46" t="inlineStr">
        <is>
          <t>TC-RS-UI-004 — Tóm tắt điều kiện và ngưỡng trên từng dòng danh sách</t>
        </is>
      </c>
      <c r="B549" s="23" t="n"/>
      <c r="C549" s="23" t="n"/>
      <c r="D549" s="23" t="n"/>
      <c r="E549" s="23" t="n"/>
    </row>
    <row r="550" ht="30" customHeight="1">
      <c r="A550" s="47" t="inlineStr">
        <is>
          <t>Trạng thái</t>
        </is>
      </c>
      <c r="B550" s="61" t="inlineStr">
        <is>
          <t>Chưa thực hiện</t>
        </is>
      </c>
      <c r="C550" s="57" t="n"/>
      <c r="D550" s="57" t="n"/>
      <c r="E550" s="57" t="n"/>
    </row>
    <row r="551" ht="30" customHeight="1">
      <c r="A551" s="47" t="inlineStr">
        <is>
          <t>Màn hình / chức năng</t>
        </is>
      </c>
      <c r="B551" s="47" t="inlineStr">
        <is>
          <t>Thiết lập điểm đỏ（赤点設定）</t>
        </is>
      </c>
      <c r="C551" s="57" t="n"/>
      <c r="D551" s="47" t="inlineStr">
        <is>
          <t>Đường dẫn</t>
        </is>
      </c>
      <c r="E551" s="56" t="inlineStr">
        <is>
          <t>Chưa xác minh</t>
        </is>
      </c>
    </row>
    <row r="552" ht="30" customHeight="1">
      <c r="A552" s="58" t="inlineStr">
        <is>
          <t>Điều kiện kiểm thử</t>
        </is>
      </c>
      <c r="B552" s="59" t="n"/>
      <c r="C552" s="59" t="n"/>
      <c r="D552" s="59" t="n"/>
      <c r="E552" s="59" t="n"/>
    </row>
    <row r="553" ht="44" customHeight="1">
      <c r="A553" s="47" t="inlineStr">
        <is>
          <t>Cấu hình</t>
        </is>
      </c>
      <c r="B553" s="56" t="inlineStr">
        <is>
          <t>• Mục số nguyên (M=100) có cặp quy tắc phân nhánh theo trung bình 60 và một quy tắc công thức hai dòng (trung bình ÷ 2 × 0.8).</t>
        </is>
      </c>
      <c r="C553" s="57" t="n"/>
      <c r="D553" s="57" t="n"/>
      <c r="E553" s="57" t="n"/>
    </row>
    <row r="554" ht="61" customHeight="1">
      <c r="A554" s="47" t="inlineStr">
        <is>
          <t>Vai trò / quyền</t>
        </is>
      </c>
      <c r="B55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54" s="57" t="n"/>
      <c r="D554" s="57" t="n"/>
      <c r="E554" s="57" t="n"/>
    </row>
    <row r="555" ht="44" customHeight="1">
      <c r="A555" s="47" t="inlineStr">
        <is>
          <t>Dữ liệu test</t>
        </is>
      </c>
      <c r="B555" s="56" t="inlineStr">
        <is>
          <t>• Mục số nguyên (M=100);
• Quy tắc công thức hai dòng (trung bình ÷ 2 × 0.8), cặp quy tắc phân nhánh theo trung bình 60</t>
        </is>
      </c>
      <c r="C555" s="57" t="n"/>
      <c r="D555" s="57" t="n"/>
      <c r="E555" s="57" t="n"/>
    </row>
    <row r="556" ht="30" customHeight="1">
      <c r="A556" s="47" t="inlineStr">
        <is>
          <t>Trigger</t>
        </is>
      </c>
      <c r="B556" s="56" t="inlineStr">
        <is>
          <t>• Chỉ xem/xuất không tự chạy xét.</t>
        </is>
      </c>
      <c r="C556" s="57" t="n"/>
      <c r="D556" s="57" t="n"/>
      <c r="E556" s="57" t="n"/>
    </row>
    <row r="557" ht="44" customHeight="1">
      <c r="A557" s="47" t="inlineStr">
        <is>
          <t>Blocker</t>
        </is>
      </c>
      <c r="B557" s="56" t="inlineStr">
        <is>
          <t>• G-PREP-UNASSESSED: Chưa có xác minh fixture, đường thực hiện và phép quan sát trên build của từng case chưa đánh giá.</t>
        </is>
      </c>
      <c r="C557" s="57" t="n"/>
      <c r="D557" s="57" t="n"/>
      <c r="E557" s="57" t="n"/>
    </row>
    <row r="558" ht="30" customHeight="1">
      <c r="A558" s="58" t="inlineStr">
        <is>
          <t>Thao tác</t>
        </is>
      </c>
      <c r="B558" s="59" t="n"/>
      <c r="C558" s="59" t="n"/>
      <c r="D558" s="59" t="n"/>
      <c r="E558" s="59" t="n"/>
    </row>
    <row r="559" ht="30" customHeight="1">
      <c r="A559" s="47" t="inlineStr">
        <is>
          <t>•</t>
        </is>
      </c>
      <c r="B559" s="56" t="inlineStr">
        <is>
          <t>Xem cột Điều kiện áp dụng（適用条件） và Ngưỡng đỏ（赤点の基準） của từng dòng.</t>
        </is>
      </c>
      <c r="C559" s="57" t="n"/>
      <c r="D559" s="57" t="n"/>
      <c r="E559" s="57" t="n"/>
    </row>
    <row r="560" ht="44" customHeight="1">
      <c r="A560" s="47" t="inlineStr">
        <is>
          <t>Reset</t>
        </is>
      </c>
      <c r="B560" s="56" t="inlineStr">
        <is>
          <t>Trước mỗi biến thể, dựng lại điều kiện/dữ liệu đầu của case bằng đường được phép; giữ các reset/fixture độc lập đã nêu trong thủ tục.</t>
        </is>
      </c>
      <c r="C560" s="57" t="n"/>
      <c r="D560" s="57" t="n"/>
      <c r="E560" s="57" t="n"/>
    </row>
    <row r="561" ht="30" customHeight="1">
      <c r="A561" s="58" t="inlineStr">
        <is>
          <t>Kết quả mong đợi</t>
        </is>
      </c>
      <c r="B561" s="59" t="n"/>
      <c r="C561" s="59" t="n"/>
      <c r="D561" s="59" t="n"/>
      <c r="E561" s="59" t="n"/>
    </row>
    <row r="562" ht="44" customHeight="1">
      <c r="A562" s="47" t="inlineStr">
        <is>
          <t>•</t>
        </is>
      </c>
      <c r="B562" s="56" t="inlineStr">
        <is>
          <t>Mỗi dòng cho biết môn/nguồn/mốc của điều kiện, loại ngưỡng, giá trị, dấu so sánh; dòng công thức cho thấy các dòng tính và xử lý phần lẻ. Định dạng theo Figma (đề xuất).</t>
        </is>
      </c>
      <c r="C562" s="57" t="n"/>
      <c r="D562" s="57" t="n"/>
      <c r="E562" s="57" t="n"/>
    </row>
    <row r="563" ht="44" customHeight="1">
      <c r="A563" s="47" t="inlineStr">
        <is>
          <t>Giữ nguyên</t>
        </is>
      </c>
      <c r="B563" s="56" t="inlineStr">
        <is>
          <t>• Giữ điểm, cấu hình và đối tượng không đích theo expected;
• Chỉ thay phần thủ tục yêu cầu, không tự đổi oracle hoặc mở rộng phạm vi.</t>
        </is>
      </c>
      <c r="C563" s="57" t="n"/>
      <c r="D563" s="57" t="n"/>
      <c r="E563" s="57" t="n"/>
    </row>
    <row r="564" ht="61" customHeight="1">
      <c r="A564" s="47" t="inlineStr">
        <is>
          <t>Quan sát tại</t>
        </is>
      </c>
      <c r="B564" s="56" t="inlineStr">
        <is>
          <t>• Dùng trích xuất không lọc để thấy cả ô đối chứng. Trạng thái không có dấu đỏ cần đọc thêm trạng thái lưu;
• Output Excel/PDF dùng file thật.</t>
        </is>
      </c>
      <c r="C564" s="57" t="n"/>
      <c r="D564" s="57" t="n"/>
      <c r="E564" s="57" t="n"/>
    </row>
    <row r="565" ht="30" customHeight="1">
      <c r="A565" s="58" t="inlineStr">
        <is>
          <t>Kết quả thực tế</t>
        </is>
      </c>
      <c r="B565" s="59" t="n"/>
      <c r="C565" s="59" t="n"/>
      <c r="D565" s="59" t="n"/>
      <c r="E565" s="59" t="n"/>
    </row>
    <row r="566" ht="30" customHeight="1">
      <c r="A566" s="47" t="inlineStr">
        <is>
          <t>Dữ liệu biến thể</t>
        </is>
      </c>
      <c r="B566" s="56" t="inlineStr">
        <is>
          <t>Toàn bộ thủ tục theo đúng thứ tự; các đối chứng cùng fixture được kiểm trong cùng lượt, không bỏ bước</t>
        </is>
      </c>
      <c r="C566" s="57" t="n"/>
      <c r="D566" s="57" t="n"/>
      <c r="E566" s="57" t="n"/>
    </row>
    <row r="567" ht="30" customHeight="1">
      <c r="A567" s="62" t="inlineStr">
        <is>
          <t>Kết quả thực tế</t>
        </is>
      </c>
    </row>
    <row r="568" ht="64" customHeight="1">
      <c r="A568" s="63" t="inlineStr"/>
      <c r="B568" s="64" t="n"/>
      <c r="C568" s="64" t="n"/>
      <c r="D568" s="64" t="n"/>
      <c r="E568" s="65" t="n"/>
    </row>
    <row r="569" ht="30" customHeight="1">
      <c r="A569" s="62" t="inlineStr">
        <is>
          <t>Ảnh minh chứng</t>
        </is>
      </c>
    </row>
    <row r="570" ht="90" customHeight="1">
      <c r="A570" s="63" t="inlineStr"/>
      <c r="B570" s="64" t="n"/>
      <c r="C570" s="64" t="n"/>
      <c r="D570" s="64" t="n"/>
      <c r="E570" s="65" t="n"/>
    </row>
    <row r="571" ht="12" customHeight="1">
      <c r="A571" s="66" t="inlineStr"/>
    </row>
    <row r="572" ht="20" customHeight="1">
      <c r="A572" s="66" t="inlineStr"/>
    </row>
    <row r="573" ht="30" customHeight="1">
      <c r="A573" s="46" t="inlineStr">
        <is>
          <t>TC-RS-UI-005 — Trạng thái danh sách trống</t>
        </is>
      </c>
      <c r="B573" s="23" t="n"/>
      <c r="C573" s="23" t="n"/>
      <c r="D573" s="23" t="n"/>
      <c r="E573" s="23" t="n"/>
    </row>
    <row r="574" ht="30" customHeight="1">
      <c r="A574" s="47" t="inlineStr">
        <is>
          <t>Trạng thái</t>
        </is>
      </c>
      <c r="B574" s="61" t="inlineStr">
        <is>
          <t>Chưa thực hiện</t>
        </is>
      </c>
      <c r="C574" s="57" t="n"/>
      <c r="D574" s="57" t="n"/>
      <c r="E574" s="57" t="n"/>
    </row>
    <row r="575" ht="30" customHeight="1">
      <c r="A575" s="47" t="inlineStr">
        <is>
          <t>Màn hình / chức năng</t>
        </is>
      </c>
      <c r="B575" s="47" t="inlineStr">
        <is>
          <t>Thiết lập điểm đỏ（赤点設定）</t>
        </is>
      </c>
      <c r="C575" s="57" t="n"/>
      <c r="D575" s="47" t="inlineStr">
        <is>
          <t>Đường dẫn</t>
        </is>
      </c>
      <c r="E575" s="56" t="inlineStr">
        <is>
          <t>Chưa xác minh</t>
        </is>
      </c>
    </row>
    <row r="576" ht="30" customHeight="1">
      <c r="A576" s="58" t="inlineStr">
        <is>
          <t>Điều kiện kiểm thử</t>
        </is>
      </c>
      <c r="B576" s="59" t="n"/>
      <c r="C576" s="59" t="n"/>
      <c r="D576" s="59" t="n"/>
      <c r="E576" s="59" t="n"/>
    </row>
    <row r="577" ht="30" customHeight="1">
      <c r="A577" s="47" t="inlineStr">
        <is>
          <t>Cấu hình</t>
        </is>
      </c>
      <c r="B577" s="56" t="inlineStr">
        <is>
          <t>• Mục số nguyên (M=100) không có quy tắc.</t>
        </is>
      </c>
      <c r="C577" s="57" t="n"/>
      <c r="D577" s="57" t="n"/>
      <c r="E577" s="57" t="n"/>
    </row>
    <row r="578" ht="61" customHeight="1">
      <c r="A578" s="47" t="inlineStr">
        <is>
          <t>Vai trò / quyền</t>
        </is>
      </c>
      <c r="B57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78" s="57" t="n"/>
      <c r="D578" s="57" t="n"/>
      <c r="E578" s="57" t="n"/>
    </row>
    <row r="579" ht="30" customHeight="1">
      <c r="A579" s="47" t="inlineStr">
        <is>
          <t>Dữ liệu test</t>
        </is>
      </c>
      <c r="B579" s="56" t="inlineStr">
        <is>
          <t>• Mục số nguyên (M=100)</t>
        </is>
      </c>
      <c r="C579" s="57" t="n"/>
      <c r="D579" s="57" t="n"/>
      <c r="E579" s="57" t="n"/>
    </row>
    <row r="580" ht="30" customHeight="1">
      <c r="A580" s="47" t="inlineStr">
        <is>
          <t>Trigger</t>
        </is>
      </c>
      <c r="B580" s="56" t="inlineStr">
        <is>
          <t>• Chỉ xem/xuất không tự chạy xét.</t>
        </is>
      </c>
      <c r="C580" s="57" t="n"/>
      <c r="D580" s="57" t="n"/>
      <c r="E580" s="57" t="n"/>
    </row>
    <row r="581" ht="44" customHeight="1">
      <c r="A581" s="47" t="inlineStr">
        <is>
          <t>Blocker</t>
        </is>
      </c>
      <c r="B581" s="56" t="inlineStr">
        <is>
          <t>• G-PREP-UNASSESSED: Chưa có xác minh fixture, đường thực hiện và phép quan sát trên build của từng case chưa đánh giá.</t>
        </is>
      </c>
      <c r="C581" s="57" t="n"/>
      <c r="D581" s="57" t="n"/>
      <c r="E581" s="57" t="n"/>
    </row>
    <row r="582" ht="30" customHeight="1">
      <c r="A582" s="58" t="inlineStr">
        <is>
          <t>Thao tác</t>
        </is>
      </c>
      <c r="B582" s="59" t="n"/>
      <c r="C582" s="59" t="n"/>
      <c r="D582" s="59" t="n"/>
      <c r="E582" s="59" t="n"/>
    </row>
    <row r="583" ht="30" customHeight="1">
      <c r="A583" s="47" t="inlineStr">
        <is>
          <t>•</t>
        </is>
      </c>
      <c r="B583" s="56" t="inlineStr">
        <is>
          <t>Mở danh sách.</t>
        </is>
      </c>
      <c r="C583" s="57" t="n"/>
      <c r="D583" s="57" t="n"/>
      <c r="E583" s="57" t="n"/>
    </row>
    <row r="584" ht="44" customHeight="1">
      <c r="A584" s="47" t="inlineStr">
        <is>
          <t>Reset</t>
        </is>
      </c>
      <c r="B584" s="56" t="inlineStr">
        <is>
          <t>Trước mỗi biến thể, dựng lại điều kiện/dữ liệu đầu của case bằng đường được phép; giữ các reset/fixture độc lập đã nêu trong thủ tục.</t>
        </is>
      </c>
      <c r="C584" s="57" t="n"/>
      <c r="D584" s="57" t="n"/>
      <c r="E584" s="57" t="n"/>
    </row>
    <row r="585" ht="30" customHeight="1">
      <c r="A585" s="58" t="inlineStr">
        <is>
          <t>Kết quả mong đợi</t>
        </is>
      </c>
      <c r="B585" s="59" t="n"/>
      <c r="C585" s="59" t="n"/>
      <c r="D585" s="59" t="n"/>
      <c r="E585" s="59" t="n"/>
    </row>
    <row r="586" ht="30" customHeight="1">
      <c r="A586" s="47" t="inlineStr">
        <is>
          <t>•</t>
        </is>
      </c>
      <c r="B586" s="56" t="inlineStr">
        <is>
          <t>Hiển thị câu báo không có thiết lập và nút thêm; không có dòng mẫu.</t>
        </is>
      </c>
      <c r="C586" s="57" t="n"/>
      <c r="D586" s="57" t="n"/>
      <c r="E586" s="57" t="n"/>
    </row>
    <row r="587" ht="44" customHeight="1">
      <c r="A587" s="47" t="inlineStr">
        <is>
          <t>Giữ nguyên</t>
        </is>
      </c>
      <c r="B587" s="56" t="inlineStr">
        <is>
          <t>• Giữ điểm, cấu hình và đối tượng không đích theo expected;
• Chỉ thay phần thủ tục yêu cầu, không tự đổi oracle hoặc mở rộng phạm vi.</t>
        </is>
      </c>
      <c r="C587" s="57" t="n"/>
      <c r="D587" s="57" t="n"/>
      <c r="E587" s="57" t="n"/>
    </row>
    <row r="588" ht="61" customHeight="1">
      <c r="A588" s="47" t="inlineStr">
        <is>
          <t>Quan sát tại</t>
        </is>
      </c>
      <c r="B588" s="56" t="inlineStr">
        <is>
          <t>• Dùng trích xuất không lọc để thấy cả ô đối chứng. Trạng thái không có dấu đỏ cần đọc thêm trạng thái lưu;
• Output Excel/PDF dùng file thật.</t>
        </is>
      </c>
      <c r="C588" s="57" t="n"/>
      <c r="D588" s="57" t="n"/>
      <c r="E588" s="57" t="n"/>
    </row>
    <row r="589" ht="30" customHeight="1">
      <c r="A589" s="58" t="inlineStr">
        <is>
          <t>Kết quả thực tế</t>
        </is>
      </c>
      <c r="B589" s="59" t="n"/>
      <c r="C589" s="59" t="n"/>
      <c r="D589" s="59" t="n"/>
      <c r="E589" s="59" t="n"/>
    </row>
    <row r="590" ht="30" customHeight="1">
      <c r="A590" s="47" t="inlineStr">
        <is>
          <t>Dữ liệu biến thể</t>
        </is>
      </c>
      <c r="B590" s="56" t="inlineStr">
        <is>
          <t>Toàn bộ thủ tục theo đúng thứ tự; các đối chứng cùng fixture được kiểm trong cùng lượt, không bỏ bước</t>
        </is>
      </c>
      <c r="C590" s="57" t="n"/>
      <c r="D590" s="57" t="n"/>
      <c r="E590" s="57" t="n"/>
    </row>
    <row r="591" ht="30" customHeight="1">
      <c r="A591" s="62" t="inlineStr">
        <is>
          <t>Kết quả thực tế</t>
        </is>
      </c>
    </row>
    <row r="592" ht="64" customHeight="1">
      <c r="A592" s="63" t="inlineStr"/>
      <c r="B592" s="64" t="n"/>
      <c r="C592" s="64" t="n"/>
      <c r="D592" s="64" t="n"/>
      <c r="E592" s="65" t="n"/>
    </row>
    <row r="593" ht="30" customHeight="1">
      <c r="A593" s="62" t="inlineStr">
        <is>
          <t>Ảnh minh chứng</t>
        </is>
      </c>
    </row>
    <row r="594" ht="90" customHeight="1">
      <c r="A594" s="63" t="inlineStr"/>
      <c r="B594" s="64" t="n"/>
      <c r="C594" s="64" t="n"/>
      <c r="D594" s="64" t="n"/>
      <c r="E594" s="65" t="n"/>
    </row>
    <row r="595" ht="12" customHeight="1">
      <c r="A595" s="66" t="inlineStr"/>
    </row>
    <row r="596" ht="20" customHeight="1">
      <c r="A596" s="66" t="inlineStr"/>
    </row>
    <row r="597" ht="30" customHeight="1">
      <c r="A597" s="46" t="inlineStr">
        <is>
          <t>TC-RS-UI-006 — Hộp xác nhận khi xóa quy tắc cuối</t>
        </is>
      </c>
      <c r="B597" s="23" t="n"/>
      <c r="C597" s="23" t="n"/>
      <c r="D597" s="23" t="n"/>
      <c r="E597" s="23" t="n"/>
    </row>
    <row r="598" ht="30" customHeight="1">
      <c r="A598" s="47" t="inlineStr">
        <is>
          <t>Trạng thái</t>
        </is>
      </c>
      <c r="B598" s="61" t="inlineStr">
        <is>
          <t>Chưa thực hiện</t>
        </is>
      </c>
      <c r="C598" s="57" t="n"/>
      <c r="D598" s="57" t="n"/>
      <c r="E598" s="57" t="n"/>
    </row>
    <row r="599" ht="30" customHeight="1">
      <c r="A599" s="47" t="inlineStr">
        <is>
          <t>Màn hình / chức năng</t>
        </is>
      </c>
      <c r="B599" s="47" t="inlineStr">
        <is>
          <t>Thiết lập điểm đỏ（赤点設定）</t>
        </is>
      </c>
      <c r="C599" s="57" t="n"/>
      <c r="D599" s="47" t="inlineStr">
        <is>
          <t>Đường dẫn</t>
        </is>
      </c>
      <c r="E599" s="56" t="inlineStr">
        <is>
          <t>Chưa xác minh</t>
        </is>
      </c>
    </row>
    <row r="600" ht="30" customHeight="1">
      <c r="A600" s="58" t="inlineStr">
        <is>
          <t>Điều kiện kiểm thử</t>
        </is>
      </c>
      <c r="B600" s="59" t="n"/>
      <c r="C600" s="59" t="n"/>
      <c r="D600" s="59" t="n"/>
      <c r="E600" s="59" t="n"/>
    </row>
    <row r="601" ht="30" customHeight="1">
      <c r="A601" s="47" t="inlineStr">
        <is>
          <t>Cấu hình</t>
        </is>
      </c>
      <c r="B601" s="56" t="inlineStr">
        <is>
          <t>• Mục số nguyên (M=100) chỉ có quy tắc “Cố định 30” (dưới 30).</t>
        </is>
      </c>
      <c r="C601" s="57" t="n"/>
      <c r="D601" s="57" t="n"/>
      <c r="E601" s="57" t="n"/>
    </row>
    <row r="602" ht="61" customHeight="1">
      <c r="A602" s="47" t="inlineStr">
        <is>
          <t>Vai trò / quyền</t>
        </is>
      </c>
      <c r="B60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02" s="57" t="n"/>
      <c r="D602" s="57" t="n"/>
      <c r="E602" s="57" t="n"/>
    </row>
    <row r="603" ht="44" customHeight="1">
      <c r="A603" s="47" t="inlineStr">
        <is>
          <t>Dữ liệu test</t>
        </is>
      </c>
      <c r="B603" s="56" t="inlineStr">
        <is>
          <t>• Mục số nguyên (M=100);
• Quy tắc “Cố định 30” (dưới 30)</t>
        </is>
      </c>
      <c r="C603" s="57" t="n"/>
      <c r="D603" s="57" t="n"/>
      <c r="E603" s="57" t="n"/>
    </row>
    <row r="604" ht="30" customHeight="1">
      <c r="A604" s="47" t="inlineStr">
        <is>
          <t>Trigger</t>
        </is>
      </c>
      <c r="B604" s="56" t="inlineStr">
        <is>
          <t>• Chỉ xem/xuất không tự chạy xét.</t>
        </is>
      </c>
      <c r="C604" s="57" t="n"/>
      <c r="D604" s="57" t="n"/>
      <c r="E604" s="57" t="n"/>
    </row>
    <row r="605" ht="44" customHeight="1">
      <c r="A605" s="47" t="inlineStr">
        <is>
          <t>Blocker</t>
        </is>
      </c>
      <c r="B605" s="56" t="inlineStr">
        <is>
          <t>• G-PREP-UNASSESSED: Chưa có xác minh fixture, đường thực hiện và phép quan sát trên build của từng case chưa đánh giá.</t>
        </is>
      </c>
      <c r="C605" s="57" t="n"/>
      <c r="D605" s="57" t="n"/>
      <c r="E605" s="57" t="n"/>
    </row>
    <row r="606" ht="30" customHeight="1">
      <c r="A606" s="58" t="inlineStr">
        <is>
          <t>Thao tác</t>
        </is>
      </c>
      <c r="B606" s="59" t="n"/>
      <c r="C606" s="59" t="n"/>
      <c r="D606" s="59" t="n"/>
      <c r="E606" s="59" t="n"/>
    </row>
    <row r="607" ht="30" customHeight="1">
      <c r="A607" s="47" t="inlineStr">
        <is>
          <t>•</t>
        </is>
      </c>
      <c r="B607" s="56" t="inlineStr">
        <is>
          <t>Bấm Xóa（削除） ở dòng duy nhất.</t>
        </is>
      </c>
      <c r="C607" s="57" t="n"/>
      <c r="D607" s="57" t="n"/>
      <c r="E607" s="57" t="n"/>
    </row>
    <row r="608" ht="44" customHeight="1">
      <c r="A608" s="47" t="inlineStr">
        <is>
          <t>Reset</t>
        </is>
      </c>
      <c r="B608" s="56" t="inlineStr">
        <is>
          <t>Trước mỗi biến thể, dựng lại điều kiện/dữ liệu đầu của case bằng đường được phép; giữ các reset/fixture độc lập đã nêu trong thủ tục.</t>
        </is>
      </c>
      <c r="C608" s="57" t="n"/>
      <c r="D608" s="57" t="n"/>
      <c r="E608" s="57" t="n"/>
    </row>
    <row r="609" ht="30" customHeight="1">
      <c r="A609" s="58" t="inlineStr">
        <is>
          <t>Kết quả mong đợi</t>
        </is>
      </c>
      <c r="B609" s="59" t="n"/>
      <c r="C609" s="59" t="n"/>
      <c r="D609" s="59" t="n"/>
      <c r="E609" s="59" t="n"/>
    </row>
    <row r="610" ht="44" customHeight="1">
      <c r="A610" s="47" t="inlineStr">
        <is>
          <t>•</t>
        </is>
      </c>
      <c r="B610" s="56" t="inlineStr">
        <is>
          <t>Hộp xác nhận nêu đây là thiết lập cuối, kết quả trước còn dùng tới lần chạy lại, điểm được giữ; có Hủy và Xóa.</t>
        </is>
      </c>
      <c r="C610" s="57" t="n"/>
      <c r="D610" s="57" t="n"/>
      <c r="E610" s="57" t="n"/>
    </row>
    <row r="611" ht="44" customHeight="1">
      <c r="A611" s="47" t="inlineStr">
        <is>
          <t>Giữ nguyên</t>
        </is>
      </c>
      <c r="B611" s="56" t="inlineStr">
        <is>
          <t>• Giữ điểm, cấu hình và đối tượng không đích theo expected;
• Chỉ thay phần thủ tục yêu cầu, không tự đổi oracle hoặc mở rộng phạm vi.</t>
        </is>
      </c>
      <c r="C611" s="57" t="n"/>
      <c r="D611" s="57" t="n"/>
      <c r="E611" s="57" t="n"/>
    </row>
    <row r="612" ht="61" customHeight="1">
      <c r="A612" s="47" t="inlineStr">
        <is>
          <t>Quan sát tại</t>
        </is>
      </c>
      <c r="B612" s="56" t="inlineStr">
        <is>
          <t>• Dùng trích xuất không lọc để thấy cả ô đối chứng. Trạng thái không có dấu đỏ cần đọc thêm trạng thái lưu;
• Output Excel/PDF dùng file thật.</t>
        </is>
      </c>
      <c r="C612" s="57" t="n"/>
      <c r="D612" s="57" t="n"/>
      <c r="E612" s="57" t="n"/>
    </row>
    <row r="613" ht="30" customHeight="1">
      <c r="A613" s="58" t="inlineStr">
        <is>
          <t>Kết quả thực tế</t>
        </is>
      </c>
      <c r="B613" s="59" t="n"/>
      <c r="C613" s="59" t="n"/>
      <c r="D613" s="59" t="n"/>
      <c r="E613" s="59" t="n"/>
    </row>
    <row r="614" ht="30" customHeight="1">
      <c r="A614" s="47" t="inlineStr">
        <is>
          <t>Dữ liệu biến thể</t>
        </is>
      </c>
      <c r="B614" s="56" t="inlineStr">
        <is>
          <t>Toàn bộ thủ tục theo đúng thứ tự; các đối chứng cùng fixture được kiểm trong cùng lượt, không bỏ bước</t>
        </is>
      </c>
      <c r="C614" s="57" t="n"/>
      <c r="D614" s="57" t="n"/>
      <c r="E614" s="57" t="n"/>
    </row>
    <row r="615" ht="30" customHeight="1">
      <c r="A615" s="62" t="inlineStr">
        <is>
          <t>Kết quả thực tế</t>
        </is>
      </c>
    </row>
    <row r="616" ht="64" customHeight="1">
      <c r="A616" s="63" t="inlineStr"/>
      <c r="B616" s="64" t="n"/>
      <c r="C616" s="64" t="n"/>
      <c r="D616" s="64" t="n"/>
      <c r="E616" s="65" t="n"/>
    </row>
    <row r="617" ht="30" customHeight="1">
      <c r="A617" s="62" t="inlineStr">
        <is>
          <t>Ảnh minh chứng</t>
        </is>
      </c>
    </row>
    <row r="618" ht="90" customHeight="1">
      <c r="A618" s="63" t="inlineStr"/>
      <c r="B618" s="64" t="n"/>
      <c r="C618" s="64" t="n"/>
      <c r="D618" s="64" t="n"/>
      <c r="E618" s="65" t="n"/>
    </row>
    <row r="619" ht="12" customHeight="1">
      <c r="A619" s="66" t="inlineStr"/>
    </row>
    <row r="620" ht="20" customHeight="1">
      <c r="A620" s="66" t="inlineStr"/>
    </row>
    <row r="621" ht="30" customHeight="1">
      <c r="A621" s="46" t="inlineStr">
        <is>
          <t>TC-RS-UI-007 — Dòng quy tắc mới chỉ có điều kiện, chưa có ngưỡng</t>
        </is>
      </c>
      <c r="B621" s="23" t="n"/>
      <c r="C621" s="23" t="n"/>
      <c r="D621" s="23" t="n"/>
      <c r="E621" s="23" t="n"/>
    </row>
    <row r="622" ht="30" customHeight="1">
      <c r="A622" s="47" t="inlineStr">
        <is>
          <t>Trạng thái</t>
        </is>
      </c>
      <c r="B622" s="56">
        <f>IF(0&gt;0,"Không đạt",IF(0=2,"Đạt",IF(SUMPRODUCT(--EXACT('Testcases'!B644:B652,"Không thực hiện"))=2,"Không thực hiện",IF(SUMPRODUCT(--EXACT('Testcases'!B644:B652,"Bị chặn"))&gt;0,"Bị chặn",IF(SUMPRODUCT(--EXACT('Testcases'!B644:B652,"Chưa thực hiện"))=2,"Chưa thực hiện","Chưa đủ kết luận")))))</f>
        <v/>
      </c>
      <c r="C622" s="57" t="n"/>
      <c r="D622" s="57" t="n"/>
      <c r="E622" s="57" t="n"/>
    </row>
    <row r="623" ht="30" customHeight="1">
      <c r="A623" s="47" t="inlineStr">
        <is>
          <t>Màn hình / chức năng</t>
        </is>
      </c>
      <c r="B623" s="47" t="inlineStr">
        <is>
          <t>Thiết lập điểm đỏ（赤点設定）</t>
        </is>
      </c>
      <c r="C623" s="57" t="n"/>
      <c r="D623" s="47" t="inlineStr">
        <is>
          <t>Đường dẫn</t>
        </is>
      </c>
      <c r="E623" s="56" t="inlineStr">
        <is>
          <t>Chưa xác minh</t>
        </is>
      </c>
    </row>
    <row r="624" ht="30" customHeight="1">
      <c r="A624" s="58" t="inlineStr">
        <is>
          <t>Điều kiện kiểm thử</t>
        </is>
      </c>
      <c r="B624" s="59" t="n"/>
      <c r="C624" s="59" t="n"/>
      <c r="D624" s="59" t="n"/>
      <c r="E624" s="59" t="n"/>
    </row>
    <row r="625" ht="95" customHeight="1">
      <c r="A625" s="47" t="inlineStr">
        <is>
          <t>Cấu hình</t>
        </is>
      </c>
      <c r="B625" s="56" t="inlineStr">
        <is>
          <t>• Trường A/năm 2026, mục số nguyên TD-ITEM-01 (M=100), S01=29;
• Giáo viên có quyền sửa và chạy xét. Rule ưu tiên 1 chỉ lưu điều kiện Toàn bộ, chưa có ngưỡng;
• Rule đối chứng ưu tiên 2 Toàn bộ, T=20, dấu [&lt;]. Ghi identity hai rule và dựng lại fixture trước mỗi biến thể;
• Baseline sau xét là Không đỏ theo rule đối chứng. Cách biểu diễn enum/schema vẫn là PROPOSED.</t>
        </is>
      </c>
      <c r="C625" s="57" t="n"/>
      <c r="D625" s="57" t="n"/>
      <c r="E625" s="57" t="n"/>
    </row>
    <row r="626" ht="61" customHeight="1">
      <c r="A626" s="47" t="inlineStr">
        <is>
          <t>Vai trò / quyền</t>
        </is>
      </c>
      <c r="B62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26" s="57" t="n"/>
      <c r="D626" s="57" t="n"/>
      <c r="E626" s="57" t="n"/>
    </row>
    <row r="627" ht="61" customHeight="1">
      <c r="A627" s="47" t="inlineStr">
        <is>
          <t>Dữ liệu test</t>
        </is>
      </c>
      <c r="B627" s="56" t="inlineStr">
        <is>
          <t>• Form ngưỡng ở tab A sẽ nhập T=40 nhưng chưa lưu;
• Tab B dùng để xóa rule nhập dở. Phạm vi trích xuất chỉ có ô S01=29 này. Đây là fixture của [FUNC-014/incomplete-deleted-stale], không thay ngưỡng 30 dùng chung.</t>
        </is>
      </c>
      <c r="C627" s="57" t="n"/>
      <c r="D627" s="57" t="n"/>
      <c r="E627" s="57" t="n"/>
    </row>
    <row r="628" ht="30" customHeight="1">
      <c r="A628" s="47" t="inlineStr">
        <is>
          <t>Trigger</t>
        </is>
      </c>
      <c r="B628" s="56" t="inlineStr">
        <is>
          <t>• Chỉ xem/xuất không tự chạy xét.</t>
        </is>
      </c>
      <c r="C628" s="57" t="n"/>
      <c r="D628" s="57" t="n"/>
      <c r="E628" s="57" t="n"/>
    </row>
    <row r="629" ht="61" customHeight="1">
      <c r="A629" s="47" t="inlineStr">
        <is>
          <t>Blocker</t>
        </is>
      </c>
      <c r="B629" s="56" t="inlineStr">
        <is>
          <t>• G-PREP-TC-RS-UI-007: BLOCKED — cần xác minh form ngưỡng cũ và đường chạy/đọc kết quả cho fixture bên dưới;
• Không coi việc dòng biến mất khỏi danh sách là bằng chứng bộ xét đã loại rule.</t>
        </is>
      </c>
      <c r="C629" s="57" t="n"/>
      <c r="D629" s="57" t="n"/>
      <c r="E629" s="57" t="n"/>
    </row>
    <row r="630" ht="30" customHeight="1">
      <c r="A630" s="58" t="inlineStr">
        <is>
          <t>Thao tác</t>
        </is>
      </c>
      <c r="B630" s="59" t="n"/>
      <c r="C630" s="59" t="n"/>
      <c r="D630" s="59" t="n"/>
      <c r="E630" s="59" t="n"/>
    </row>
    <row r="631" ht="44" customHeight="1">
      <c r="A631" s="47" t="inlineStr">
        <is>
          <t>Step 1</t>
        </is>
      </c>
      <c r="B631" s="56" t="inlineStr">
        <is>
          <t>Với [incomplete-row], quay về danh sách, xem dòng nhập dở và thao tác mở thiết lập ngưỡng; chạy xét và đọc rule đối chứng T=20 đã dùng cho S01.</t>
        </is>
      </c>
      <c r="C631" s="57" t="n"/>
      <c r="D631" s="57" t="n"/>
      <c r="E631" s="57" t="n"/>
    </row>
    <row r="632" ht="61" customHeight="1">
      <c r="A632" s="47" t="inlineStr">
        <is>
          <t>Step 2</t>
        </is>
      </c>
      <c r="B632" s="56" t="inlineStr">
        <is>
          <t>Với [incomplete-deleted-stale], reset fixture và xác nhận baseline Không đỏ/T=20. Mở form ngưỡng của rule nhập dở ở tab A, nhập T=40 nhưng chưa lưu; xóa rule đó ở tab B rồi gửi lưu tab A. Reload danh sách và đọc trạng thái rule.</t>
        </is>
      </c>
      <c r="C632" s="57" t="n"/>
      <c r="D632" s="57" t="n"/>
      <c r="E632" s="57" t="n"/>
    </row>
    <row r="633" ht="44" customHeight="1">
      <c r="A633" s="47" t="inlineStr">
        <is>
          <t>Step 3</t>
        </is>
      </c>
      <c r="B633" s="56" t="inlineStr">
        <is>
          <t>Chạy xét lại thành công; đọc identity rule/ngưỡng đã dùng và trích xuất S01 một lượt tắt lọc, một lượt bật lọc đỏ. Ghi kết quả riêng cho hai biến thể.</t>
        </is>
      </c>
      <c r="C633" s="57" t="n"/>
      <c r="D633" s="57" t="n"/>
      <c r="E633" s="57" t="n"/>
    </row>
    <row r="634" ht="44" customHeight="1">
      <c r="A634" s="47" t="inlineStr">
        <is>
          <t>Reset</t>
        </is>
      </c>
      <c r="B634" s="56" t="inlineStr">
        <is>
          <t>Trước mỗi biến thể, dựng lại điều kiện/dữ liệu đầu của case bằng đường được phép; giữ các reset/fixture độc lập đã nêu trong thủ tục.</t>
        </is>
      </c>
      <c r="C634" s="57" t="n"/>
      <c r="D634" s="57" t="n"/>
      <c r="E634" s="57" t="n"/>
    </row>
    <row r="635" ht="30" customHeight="1">
      <c r="A635" s="58" t="inlineStr">
        <is>
          <t>Kết quả mong đợi</t>
        </is>
      </c>
      <c r="B635" s="59" t="n"/>
      <c r="C635" s="59" t="n"/>
      <c r="D635" s="59" t="n"/>
      <c r="E635" s="59" t="n"/>
    </row>
    <row r="636" ht="44" customHeight="1">
      <c r="A636" s="47" t="inlineStr">
        <is>
          <t>1.</t>
        </is>
      </c>
      <c r="B636" s="56" t="inlineStr">
        <is>
          <t>[incomplete-row]: dòng hiển thị chưa có ngưỡng, có link mở thiết lập ngưỡng và câu báo không dùng để xét. Bộ xét chọn rule đối chứng T=20, S01=29 Không đỏ; không tạo ngưỡng 0 ngầm.</t>
        </is>
      </c>
      <c r="C636" s="57" t="n"/>
      <c r="D636" s="57" t="n"/>
      <c r="E636" s="57" t="n"/>
    </row>
    <row r="637" ht="78" customHeight="1">
      <c r="A637" s="47" t="inlineStr">
        <is>
          <t>2.</t>
        </is>
      </c>
      <c r="B637" s="56" t="inlineStr">
        <is>
          <t>[incomplete-deleted-stale]: dòng đã xóa không xuất hiện lại; gửi T=40 từ form cũ không phục hồi rule trong bộ xét. Sau lần xét lại, identity rule đối chứng và T=20 giữ đúng, S01=29 Không đỏ. Lượt tắt lọc hiện 29 không dấu đỏ; lượt bật lọc không có S01. Nếu rule 40 bị phục hồi thì 29&lt;40 sẽ Đỏ và biến thể phải FAIL.</t>
        </is>
      </c>
      <c r="C637" s="57" t="n"/>
      <c r="D637" s="57" t="n"/>
      <c r="E637" s="57" t="n"/>
    </row>
    <row r="638" ht="44" customHeight="1">
      <c r="A638" s="47" t="inlineStr">
        <is>
          <t>3.</t>
        </is>
      </c>
      <c r="B638" s="56" t="inlineStr">
        <is>
          <t>Schema/enum là cách hiện thực đề xuất. Nếu chưa xác minh được form cũ, đường chạy xét hoặc reader rule/ngưỡng thì giữ biến thể BLOCKED, không suy PASS chỉ từ danh sách.</t>
        </is>
      </c>
      <c r="C638" s="57" t="n"/>
      <c r="D638" s="57" t="n"/>
      <c r="E638" s="57" t="n"/>
    </row>
    <row r="639" ht="44" customHeight="1">
      <c r="A639" s="47" t="inlineStr">
        <is>
          <t>Giữ nguyên</t>
        </is>
      </c>
      <c r="B639" s="56" t="inlineStr">
        <is>
          <t>• Giữ điểm, cấu hình và đối tượng không đích theo expected;
• Chỉ thay phần thủ tục yêu cầu, không tự đổi oracle hoặc mở rộng phạm vi.</t>
        </is>
      </c>
      <c r="C639" s="57" t="n"/>
      <c r="D639" s="57" t="n"/>
      <c r="E639" s="57" t="n"/>
    </row>
    <row r="640" ht="61" customHeight="1">
      <c r="A640" s="47" t="inlineStr">
        <is>
          <t>Quan sát tại</t>
        </is>
      </c>
      <c r="B640" s="56" t="inlineStr">
        <is>
          <t>• Dùng trích xuất không lọc để thấy cả ô đối chứng. Trạng thái không có dấu đỏ cần đọc thêm trạng thái lưu;
• Output Excel/PDF dùng file thật.</t>
        </is>
      </c>
      <c r="C640" s="57" t="n"/>
      <c r="D640" s="57" t="n"/>
      <c r="E640" s="57" t="n"/>
    </row>
    <row r="641" ht="30" customHeight="1">
      <c r="A641" s="58" t="inlineStr">
        <is>
          <t>Kết quả thực tế</t>
        </is>
      </c>
      <c r="B641" s="59" t="n"/>
      <c r="C641" s="59" t="n"/>
      <c r="D641" s="59" t="n"/>
      <c r="E641" s="59" t="n"/>
    </row>
    <row r="642" ht="30" customHeight="1">
      <c r="A642" s="60" t="inlineStr">
        <is>
          <t>TC-RS-UI-007 / incomplete-row</t>
        </is>
      </c>
      <c r="B642" s="36" t="n"/>
      <c r="C642" s="36" t="n"/>
      <c r="D642" s="36" t="n"/>
      <c r="E642" s="36" t="n"/>
    </row>
    <row r="643" ht="30" customHeight="1">
      <c r="A643" s="47" t="inlineStr">
        <is>
          <t>Dữ liệu biến thể</t>
        </is>
      </c>
      <c r="B643" s="56" t="inlineStr">
        <is>
          <t>Nhánh incomplete-row trong thủ tục và Expected của case; thực hiện các bước chuẩn bị chung trước nhánh</t>
        </is>
      </c>
      <c r="C643" s="57" t="n"/>
      <c r="D643" s="57" t="n"/>
      <c r="E643" s="57" t="n"/>
    </row>
    <row r="644" ht="30" customHeight="1">
      <c r="A644" s="47" t="inlineStr">
        <is>
          <t>Trạng thái</t>
        </is>
      </c>
      <c r="B644" s="61" t="inlineStr">
        <is>
          <t>Chưa thực hiện</t>
        </is>
      </c>
      <c r="C644" s="57" t="n"/>
      <c r="D644" s="57" t="n"/>
      <c r="E644" s="57" t="n"/>
    </row>
    <row r="645" ht="30" customHeight="1">
      <c r="A645" s="62" t="inlineStr">
        <is>
          <t>Kết quả thực tế</t>
        </is>
      </c>
    </row>
    <row r="646" ht="64" customHeight="1">
      <c r="A646" s="63" t="inlineStr"/>
      <c r="B646" s="64" t="n"/>
      <c r="C646" s="64" t="n"/>
      <c r="D646" s="64" t="n"/>
      <c r="E646" s="65" t="n"/>
    </row>
    <row r="647" ht="30" customHeight="1">
      <c r="A647" s="62" t="inlineStr">
        <is>
          <t>Ảnh minh chứng</t>
        </is>
      </c>
    </row>
    <row r="648" ht="90" customHeight="1">
      <c r="A648" s="63" t="inlineStr"/>
      <c r="B648" s="64" t="n"/>
      <c r="C648" s="64" t="n"/>
      <c r="D648" s="64" t="n"/>
      <c r="E648" s="65" t="n"/>
    </row>
    <row r="649" ht="12" customHeight="1">
      <c r="A649" s="66" t="inlineStr"/>
    </row>
    <row r="650" ht="30" customHeight="1">
      <c r="A650" s="60" t="inlineStr">
        <is>
          <t>TC-RS-UI-007 / incomplete-deleted-stale</t>
        </is>
      </c>
      <c r="B650" s="36" t="n"/>
      <c r="C650" s="36" t="n"/>
      <c r="D650" s="36" t="n"/>
      <c r="E650" s="36" t="n"/>
    </row>
    <row r="651" ht="44" customHeight="1">
      <c r="A651" s="47" t="inlineStr">
        <is>
          <t>Dữ liệu biến thể</t>
        </is>
      </c>
      <c r="B651" s="56" t="inlineStr">
        <is>
          <t>Nhánh incomplete-deleted-stale trong thủ tục và Expected của case; thực hiện các bước chuẩn bị chung trước nhánh</t>
        </is>
      </c>
      <c r="C651" s="57" t="n"/>
      <c r="D651" s="57" t="n"/>
      <c r="E651" s="57" t="n"/>
    </row>
    <row r="652" ht="30" customHeight="1">
      <c r="A652" s="47" t="inlineStr">
        <is>
          <t>Trạng thái</t>
        </is>
      </c>
      <c r="B652" s="61" t="inlineStr">
        <is>
          <t>Chưa thực hiện</t>
        </is>
      </c>
      <c r="C652" s="57" t="n"/>
      <c r="D652" s="57" t="n"/>
      <c r="E652" s="57" t="n"/>
    </row>
    <row r="653" ht="30" customHeight="1">
      <c r="A653" s="62" t="inlineStr">
        <is>
          <t>Kết quả thực tế</t>
        </is>
      </c>
    </row>
    <row r="654" ht="64" customHeight="1">
      <c r="A654" s="63" t="inlineStr"/>
      <c r="B654" s="64" t="n"/>
      <c r="C654" s="64" t="n"/>
      <c r="D654" s="64" t="n"/>
      <c r="E654" s="65" t="n"/>
    </row>
    <row r="655" ht="30" customHeight="1">
      <c r="A655" s="62" t="inlineStr">
        <is>
          <t>Ảnh minh chứng</t>
        </is>
      </c>
    </row>
    <row r="656" ht="90" customHeight="1">
      <c r="A656" s="63" t="inlineStr"/>
      <c r="B656" s="64" t="n"/>
      <c r="C656" s="64" t="n"/>
      <c r="D656" s="64" t="n"/>
      <c r="E656" s="65" t="n"/>
    </row>
    <row r="657" ht="12" customHeight="1">
      <c r="A657" s="66" t="inlineStr"/>
    </row>
    <row r="658" ht="20" customHeight="1">
      <c r="A658" s="66" t="inlineStr"/>
    </row>
    <row r="659" ht="30" customHeight="1">
      <c r="A659" s="46" t="inlineStr">
        <is>
          <t>TC-RS-FUNC-003 — Danh sách trống không tự dựng rule từ cấu hình legacy</t>
        </is>
      </c>
      <c r="B659" s="23" t="n"/>
      <c r="C659" s="23" t="n"/>
      <c r="D659" s="23" t="n"/>
      <c r="E659" s="23" t="n"/>
    </row>
    <row r="660" ht="30" customHeight="1">
      <c r="A660" s="47" t="inlineStr">
        <is>
          <t>Trạng thái</t>
        </is>
      </c>
      <c r="B660" s="61" t="inlineStr">
        <is>
          <t>Chưa thực hiện</t>
        </is>
      </c>
      <c r="C660" s="57" t="n"/>
      <c r="D660" s="57" t="n"/>
      <c r="E660" s="57" t="n"/>
    </row>
    <row r="661" ht="30" customHeight="1">
      <c r="A661" s="47" t="inlineStr">
        <is>
          <t>Màn hình / chức năng</t>
        </is>
      </c>
      <c r="B661" s="47" t="inlineStr">
        <is>
          <t>Thiết lập điểm đỏ（赤点設定）</t>
        </is>
      </c>
      <c r="C661" s="57" t="n"/>
      <c r="D661" s="47" t="inlineStr">
        <is>
          <t>Đường dẫn</t>
        </is>
      </c>
      <c r="E661" s="56" t="inlineStr">
        <is>
          <t>Chưa xác minh</t>
        </is>
      </c>
    </row>
    <row r="662" ht="30" customHeight="1">
      <c r="A662" s="58" t="inlineStr">
        <is>
          <t>Điều kiện kiểm thử</t>
        </is>
      </c>
      <c r="B662" s="59" t="n"/>
      <c r="C662" s="59" t="n"/>
      <c r="D662" s="59" t="n"/>
      <c r="E662" s="59" t="n"/>
    </row>
    <row r="663" ht="30" customHeight="1">
      <c r="A663" s="47" t="inlineStr">
        <is>
          <t>Cấu hình</t>
        </is>
      </c>
      <c r="B663" s="56" t="inlineStr">
        <is>
          <t>• Mục chưa có rule mới nhưng có giá trị legacy và kết quả legacy đã lưu.</t>
        </is>
      </c>
      <c r="C663" s="57" t="n"/>
      <c r="D663" s="57" t="n"/>
      <c r="E663" s="57" t="n"/>
    </row>
    <row r="664" ht="61" customHeight="1">
      <c r="A664" s="47" t="inlineStr">
        <is>
          <t>Vai trò / quyền</t>
        </is>
      </c>
      <c r="B66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64" s="57" t="n"/>
      <c r="D664" s="57" t="n"/>
      <c r="E664" s="57" t="n"/>
    </row>
    <row r="665" ht="30" customHeight="1">
      <c r="A665" s="47" t="inlineStr">
        <is>
          <t>Dữ liệu test</t>
        </is>
      </c>
      <c r="B665" s="56" t="inlineStr">
        <is>
          <t>• Mục chưa có rule mới nhưng có giá trị legacy và kết quả legacy đã lưu.</t>
        </is>
      </c>
      <c r="C665" s="57" t="n"/>
      <c r="D665" s="57" t="n"/>
      <c r="E665" s="57" t="n"/>
    </row>
    <row r="666" ht="30" customHeight="1">
      <c r="A666" s="47" t="inlineStr">
        <is>
          <t>Trigger</t>
        </is>
      </c>
      <c r="B666" s="56" t="inlineStr">
        <is>
          <t>• Chỉ xem/xuất không tự chạy xét.</t>
        </is>
      </c>
      <c r="C666" s="57" t="n"/>
      <c r="D666" s="57" t="n"/>
      <c r="E666" s="57" t="n"/>
    </row>
    <row r="667" ht="44" customHeight="1">
      <c r="A667" s="47" t="inlineStr">
        <is>
          <t>Blocker</t>
        </is>
      </c>
      <c r="B667" s="56" t="inlineStr">
        <is>
          <t>• G-PREP-UNASSESSED: Chưa có xác minh fixture, đường thực hiện và phép quan sát trên build của từng case chưa đánh giá.</t>
        </is>
      </c>
      <c r="C667" s="57" t="n"/>
      <c r="D667" s="57" t="n"/>
      <c r="E667" s="57" t="n"/>
    </row>
    <row r="668" ht="30" customHeight="1">
      <c r="A668" s="58" t="inlineStr">
        <is>
          <t>Thao tác</t>
        </is>
      </c>
      <c r="B668" s="59" t="n"/>
      <c r="C668" s="59" t="n"/>
      <c r="D668" s="59" t="n"/>
      <c r="E668" s="59" t="n"/>
    </row>
    <row r="669" ht="30" customHeight="1">
      <c r="A669" s="47" t="inlineStr">
        <is>
          <t>Step 1</t>
        </is>
      </c>
      <c r="B669" s="56" t="inlineStr">
        <is>
          <t>Mở danh sách rule đỏ trống.</t>
        </is>
      </c>
      <c r="C669" s="57" t="n"/>
      <c r="D669" s="57" t="n"/>
      <c r="E669" s="57" t="n"/>
    </row>
    <row r="670" ht="30" customHeight="1">
      <c r="A670" s="47" t="inlineStr">
        <is>
          <t>Step 2</t>
        </is>
      </c>
      <c r="B670" s="56" t="inlineStr">
        <is>
          <t>Chạy xét hoặc mở đầu ra.</t>
        </is>
      </c>
      <c r="C670" s="57" t="n"/>
      <c r="D670" s="57" t="n"/>
      <c r="E670" s="57" t="n"/>
    </row>
    <row r="671" ht="44" customHeight="1">
      <c r="A671" s="47" t="inlineStr">
        <is>
          <t>Reset</t>
        </is>
      </c>
      <c r="B671" s="56" t="inlineStr">
        <is>
          <t>Trước mỗi biến thể, dựng lại điều kiện/dữ liệu đầu của case bằng đường được phép; giữ các reset/fixture độc lập đã nêu trong thủ tục.</t>
        </is>
      </c>
      <c r="C671" s="57" t="n"/>
      <c r="D671" s="57" t="n"/>
      <c r="E671" s="57" t="n"/>
    </row>
    <row r="672" ht="30" customHeight="1">
      <c r="A672" s="58" t="inlineStr">
        <is>
          <t>Kết quả mong đợi</t>
        </is>
      </c>
      <c r="B672" s="59" t="n"/>
      <c r="C672" s="59" t="n"/>
      <c r="D672" s="59" t="n"/>
      <c r="E672" s="59" t="n"/>
    </row>
    <row r="673" ht="44" customHeight="1">
      <c r="A673" s="47" t="inlineStr">
        <is>
          <t>•</t>
        </is>
      </c>
      <c r="B673" s="56" t="inlineStr">
        <is>
          <t>Danh sách không tự tạo rule/default từ ngưỡng legacy. Giá trị và kết quả legacy giữ nguyên; không dùng legacy làm rule fallback.</t>
        </is>
      </c>
      <c r="C673" s="57" t="n"/>
      <c r="D673" s="57" t="n"/>
      <c r="E673" s="57" t="n"/>
    </row>
    <row r="674" ht="44" customHeight="1">
      <c r="A674" s="47" t="inlineStr">
        <is>
          <t>Giữ nguyên</t>
        </is>
      </c>
      <c r="B674" s="56" t="inlineStr">
        <is>
          <t>• Giữ điểm, cấu hình và đối tượng không đích theo expected;
• Chỉ thay phần thủ tục yêu cầu, không tự đổi oracle hoặc mở rộng phạm vi.</t>
        </is>
      </c>
      <c r="C674" s="57" t="n"/>
      <c r="D674" s="57" t="n"/>
      <c r="E674" s="57" t="n"/>
    </row>
    <row r="675" ht="61" customHeight="1">
      <c r="A675" s="47" t="inlineStr">
        <is>
          <t>Quan sát tại</t>
        </is>
      </c>
      <c r="B675" s="56" t="inlineStr">
        <is>
          <t>• Dùng trích xuất không lọc để thấy cả ô đối chứng. Trạng thái không có dấu đỏ cần đọc thêm trạng thái lưu;
• Output Excel/PDF dùng file thật.</t>
        </is>
      </c>
      <c r="C675" s="57" t="n"/>
      <c r="D675" s="57" t="n"/>
      <c r="E675" s="57" t="n"/>
    </row>
    <row r="676" ht="30" customHeight="1">
      <c r="A676" s="58" t="inlineStr">
        <is>
          <t>Kết quả thực tế</t>
        </is>
      </c>
      <c r="B676" s="59" t="n"/>
      <c r="C676" s="59" t="n"/>
      <c r="D676" s="59" t="n"/>
      <c r="E676" s="59" t="n"/>
    </row>
    <row r="677" ht="30" customHeight="1">
      <c r="A677" s="47" t="inlineStr">
        <is>
          <t>Dữ liệu biến thể</t>
        </is>
      </c>
      <c r="B677" s="56" t="inlineStr">
        <is>
          <t>Toàn bộ thủ tục theo đúng thứ tự; các đối chứng cùng fixture được kiểm trong cùng lượt, không bỏ bước</t>
        </is>
      </c>
      <c r="C677" s="57" t="n"/>
      <c r="D677" s="57" t="n"/>
      <c r="E677" s="57" t="n"/>
    </row>
    <row r="678" ht="30" customHeight="1">
      <c r="A678" s="62" t="inlineStr">
        <is>
          <t>Kết quả thực tế</t>
        </is>
      </c>
    </row>
    <row r="679" ht="64" customHeight="1">
      <c r="A679" s="63" t="inlineStr"/>
      <c r="B679" s="64" t="n"/>
      <c r="C679" s="64" t="n"/>
      <c r="D679" s="64" t="n"/>
      <c r="E679" s="65" t="n"/>
    </row>
    <row r="680" ht="30" customHeight="1">
      <c r="A680" s="62" t="inlineStr">
        <is>
          <t>Ảnh minh chứng</t>
        </is>
      </c>
    </row>
    <row r="681" ht="90" customHeight="1">
      <c r="A681" s="63" t="inlineStr"/>
      <c r="B681" s="64" t="n"/>
      <c r="C681" s="64" t="n"/>
      <c r="D681" s="64" t="n"/>
      <c r="E681" s="65" t="n"/>
    </row>
    <row r="682" ht="12" customHeight="1">
      <c r="A682" s="66" t="inlineStr"/>
    </row>
    <row r="683" ht="20" customHeight="1">
      <c r="A683" s="66" t="inlineStr"/>
    </row>
    <row r="684" ht="30" customHeight="1">
      <c r="A684" s="46" t="inlineStr">
        <is>
          <t>TC-RS-FUNC-008 — Điều kiện áp dụng: Toàn bộ đối tượng hoặc giới hạn bằng bộ lọc kế thừa từ tính tự động</t>
        </is>
      </c>
      <c r="B684" s="23" t="n"/>
      <c r="C684" s="23" t="n"/>
      <c r="D684" s="23" t="n"/>
      <c r="E684" s="23" t="n"/>
    </row>
    <row r="685" ht="30" customHeight="1">
      <c r="A685" s="47" t="inlineStr">
        <is>
          <t>Trạng thái</t>
        </is>
      </c>
      <c r="B685" s="56">
        <f>IF(0&gt;0,"Không đạt",IF(0=2,"Đạt",IF(SUMPRODUCT(--EXACT('Testcases'!B708:B716,"Không thực hiện"))=2,"Không thực hiện",IF(SUMPRODUCT(--EXACT('Testcases'!B708:B716,"Bị chặn"))&gt;0,"Bị chặn",IF(SUMPRODUCT(--EXACT('Testcases'!B708:B716,"Chưa thực hiện"))=2,"Chưa thực hiện","Chưa đủ kết luận")))))</f>
        <v/>
      </c>
      <c r="C685" s="57" t="n"/>
      <c r="D685" s="57" t="n"/>
      <c r="E685" s="57" t="n"/>
    </row>
    <row r="686" ht="30" customHeight="1">
      <c r="A686" s="47" t="inlineStr">
        <is>
          <t>Màn hình / chức năng</t>
        </is>
      </c>
      <c r="B686" s="47" t="inlineStr">
        <is>
          <t>Điều kiện áp dụng（適用条件）</t>
        </is>
      </c>
      <c r="C686" s="57" t="n"/>
      <c r="D686" s="47" t="inlineStr">
        <is>
          <t>Đường dẫn</t>
        </is>
      </c>
      <c r="E686" s="56" t="inlineStr">
        <is>
          <t>Chưa xác minh</t>
        </is>
      </c>
    </row>
    <row r="687" ht="30" customHeight="1">
      <c r="A687" s="58" t="inlineStr">
        <is>
          <t>Điều kiện kiểm thử</t>
        </is>
      </c>
      <c r="B687" s="59" t="n"/>
      <c r="C687" s="59" t="n"/>
      <c r="D687" s="59" t="n"/>
      <c r="E687" s="59" t="n"/>
    </row>
    <row r="688" ht="30" customHeight="1">
      <c r="A688" s="47" t="inlineStr">
        <is>
          <t>Cấu hình</t>
        </is>
      </c>
      <c r="B688" s="56" t="inlineStr">
        <is>
          <t>• Đăng nhập tài khoản giáo viên có quyền sửa mục.</t>
        </is>
      </c>
      <c r="C688" s="57" t="n"/>
      <c r="D688" s="57" t="n"/>
      <c r="E688" s="57" t="n"/>
    </row>
    <row r="689" ht="61" customHeight="1">
      <c r="A689" s="47" t="inlineStr">
        <is>
          <t>Vai trò / quyền</t>
        </is>
      </c>
      <c r="B68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89" s="57" t="n"/>
      <c r="D689" s="57" t="n"/>
      <c r="E689" s="57" t="n"/>
    </row>
    <row r="690" ht="30" customHeight="1">
      <c r="A690" s="47" t="inlineStr">
        <is>
          <t>Dữ liệu test</t>
        </is>
      </c>
      <c r="B690" s="56" t="inlineStr">
        <is>
          <t>• Các lớp học phần G-A, G-B, G-C, quy tắc có bộ lọc kết hợp (khối 1 hoặc 2, nhóm Nâng cao)</t>
        </is>
      </c>
      <c r="C690" s="57" t="n"/>
      <c r="D690" s="57" t="n"/>
      <c r="E690" s="57" t="n"/>
    </row>
    <row r="691" ht="30" customHeight="1">
      <c r="A691" s="47" t="inlineStr">
        <is>
          <t>Trigger</t>
        </is>
      </c>
      <c r="B691" s="56" t="inlineStr">
        <is>
          <t>• Chỉ xem/xuất không tự chạy xét.</t>
        </is>
      </c>
      <c r="C691" s="57" t="n"/>
      <c r="D691" s="57" t="n"/>
      <c r="E691" s="57" t="n"/>
    </row>
    <row r="692" ht="44" customHeight="1">
      <c r="A692" s="47" t="inlineStr">
        <is>
          <t>Blocker</t>
        </is>
      </c>
      <c r="B692" s="56" t="inlineStr">
        <is>
          <t>• G-PREP-UNASSESSED: Chưa có xác minh fixture, đường thực hiện và phép quan sát trên build của từng case chưa đánh giá.</t>
        </is>
      </c>
      <c r="C692" s="57" t="n"/>
      <c r="D692" s="57" t="n"/>
      <c r="E692" s="57" t="n"/>
    </row>
    <row r="693" ht="30" customHeight="1">
      <c r="A693" s="58" t="inlineStr">
        <is>
          <t>Thao tác</t>
        </is>
      </c>
      <c r="B693" s="59" t="n"/>
      <c r="C693" s="59" t="n"/>
      <c r="D693" s="59" t="n"/>
      <c r="E693" s="59" t="n"/>
    </row>
    <row r="694" ht="30" customHeight="1">
      <c r="A694" s="47" t="inlineStr">
        <is>
          <t>Step 1</t>
        </is>
      </c>
      <c r="B694" s="56" t="inlineStr">
        <is>
          <t>Mở Điều kiện áp dụng của một quy tắc mới.</t>
        </is>
      </c>
      <c r="C694" s="57" t="n"/>
      <c r="D694" s="57" t="n"/>
      <c r="E694" s="57" t="n"/>
    </row>
    <row r="695" ht="30" customHeight="1">
      <c r="A695" s="47" t="inlineStr">
        <is>
          <t>Step 2</t>
        </is>
      </c>
      <c r="B695" s="56" t="inlineStr">
        <is>
          <t>Chọn Toàn bộ đối tượng（全員が対象）, lưu, mở lại.</t>
        </is>
      </c>
      <c r="C695" s="57" t="n"/>
      <c r="D695" s="57" t="n"/>
      <c r="E695" s="57" t="n"/>
    </row>
    <row r="696" ht="44" customHeight="1">
      <c r="A696" s="47" t="inlineStr">
        <is>
          <t>Step 3</t>
        </is>
      </c>
      <c r="B696" s="56" t="inlineStr">
        <is>
          <t>Chọn Giới hạn bằng bộ lọc（特定条件で絞り込む）, bấm Thêm điều kiện lọc（絞り込み条件を追加）, liệt kê các loại lọc có trong danh sách.</t>
        </is>
      </c>
      <c r="C696" s="57" t="n"/>
      <c r="D696" s="57" t="n"/>
      <c r="E696" s="57" t="n"/>
    </row>
    <row r="697" ht="30" customHeight="1">
      <c r="A697" s="47" t="inlineStr">
        <is>
          <t>Step 4</t>
        </is>
      </c>
      <c r="B697" s="56" t="inlineStr">
        <is>
          <t>Cấu hình như quy tắc có bộ lọc kết hợp (khối 1 hoặc 2, nhóm Nâng cao), lưu, mở lại.</t>
        </is>
      </c>
      <c r="C697" s="57" t="n"/>
      <c r="D697" s="57" t="n"/>
      <c r="E697" s="57" t="n"/>
    </row>
    <row r="698" ht="44" customHeight="1">
      <c r="A698" s="47" t="inlineStr">
        <is>
          <t>Reset</t>
        </is>
      </c>
      <c r="B698" s="56" t="inlineStr">
        <is>
          <t>Trước mỗi biến thể, dựng lại điều kiện/dữ liệu đầu của case bằng đường được phép; giữ các reset/fixture độc lập đã nêu trong thủ tục.</t>
        </is>
      </c>
      <c r="C698" s="57" t="n"/>
      <c r="D698" s="57" t="n"/>
      <c r="E698" s="57" t="n"/>
    </row>
    <row r="699" ht="30" customHeight="1">
      <c r="A699" s="58" t="inlineStr">
        <is>
          <t>Kết quả mong đợi</t>
        </is>
      </c>
      <c r="B699" s="59" t="n"/>
      <c r="C699" s="59" t="n"/>
      <c r="D699" s="59" t="n"/>
      <c r="E699" s="59" t="n"/>
    </row>
    <row r="700" ht="30" customHeight="1">
      <c r="A700" s="47" t="inlineStr">
        <is>
          <t>1.</t>
        </is>
      </c>
      <c r="B700" s="56" t="inlineStr">
        <is>
          <t>Hai lựa chọn đối tượng lưu và mở lại đúng.</t>
        </is>
      </c>
      <c r="C700" s="57" t="n"/>
      <c r="D700" s="57" t="n"/>
      <c r="E700" s="57" t="n"/>
    </row>
    <row r="701" ht="78" customHeight="1">
      <c r="A701" s="47" t="inlineStr">
        <is>
          <t>2.</t>
        </is>
      </c>
      <c r="B701" s="56" t="inlineStr">
        <is>
          <t>Có các bộ lọc Môn/phân môn（教科・科目）, Khối（学年）, lớp/nhóm và các điều kiện lựa chọn đang được hỗ trợ (đặc tả v2 mục 5.1 “Đối tượng áp dụng”). Danh sách đề xuất (PROPOSED, thiết kế DB v2 mục 3.2 “[apply_condition]”): khối ([hr_grade]), môn ([subject]), phân môn ([sub_subject]), lớp học phần ([group]), lớp chủ nhiệm ([homeroom]), nhóm tổng hợp ([calc_group]), mã lựa chọn của mục ([choice]).</t>
        </is>
      </c>
      <c r="C701" s="57" t="n"/>
      <c r="D701" s="57" t="n"/>
      <c r="E701" s="57" t="n"/>
    </row>
    <row r="702" ht="30" customHeight="1">
      <c r="A702" s="47" t="inlineStr">
        <is>
          <t>3.</t>
        </is>
      </c>
      <c r="B702" s="56" t="inlineStr">
        <is>
          <t>Không có trình soạn AND/OR lồng nhau.</t>
        </is>
      </c>
      <c r="C702" s="57" t="n"/>
      <c r="D702" s="57" t="n"/>
      <c r="E702" s="57" t="n"/>
    </row>
    <row r="703" ht="44" customHeight="1">
      <c r="A703" s="47" t="inlineStr">
        <is>
          <t>Giữ nguyên</t>
        </is>
      </c>
      <c r="B703" s="56" t="inlineStr">
        <is>
          <t>• Giữ điểm, cấu hình và đối tượng không đích theo expected;
• Chỉ thay phần thủ tục yêu cầu, không tự đổi oracle hoặc mở rộng phạm vi.</t>
        </is>
      </c>
      <c r="C703" s="57" t="n"/>
      <c r="D703" s="57" t="n"/>
      <c r="E703" s="57" t="n"/>
    </row>
    <row r="704" ht="61" customHeight="1">
      <c r="A704" s="47" t="inlineStr">
        <is>
          <t>Quan sát tại</t>
        </is>
      </c>
      <c r="B704" s="56" t="inlineStr">
        <is>
          <t>• Dùng trích xuất không lọc để thấy cả ô đối chứng. Trạng thái không có dấu đỏ cần đọc thêm trạng thái lưu;
• Output Excel/PDF dùng file thật.</t>
        </is>
      </c>
      <c r="C704" s="57" t="n"/>
      <c r="D704" s="57" t="n"/>
      <c r="E704" s="57" t="n"/>
    </row>
    <row r="705" ht="30" customHeight="1">
      <c r="A705" s="58" t="inlineStr">
        <is>
          <t>Kết quả thực tế</t>
        </is>
      </c>
      <c r="B705" s="59" t="n"/>
      <c r="C705" s="59" t="n"/>
      <c r="D705" s="59" t="n"/>
      <c r="E705" s="59" t="n"/>
    </row>
    <row r="706" ht="30" customHeight="1">
      <c r="A706" s="60" t="inlineStr">
        <is>
          <t>TC-RS-FUNC-008 / all</t>
        </is>
      </c>
      <c r="B706" s="36" t="n"/>
      <c r="C706" s="36" t="n"/>
      <c r="D706" s="36" t="n"/>
      <c r="E706" s="36" t="n"/>
    </row>
    <row r="707" ht="30" customHeight="1">
      <c r="A707" s="47" t="inlineStr">
        <is>
          <t>Dữ liệu biến thể</t>
        </is>
      </c>
      <c r="B707" s="56" t="inlineStr">
        <is>
          <t>Toàn bộ đối tượng</t>
        </is>
      </c>
      <c r="C707" s="57" t="n"/>
      <c r="D707" s="57" t="n"/>
      <c r="E707" s="57" t="n"/>
    </row>
    <row r="708" ht="30" customHeight="1">
      <c r="A708" s="47" t="inlineStr">
        <is>
          <t>Trạng thái</t>
        </is>
      </c>
      <c r="B708" s="61" t="inlineStr">
        <is>
          <t>Chưa thực hiện</t>
        </is>
      </c>
      <c r="C708" s="57" t="n"/>
      <c r="D708" s="57" t="n"/>
      <c r="E708" s="57" t="n"/>
    </row>
    <row r="709" ht="30" customHeight="1">
      <c r="A709" s="62" t="inlineStr">
        <is>
          <t>Kết quả thực tế</t>
        </is>
      </c>
    </row>
    <row r="710" ht="64" customHeight="1">
      <c r="A710" s="63" t="inlineStr"/>
      <c r="B710" s="64" t="n"/>
      <c r="C710" s="64" t="n"/>
      <c r="D710" s="64" t="n"/>
      <c r="E710" s="65" t="n"/>
    </row>
    <row r="711" ht="30" customHeight="1">
      <c r="A711" s="62" t="inlineStr">
        <is>
          <t>Ảnh minh chứng</t>
        </is>
      </c>
    </row>
    <row r="712" ht="90" customHeight="1">
      <c r="A712" s="63" t="inlineStr"/>
      <c r="B712" s="64" t="n"/>
      <c r="C712" s="64" t="n"/>
      <c r="D712" s="64" t="n"/>
      <c r="E712" s="65" t="n"/>
    </row>
    <row r="713" ht="12" customHeight="1">
      <c r="A713" s="66" t="inlineStr"/>
    </row>
    <row r="714" ht="30" customHeight="1">
      <c r="A714" s="60" t="inlineStr">
        <is>
          <t>TC-RS-FUNC-008 / filter</t>
        </is>
      </c>
      <c r="B714" s="36" t="n"/>
      <c r="C714" s="36" t="n"/>
      <c r="D714" s="36" t="n"/>
      <c r="E714" s="36" t="n"/>
    </row>
    <row r="715" ht="30" customHeight="1">
      <c r="A715" s="47" t="inlineStr">
        <is>
          <t>Dữ liệu biến thể</t>
        </is>
      </c>
      <c r="B715" s="56" t="inlineStr">
        <is>
          <t>Giới hạn bằng bộ lọc</t>
        </is>
      </c>
      <c r="C715" s="57" t="n"/>
      <c r="D715" s="57" t="n"/>
      <c r="E715" s="57" t="n"/>
    </row>
    <row r="716" ht="30" customHeight="1">
      <c r="A716" s="47" t="inlineStr">
        <is>
          <t>Trạng thái</t>
        </is>
      </c>
      <c r="B716" s="61" t="inlineStr">
        <is>
          <t>Chưa thực hiện</t>
        </is>
      </c>
      <c r="C716" s="57" t="n"/>
      <c r="D716" s="57" t="n"/>
      <c r="E716" s="57" t="n"/>
    </row>
    <row r="717" ht="30" customHeight="1">
      <c r="A717" s="62" t="inlineStr">
        <is>
          <t>Kết quả thực tế</t>
        </is>
      </c>
    </row>
    <row r="718" ht="64" customHeight="1">
      <c r="A718" s="63" t="inlineStr"/>
      <c r="B718" s="64" t="n"/>
      <c r="C718" s="64" t="n"/>
      <c r="D718" s="64" t="n"/>
      <c r="E718" s="65" t="n"/>
    </row>
    <row r="719" ht="30" customHeight="1">
      <c r="A719" s="62" t="inlineStr">
        <is>
          <t>Ảnh minh chứng</t>
        </is>
      </c>
    </row>
    <row r="720" ht="90" customHeight="1">
      <c r="A720" s="63" t="inlineStr"/>
      <c r="B720" s="64" t="n"/>
      <c r="C720" s="64" t="n"/>
      <c r="D720" s="64" t="n"/>
      <c r="E720" s="65" t="n"/>
    </row>
    <row r="721" ht="12" customHeight="1">
      <c r="A721" s="66" t="inlineStr"/>
    </row>
    <row r="722" ht="20" customHeight="1">
      <c r="A722" s="66" t="inlineStr"/>
    </row>
    <row r="723" ht="30" customHeight="1">
      <c r="A723" s="46" t="inlineStr">
        <is>
          <t>TC-RS-FUNC-009 — Điều kiện phân nhánh theo Trung bình（平均点） được lưu cùng bộ nguồn</t>
        </is>
      </c>
      <c r="B723" s="23" t="n"/>
      <c r="C723" s="23" t="n"/>
      <c r="D723" s="23" t="n"/>
      <c r="E723" s="23" t="n"/>
    </row>
    <row r="724" ht="30" customHeight="1">
      <c r="A724" s="47" t="inlineStr">
        <is>
          <t>Trạng thái</t>
        </is>
      </c>
      <c r="B724" s="56">
        <f>IF(0&gt;0,"Không đạt",IF(0=2,"Đạt",IF(SUMPRODUCT(--EXACT('Testcases'!B748:B756,"Không thực hiện"))=2,"Không thực hiện",IF(SUMPRODUCT(--EXACT('Testcases'!B748:B756,"Bị chặn"))&gt;0,"Bị chặn",IF(SUMPRODUCT(--EXACT('Testcases'!B748:B756,"Chưa thực hiện"))=2,"Chưa thực hiện","Chưa đủ kết luận")))))</f>
        <v/>
      </c>
      <c r="C724" s="57" t="n"/>
      <c r="D724" s="57" t="n"/>
      <c r="E724" s="57" t="n"/>
    </row>
    <row r="725" ht="30" customHeight="1">
      <c r="A725" s="47" t="inlineStr">
        <is>
          <t>Màn hình / chức năng</t>
        </is>
      </c>
      <c r="B725" s="47" t="inlineStr">
        <is>
          <t>Điều kiện áp dụng（適用条件）</t>
        </is>
      </c>
      <c r="C725" s="57" t="n"/>
      <c r="D725" s="47" t="inlineStr">
        <is>
          <t>Đường dẫn</t>
        </is>
      </c>
      <c r="E725" s="56" t="inlineStr">
        <is>
          <t>Chưa xác minh</t>
        </is>
      </c>
    </row>
    <row r="726" ht="30" customHeight="1">
      <c r="A726" s="58" t="inlineStr">
        <is>
          <t>Điều kiện kiểm thử</t>
        </is>
      </c>
      <c r="B726" s="59" t="n"/>
      <c r="C726" s="59" t="n"/>
      <c r="D726" s="59" t="n"/>
      <c r="E726" s="59" t="n"/>
    </row>
    <row r="727" ht="30" customHeight="1">
      <c r="A727" s="47" t="inlineStr">
        <is>
          <t>Cấu hình</t>
        </is>
      </c>
      <c r="B727" s="56" t="inlineStr">
        <is>
          <t>• Đăng nhập tài khoản giáo viên có quyền sửa mục. Có nguồn tổng hợp mặc định.</t>
        </is>
      </c>
      <c r="C727" s="57" t="n"/>
      <c r="D727" s="57" t="n"/>
      <c r="E727" s="57" t="n"/>
    </row>
    <row r="728" ht="61" customHeight="1">
      <c r="A728" s="47" t="inlineStr">
        <is>
          <t>Vai trò / quyền</t>
        </is>
      </c>
      <c r="B72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28" s="57" t="n"/>
      <c r="D728" s="57" t="n"/>
      <c r="E728" s="57" t="n"/>
    </row>
    <row r="729" ht="30" customHeight="1">
      <c r="A729" s="47" t="inlineStr">
        <is>
          <t>Dữ liệu test</t>
        </is>
      </c>
      <c r="B729" s="56" t="inlineStr">
        <is>
          <t>• Cặp quy tắc phân nhánh theo trung bình 60, bản tổng hợp mới nhất chưa chốt (trung bình 62)</t>
        </is>
      </c>
      <c r="C729" s="57" t="n"/>
      <c r="D729" s="57" t="n"/>
      <c r="E729" s="57" t="n"/>
    </row>
    <row r="730" ht="30" customHeight="1">
      <c r="A730" s="47" t="inlineStr">
        <is>
          <t>Trigger</t>
        </is>
      </c>
      <c r="B730" s="56" t="inlineStr">
        <is>
          <t>• Chỉ xem/xuất không tự chạy xét.</t>
        </is>
      </c>
      <c r="C730" s="57" t="n"/>
      <c r="D730" s="57" t="n"/>
      <c r="E730" s="57" t="n"/>
    </row>
    <row r="731" ht="44" customHeight="1">
      <c r="A731" s="47" t="inlineStr">
        <is>
          <t>Blocker</t>
        </is>
      </c>
      <c r="B731" s="56" t="inlineStr">
        <is>
          <t>• G-PREP-UNASSESSED: Chưa có xác minh fixture, đường thực hiện và phép quan sát trên build của từng case chưa đánh giá.</t>
        </is>
      </c>
      <c r="C731" s="57" t="n"/>
      <c r="D731" s="57" t="n"/>
      <c r="E731" s="57" t="n"/>
    </row>
    <row r="732" ht="30" customHeight="1">
      <c r="A732" s="58" t="inlineStr">
        <is>
          <t>Thao tác</t>
        </is>
      </c>
      <c r="B732" s="59" t="n"/>
      <c r="C732" s="59" t="n"/>
      <c r="D732" s="59" t="n"/>
      <c r="E732" s="59" t="n"/>
    </row>
    <row r="733" ht="44" customHeight="1">
      <c r="A733" s="47" t="inlineStr">
        <is>
          <t>Step 1</t>
        </is>
      </c>
      <c r="B733" s="56" t="inlineStr">
        <is>
          <t>Tạo quy tắc "Trung bình dưới 60": thêm bộ lọc Môn（教科・科目）= Toán（数学） và điều kiện Trung bình（平均点）.</t>
        </is>
      </c>
      <c r="C733" s="57" t="n"/>
      <c r="D733" s="57" t="n"/>
      <c r="E733" s="57" t="n"/>
    </row>
    <row r="734" ht="61" customHeight="1">
      <c r="A734" s="47" t="inlineStr">
        <is>
          <t>Step 2</t>
        </is>
      </c>
      <c r="B734" s="56" t="inlineStr">
        <is>
          <t>Chọn Thời kỳ tổng hợp（集計対象時期）= 1学期期末 (cuối kỳ học kỳ 1), Thiết lập tổng hợp thứ hạng（順位集計設定）= 評点集計 (tổng hợp điểm đánh giá), Nhóm học sinh được tổng hợp — 集計対象（母集団）= ホームルーム (lớp chủ nhiệm; file Figma cũ ghi HR毎).</t>
        </is>
      </c>
      <c r="C734" s="57" t="n"/>
      <c r="D734" s="57" t="n"/>
      <c r="E734" s="57" t="n"/>
    </row>
    <row r="735" ht="30" customHeight="1">
      <c r="A735" s="47" t="inlineStr">
        <is>
          <t>Step 3</t>
        </is>
      </c>
      <c r="B735" s="56" t="inlineStr">
        <is>
          <t>Nhập mốc 60, dấu Nhỏ hơn（未満）, lưu.</t>
        </is>
      </c>
      <c r="C735" s="57" t="n"/>
      <c r="D735" s="57" t="n"/>
      <c r="E735" s="57" t="n"/>
    </row>
    <row r="736" ht="30" customHeight="1">
      <c r="A736" s="47" t="inlineStr">
        <is>
          <t>Step 4</t>
        </is>
      </c>
      <c r="B736" s="56" t="inlineStr">
        <is>
          <t>Tạo quy tắc thứ hai với mốc 60, dấu Từ mức này trở lên（以上）.</t>
        </is>
      </c>
      <c r="C736" s="57" t="n"/>
      <c r="D736" s="57" t="n"/>
      <c r="E736" s="57" t="n"/>
    </row>
    <row r="737" ht="30" customHeight="1">
      <c r="A737" s="47" t="inlineStr">
        <is>
          <t>Step 5</t>
        </is>
      </c>
      <c r="B737" s="56" t="inlineStr">
        <is>
          <t>Mở lại cả hai.</t>
        </is>
      </c>
      <c r="C737" s="57" t="n"/>
      <c r="D737" s="57" t="n"/>
      <c r="E737" s="57" t="n"/>
    </row>
    <row r="738" ht="44" customHeight="1">
      <c r="A738" s="47" t="inlineStr">
        <is>
          <t>Reset</t>
        </is>
      </c>
      <c r="B738" s="56" t="inlineStr">
        <is>
          <t>Trước mỗi biến thể, dựng lại điều kiện/dữ liệu đầu của case bằng đường được phép; giữ các reset/fixture độc lập đã nêu trong thủ tục.</t>
        </is>
      </c>
      <c r="C738" s="57" t="n"/>
      <c r="D738" s="57" t="n"/>
      <c r="E738" s="57" t="n"/>
    </row>
    <row r="739" ht="30" customHeight="1">
      <c r="A739" s="58" t="inlineStr">
        <is>
          <t>Kết quả mong đợi</t>
        </is>
      </c>
      <c r="B739" s="59" t="n"/>
      <c r="C739" s="59" t="n"/>
      <c r="D739" s="59" t="n"/>
      <c r="E739" s="59" t="n"/>
    </row>
    <row r="740" ht="30" customHeight="1">
      <c r="A740" s="47" t="inlineStr">
        <is>
          <t>1.</t>
        </is>
      </c>
      <c r="B740" s="56" t="inlineStr">
        <is>
          <t>Cả hai quy tắc lưu được, là hai dòng riêng trong danh sách (không phải một form hai nhánh).</t>
        </is>
      </c>
      <c r="C740" s="57" t="n"/>
      <c r="D740" s="57" t="n"/>
      <c r="E740" s="57" t="n"/>
    </row>
    <row r="741" ht="30" customHeight="1">
      <c r="A741" s="47" t="inlineStr">
        <is>
          <t>2.</t>
        </is>
      </c>
      <c r="B741" s="56" t="inlineStr">
        <is>
          <t>Mở lại giữ đủ bộ nguồn, mốc, dấu.</t>
        </is>
      </c>
      <c r="C741" s="57" t="n"/>
      <c r="D741" s="57" t="n"/>
      <c r="E741" s="57" t="n"/>
    </row>
    <row r="742" ht="44" customHeight="1">
      <c r="A742" s="47" t="inlineStr">
        <is>
          <t>3.</t>
        </is>
      </c>
      <c r="B742" s="56" t="inlineStr">
        <is>
          <t>Không có lựa chọn Kết quả tổng hợp dùng để tham chiếu（参照する集計結果） (đặc tả v2 mục 3 “Bản đồ màn hình và luồng thao tác”, mục 5.5 “Chọn bản nguồn”).</t>
        </is>
      </c>
      <c r="C742" s="57" t="n"/>
      <c r="D742" s="57" t="n"/>
      <c r="E742" s="57" t="n"/>
    </row>
    <row r="743" ht="44" customHeight="1">
      <c r="A743" s="47" t="inlineStr">
        <is>
          <t>Giữ nguyên</t>
        </is>
      </c>
      <c r="B743" s="56" t="inlineStr">
        <is>
          <t>• Giữ điểm, cấu hình và đối tượng không đích theo expected;
• Chỉ thay phần thủ tục yêu cầu, không tự đổi oracle hoặc mở rộng phạm vi.</t>
        </is>
      </c>
      <c r="C743" s="57" t="n"/>
      <c r="D743" s="57" t="n"/>
      <c r="E743" s="57" t="n"/>
    </row>
    <row r="744" ht="61" customHeight="1">
      <c r="A744" s="47" t="inlineStr">
        <is>
          <t>Quan sát tại</t>
        </is>
      </c>
      <c r="B744" s="56" t="inlineStr">
        <is>
          <t>• Dùng trích xuất không lọc để thấy cả ô đối chứng. Trạng thái không có dấu đỏ cần đọc thêm trạng thái lưu;
• Output Excel/PDF dùng file thật.</t>
        </is>
      </c>
      <c r="C744" s="57" t="n"/>
      <c r="D744" s="57" t="n"/>
      <c r="E744" s="57" t="n"/>
    </row>
    <row r="745" ht="30" customHeight="1">
      <c r="A745" s="58" t="inlineStr">
        <is>
          <t>Kết quả thực tế</t>
        </is>
      </c>
      <c r="B745" s="59" t="n"/>
      <c r="C745" s="59" t="n"/>
      <c r="D745" s="59" t="n"/>
      <c r="E745" s="59" t="n"/>
    </row>
    <row r="746" ht="30" customHeight="1">
      <c r="A746" s="60" t="inlineStr">
        <is>
          <t>TC-RS-FUNC-009 / below60</t>
        </is>
      </c>
      <c r="B746" s="36" t="n"/>
      <c r="C746" s="36" t="n"/>
      <c r="D746" s="36" t="n"/>
      <c r="E746" s="36" t="n"/>
    </row>
    <row r="747" ht="30" customHeight="1">
      <c r="A747" s="47" t="inlineStr">
        <is>
          <t>Dữ liệu biến thể</t>
        </is>
      </c>
      <c r="B747" s="56" t="inlineStr">
        <is>
          <t>Điều kiện dưới 60</t>
        </is>
      </c>
      <c r="C747" s="57" t="n"/>
      <c r="D747" s="57" t="n"/>
      <c r="E747" s="57" t="n"/>
    </row>
    <row r="748" ht="30" customHeight="1">
      <c r="A748" s="47" t="inlineStr">
        <is>
          <t>Trạng thái</t>
        </is>
      </c>
      <c r="B748" s="61" t="inlineStr">
        <is>
          <t>Chưa thực hiện</t>
        </is>
      </c>
      <c r="C748" s="57" t="n"/>
      <c r="D748" s="57" t="n"/>
      <c r="E748" s="57" t="n"/>
    </row>
    <row r="749" ht="30" customHeight="1">
      <c r="A749" s="62" t="inlineStr">
        <is>
          <t>Kết quả thực tế</t>
        </is>
      </c>
    </row>
    <row r="750" ht="64" customHeight="1">
      <c r="A750" s="63" t="inlineStr"/>
      <c r="B750" s="64" t="n"/>
      <c r="C750" s="64" t="n"/>
      <c r="D750" s="64" t="n"/>
      <c r="E750" s="65" t="n"/>
    </row>
    <row r="751" ht="30" customHeight="1">
      <c r="A751" s="62" t="inlineStr">
        <is>
          <t>Ảnh minh chứng</t>
        </is>
      </c>
    </row>
    <row r="752" ht="90" customHeight="1">
      <c r="A752" s="63" t="inlineStr"/>
      <c r="B752" s="64" t="n"/>
      <c r="C752" s="64" t="n"/>
      <c r="D752" s="64" t="n"/>
      <c r="E752" s="65" t="n"/>
    </row>
    <row r="753" ht="12" customHeight="1">
      <c r="A753" s="66" t="inlineStr"/>
    </row>
    <row r="754" ht="30" customHeight="1">
      <c r="A754" s="60" t="inlineStr">
        <is>
          <t>TC-RS-FUNC-009 / from60</t>
        </is>
      </c>
      <c r="B754" s="36" t="n"/>
      <c r="C754" s="36" t="n"/>
      <c r="D754" s="36" t="n"/>
      <c r="E754" s="36" t="n"/>
    </row>
    <row r="755" ht="30" customHeight="1">
      <c r="A755" s="47" t="inlineStr">
        <is>
          <t>Dữ liệu biến thể</t>
        </is>
      </c>
      <c r="B755" s="56" t="inlineStr">
        <is>
          <t>Điều kiện từ 60</t>
        </is>
      </c>
      <c r="C755" s="57" t="n"/>
      <c r="D755" s="57" t="n"/>
      <c r="E755" s="57" t="n"/>
    </row>
    <row r="756" ht="30" customHeight="1">
      <c r="A756" s="47" t="inlineStr">
        <is>
          <t>Trạng thái</t>
        </is>
      </c>
      <c r="B756" s="61" t="inlineStr">
        <is>
          <t>Chưa thực hiện</t>
        </is>
      </c>
      <c r="C756" s="57" t="n"/>
      <c r="D756" s="57" t="n"/>
      <c r="E756" s="57" t="n"/>
    </row>
    <row r="757" ht="30" customHeight="1">
      <c r="A757" s="62" t="inlineStr">
        <is>
          <t>Kết quả thực tế</t>
        </is>
      </c>
    </row>
    <row r="758" ht="64" customHeight="1">
      <c r="A758" s="63" t="inlineStr"/>
      <c r="B758" s="64" t="n"/>
      <c r="C758" s="64" t="n"/>
      <c r="D758" s="64" t="n"/>
      <c r="E758" s="65" t="n"/>
    </row>
    <row r="759" ht="30" customHeight="1">
      <c r="A759" s="62" t="inlineStr">
        <is>
          <t>Ảnh minh chứng</t>
        </is>
      </c>
    </row>
    <row r="760" ht="90" customHeight="1">
      <c r="A760" s="63" t="inlineStr"/>
      <c r="B760" s="64" t="n"/>
      <c r="C760" s="64" t="n"/>
      <c r="D760" s="64" t="n"/>
      <c r="E760" s="65" t="n"/>
    </row>
    <row r="761" ht="12" customHeight="1">
      <c r="A761" s="66" t="inlineStr"/>
    </row>
    <row r="762" ht="20" customHeight="1">
      <c r="A762" s="66" t="inlineStr"/>
    </row>
    <row r="763" ht="30" customHeight="1">
      <c r="A763" s="46" t="inlineStr">
        <is>
          <t>TC-RS-FUNC-010 — Điều kiện Tỷ lệ điểm của nhóm（集団の得点率） được lưu cùng bộ nguồn</t>
        </is>
      </c>
      <c r="B763" s="23" t="n"/>
      <c r="C763" s="23" t="n"/>
      <c r="D763" s="23" t="n"/>
      <c r="E763" s="23" t="n"/>
    </row>
    <row r="764" ht="30" customHeight="1">
      <c r="A764" s="47" t="inlineStr">
        <is>
          <t>Trạng thái</t>
        </is>
      </c>
      <c r="B764" s="61" t="inlineStr">
        <is>
          <t>Chưa thực hiện</t>
        </is>
      </c>
      <c r="C764" s="57" t="n"/>
      <c r="D764" s="57" t="n"/>
      <c r="E764" s="57" t="n"/>
    </row>
    <row r="765" ht="30" customHeight="1">
      <c r="A765" s="47" t="inlineStr">
        <is>
          <t>Màn hình / chức năng</t>
        </is>
      </c>
      <c r="B765" s="47" t="inlineStr">
        <is>
          <t>Điều kiện áp dụng（適用条件）</t>
        </is>
      </c>
      <c r="C765" s="57" t="n"/>
      <c r="D765" s="47" t="inlineStr">
        <is>
          <t>Đường dẫn</t>
        </is>
      </c>
      <c r="E765" s="56" t="inlineStr">
        <is>
          <t>Chưa xác minh</t>
        </is>
      </c>
    </row>
    <row r="766" ht="30" customHeight="1">
      <c r="A766" s="58" t="inlineStr">
        <is>
          <t>Điều kiện kiểm thử</t>
        </is>
      </c>
      <c r="B766" s="59" t="n"/>
      <c r="C766" s="59" t="n"/>
      <c r="D766" s="59" t="n"/>
      <c r="E766" s="59" t="n"/>
    </row>
    <row r="767" ht="30" customHeight="1">
      <c r="A767" s="47" t="inlineStr">
        <is>
          <t>Cấu hình</t>
        </is>
      </c>
      <c r="B767" s="56" t="inlineStr">
        <is>
          <t>• Đăng nhập tài khoản giáo viên có quyền sửa mục.</t>
        </is>
      </c>
      <c r="C767" s="57" t="n"/>
      <c r="D767" s="57" t="n"/>
      <c r="E767" s="57" t="n"/>
    </row>
    <row r="768" ht="61" customHeight="1">
      <c r="A768" s="47" t="inlineStr">
        <is>
          <t>Vai trò / quyền</t>
        </is>
      </c>
      <c r="B76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68" s="57" t="n"/>
      <c r="D768" s="57" t="n"/>
      <c r="E768" s="57" t="n"/>
    </row>
    <row r="769" ht="30" customHeight="1">
      <c r="A769" s="47" t="inlineStr">
        <is>
          <t>Dữ liệu test</t>
        </is>
      </c>
      <c r="B769" s="56" t="inlineStr">
        <is>
          <t>• Quy tắc theo tỷ lệ điểm của nhóm từ 65%</t>
        </is>
      </c>
      <c r="C769" s="57" t="n"/>
      <c r="D769" s="57" t="n"/>
      <c r="E769" s="57" t="n"/>
    </row>
    <row r="770" ht="30" customHeight="1">
      <c r="A770" s="47" t="inlineStr">
        <is>
          <t>Trigger</t>
        </is>
      </c>
      <c r="B770" s="56" t="inlineStr">
        <is>
          <t>• Chỉ xem/xuất không tự chạy xét.</t>
        </is>
      </c>
      <c r="C770" s="57" t="n"/>
      <c r="D770" s="57" t="n"/>
      <c r="E770" s="57" t="n"/>
    </row>
    <row r="771" ht="44" customHeight="1">
      <c r="A771" s="47" t="inlineStr">
        <is>
          <t>Blocker</t>
        </is>
      </c>
      <c r="B771" s="56" t="inlineStr">
        <is>
          <t>• G-PREP-UNASSESSED: Chưa có xác minh fixture, đường thực hiện và phép quan sát trên build của từng case chưa đánh giá.</t>
        </is>
      </c>
      <c r="C771" s="57" t="n"/>
      <c r="D771" s="57" t="n"/>
      <c r="E771" s="57" t="n"/>
    </row>
    <row r="772" ht="30" customHeight="1">
      <c r="A772" s="58" t="inlineStr">
        <is>
          <t>Thao tác</t>
        </is>
      </c>
      <c r="B772" s="59" t="n"/>
      <c r="C772" s="59" t="n"/>
      <c r="D772" s="59" t="n"/>
      <c r="E772" s="59" t="n"/>
    </row>
    <row r="773" ht="44" customHeight="1">
      <c r="A773" s="47" t="inlineStr">
        <is>
          <t>Step 1</t>
        </is>
      </c>
      <c r="B773" s="56" t="inlineStr">
        <is>
          <t>Tạo quy tắc với điều kiện Tỷ lệ điểm của nhóm（集団の得点率）, nguồn mặc định, mốc 65, dấu Từ mức này trở lên（以上）.</t>
        </is>
      </c>
      <c r="C773" s="57" t="n"/>
      <c r="D773" s="57" t="n"/>
      <c r="E773" s="57" t="n"/>
    </row>
    <row r="774" ht="30" customHeight="1">
      <c r="A774" s="47" t="inlineStr">
        <is>
          <t>Step 2</t>
        </is>
      </c>
      <c r="B774" s="56" t="inlineStr">
        <is>
          <t>Lưu, mở lại.</t>
        </is>
      </c>
      <c r="C774" s="57" t="n"/>
      <c r="D774" s="57" t="n"/>
      <c r="E774" s="57" t="n"/>
    </row>
    <row r="775" ht="44" customHeight="1">
      <c r="A775" s="47" t="inlineStr">
        <is>
          <t>Reset</t>
        </is>
      </c>
      <c r="B775" s="56" t="inlineStr">
        <is>
          <t>Trước mỗi biến thể, dựng lại điều kiện/dữ liệu đầu của case bằng đường được phép; giữ các reset/fixture độc lập đã nêu trong thủ tục.</t>
        </is>
      </c>
      <c r="C775" s="57" t="n"/>
      <c r="D775" s="57" t="n"/>
      <c r="E775" s="57" t="n"/>
    </row>
    <row r="776" ht="30" customHeight="1">
      <c r="A776" s="58" t="inlineStr">
        <is>
          <t>Kết quả mong đợi</t>
        </is>
      </c>
      <c r="B776" s="59" t="n"/>
      <c r="C776" s="59" t="n"/>
      <c r="D776" s="59" t="n"/>
      <c r="E776" s="59" t="n"/>
    </row>
    <row r="777" ht="30" customHeight="1">
      <c r="A777" s="47" t="inlineStr">
        <is>
          <t>•</t>
        </is>
      </c>
      <c r="B777" s="56" t="inlineStr">
        <is>
          <t>Lưu và mở lại đúng loại điều kiện, nguồn, mốc 65 và dấu. Không có tùy chọn chọn cách tính A/B.</t>
        </is>
      </c>
      <c r="C777" s="57" t="n"/>
      <c r="D777" s="57" t="n"/>
      <c r="E777" s="57" t="n"/>
    </row>
    <row r="778" ht="44" customHeight="1">
      <c r="A778" s="47" t="inlineStr">
        <is>
          <t>Giữ nguyên</t>
        </is>
      </c>
      <c r="B778" s="56" t="inlineStr">
        <is>
          <t>• Giữ điểm, cấu hình và đối tượng không đích theo expected;
• Chỉ thay phần thủ tục yêu cầu, không tự đổi oracle hoặc mở rộng phạm vi.</t>
        </is>
      </c>
      <c r="C778" s="57" t="n"/>
      <c r="D778" s="57" t="n"/>
      <c r="E778" s="57" t="n"/>
    </row>
    <row r="779" ht="61" customHeight="1">
      <c r="A779" s="47" t="inlineStr">
        <is>
          <t>Quan sát tại</t>
        </is>
      </c>
      <c r="B779" s="56" t="inlineStr">
        <is>
          <t>• Dùng trích xuất không lọc để thấy cả ô đối chứng. Trạng thái không có dấu đỏ cần đọc thêm trạng thái lưu;
• Output Excel/PDF dùng file thật.</t>
        </is>
      </c>
      <c r="C779" s="57" t="n"/>
      <c r="D779" s="57" t="n"/>
      <c r="E779" s="57" t="n"/>
    </row>
    <row r="780" ht="30" customHeight="1">
      <c r="A780" s="58" t="inlineStr">
        <is>
          <t>Kết quả thực tế</t>
        </is>
      </c>
      <c r="B780" s="59" t="n"/>
      <c r="C780" s="59" t="n"/>
      <c r="D780" s="59" t="n"/>
      <c r="E780" s="59" t="n"/>
    </row>
    <row r="781" ht="30" customHeight="1">
      <c r="A781" s="47" t="inlineStr">
        <is>
          <t>Dữ liệu biến thể</t>
        </is>
      </c>
      <c r="B781" s="56" t="inlineStr">
        <is>
          <t>Toàn bộ thủ tục theo đúng thứ tự; các đối chứng cùng fixture được kiểm trong cùng lượt, không bỏ bước</t>
        </is>
      </c>
      <c r="C781" s="57" t="n"/>
      <c r="D781" s="57" t="n"/>
      <c r="E781" s="57" t="n"/>
    </row>
    <row r="782" ht="30" customHeight="1">
      <c r="A782" s="62" t="inlineStr">
        <is>
          <t>Kết quả thực tế</t>
        </is>
      </c>
    </row>
    <row r="783" ht="64" customHeight="1">
      <c r="A783" s="63" t="inlineStr"/>
      <c r="B783" s="64" t="n"/>
      <c r="C783" s="64" t="n"/>
      <c r="D783" s="64" t="n"/>
      <c r="E783" s="65" t="n"/>
    </row>
    <row r="784" ht="30" customHeight="1">
      <c r="A784" s="62" t="inlineStr">
        <is>
          <t>Ảnh minh chứng</t>
        </is>
      </c>
    </row>
    <row r="785" ht="90" customHeight="1">
      <c r="A785" s="63" t="inlineStr"/>
      <c r="B785" s="64" t="n"/>
      <c r="C785" s="64" t="n"/>
      <c r="D785" s="64" t="n"/>
      <c r="E785" s="65" t="n"/>
    </row>
    <row r="786" ht="12" customHeight="1">
      <c r="A786" s="66" t="inlineStr"/>
    </row>
    <row r="787" ht="20" customHeight="1">
      <c r="A787" s="66" t="inlineStr"/>
    </row>
    <row r="788" ht="30" customHeight="1">
      <c r="A788" s="46" t="inlineStr">
        <is>
          <t>TC-RS-BR-004 — Kết hợp bộ lọc: HOẶC trong cùng loại, VÀ giữa các loại</t>
        </is>
      </c>
      <c r="B788" s="23" t="n"/>
      <c r="C788" s="23" t="n"/>
      <c r="D788" s="23" t="n"/>
      <c r="E788" s="23" t="n"/>
    </row>
    <row r="789" ht="30" customHeight="1">
      <c r="A789" s="47" t="inlineStr">
        <is>
          <t>Trạng thái</t>
        </is>
      </c>
      <c r="B789" s="61" t="inlineStr">
        <is>
          <t>Chưa thực hiện</t>
        </is>
      </c>
      <c r="C789" s="57" t="n"/>
      <c r="D789" s="57" t="n"/>
      <c r="E789" s="57" t="n"/>
    </row>
    <row r="790" ht="30" customHeight="1">
      <c r="A790" s="47" t="inlineStr">
        <is>
          <t>Màn hình / chức năng</t>
        </is>
      </c>
      <c r="B790" s="47" t="inlineStr">
        <is>
          <t>Điều kiện áp dụng（適用条件）</t>
        </is>
      </c>
      <c r="C790" s="57" t="n"/>
      <c r="D790" s="47" t="inlineStr">
        <is>
          <t>Đường dẫn</t>
        </is>
      </c>
      <c r="E790" s="56" t="inlineStr">
        <is>
          <t>Chưa xác minh</t>
        </is>
      </c>
    </row>
    <row r="791" ht="30" customHeight="1">
      <c r="A791" s="58" t="inlineStr">
        <is>
          <t>Điều kiện kiểm thử</t>
        </is>
      </c>
      <c r="B791" s="59" t="n"/>
      <c r="C791" s="59" t="n"/>
      <c r="D791" s="59" t="n"/>
      <c r="E791" s="59" t="n"/>
    </row>
    <row r="792" ht="95" customHeight="1">
      <c r="A792" s="47" t="inlineStr">
        <is>
          <t>Cấu hình</t>
        </is>
      </c>
      <c r="B792" s="56" t="inlineStr">
        <is>
          <t>• Mục số nguyên (M=100) chỉ có quy tắc có bộ lọc kết hợp (khối 1 hoặc 2, nhóm Nâng cao). Bốn học sinh: P1 khối 1 + Nâng cao;
• P2 khối 2 + Nâng cao;
• P3 khối 3 + Nâng cao;
• P4 khối 1, không Nâng cao. Mỗi người điểm 20.</t>
        </is>
      </c>
      <c r="C792" s="57" t="n"/>
      <c r="D792" s="57" t="n"/>
      <c r="E792" s="57" t="n"/>
    </row>
    <row r="793" ht="61" customHeight="1">
      <c r="A793" s="47" t="inlineStr">
        <is>
          <t>Vai trò / quyền</t>
        </is>
      </c>
      <c r="B79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93" s="57" t="n"/>
      <c r="D793" s="57" t="n"/>
      <c r="E793" s="57" t="n"/>
    </row>
    <row r="794" ht="44" customHeight="1">
      <c r="A794" s="47" t="inlineStr">
        <is>
          <t>Dữ liệu test</t>
        </is>
      </c>
      <c r="B794" s="56" t="inlineStr">
        <is>
          <t>• Mục số nguyên (M=100);
• Quy tắc có bộ lọc kết hợp (khối 1 hoặc 2, nhóm Nâng cao)</t>
        </is>
      </c>
      <c r="C794" s="57" t="n"/>
      <c r="D794" s="57" t="n"/>
      <c r="E794" s="57" t="n"/>
    </row>
    <row r="795" ht="30" customHeight="1">
      <c r="A795" s="47" t="inlineStr">
        <is>
          <t>Trigger</t>
        </is>
      </c>
      <c r="B795" s="56" t="inlineStr">
        <is>
          <t>• Chỉ xem/xuất không tự chạy xét.</t>
        </is>
      </c>
      <c r="C795" s="57" t="n"/>
      <c r="D795" s="57" t="n"/>
      <c r="E795" s="57" t="n"/>
    </row>
    <row r="796" ht="44" customHeight="1">
      <c r="A796" s="47" t="inlineStr">
        <is>
          <t>Blocker</t>
        </is>
      </c>
      <c r="B796" s="56" t="inlineStr">
        <is>
          <t>• G-PREP-UNASSESSED: Chưa có xác minh fixture, đường thực hiện và phép quan sát trên build của từng case chưa đánh giá.</t>
        </is>
      </c>
      <c r="C796" s="57" t="n"/>
      <c r="D796" s="57" t="n"/>
      <c r="E796" s="57" t="n"/>
    </row>
    <row r="797" ht="30" customHeight="1">
      <c r="A797" s="58" t="inlineStr">
        <is>
          <t>Thao tác</t>
        </is>
      </c>
      <c r="B797" s="59" t="n"/>
      <c r="C797" s="59" t="n"/>
      <c r="D797" s="59" t="n"/>
      <c r="E797" s="59" t="n"/>
    </row>
    <row r="798" ht="30" customHeight="1">
      <c r="A798" s="47" t="inlineStr">
        <is>
          <t>Step 1</t>
        </is>
      </c>
      <c r="B798" s="56" t="inlineStr">
        <is>
          <t>Đăng ký điểm 20 cho P1–P4.</t>
        </is>
      </c>
      <c r="C798" s="57" t="n"/>
      <c r="D798" s="57" t="n"/>
      <c r="E798" s="57" t="n"/>
    </row>
    <row r="799" ht="30" customHeight="1">
      <c r="A799" s="47" t="inlineStr">
        <is>
          <t>Step 2</t>
        </is>
      </c>
      <c r="B799" s="56" t="inlineStr">
        <is>
          <t>Xem kết quả.</t>
        </is>
      </c>
      <c r="C799" s="57" t="n"/>
      <c r="D799" s="57" t="n"/>
      <c r="E799" s="57" t="n"/>
    </row>
    <row r="800" ht="44" customHeight="1">
      <c r="A800" s="47" t="inlineStr">
        <is>
          <t>Reset</t>
        </is>
      </c>
      <c r="B800" s="56" t="inlineStr">
        <is>
          <t>Trước mỗi biến thể, dựng lại điều kiện/dữ liệu đầu của case bằng đường được phép; giữ các reset/fixture độc lập đã nêu trong thủ tục.</t>
        </is>
      </c>
      <c r="C800" s="57" t="n"/>
      <c r="D800" s="57" t="n"/>
      <c r="E800" s="57" t="n"/>
    </row>
    <row r="801" ht="30" customHeight="1">
      <c r="A801" s="58" t="inlineStr">
        <is>
          <t>Kết quả mong đợi</t>
        </is>
      </c>
      <c r="B801" s="59" t="n"/>
      <c r="C801" s="59" t="n"/>
      <c r="D801" s="59" t="n"/>
      <c r="E801" s="59" t="n"/>
    </row>
    <row r="802" ht="30" customHeight="1">
      <c r="A802" s="47" t="inlineStr">
        <is>
          <t>•</t>
        </is>
      </c>
      <c r="B802" s="56" t="inlineStr">
        <is>
          <t>P1, P2: Đỏ. P3, P4: Không áp dụng.</t>
        </is>
      </c>
      <c r="C802" s="57" t="n"/>
      <c r="D802" s="57" t="n"/>
      <c r="E802" s="57" t="n"/>
    </row>
    <row r="803" ht="44" customHeight="1">
      <c r="A803" s="47" t="inlineStr">
        <is>
          <t>Giữ nguyên</t>
        </is>
      </c>
      <c r="B803" s="56" t="inlineStr">
        <is>
          <t>• Giữ điểm, cấu hình và đối tượng không đích theo expected;
• Chỉ thay phần thủ tục yêu cầu, không tự đổi oracle hoặc mở rộng phạm vi.</t>
        </is>
      </c>
      <c r="C803" s="57" t="n"/>
      <c r="D803" s="57" t="n"/>
      <c r="E803" s="57" t="n"/>
    </row>
    <row r="804" ht="61" customHeight="1">
      <c r="A804" s="47" t="inlineStr">
        <is>
          <t>Quan sát tại</t>
        </is>
      </c>
      <c r="B804" s="56" t="inlineStr">
        <is>
          <t>• Dùng trích xuất không lọc để thấy cả ô đối chứng. Trạng thái không có dấu đỏ cần đọc thêm trạng thái lưu;
• Output Excel/PDF dùng file thật.</t>
        </is>
      </c>
      <c r="C804" s="57" t="n"/>
      <c r="D804" s="57" t="n"/>
      <c r="E804" s="57" t="n"/>
    </row>
    <row r="805" ht="30" customHeight="1">
      <c r="A805" s="58" t="inlineStr">
        <is>
          <t>Kết quả thực tế</t>
        </is>
      </c>
      <c r="B805" s="59" t="n"/>
      <c r="C805" s="59" t="n"/>
      <c r="D805" s="59" t="n"/>
      <c r="E805" s="59" t="n"/>
    </row>
    <row r="806" ht="30" customHeight="1">
      <c r="A806" s="47" t="inlineStr">
        <is>
          <t>Dữ liệu biến thể</t>
        </is>
      </c>
      <c r="B806" s="56" t="inlineStr">
        <is>
          <t>Toàn bộ thủ tục theo đúng thứ tự; các đối chứng cùng fixture được kiểm trong cùng lượt, không bỏ bước</t>
        </is>
      </c>
      <c r="C806" s="57" t="n"/>
      <c r="D806" s="57" t="n"/>
      <c r="E806" s="57" t="n"/>
    </row>
    <row r="807" ht="30" customHeight="1">
      <c r="A807" s="62" t="inlineStr">
        <is>
          <t>Kết quả thực tế</t>
        </is>
      </c>
    </row>
    <row r="808" ht="64" customHeight="1">
      <c r="A808" s="63" t="inlineStr"/>
      <c r="B808" s="64" t="n"/>
      <c r="C808" s="64" t="n"/>
      <c r="D808" s="64" t="n"/>
      <c r="E808" s="65" t="n"/>
    </row>
    <row r="809" ht="30" customHeight="1">
      <c r="A809" s="62" t="inlineStr">
        <is>
          <t>Ảnh minh chứng</t>
        </is>
      </c>
    </row>
    <row r="810" ht="90" customHeight="1">
      <c r="A810" s="63" t="inlineStr"/>
      <c r="B810" s="64" t="n"/>
      <c r="C810" s="64" t="n"/>
      <c r="D810" s="64" t="n"/>
      <c r="E810" s="65" t="n"/>
    </row>
    <row r="811" ht="12" customHeight="1">
      <c r="A811" s="66" t="inlineStr"/>
    </row>
    <row r="812" ht="20" customHeight="1">
      <c r="A812" s="66" t="inlineStr"/>
    </row>
    <row r="813" ht="30" customHeight="1">
      <c r="A813" s="46" t="inlineStr">
        <is>
          <t>TC-RS-BR-041 — Điều kiện trung bình cùng nguồn kết hợp AND</t>
        </is>
      </c>
      <c r="B813" s="23" t="n"/>
      <c r="C813" s="23" t="n"/>
      <c r="D813" s="23" t="n"/>
      <c r="E813" s="23" t="n"/>
    </row>
    <row r="814" ht="30" customHeight="1">
      <c r="A814" s="47" t="inlineStr">
        <is>
          <t>Trạng thái</t>
        </is>
      </c>
      <c r="B814" s="56">
        <f>IF(0&gt;0,"Không đạt",IF(0=22,"Đạt",IF(SUMPRODUCT(--EXACT('Testcases'!B840:B1008,"Không thực hiện"))=22,"Không thực hiện",IF(SUMPRODUCT(--EXACT('Testcases'!B840:B1008,"Bị chặn"))&gt;0,"Bị chặn",IF(SUMPRODUCT(--EXACT('Testcases'!B840:B1008,"Chưa thực hiện"))=22,"Chưa thực hiện","Chưa đủ kết luận")))))</f>
        <v/>
      </c>
      <c r="C814" s="57" t="n"/>
      <c r="D814" s="57" t="n"/>
      <c r="E814" s="57" t="n"/>
    </row>
    <row r="815" ht="30" customHeight="1">
      <c r="A815" s="47" t="inlineStr">
        <is>
          <t>Màn hình / chức năng</t>
        </is>
      </c>
      <c r="B815" s="47" t="inlineStr">
        <is>
          <t>Điều kiện áp dụng（適用条件）</t>
        </is>
      </c>
      <c r="C815" s="57" t="n"/>
      <c r="D815" s="47" t="inlineStr">
        <is>
          <t>Đường dẫn</t>
        </is>
      </c>
      <c r="E815" s="56" t="inlineStr">
        <is>
          <t>Chưa xác minh</t>
        </is>
      </c>
    </row>
    <row r="816" ht="30" customHeight="1">
      <c r="A816" s="58" t="inlineStr">
        <is>
          <t>Điều kiện kiểm thử</t>
        </is>
      </c>
      <c r="B816" s="59" t="n"/>
      <c r="C816" s="59" t="n"/>
      <c r="D816" s="59" t="n"/>
      <c r="E816" s="59" t="n"/>
    </row>
    <row r="817" ht="44" customHeight="1">
      <c r="A817" s="47" t="inlineStr">
        <is>
          <t>Cấu hình</t>
        </is>
      </c>
      <c r="B817" s="56" t="inlineStr">
        <is>
          <t>• Mỗi biến thể chỉ thay một nhóm điều kiện, cùng rule và cùng đối tượng áp dụng;
• Ngưỡng cố định [T=70], dấu [&lt;], P1 có [S=60] và thuộc phạm vi áp dụng.</t>
        </is>
      </c>
      <c r="C817" s="57" t="n"/>
      <c r="D817" s="57" t="n"/>
      <c r="E817" s="57" t="n"/>
    </row>
    <row r="818" ht="61" customHeight="1">
      <c r="A818" s="47" t="inlineStr">
        <is>
          <t>Vai trò / quyền</t>
        </is>
      </c>
      <c r="B81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18" s="57" t="n"/>
      <c r="D818" s="57" t="n"/>
      <c r="E818" s="57" t="n"/>
    </row>
    <row r="819" ht="197" customHeight="1">
      <c r="A819" s="47" t="inlineStr">
        <is>
          <t>Dữ liệu test</t>
        </is>
      </c>
      <c r="B819" s="56" t="inlineStr">
        <is>
          <t>• (A) điều kiện cùng nguồn [A≥50] AND [A&lt;70];
• Mỗi P9–P16 là một lượt độc lập, reset/configure nguồn theo đúng fixture TD-SRC-17…24, không dùng chung một snapshot cho các giá trị khác nhau. (R) dùng snapshot TD-SRC-11/12/13;
• (A+R) dùng identity/snapshot riêng TD-SRC-14/15/16. Đây là fixture cần provision/quan sát, chưa phải dữ liệu đã có. (Bộ lọc) TD-GRP-04 có ba identity với reader/snapshot riêng nhưng cùng [A=60], [R=60%], [S=60], rule [A≥50 AND R≥50%], [T=70], dấu [&lt;];
• Positive khớp khối 1 và Nâng cao, hai negative chỉ sai khối hoặc chỉ sai nhóm. Phải ghi identity và giá trị reader từng lượt, không thay A/R khi đổi bộ lọc. Trạng thái dùng riêng TD-SRC-26…29: P17 có A=NaN, P19 có A=Infinity, P18-A-EMPTY có A thiếu/null và S=25, P18-S-EMPTY có A=60 và S không có điểm. P17/P18-A/P19 dùng rule ưu tiên thấp hơn [T=30], [S=25] để phát hiện fallback. Không gộp thiếu A với thiếu điểm S và không tái sử dụng fixture giữa các lượt.</t>
        </is>
      </c>
      <c r="C819" s="57" t="n"/>
      <c r="D819" s="57" t="n"/>
      <c r="E819" s="57" t="n"/>
    </row>
    <row r="820" ht="30" customHeight="1">
      <c r="A820" s="47" t="inlineStr">
        <is>
          <t>Trigger</t>
        </is>
      </c>
      <c r="B820" s="56" t="inlineStr">
        <is>
          <t>• Chỉ xem/xuất không tự chạy xét.</t>
        </is>
      </c>
      <c r="C820" s="57" t="n"/>
      <c r="D820" s="57" t="n"/>
      <c r="E820" s="57" t="n"/>
    </row>
    <row r="821" ht="61" customHeight="1">
      <c r="A821" s="47" t="inlineStr">
        <is>
          <t>Blocker</t>
        </is>
      </c>
      <c r="B821" s="56" t="inlineStr">
        <is>
          <t>• G-PREP-TC-RS-BR-041: BLOCKED — snapshot/reader cho A (P9–P16), R, A+R và membership bộ lọc chưa được provision/quan sát;
• Chỉ PASS biến thể có mapping và evidence reader đúng fixture.</t>
        </is>
      </c>
      <c r="C821" s="57" t="n"/>
      <c r="D821" s="57" t="n"/>
      <c r="E821" s="57" t="n"/>
    </row>
    <row r="822" ht="30" customHeight="1">
      <c r="A822" s="58" t="inlineStr">
        <is>
          <t>Thao tác</t>
        </is>
      </c>
      <c r="B822" s="59" t="n"/>
      <c r="C822" s="59" t="n"/>
      <c r="D822" s="59" t="n"/>
      <c r="E822" s="59" t="n"/>
    </row>
    <row r="823" ht="44" customHeight="1">
      <c r="A823" s="47" t="inlineStr">
        <is>
          <t>Step 1</t>
        </is>
      </c>
      <c r="B823" s="56" t="inlineStr">
        <is>
          <t>Lưu rule A+A. Với từng variant A-P9…A-P16, reset fixture, chọn đúng TD-SRC tương ứng, ghi identity nhóm/snapshot và xác nhận reader trả đúng A trước khi xét.</t>
        </is>
      </c>
      <c r="C823" s="57" t="n"/>
      <c r="D823" s="57" t="n"/>
      <c r="E823" s="57" t="n"/>
    </row>
    <row r="824" ht="44" customHeight="1">
      <c r="A824" s="47" t="inlineStr">
        <is>
          <t>Step 2</t>
        </is>
      </c>
      <c r="B824" s="56" t="inlineStr">
        <is>
          <t>Lưu và chạy riêng RR-60/RR-49.9/RR-70 theo TD-SRC-11…13 và AR-60-60/AR-40-60/AR-60-40 theo TD-SRC-14…16; không dùng snapshot của variant trước.</t>
        </is>
      </c>
      <c r="C824" s="57" t="n"/>
      <c r="D824" s="57" t="n"/>
      <c r="E824" s="57" t="n"/>
    </row>
    <row r="825" ht="44" customHeight="1">
      <c r="A825" s="47" t="inlineStr">
        <is>
          <t>Step 3</t>
        </is>
      </c>
      <c r="B825" s="56" t="inlineStr">
        <is>
          <t>Chạy riêng FILTER-POS, FILTER-GRADE-NEG và FILTER-GROUP-NEG với TD-GRP-04; mỗi lượt chỉ một predicate lọc âm tính.</t>
        </is>
      </c>
      <c r="C825" s="57" t="n"/>
      <c r="D825" s="57" t="n"/>
      <c r="E825" s="57" t="n"/>
    </row>
    <row r="826" ht="44" customHeight="1">
      <c r="A826" s="47" t="inlineStr">
        <is>
          <t>Step 4</t>
        </is>
      </c>
      <c r="B826" s="56" t="inlineStr">
        <is>
          <t>Chạy P17-A-NAN, P19-A-INFINITY, P18-A-EMPTY và P18-S-EMPTY trên TD-SRC-26…29/fixture nguồn riêng; ghi trạng thái reader và kiểm tra không fallback.</t>
        </is>
      </c>
      <c r="C826" s="57" t="n"/>
      <c r="D826" s="57" t="n"/>
      <c r="E826" s="57" t="n"/>
    </row>
    <row r="827" ht="30" customHeight="1">
      <c r="A827" s="47" t="inlineStr">
        <is>
          <t>Step 5</t>
        </is>
      </c>
      <c r="B827" s="56" t="inlineStr">
        <is>
          <t>Mở lại từng rule và kiểm tra các điều kiện vẫn thuộc cùng rule, đúng source và không bị đổi thành OR.</t>
        </is>
      </c>
      <c r="C827" s="57" t="n"/>
      <c r="D827" s="57" t="n"/>
      <c r="E827" s="57" t="n"/>
    </row>
    <row r="828" ht="44" customHeight="1">
      <c r="A828" s="47" t="inlineStr">
        <is>
          <t>Reset</t>
        </is>
      </c>
      <c r="B828" s="56" t="inlineStr">
        <is>
          <t>Trước mỗi biến thể, dựng lại điều kiện/dữ liệu đầu của case bằng đường được phép; giữ các reset/fixture độc lập đã nêu trong thủ tục.</t>
        </is>
      </c>
      <c r="C828" s="57" t="n"/>
      <c r="D828" s="57" t="n"/>
      <c r="E828" s="57" t="n"/>
    </row>
    <row r="829" ht="30" customHeight="1">
      <c r="A829" s="58" t="inlineStr">
        <is>
          <t>Kết quả mong đợi</t>
        </is>
      </c>
      <c r="B829" s="59" t="n"/>
      <c r="C829" s="59" t="n"/>
      <c r="D829" s="59" t="n"/>
      <c r="E829" s="59" t="n"/>
    </row>
    <row r="830" ht="44" customHeight="1">
      <c r="A830" s="47" t="inlineStr">
        <is>
          <t>1.</t>
        </is>
      </c>
      <c r="B830" s="56" t="inlineStr">
        <is>
          <t>Biến thể A: P9/P12/P13/P16 không thỏa; P10/P11/P14/P15 thỏa [50≤A&lt;70]; với [T=70], chỉ học sinh positive có [S=60] bị Đỏ. Mỗi kết quả chỉ hợp lệ khi source identity/reader evidence khớp TD-SRC tương ứng.</t>
        </is>
      </c>
      <c r="C830" s="57" t="n"/>
      <c r="D830" s="57" t="n"/>
      <c r="E830" s="57" t="n"/>
    </row>
    <row r="831" ht="44" customHeight="1">
      <c r="A831" s="47" t="inlineStr">
        <is>
          <t>2.</t>
        </is>
      </c>
      <c r="B831" s="56" t="inlineStr">
        <is>
          <t>Biến thể R: [R=60%] → thỏa, P1 Đỏ; [R=49.9%] và [R=70%] → Không áp dụng; không tự tính lại R nếu chưa có source fixture quan sát được.</t>
        </is>
      </c>
      <c r="C831" s="57" t="n"/>
      <c r="D831" s="57" t="n"/>
      <c r="E831" s="57" t="n"/>
    </row>
    <row r="832" ht="44" customHeight="1">
      <c r="A832" s="47" t="inlineStr">
        <is>
          <t>3.</t>
        </is>
      </c>
      <c r="B832" s="56" t="inlineStr">
        <is>
          <t>Biến thể A+R: [A=60,R=60%] → thỏa, P1 Đỏ; [A=40,R=60%] và [A=60,R=40%] → Không áp dụng. P1 chỉ được xét khi cả điều kiện đúng.</t>
        </is>
      </c>
      <c r="C832" s="57" t="n"/>
      <c r="D832" s="57" t="n"/>
      <c r="E832" s="57" t="n"/>
    </row>
    <row r="833" ht="61" customHeight="1">
      <c r="A833" s="47" t="inlineStr">
        <is>
          <t>4.</t>
        </is>
      </c>
      <c r="B833" s="56" t="inlineStr">
        <is>
          <t>Với cả ba lượt đã xác nhận reader [A=60], [R=60%], [S=60]: FILTER-POS khớp tất cả điều kiện nên Đỏ ([60&lt;70]); FILTER-GRADE-NEG chỉ sai khối và FILTER-GROUP-NEG chỉ sai nhóm nên đều Không áp dụng, không có dấu đỏ. OR chỉ áp dụng trong cùng loại (Khối 1 hoặc 2); nhóm Nâng cao là điều kiện loại khác nên phải AND.</t>
        </is>
      </c>
      <c r="C833" s="57" t="n"/>
      <c r="D833" s="57" t="n"/>
      <c r="E833" s="57" t="n"/>
    </row>
    <row r="834" ht="95" customHeight="1">
      <c r="A834" s="47" t="inlineStr">
        <is>
          <t>5.</t>
        </is>
      </c>
      <c r="B834" s="56" t="inlineStr">
        <is>
          <t>P17-A-NAN, P19-A-INFINITY và P18-A-EMPTY đều Chưa xét được, không xuống rule thấp hơn dù [S=25&lt;T=30], và không giữ kết quả đỏ cũ. P18-S-EMPTY có A hợp lệ nhưng điểm học sinh trống nên Không có điểm. Bằng chứng phải cho thấy source A, S và trạng thái kết quả riêng; không thay Chưa xét được bằng Không áp dụng. Không diễn giải A+R thành OR, không ghép hai rule riêng bằng AND. Nếu không dựng được giá trị qua reader/UI, biến thể tương ứng BLOCKED/NEEDS_EVIDENCE nhưng giữ oracle trên.</t>
        </is>
      </c>
      <c r="C834" s="57" t="n"/>
      <c r="D834" s="57" t="n"/>
      <c r="E834" s="57" t="n"/>
    </row>
    <row r="835" ht="44" customHeight="1">
      <c r="A835" s="47" t="inlineStr">
        <is>
          <t>Giữ nguyên</t>
        </is>
      </c>
      <c r="B835" s="56" t="inlineStr">
        <is>
          <t>• Giữ điểm, cấu hình và đối tượng không đích theo expected;
• Chỉ thay phần thủ tục yêu cầu, không tự đổi oracle hoặc mở rộng phạm vi.</t>
        </is>
      </c>
      <c r="C835" s="57" t="n"/>
      <c r="D835" s="57" t="n"/>
      <c r="E835" s="57" t="n"/>
    </row>
    <row r="836" ht="61" customHeight="1">
      <c r="A836" s="47" t="inlineStr">
        <is>
          <t>Quan sát tại</t>
        </is>
      </c>
      <c r="B836" s="56" t="inlineStr">
        <is>
          <t>• Dùng trích xuất không lọc để thấy cả ô đối chứng. Trạng thái không có dấu đỏ cần đọc thêm trạng thái lưu;
• Output Excel/PDF dùng file thật.</t>
        </is>
      </c>
      <c r="C836" s="57" t="n"/>
      <c r="D836" s="57" t="n"/>
      <c r="E836" s="57" t="n"/>
    </row>
    <row r="837" ht="30" customHeight="1">
      <c r="A837" s="58" t="inlineStr">
        <is>
          <t>Kết quả thực tế</t>
        </is>
      </c>
      <c r="B837" s="59" t="n"/>
      <c r="C837" s="59" t="n"/>
      <c r="D837" s="59" t="n"/>
      <c r="E837" s="59" t="n"/>
    </row>
    <row r="838" ht="30" customHeight="1">
      <c r="A838" s="60" t="inlineStr">
        <is>
          <t>TC-RS-BR-041 / A-P9</t>
        </is>
      </c>
      <c r="B838" s="36" t="n"/>
      <c r="C838" s="36" t="n"/>
      <c r="D838" s="36" t="n"/>
      <c r="E838" s="36" t="n"/>
    </row>
    <row r="839" ht="30" customHeight="1">
      <c r="A839" s="47" t="inlineStr">
        <is>
          <t>Dữ liệu biến thể</t>
        </is>
      </c>
      <c r="B839" s="56" t="inlineStr">
        <is>
          <t>Nhánh A-P9 trong thủ tục và Expected của case; thực hiện các bước chuẩn bị chung trước nhánh</t>
        </is>
      </c>
      <c r="C839" s="57" t="n"/>
      <c r="D839" s="57" t="n"/>
      <c r="E839" s="57" t="n"/>
    </row>
    <row r="840" ht="30" customHeight="1">
      <c r="A840" s="47" t="inlineStr">
        <is>
          <t>Trạng thái</t>
        </is>
      </c>
      <c r="B840" s="61" t="inlineStr">
        <is>
          <t>Chưa thực hiện</t>
        </is>
      </c>
      <c r="C840" s="57" t="n"/>
      <c r="D840" s="57" t="n"/>
      <c r="E840" s="57" t="n"/>
    </row>
    <row r="841" ht="30" customHeight="1">
      <c r="A841" s="62" t="inlineStr">
        <is>
          <t>Kết quả thực tế</t>
        </is>
      </c>
    </row>
    <row r="842" ht="64" customHeight="1">
      <c r="A842" s="63" t="inlineStr"/>
      <c r="B842" s="64" t="n"/>
      <c r="C842" s="64" t="n"/>
      <c r="D842" s="64" t="n"/>
      <c r="E842" s="65" t="n"/>
    </row>
    <row r="843" ht="30" customHeight="1">
      <c r="A843" s="62" t="inlineStr">
        <is>
          <t>Ảnh minh chứng</t>
        </is>
      </c>
    </row>
    <row r="844" ht="90" customHeight="1">
      <c r="A844" s="63" t="inlineStr"/>
      <c r="B844" s="64" t="n"/>
      <c r="C844" s="64" t="n"/>
      <c r="D844" s="64" t="n"/>
      <c r="E844" s="65" t="n"/>
    </row>
    <row r="845" ht="12" customHeight="1">
      <c r="A845" s="66" t="inlineStr"/>
    </row>
    <row r="846" ht="30" customHeight="1">
      <c r="A846" s="60" t="inlineStr">
        <is>
          <t>TC-RS-BR-041 / A-P10</t>
        </is>
      </c>
      <c r="B846" s="36" t="n"/>
      <c r="C846" s="36" t="n"/>
      <c r="D846" s="36" t="n"/>
      <c r="E846" s="36" t="n"/>
    </row>
    <row r="847" ht="30" customHeight="1">
      <c r="A847" s="47" t="inlineStr">
        <is>
          <t>Dữ liệu biến thể</t>
        </is>
      </c>
      <c r="B847" s="56" t="inlineStr">
        <is>
          <t>Nhánh A-P10 trong thủ tục và Expected của case; thực hiện các bước chuẩn bị chung trước nhánh</t>
        </is>
      </c>
      <c r="C847" s="57" t="n"/>
      <c r="D847" s="57" t="n"/>
      <c r="E847" s="57" t="n"/>
    </row>
    <row r="848" ht="30" customHeight="1">
      <c r="A848" s="47" t="inlineStr">
        <is>
          <t>Trạng thái</t>
        </is>
      </c>
      <c r="B848" s="61" t="inlineStr">
        <is>
          <t>Chưa thực hiện</t>
        </is>
      </c>
      <c r="C848" s="57" t="n"/>
      <c r="D848" s="57" t="n"/>
      <c r="E848" s="57" t="n"/>
    </row>
    <row r="849" ht="30" customHeight="1">
      <c r="A849" s="62" t="inlineStr">
        <is>
          <t>Kết quả thực tế</t>
        </is>
      </c>
    </row>
    <row r="850" ht="64" customHeight="1">
      <c r="A850" s="63" t="inlineStr"/>
      <c r="B850" s="64" t="n"/>
      <c r="C850" s="64" t="n"/>
      <c r="D850" s="64" t="n"/>
      <c r="E850" s="65" t="n"/>
    </row>
    <row r="851" ht="30" customHeight="1">
      <c r="A851" s="62" t="inlineStr">
        <is>
          <t>Ảnh minh chứng</t>
        </is>
      </c>
    </row>
    <row r="852" ht="90" customHeight="1">
      <c r="A852" s="63" t="inlineStr"/>
      <c r="B852" s="64" t="n"/>
      <c r="C852" s="64" t="n"/>
      <c r="D852" s="64" t="n"/>
      <c r="E852" s="65" t="n"/>
    </row>
    <row r="853" ht="12" customHeight="1">
      <c r="A853" s="66" t="inlineStr"/>
    </row>
    <row r="854" ht="30" customHeight="1">
      <c r="A854" s="60" t="inlineStr">
        <is>
          <t>TC-RS-BR-041 / A-P11</t>
        </is>
      </c>
      <c r="B854" s="36" t="n"/>
      <c r="C854" s="36" t="n"/>
      <c r="D854" s="36" t="n"/>
      <c r="E854" s="36" t="n"/>
    </row>
    <row r="855" ht="30" customHeight="1">
      <c r="A855" s="47" t="inlineStr">
        <is>
          <t>Dữ liệu biến thể</t>
        </is>
      </c>
      <c r="B855" s="56" t="inlineStr">
        <is>
          <t>Nhánh A-P11 trong thủ tục và Expected của case; thực hiện các bước chuẩn bị chung trước nhánh</t>
        </is>
      </c>
      <c r="C855" s="57" t="n"/>
      <c r="D855" s="57" t="n"/>
      <c r="E855" s="57" t="n"/>
    </row>
    <row r="856" ht="30" customHeight="1">
      <c r="A856" s="47" t="inlineStr">
        <is>
          <t>Trạng thái</t>
        </is>
      </c>
      <c r="B856" s="61" t="inlineStr">
        <is>
          <t>Chưa thực hiện</t>
        </is>
      </c>
      <c r="C856" s="57" t="n"/>
      <c r="D856" s="57" t="n"/>
      <c r="E856" s="57" t="n"/>
    </row>
    <row r="857" ht="30" customHeight="1">
      <c r="A857" s="62" t="inlineStr">
        <is>
          <t>Kết quả thực tế</t>
        </is>
      </c>
    </row>
    <row r="858" ht="64" customHeight="1">
      <c r="A858" s="63" t="inlineStr"/>
      <c r="B858" s="64" t="n"/>
      <c r="C858" s="64" t="n"/>
      <c r="D858" s="64" t="n"/>
      <c r="E858" s="65" t="n"/>
    </row>
    <row r="859" ht="30" customHeight="1">
      <c r="A859" s="62" t="inlineStr">
        <is>
          <t>Ảnh minh chứng</t>
        </is>
      </c>
    </row>
    <row r="860" ht="90" customHeight="1">
      <c r="A860" s="63" t="inlineStr"/>
      <c r="B860" s="64" t="n"/>
      <c r="C860" s="64" t="n"/>
      <c r="D860" s="64" t="n"/>
      <c r="E860" s="65" t="n"/>
    </row>
    <row r="861" ht="12" customHeight="1">
      <c r="A861" s="66" t="inlineStr"/>
    </row>
    <row r="862" ht="30" customHeight="1">
      <c r="A862" s="60" t="inlineStr">
        <is>
          <t>TC-RS-BR-041 / A-P12</t>
        </is>
      </c>
      <c r="B862" s="36" t="n"/>
      <c r="C862" s="36" t="n"/>
      <c r="D862" s="36" t="n"/>
      <c r="E862" s="36" t="n"/>
    </row>
    <row r="863" ht="30" customHeight="1">
      <c r="A863" s="47" t="inlineStr">
        <is>
          <t>Dữ liệu biến thể</t>
        </is>
      </c>
      <c r="B863" s="56" t="inlineStr">
        <is>
          <t>Nhánh A-P12 trong thủ tục và Expected của case; thực hiện các bước chuẩn bị chung trước nhánh</t>
        </is>
      </c>
      <c r="C863" s="57" t="n"/>
      <c r="D863" s="57" t="n"/>
      <c r="E863" s="57" t="n"/>
    </row>
    <row r="864" ht="30" customHeight="1">
      <c r="A864" s="47" t="inlineStr">
        <is>
          <t>Trạng thái</t>
        </is>
      </c>
      <c r="B864" s="61" t="inlineStr">
        <is>
          <t>Chưa thực hiện</t>
        </is>
      </c>
      <c r="C864" s="57" t="n"/>
      <c r="D864" s="57" t="n"/>
      <c r="E864" s="57" t="n"/>
    </row>
    <row r="865" ht="30" customHeight="1">
      <c r="A865" s="62" t="inlineStr">
        <is>
          <t>Kết quả thực tế</t>
        </is>
      </c>
    </row>
    <row r="866" ht="64" customHeight="1">
      <c r="A866" s="63" t="inlineStr"/>
      <c r="B866" s="64" t="n"/>
      <c r="C866" s="64" t="n"/>
      <c r="D866" s="64" t="n"/>
      <c r="E866" s="65" t="n"/>
    </row>
    <row r="867" ht="30" customHeight="1">
      <c r="A867" s="62" t="inlineStr">
        <is>
          <t>Ảnh minh chứng</t>
        </is>
      </c>
    </row>
    <row r="868" ht="90" customHeight="1">
      <c r="A868" s="63" t="inlineStr"/>
      <c r="B868" s="64" t="n"/>
      <c r="C868" s="64" t="n"/>
      <c r="D868" s="64" t="n"/>
      <c r="E868" s="65" t="n"/>
    </row>
    <row r="869" ht="12" customHeight="1">
      <c r="A869" s="66" t="inlineStr"/>
    </row>
    <row r="870" ht="30" customHeight="1">
      <c r="A870" s="60" t="inlineStr">
        <is>
          <t>TC-RS-BR-041 / A-P13</t>
        </is>
      </c>
      <c r="B870" s="36" t="n"/>
      <c r="C870" s="36" t="n"/>
      <c r="D870" s="36" t="n"/>
      <c r="E870" s="36" t="n"/>
    </row>
    <row r="871" ht="30" customHeight="1">
      <c r="A871" s="47" t="inlineStr">
        <is>
          <t>Dữ liệu biến thể</t>
        </is>
      </c>
      <c r="B871" s="56" t="inlineStr">
        <is>
          <t>Nhánh A-P13 trong thủ tục và Expected của case; thực hiện các bước chuẩn bị chung trước nhánh</t>
        </is>
      </c>
      <c r="C871" s="57" t="n"/>
      <c r="D871" s="57" t="n"/>
      <c r="E871" s="57" t="n"/>
    </row>
    <row r="872" ht="30" customHeight="1">
      <c r="A872" s="47" t="inlineStr">
        <is>
          <t>Trạng thái</t>
        </is>
      </c>
      <c r="B872" s="61" t="inlineStr">
        <is>
          <t>Chưa thực hiện</t>
        </is>
      </c>
      <c r="C872" s="57" t="n"/>
      <c r="D872" s="57" t="n"/>
      <c r="E872" s="57" t="n"/>
    </row>
    <row r="873" ht="30" customHeight="1">
      <c r="A873" s="62" t="inlineStr">
        <is>
          <t>Kết quả thực tế</t>
        </is>
      </c>
    </row>
    <row r="874" ht="64" customHeight="1">
      <c r="A874" s="63" t="inlineStr"/>
      <c r="B874" s="64" t="n"/>
      <c r="C874" s="64" t="n"/>
      <c r="D874" s="64" t="n"/>
      <c r="E874" s="65" t="n"/>
    </row>
    <row r="875" ht="30" customHeight="1">
      <c r="A875" s="62" t="inlineStr">
        <is>
          <t>Ảnh minh chứng</t>
        </is>
      </c>
    </row>
    <row r="876" ht="90" customHeight="1">
      <c r="A876" s="63" t="inlineStr"/>
      <c r="B876" s="64" t="n"/>
      <c r="C876" s="64" t="n"/>
      <c r="D876" s="64" t="n"/>
      <c r="E876" s="65" t="n"/>
    </row>
    <row r="877" ht="12" customHeight="1">
      <c r="A877" s="66" t="inlineStr"/>
    </row>
    <row r="878" ht="30" customHeight="1">
      <c r="A878" s="60" t="inlineStr">
        <is>
          <t>TC-RS-BR-041 / A-P14</t>
        </is>
      </c>
      <c r="B878" s="36" t="n"/>
      <c r="C878" s="36" t="n"/>
      <c r="D878" s="36" t="n"/>
      <c r="E878" s="36" t="n"/>
    </row>
    <row r="879" ht="30" customHeight="1">
      <c r="A879" s="47" t="inlineStr">
        <is>
          <t>Dữ liệu biến thể</t>
        </is>
      </c>
      <c r="B879" s="56" t="inlineStr">
        <is>
          <t>Nhánh A-P14 trong thủ tục và Expected của case; thực hiện các bước chuẩn bị chung trước nhánh</t>
        </is>
      </c>
      <c r="C879" s="57" t="n"/>
      <c r="D879" s="57" t="n"/>
      <c r="E879" s="57" t="n"/>
    </row>
    <row r="880" ht="30" customHeight="1">
      <c r="A880" s="47" t="inlineStr">
        <is>
          <t>Trạng thái</t>
        </is>
      </c>
      <c r="B880" s="61" t="inlineStr">
        <is>
          <t>Chưa thực hiện</t>
        </is>
      </c>
      <c r="C880" s="57" t="n"/>
      <c r="D880" s="57" t="n"/>
      <c r="E880" s="57" t="n"/>
    </row>
    <row r="881" ht="30" customHeight="1">
      <c r="A881" s="62" t="inlineStr">
        <is>
          <t>Kết quả thực tế</t>
        </is>
      </c>
    </row>
    <row r="882" ht="64" customHeight="1">
      <c r="A882" s="63" t="inlineStr"/>
      <c r="B882" s="64" t="n"/>
      <c r="C882" s="64" t="n"/>
      <c r="D882" s="64" t="n"/>
      <c r="E882" s="65" t="n"/>
    </row>
    <row r="883" ht="30" customHeight="1">
      <c r="A883" s="62" t="inlineStr">
        <is>
          <t>Ảnh minh chứng</t>
        </is>
      </c>
    </row>
    <row r="884" ht="90" customHeight="1">
      <c r="A884" s="63" t="inlineStr"/>
      <c r="B884" s="64" t="n"/>
      <c r="C884" s="64" t="n"/>
      <c r="D884" s="64" t="n"/>
      <c r="E884" s="65" t="n"/>
    </row>
    <row r="885" ht="12" customHeight="1">
      <c r="A885" s="66" t="inlineStr"/>
    </row>
    <row r="886" ht="30" customHeight="1">
      <c r="A886" s="60" t="inlineStr">
        <is>
          <t>TC-RS-BR-041 / A-P15</t>
        </is>
      </c>
      <c r="B886" s="36" t="n"/>
      <c r="C886" s="36" t="n"/>
      <c r="D886" s="36" t="n"/>
      <c r="E886" s="36" t="n"/>
    </row>
    <row r="887" ht="30" customHeight="1">
      <c r="A887" s="47" t="inlineStr">
        <is>
          <t>Dữ liệu biến thể</t>
        </is>
      </c>
      <c r="B887" s="56" t="inlineStr">
        <is>
          <t>Nhánh A-P15 trong thủ tục và Expected của case; thực hiện các bước chuẩn bị chung trước nhánh</t>
        </is>
      </c>
      <c r="C887" s="57" t="n"/>
      <c r="D887" s="57" t="n"/>
      <c r="E887" s="57" t="n"/>
    </row>
    <row r="888" ht="30" customHeight="1">
      <c r="A888" s="47" t="inlineStr">
        <is>
          <t>Trạng thái</t>
        </is>
      </c>
      <c r="B888" s="61" t="inlineStr">
        <is>
          <t>Chưa thực hiện</t>
        </is>
      </c>
      <c r="C888" s="57" t="n"/>
      <c r="D888" s="57" t="n"/>
      <c r="E888" s="57" t="n"/>
    </row>
    <row r="889" ht="30" customHeight="1">
      <c r="A889" s="62" t="inlineStr">
        <is>
          <t>Kết quả thực tế</t>
        </is>
      </c>
    </row>
    <row r="890" ht="64" customHeight="1">
      <c r="A890" s="63" t="inlineStr"/>
      <c r="B890" s="64" t="n"/>
      <c r="C890" s="64" t="n"/>
      <c r="D890" s="64" t="n"/>
      <c r="E890" s="65" t="n"/>
    </row>
    <row r="891" ht="30" customHeight="1">
      <c r="A891" s="62" t="inlineStr">
        <is>
          <t>Ảnh minh chứng</t>
        </is>
      </c>
    </row>
    <row r="892" ht="90" customHeight="1">
      <c r="A892" s="63" t="inlineStr"/>
      <c r="B892" s="64" t="n"/>
      <c r="C892" s="64" t="n"/>
      <c r="D892" s="64" t="n"/>
      <c r="E892" s="65" t="n"/>
    </row>
    <row r="893" ht="12" customHeight="1">
      <c r="A893" s="66" t="inlineStr"/>
    </row>
    <row r="894" ht="30" customHeight="1">
      <c r="A894" s="60" t="inlineStr">
        <is>
          <t>TC-RS-BR-041 / A-P16</t>
        </is>
      </c>
      <c r="B894" s="36" t="n"/>
      <c r="C894" s="36" t="n"/>
      <c r="D894" s="36" t="n"/>
      <c r="E894" s="36" t="n"/>
    </row>
    <row r="895" ht="30" customHeight="1">
      <c r="A895" s="47" t="inlineStr">
        <is>
          <t>Dữ liệu biến thể</t>
        </is>
      </c>
      <c r="B895" s="56" t="inlineStr">
        <is>
          <t>Nhánh A-P16 trong thủ tục và Expected của case; thực hiện các bước chuẩn bị chung trước nhánh</t>
        </is>
      </c>
      <c r="C895" s="57" t="n"/>
      <c r="D895" s="57" t="n"/>
      <c r="E895" s="57" t="n"/>
    </row>
    <row r="896" ht="30" customHeight="1">
      <c r="A896" s="47" t="inlineStr">
        <is>
          <t>Trạng thái</t>
        </is>
      </c>
      <c r="B896" s="61" t="inlineStr">
        <is>
          <t>Chưa thực hiện</t>
        </is>
      </c>
      <c r="C896" s="57" t="n"/>
      <c r="D896" s="57" t="n"/>
      <c r="E896" s="57" t="n"/>
    </row>
    <row r="897" ht="30" customHeight="1">
      <c r="A897" s="62" t="inlineStr">
        <is>
          <t>Kết quả thực tế</t>
        </is>
      </c>
    </row>
    <row r="898" ht="64" customHeight="1">
      <c r="A898" s="63" t="inlineStr"/>
      <c r="B898" s="64" t="n"/>
      <c r="C898" s="64" t="n"/>
      <c r="D898" s="64" t="n"/>
      <c r="E898" s="65" t="n"/>
    </row>
    <row r="899" ht="30" customHeight="1">
      <c r="A899" s="62" t="inlineStr">
        <is>
          <t>Ảnh minh chứng</t>
        </is>
      </c>
    </row>
    <row r="900" ht="90" customHeight="1">
      <c r="A900" s="63" t="inlineStr"/>
      <c r="B900" s="64" t="n"/>
      <c r="C900" s="64" t="n"/>
      <c r="D900" s="64" t="n"/>
      <c r="E900" s="65" t="n"/>
    </row>
    <row r="901" ht="12" customHeight="1">
      <c r="A901" s="66" t="inlineStr"/>
    </row>
    <row r="902" ht="30" customHeight="1">
      <c r="A902" s="60" t="inlineStr">
        <is>
          <t>TC-RS-BR-041 / RR-60</t>
        </is>
      </c>
      <c r="B902" s="36" t="n"/>
      <c r="C902" s="36" t="n"/>
      <c r="D902" s="36" t="n"/>
      <c r="E902" s="36" t="n"/>
    </row>
    <row r="903" ht="30" customHeight="1">
      <c r="A903" s="47" t="inlineStr">
        <is>
          <t>Dữ liệu biến thể</t>
        </is>
      </c>
      <c r="B903" s="56" t="inlineStr">
        <is>
          <t>Nhánh RR-60 trong thủ tục và Expected của case; thực hiện các bước chuẩn bị chung trước nhánh</t>
        </is>
      </c>
      <c r="C903" s="57" t="n"/>
      <c r="D903" s="57" t="n"/>
      <c r="E903" s="57" t="n"/>
    </row>
    <row r="904" ht="30" customHeight="1">
      <c r="A904" s="47" t="inlineStr">
        <is>
          <t>Trạng thái</t>
        </is>
      </c>
      <c r="B904" s="61" t="inlineStr">
        <is>
          <t>Chưa thực hiện</t>
        </is>
      </c>
      <c r="C904" s="57" t="n"/>
      <c r="D904" s="57" t="n"/>
      <c r="E904" s="57" t="n"/>
    </row>
    <row r="905" ht="30" customHeight="1">
      <c r="A905" s="62" t="inlineStr">
        <is>
          <t>Kết quả thực tế</t>
        </is>
      </c>
    </row>
    <row r="906" ht="64" customHeight="1">
      <c r="A906" s="63" t="inlineStr"/>
      <c r="B906" s="64" t="n"/>
      <c r="C906" s="64" t="n"/>
      <c r="D906" s="64" t="n"/>
      <c r="E906" s="65" t="n"/>
    </row>
    <row r="907" ht="30" customHeight="1">
      <c r="A907" s="62" t="inlineStr">
        <is>
          <t>Ảnh minh chứng</t>
        </is>
      </c>
    </row>
    <row r="908" ht="90" customHeight="1">
      <c r="A908" s="63" t="inlineStr"/>
      <c r="B908" s="64" t="n"/>
      <c r="C908" s="64" t="n"/>
      <c r="D908" s="64" t="n"/>
      <c r="E908" s="65" t="n"/>
    </row>
    <row r="909" ht="12" customHeight="1">
      <c r="A909" s="66" t="inlineStr"/>
    </row>
    <row r="910" ht="30" customHeight="1">
      <c r="A910" s="60" t="inlineStr">
        <is>
          <t>TC-RS-BR-041 / RR-49.9</t>
        </is>
      </c>
      <c r="B910" s="36" t="n"/>
      <c r="C910" s="36" t="n"/>
      <c r="D910" s="36" t="n"/>
      <c r="E910" s="36" t="n"/>
    </row>
    <row r="911" ht="30" customHeight="1">
      <c r="A911" s="47" t="inlineStr">
        <is>
          <t>Dữ liệu biến thể</t>
        </is>
      </c>
      <c r="B911" s="56" t="inlineStr">
        <is>
          <t>Nhánh RR-49.9 trong thủ tục và Expected của case; thực hiện các bước chuẩn bị chung trước nhánh</t>
        </is>
      </c>
      <c r="C911" s="57" t="n"/>
      <c r="D911" s="57" t="n"/>
      <c r="E911" s="57" t="n"/>
    </row>
    <row r="912" ht="30" customHeight="1">
      <c r="A912" s="47" t="inlineStr">
        <is>
          <t>Trạng thái</t>
        </is>
      </c>
      <c r="B912" s="61" t="inlineStr">
        <is>
          <t>Chưa thực hiện</t>
        </is>
      </c>
      <c r="C912" s="57" t="n"/>
      <c r="D912" s="57" t="n"/>
      <c r="E912" s="57" t="n"/>
    </row>
    <row r="913" ht="30" customHeight="1">
      <c r="A913" s="62" t="inlineStr">
        <is>
          <t>Kết quả thực tế</t>
        </is>
      </c>
    </row>
    <row r="914" ht="64" customHeight="1">
      <c r="A914" s="63" t="inlineStr"/>
      <c r="B914" s="64" t="n"/>
      <c r="C914" s="64" t="n"/>
      <c r="D914" s="64" t="n"/>
      <c r="E914" s="65" t="n"/>
    </row>
    <row r="915" ht="30" customHeight="1">
      <c r="A915" s="62" t="inlineStr">
        <is>
          <t>Ảnh minh chứng</t>
        </is>
      </c>
    </row>
    <row r="916" ht="90" customHeight="1">
      <c r="A916" s="63" t="inlineStr"/>
      <c r="B916" s="64" t="n"/>
      <c r="C916" s="64" t="n"/>
      <c r="D916" s="64" t="n"/>
      <c r="E916" s="65" t="n"/>
    </row>
    <row r="917" ht="12" customHeight="1">
      <c r="A917" s="66" t="inlineStr"/>
    </row>
    <row r="918" ht="30" customHeight="1">
      <c r="A918" s="60" t="inlineStr">
        <is>
          <t>TC-RS-BR-041 / RR-70</t>
        </is>
      </c>
      <c r="B918" s="36" t="n"/>
      <c r="C918" s="36" t="n"/>
      <c r="D918" s="36" t="n"/>
      <c r="E918" s="36" t="n"/>
    </row>
    <row r="919" ht="30" customHeight="1">
      <c r="A919" s="47" t="inlineStr">
        <is>
          <t>Dữ liệu biến thể</t>
        </is>
      </c>
      <c r="B919" s="56" t="inlineStr">
        <is>
          <t>Nhánh RR-70 trong thủ tục và Expected của case; thực hiện các bước chuẩn bị chung trước nhánh</t>
        </is>
      </c>
      <c r="C919" s="57" t="n"/>
      <c r="D919" s="57" t="n"/>
      <c r="E919" s="57" t="n"/>
    </row>
    <row r="920" ht="30" customHeight="1">
      <c r="A920" s="47" t="inlineStr">
        <is>
          <t>Trạng thái</t>
        </is>
      </c>
      <c r="B920" s="61" t="inlineStr">
        <is>
          <t>Chưa thực hiện</t>
        </is>
      </c>
      <c r="C920" s="57" t="n"/>
      <c r="D920" s="57" t="n"/>
      <c r="E920" s="57" t="n"/>
    </row>
    <row r="921" ht="30" customHeight="1">
      <c r="A921" s="62" t="inlineStr">
        <is>
          <t>Kết quả thực tế</t>
        </is>
      </c>
    </row>
    <row r="922" ht="64" customHeight="1">
      <c r="A922" s="63" t="inlineStr"/>
      <c r="B922" s="64" t="n"/>
      <c r="C922" s="64" t="n"/>
      <c r="D922" s="64" t="n"/>
      <c r="E922" s="65" t="n"/>
    </row>
    <row r="923" ht="30" customHeight="1">
      <c r="A923" s="62" t="inlineStr">
        <is>
          <t>Ảnh minh chứng</t>
        </is>
      </c>
    </row>
    <row r="924" ht="90" customHeight="1">
      <c r="A924" s="63" t="inlineStr"/>
      <c r="B924" s="64" t="n"/>
      <c r="C924" s="64" t="n"/>
      <c r="D924" s="64" t="n"/>
      <c r="E924" s="65" t="n"/>
    </row>
    <row r="925" ht="12" customHeight="1">
      <c r="A925" s="66" t="inlineStr"/>
    </row>
    <row r="926" ht="30" customHeight="1">
      <c r="A926" s="60" t="inlineStr">
        <is>
          <t>TC-RS-BR-041 / AR-60-60</t>
        </is>
      </c>
      <c r="B926" s="36" t="n"/>
      <c r="C926" s="36" t="n"/>
      <c r="D926" s="36" t="n"/>
      <c r="E926" s="36" t="n"/>
    </row>
    <row r="927" ht="30" customHeight="1">
      <c r="A927" s="47" t="inlineStr">
        <is>
          <t>Dữ liệu biến thể</t>
        </is>
      </c>
      <c r="B927" s="56" t="inlineStr">
        <is>
          <t>Nhánh AR-60-60 trong thủ tục và Expected của case; thực hiện các bước chuẩn bị chung trước nhánh</t>
        </is>
      </c>
      <c r="C927" s="57" t="n"/>
      <c r="D927" s="57" t="n"/>
      <c r="E927" s="57" t="n"/>
    </row>
    <row r="928" ht="30" customHeight="1">
      <c r="A928" s="47" t="inlineStr">
        <is>
          <t>Trạng thái</t>
        </is>
      </c>
      <c r="B928" s="61" t="inlineStr">
        <is>
          <t>Chưa thực hiện</t>
        </is>
      </c>
      <c r="C928" s="57" t="n"/>
      <c r="D928" s="57" t="n"/>
      <c r="E928" s="57" t="n"/>
    </row>
    <row r="929" ht="30" customHeight="1">
      <c r="A929" s="62" t="inlineStr">
        <is>
          <t>Kết quả thực tế</t>
        </is>
      </c>
    </row>
    <row r="930" ht="64" customHeight="1">
      <c r="A930" s="63" t="inlineStr"/>
      <c r="B930" s="64" t="n"/>
      <c r="C930" s="64" t="n"/>
      <c r="D930" s="64" t="n"/>
      <c r="E930" s="65" t="n"/>
    </row>
    <row r="931" ht="30" customHeight="1">
      <c r="A931" s="62" t="inlineStr">
        <is>
          <t>Ảnh minh chứng</t>
        </is>
      </c>
    </row>
    <row r="932" ht="90" customHeight="1">
      <c r="A932" s="63" t="inlineStr"/>
      <c r="B932" s="64" t="n"/>
      <c r="C932" s="64" t="n"/>
      <c r="D932" s="64" t="n"/>
      <c r="E932" s="65" t="n"/>
    </row>
    <row r="933" ht="12" customHeight="1">
      <c r="A933" s="66" t="inlineStr"/>
    </row>
    <row r="934" ht="30" customHeight="1">
      <c r="A934" s="60" t="inlineStr">
        <is>
          <t>TC-RS-BR-041 / AR-40-60</t>
        </is>
      </c>
      <c r="B934" s="36" t="n"/>
      <c r="C934" s="36" t="n"/>
      <c r="D934" s="36" t="n"/>
      <c r="E934" s="36" t="n"/>
    </row>
    <row r="935" ht="30" customHeight="1">
      <c r="A935" s="47" t="inlineStr">
        <is>
          <t>Dữ liệu biến thể</t>
        </is>
      </c>
      <c r="B935" s="56" t="inlineStr">
        <is>
          <t>Nhánh AR-40-60 trong thủ tục và Expected của case; thực hiện các bước chuẩn bị chung trước nhánh</t>
        </is>
      </c>
      <c r="C935" s="57" t="n"/>
      <c r="D935" s="57" t="n"/>
      <c r="E935" s="57" t="n"/>
    </row>
    <row r="936" ht="30" customHeight="1">
      <c r="A936" s="47" t="inlineStr">
        <is>
          <t>Trạng thái</t>
        </is>
      </c>
      <c r="B936" s="61" t="inlineStr">
        <is>
          <t>Chưa thực hiện</t>
        </is>
      </c>
      <c r="C936" s="57" t="n"/>
      <c r="D936" s="57" t="n"/>
      <c r="E936" s="57" t="n"/>
    </row>
    <row r="937" ht="30" customHeight="1">
      <c r="A937" s="62" t="inlineStr">
        <is>
          <t>Kết quả thực tế</t>
        </is>
      </c>
    </row>
    <row r="938" ht="64" customHeight="1">
      <c r="A938" s="63" t="inlineStr"/>
      <c r="B938" s="64" t="n"/>
      <c r="C938" s="64" t="n"/>
      <c r="D938" s="64" t="n"/>
      <c r="E938" s="65" t="n"/>
    </row>
    <row r="939" ht="30" customHeight="1">
      <c r="A939" s="62" t="inlineStr">
        <is>
          <t>Ảnh minh chứng</t>
        </is>
      </c>
    </row>
    <row r="940" ht="90" customHeight="1">
      <c r="A940" s="63" t="inlineStr"/>
      <c r="B940" s="64" t="n"/>
      <c r="C940" s="64" t="n"/>
      <c r="D940" s="64" t="n"/>
      <c r="E940" s="65" t="n"/>
    </row>
    <row r="941" ht="12" customHeight="1">
      <c r="A941" s="66" t="inlineStr"/>
    </row>
    <row r="942" ht="30" customHeight="1">
      <c r="A942" s="60" t="inlineStr">
        <is>
          <t>TC-RS-BR-041 / AR-60-40</t>
        </is>
      </c>
      <c r="B942" s="36" t="n"/>
      <c r="C942" s="36" t="n"/>
      <c r="D942" s="36" t="n"/>
      <c r="E942" s="36" t="n"/>
    </row>
    <row r="943" ht="30" customHeight="1">
      <c r="A943" s="47" t="inlineStr">
        <is>
          <t>Dữ liệu biến thể</t>
        </is>
      </c>
      <c r="B943" s="56" t="inlineStr">
        <is>
          <t>Nhánh AR-60-40 trong thủ tục và Expected của case; thực hiện các bước chuẩn bị chung trước nhánh</t>
        </is>
      </c>
      <c r="C943" s="57" t="n"/>
      <c r="D943" s="57" t="n"/>
      <c r="E943" s="57" t="n"/>
    </row>
    <row r="944" ht="30" customHeight="1">
      <c r="A944" s="47" t="inlineStr">
        <is>
          <t>Trạng thái</t>
        </is>
      </c>
      <c r="B944" s="61" t="inlineStr">
        <is>
          <t>Chưa thực hiện</t>
        </is>
      </c>
      <c r="C944" s="57" t="n"/>
      <c r="D944" s="57" t="n"/>
      <c r="E944" s="57" t="n"/>
    </row>
    <row r="945" ht="30" customHeight="1">
      <c r="A945" s="62" t="inlineStr">
        <is>
          <t>Kết quả thực tế</t>
        </is>
      </c>
    </row>
    <row r="946" ht="64" customHeight="1">
      <c r="A946" s="63" t="inlineStr"/>
      <c r="B946" s="64" t="n"/>
      <c r="C946" s="64" t="n"/>
      <c r="D946" s="64" t="n"/>
      <c r="E946" s="65" t="n"/>
    </row>
    <row r="947" ht="30" customHeight="1">
      <c r="A947" s="62" t="inlineStr">
        <is>
          <t>Ảnh minh chứng</t>
        </is>
      </c>
    </row>
    <row r="948" ht="90" customHeight="1">
      <c r="A948" s="63" t="inlineStr"/>
      <c r="B948" s="64" t="n"/>
      <c r="C948" s="64" t="n"/>
      <c r="D948" s="64" t="n"/>
      <c r="E948" s="65" t="n"/>
    </row>
    <row r="949" ht="12" customHeight="1">
      <c r="A949" s="66" t="inlineStr"/>
    </row>
    <row r="950" ht="30" customHeight="1">
      <c r="A950" s="60" t="inlineStr">
        <is>
          <t>TC-RS-BR-041 / FILTER-POS</t>
        </is>
      </c>
      <c r="B950" s="36" t="n"/>
      <c r="C950" s="36" t="n"/>
      <c r="D950" s="36" t="n"/>
      <c r="E950" s="36" t="n"/>
    </row>
    <row r="951" ht="30" customHeight="1">
      <c r="A951" s="47" t="inlineStr">
        <is>
          <t>Dữ liệu biến thể</t>
        </is>
      </c>
      <c r="B951" s="56" t="inlineStr">
        <is>
          <t>Nhánh FILTER-POS trong thủ tục và Expected của case; thực hiện các bước chuẩn bị chung trước nhánh</t>
        </is>
      </c>
      <c r="C951" s="57" t="n"/>
      <c r="D951" s="57" t="n"/>
      <c r="E951" s="57" t="n"/>
    </row>
    <row r="952" ht="30" customHeight="1">
      <c r="A952" s="47" t="inlineStr">
        <is>
          <t>Trạng thái</t>
        </is>
      </c>
      <c r="B952" s="61" t="inlineStr">
        <is>
          <t>Chưa thực hiện</t>
        </is>
      </c>
      <c r="C952" s="57" t="n"/>
      <c r="D952" s="57" t="n"/>
      <c r="E952" s="57" t="n"/>
    </row>
    <row r="953" ht="30" customHeight="1">
      <c r="A953" s="62" t="inlineStr">
        <is>
          <t>Kết quả thực tế</t>
        </is>
      </c>
    </row>
    <row r="954" ht="64" customHeight="1">
      <c r="A954" s="63" t="inlineStr"/>
      <c r="B954" s="64" t="n"/>
      <c r="C954" s="64" t="n"/>
      <c r="D954" s="64" t="n"/>
      <c r="E954" s="65" t="n"/>
    </row>
    <row r="955" ht="30" customHeight="1">
      <c r="A955" s="62" t="inlineStr">
        <is>
          <t>Ảnh minh chứng</t>
        </is>
      </c>
    </row>
    <row r="956" ht="90" customHeight="1">
      <c r="A956" s="63" t="inlineStr"/>
      <c r="B956" s="64" t="n"/>
      <c r="C956" s="64" t="n"/>
      <c r="D956" s="64" t="n"/>
      <c r="E956" s="65" t="n"/>
    </row>
    <row r="957" ht="12" customHeight="1">
      <c r="A957" s="66" t="inlineStr"/>
    </row>
    <row r="958" ht="30" customHeight="1">
      <c r="A958" s="60" t="inlineStr">
        <is>
          <t>TC-RS-BR-041 / FILTER-GRADE-NEG</t>
        </is>
      </c>
      <c r="B958" s="36" t="n"/>
      <c r="C958" s="36" t="n"/>
      <c r="D958" s="36" t="n"/>
      <c r="E958" s="36" t="n"/>
    </row>
    <row r="959" ht="30" customHeight="1">
      <c r="A959" s="47" t="inlineStr">
        <is>
          <t>Dữ liệu biến thể</t>
        </is>
      </c>
      <c r="B959" s="56" t="inlineStr">
        <is>
          <t>Nhánh FILTER-GRADE-NEG trong thủ tục và Expected của case; thực hiện các bước chuẩn bị chung trước nhánh</t>
        </is>
      </c>
      <c r="C959" s="57" t="n"/>
      <c r="D959" s="57" t="n"/>
      <c r="E959" s="57" t="n"/>
    </row>
    <row r="960" ht="30" customHeight="1">
      <c r="A960" s="47" t="inlineStr">
        <is>
          <t>Trạng thái</t>
        </is>
      </c>
      <c r="B960" s="61" t="inlineStr">
        <is>
          <t>Chưa thực hiện</t>
        </is>
      </c>
      <c r="C960" s="57" t="n"/>
      <c r="D960" s="57" t="n"/>
      <c r="E960" s="57" t="n"/>
    </row>
    <row r="961" ht="30" customHeight="1">
      <c r="A961" s="62" t="inlineStr">
        <is>
          <t>Kết quả thực tế</t>
        </is>
      </c>
    </row>
    <row r="962" ht="64" customHeight="1">
      <c r="A962" s="63" t="inlineStr"/>
      <c r="B962" s="64" t="n"/>
      <c r="C962" s="64" t="n"/>
      <c r="D962" s="64" t="n"/>
      <c r="E962" s="65" t="n"/>
    </row>
    <row r="963" ht="30" customHeight="1">
      <c r="A963" s="62" t="inlineStr">
        <is>
          <t>Ảnh minh chứng</t>
        </is>
      </c>
    </row>
    <row r="964" ht="90" customHeight="1">
      <c r="A964" s="63" t="inlineStr"/>
      <c r="B964" s="64" t="n"/>
      <c r="C964" s="64" t="n"/>
      <c r="D964" s="64" t="n"/>
      <c r="E964" s="65" t="n"/>
    </row>
    <row r="965" ht="12" customHeight="1">
      <c r="A965" s="66" t="inlineStr"/>
    </row>
    <row r="966" ht="30" customHeight="1">
      <c r="A966" s="60" t="inlineStr">
        <is>
          <t>TC-RS-BR-041 / FILTER-GROUP-NEG</t>
        </is>
      </c>
      <c r="B966" s="36" t="n"/>
      <c r="C966" s="36" t="n"/>
      <c r="D966" s="36" t="n"/>
      <c r="E966" s="36" t="n"/>
    </row>
    <row r="967" ht="30" customHeight="1">
      <c r="A967" s="47" t="inlineStr">
        <is>
          <t>Dữ liệu biến thể</t>
        </is>
      </c>
      <c r="B967" s="56" t="inlineStr">
        <is>
          <t>Nhánh FILTER-GROUP-NEG trong thủ tục và Expected của case; thực hiện các bước chuẩn bị chung trước nhánh</t>
        </is>
      </c>
      <c r="C967" s="57" t="n"/>
      <c r="D967" s="57" t="n"/>
      <c r="E967" s="57" t="n"/>
    </row>
    <row r="968" ht="30" customHeight="1">
      <c r="A968" s="47" t="inlineStr">
        <is>
          <t>Trạng thái</t>
        </is>
      </c>
      <c r="B968" s="61" t="inlineStr">
        <is>
          <t>Chưa thực hiện</t>
        </is>
      </c>
      <c r="C968" s="57" t="n"/>
      <c r="D968" s="57" t="n"/>
      <c r="E968" s="57" t="n"/>
    </row>
    <row r="969" ht="30" customHeight="1">
      <c r="A969" s="62" t="inlineStr">
        <is>
          <t>Kết quả thực tế</t>
        </is>
      </c>
    </row>
    <row r="970" ht="64" customHeight="1">
      <c r="A970" s="63" t="inlineStr"/>
      <c r="B970" s="64" t="n"/>
      <c r="C970" s="64" t="n"/>
      <c r="D970" s="64" t="n"/>
      <c r="E970" s="65" t="n"/>
    </row>
    <row r="971" ht="30" customHeight="1">
      <c r="A971" s="62" t="inlineStr">
        <is>
          <t>Ảnh minh chứng</t>
        </is>
      </c>
    </row>
    <row r="972" ht="90" customHeight="1">
      <c r="A972" s="63" t="inlineStr"/>
      <c r="B972" s="64" t="n"/>
      <c r="C972" s="64" t="n"/>
      <c r="D972" s="64" t="n"/>
      <c r="E972" s="65" t="n"/>
    </row>
    <row r="973" ht="12" customHeight="1">
      <c r="A973" s="66" t="inlineStr"/>
    </row>
    <row r="974" ht="30" customHeight="1">
      <c r="A974" s="60" t="inlineStr">
        <is>
          <t>TC-RS-BR-041 / P17-A-NAN</t>
        </is>
      </c>
      <c r="B974" s="36" t="n"/>
      <c r="C974" s="36" t="n"/>
      <c r="D974" s="36" t="n"/>
      <c r="E974" s="36" t="n"/>
    </row>
    <row r="975" ht="30" customHeight="1">
      <c r="A975" s="47" t="inlineStr">
        <is>
          <t>Dữ liệu biến thể</t>
        </is>
      </c>
      <c r="B975" s="56" t="inlineStr">
        <is>
          <t>Nhánh P17-A-NAN trong thủ tục và Expected của case; thực hiện các bước chuẩn bị chung trước nhánh</t>
        </is>
      </c>
      <c r="C975" s="57" t="n"/>
      <c r="D975" s="57" t="n"/>
      <c r="E975" s="57" t="n"/>
    </row>
    <row r="976" ht="30" customHeight="1">
      <c r="A976" s="47" t="inlineStr">
        <is>
          <t>Trạng thái</t>
        </is>
      </c>
      <c r="B976" s="61" t="inlineStr">
        <is>
          <t>Chưa thực hiện</t>
        </is>
      </c>
      <c r="C976" s="57" t="n"/>
      <c r="D976" s="57" t="n"/>
      <c r="E976" s="57" t="n"/>
    </row>
    <row r="977" ht="30" customHeight="1">
      <c r="A977" s="62" t="inlineStr">
        <is>
          <t>Kết quả thực tế</t>
        </is>
      </c>
    </row>
    <row r="978" ht="64" customHeight="1">
      <c r="A978" s="63" t="inlineStr"/>
      <c r="B978" s="64" t="n"/>
      <c r="C978" s="64" t="n"/>
      <c r="D978" s="64" t="n"/>
      <c r="E978" s="65" t="n"/>
    </row>
    <row r="979" ht="30" customHeight="1">
      <c r="A979" s="62" t="inlineStr">
        <is>
          <t>Ảnh minh chứng</t>
        </is>
      </c>
    </row>
    <row r="980" ht="90" customHeight="1">
      <c r="A980" s="63" t="inlineStr"/>
      <c r="B980" s="64" t="n"/>
      <c r="C980" s="64" t="n"/>
      <c r="D980" s="64" t="n"/>
      <c r="E980" s="65" t="n"/>
    </row>
    <row r="981" ht="12" customHeight="1">
      <c r="A981" s="66" t="inlineStr"/>
    </row>
    <row r="982" ht="30" customHeight="1">
      <c r="A982" s="60" t="inlineStr">
        <is>
          <t>TC-RS-BR-041 / P19-A-INFINITY</t>
        </is>
      </c>
      <c r="B982" s="36" t="n"/>
      <c r="C982" s="36" t="n"/>
      <c r="D982" s="36" t="n"/>
      <c r="E982" s="36" t="n"/>
    </row>
    <row r="983" ht="30" customHeight="1">
      <c r="A983" s="47" t="inlineStr">
        <is>
          <t>Dữ liệu biến thể</t>
        </is>
      </c>
      <c r="B983" s="56" t="inlineStr">
        <is>
          <t>Nhánh P19-A-INFINITY trong thủ tục và Expected của case; thực hiện các bước chuẩn bị chung trước nhánh</t>
        </is>
      </c>
      <c r="C983" s="57" t="n"/>
      <c r="D983" s="57" t="n"/>
      <c r="E983" s="57" t="n"/>
    </row>
    <row r="984" ht="30" customHeight="1">
      <c r="A984" s="47" t="inlineStr">
        <is>
          <t>Trạng thái</t>
        </is>
      </c>
      <c r="B984" s="61" t="inlineStr">
        <is>
          <t>Chưa thực hiện</t>
        </is>
      </c>
      <c r="C984" s="57" t="n"/>
      <c r="D984" s="57" t="n"/>
      <c r="E984" s="57" t="n"/>
    </row>
    <row r="985" ht="30" customHeight="1">
      <c r="A985" s="62" t="inlineStr">
        <is>
          <t>Kết quả thực tế</t>
        </is>
      </c>
    </row>
    <row r="986" ht="64" customHeight="1">
      <c r="A986" s="63" t="inlineStr"/>
      <c r="B986" s="64" t="n"/>
      <c r="C986" s="64" t="n"/>
      <c r="D986" s="64" t="n"/>
      <c r="E986" s="65" t="n"/>
    </row>
    <row r="987" ht="30" customHeight="1">
      <c r="A987" s="62" t="inlineStr">
        <is>
          <t>Ảnh minh chứng</t>
        </is>
      </c>
    </row>
    <row r="988" ht="90" customHeight="1">
      <c r="A988" s="63" t="inlineStr"/>
      <c r="B988" s="64" t="n"/>
      <c r="C988" s="64" t="n"/>
      <c r="D988" s="64" t="n"/>
      <c r="E988" s="65" t="n"/>
    </row>
    <row r="989" ht="12" customHeight="1">
      <c r="A989" s="66" t="inlineStr"/>
    </row>
    <row r="990" ht="30" customHeight="1">
      <c r="A990" s="60" t="inlineStr">
        <is>
          <t>TC-RS-BR-041 / P18-A-EMPTY</t>
        </is>
      </c>
      <c r="B990" s="36" t="n"/>
      <c r="C990" s="36" t="n"/>
      <c r="D990" s="36" t="n"/>
      <c r="E990" s="36" t="n"/>
    </row>
    <row r="991" ht="30" customHeight="1">
      <c r="A991" s="47" t="inlineStr">
        <is>
          <t>Dữ liệu biến thể</t>
        </is>
      </c>
      <c r="B991" s="56" t="inlineStr">
        <is>
          <t>Nhánh P18-A-EMPTY trong thủ tục và Expected của case; thực hiện các bước chuẩn bị chung trước nhánh</t>
        </is>
      </c>
      <c r="C991" s="57" t="n"/>
      <c r="D991" s="57" t="n"/>
      <c r="E991" s="57" t="n"/>
    </row>
    <row r="992" ht="30" customHeight="1">
      <c r="A992" s="47" t="inlineStr">
        <is>
          <t>Trạng thái</t>
        </is>
      </c>
      <c r="B992" s="61" t="inlineStr">
        <is>
          <t>Chưa thực hiện</t>
        </is>
      </c>
      <c r="C992" s="57" t="n"/>
      <c r="D992" s="57" t="n"/>
      <c r="E992" s="57" t="n"/>
    </row>
    <row r="993" ht="30" customHeight="1">
      <c r="A993" s="62" t="inlineStr">
        <is>
          <t>Kết quả thực tế</t>
        </is>
      </c>
    </row>
    <row r="994" ht="64" customHeight="1">
      <c r="A994" s="63" t="inlineStr"/>
      <c r="B994" s="64" t="n"/>
      <c r="C994" s="64" t="n"/>
      <c r="D994" s="64" t="n"/>
      <c r="E994" s="65" t="n"/>
    </row>
    <row r="995" ht="30" customHeight="1">
      <c r="A995" s="62" t="inlineStr">
        <is>
          <t>Ảnh minh chứng</t>
        </is>
      </c>
    </row>
    <row r="996" ht="90" customHeight="1">
      <c r="A996" s="63" t="inlineStr"/>
      <c r="B996" s="64" t="n"/>
      <c r="C996" s="64" t="n"/>
      <c r="D996" s="64" t="n"/>
      <c r="E996" s="65" t="n"/>
    </row>
    <row r="997" ht="12" customHeight="1">
      <c r="A997" s="66" t="inlineStr"/>
    </row>
    <row r="998" ht="30" customHeight="1">
      <c r="A998" s="60" t="inlineStr">
        <is>
          <t>TC-RS-BR-041 / P18-S-EMPTY</t>
        </is>
      </c>
      <c r="B998" s="36" t="n"/>
      <c r="C998" s="36" t="n"/>
      <c r="D998" s="36" t="n"/>
      <c r="E998" s="36" t="n"/>
    </row>
    <row r="999" ht="30" customHeight="1">
      <c r="A999" s="47" t="inlineStr">
        <is>
          <t>Dữ liệu biến thể</t>
        </is>
      </c>
      <c r="B999" s="56" t="inlineStr">
        <is>
          <t>Nhánh P18-S-EMPTY trong thủ tục và Expected của case; thực hiện các bước chuẩn bị chung trước nhánh</t>
        </is>
      </c>
      <c r="C999" s="57" t="n"/>
      <c r="D999" s="57" t="n"/>
      <c r="E999" s="57" t="n"/>
    </row>
    <row r="1000" ht="30" customHeight="1">
      <c r="A1000" s="47" t="inlineStr">
        <is>
          <t>Trạng thái</t>
        </is>
      </c>
      <c r="B1000" s="61" t="inlineStr">
        <is>
          <t>Chưa thực hiện</t>
        </is>
      </c>
      <c r="C1000" s="57" t="n"/>
      <c r="D1000" s="57" t="n"/>
      <c r="E1000" s="57" t="n"/>
    </row>
    <row r="1001" ht="30" customHeight="1">
      <c r="A1001" s="62" t="inlineStr">
        <is>
          <t>Kết quả thực tế</t>
        </is>
      </c>
    </row>
    <row r="1002" ht="64" customHeight="1">
      <c r="A1002" s="63" t="inlineStr"/>
      <c r="B1002" s="64" t="n"/>
      <c r="C1002" s="64" t="n"/>
      <c r="D1002" s="64" t="n"/>
      <c r="E1002" s="65" t="n"/>
    </row>
    <row r="1003" ht="30" customHeight="1">
      <c r="A1003" s="62" t="inlineStr">
        <is>
          <t>Ảnh minh chứng</t>
        </is>
      </c>
    </row>
    <row r="1004" ht="90" customHeight="1">
      <c r="A1004" s="63" t="inlineStr"/>
      <c r="B1004" s="64" t="n"/>
      <c r="C1004" s="64" t="n"/>
      <c r="D1004" s="64" t="n"/>
      <c r="E1004" s="65" t="n"/>
    </row>
    <row r="1005" ht="12" customHeight="1">
      <c r="A1005" s="66" t="inlineStr"/>
    </row>
    <row r="1006" ht="30" customHeight="1">
      <c r="A1006" s="60" t="inlineStr">
        <is>
          <t>TC-RS-BR-041 / reopen-summary</t>
        </is>
      </c>
      <c r="B1006" s="36" t="n"/>
      <c r="C1006" s="36" t="n"/>
      <c r="D1006" s="36" t="n"/>
      <c r="E1006" s="36" t="n"/>
    </row>
    <row r="1007" ht="44" customHeight="1">
      <c r="A1007" s="47" t="inlineStr">
        <is>
          <t>Dữ liệu biến thể</t>
        </is>
      </c>
      <c r="B1007" s="56" t="inlineStr">
        <is>
          <t>Bước 5 sau từng cấu hình ở bước 1–4, giữ source và phép AND khi mở lại; positive A+A đã nằm ở A-P10/P11/P14/P15, không tạo lượt AA-POS không có fixture riêng</t>
        </is>
      </c>
      <c r="C1007" s="57" t="n"/>
      <c r="D1007" s="57" t="n"/>
      <c r="E1007" s="57" t="n"/>
    </row>
    <row r="1008" ht="30" customHeight="1">
      <c r="A1008" s="47" t="inlineStr">
        <is>
          <t>Trạng thái</t>
        </is>
      </c>
      <c r="B1008" s="61" t="inlineStr">
        <is>
          <t>Chưa thực hiện</t>
        </is>
      </c>
      <c r="C1008" s="57" t="n"/>
      <c r="D1008" s="57" t="n"/>
      <c r="E1008" s="57" t="n"/>
    </row>
    <row r="1009" ht="30" customHeight="1">
      <c r="A1009" s="62" t="inlineStr">
        <is>
          <t>Kết quả thực tế</t>
        </is>
      </c>
    </row>
    <row r="1010" ht="64" customHeight="1">
      <c r="A1010" s="63" t="inlineStr"/>
      <c r="B1010" s="64" t="n"/>
      <c r="C1010" s="64" t="n"/>
      <c r="D1010" s="64" t="n"/>
      <c r="E1010" s="65" t="n"/>
    </row>
    <row r="1011" ht="30" customHeight="1">
      <c r="A1011" s="62" t="inlineStr">
        <is>
          <t>Ảnh minh chứng</t>
        </is>
      </c>
    </row>
    <row r="1012" ht="90" customHeight="1">
      <c r="A1012" s="63" t="inlineStr"/>
      <c r="B1012" s="64" t="n"/>
      <c r="C1012" s="64" t="n"/>
      <c r="D1012" s="64" t="n"/>
      <c r="E1012" s="65" t="n"/>
    </row>
    <row r="1013" ht="12" customHeight="1">
      <c r="A1013" s="66" t="inlineStr"/>
    </row>
    <row r="1014" ht="20" customHeight="1">
      <c r="A1014" s="66" t="inlineStr"/>
    </row>
    <row r="1015" ht="30" customHeight="1">
      <c r="A1015" s="46" t="inlineStr">
        <is>
          <t>TC-RS-BR-005 — Toàn bộ đối tượng（全員が対象） không vượt phạm vi mục, trường, năm</t>
        </is>
      </c>
      <c r="B1015" s="23" t="n"/>
      <c r="C1015" s="23" t="n"/>
      <c r="D1015" s="23" t="n"/>
      <c r="E1015" s="23" t="n"/>
    </row>
    <row r="1016" ht="30" customHeight="1">
      <c r="A1016" s="47" t="inlineStr">
        <is>
          <t>Trạng thái</t>
        </is>
      </c>
      <c r="B1016" s="61" t="inlineStr">
        <is>
          <t>Chưa thực hiện</t>
        </is>
      </c>
      <c r="C1016" s="57" t="n"/>
      <c r="D1016" s="57" t="n"/>
      <c r="E1016" s="57" t="n"/>
    </row>
    <row r="1017" ht="30" customHeight="1">
      <c r="A1017" s="47" t="inlineStr">
        <is>
          <t>Màn hình / chức năng</t>
        </is>
      </c>
      <c r="B1017" s="47" t="inlineStr">
        <is>
          <t>Điều kiện áp dụng（適用条件）</t>
        </is>
      </c>
      <c r="C1017" s="57" t="n"/>
      <c r="D1017" s="47" t="inlineStr">
        <is>
          <t>Đường dẫn</t>
        </is>
      </c>
      <c r="E1017" s="56" t="inlineStr">
        <is>
          <t>Chưa xác minh</t>
        </is>
      </c>
    </row>
    <row r="1018" ht="30" customHeight="1">
      <c r="A1018" s="58" t="inlineStr">
        <is>
          <t>Điều kiện kiểm thử</t>
        </is>
      </c>
      <c r="B1018" s="59" t="n"/>
      <c r="C1018" s="59" t="n"/>
      <c r="D1018" s="59" t="n"/>
      <c r="E1018" s="59" t="n"/>
    </row>
    <row r="1019" ht="44" customHeight="1">
      <c r="A1019" s="47" t="inlineStr">
        <is>
          <t>Cấu hình</t>
        </is>
      </c>
      <c r="B1019" s="56" t="inlineStr">
        <is>
          <t>• Mục số nguyên (M=100) có quy tắc “Cố định 30” (dưới 30) (Toàn bộ). Trường B (trường B (trường khác)) có học sinh điểm 10 ở mục tương tự. Mục mục số thập phân (M=100) (không có quy tắc) có S09=29.5.</t>
        </is>
      </c>
      <c r="C1019" s="57" t="n"/>
      <c r="D1019" s="57" t="n"/>
      <c r="E1019" s="57" t="n"/>
    </row>
    <row r="1020" ht="61" customHeight="1">
      <c r="A1020" s="47" t="inlineStr">
        <is>
          <t>Vai trò / quyền</t>
        </is>
      </c>
      <c r="B102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020" s="57" t="n"/>
      <c r="D1020" s="57" t="n"/>
      <c r="E1020" s="57" t="n"/>
    </row>
    <row r="1021" ht="44" customHeight="1">
      <c r="A1021" s="47" t="inlineStr">
        <is>
          <t>Dữ liệu test</t>
        </is>
      </c>
      <c r="B1021" s="56" t="inlineStr">
        <is>
          <t>• Mục số nguyên (M=100), mục số thập phân (M=100);
• Quy tắc “Cố định 30” (dưới 30), trường B (trường khác), học sinh S09 (mục số thập phân 29.5)</t>
        </is>
      </c>
      <c r="C1021" s="57" t="n"/>
      <c r="D1021" s="57" t="n"/>
      <c r="E1021" s="57" t="n"/>
    </row>
    <row r="1022" ht="30" customHeight="1">
      <c r="A1022" s="47" t="inlineStr">
        <is>
          <t>Trigger</t>
        </is>
      </c>
      <c r="B1022" s="56" t="inlineStr">
        <is>
          <t>• Chỉ xem/xuất không tự chạy xét.</t>
        </is>
      </c>
      <c r="C1022" s="57" t="n"/>
      <c r="D1022" s="57" t="n"/>
      <c r="E1022" s="57" t="n"/>
    </row>
    <row r="1023" ht="44" customHeight="1">
      <c r="A1023" s="47" t="inlineStr">
        <is>
          <t>Blocker</t>
        </is>
      </c>
      <c r="B1023" s="56" t="inlineStr">
        <is>
          <t>• G-PREP-UNASSESSED: Chưa có xác minh fixture, đường thực hiện và phép quan sát trên build của từng case chưa đánh giá.</t>
        </is>
      </c>
      <c r="C1023" s="57" t="n"/>
      <c r="D1023" s="57" t="n"/>
      <c r="E1023" s="57" t="n"/>
    </row>
    <row r="1024" ht="30" customHeight="1">
      <c r="A1024" s="58" t="inlineStr">
        <is>
          <t>Thao tác</t>
        </is>
      </c>
      <c r="B1024" s="59" t="n"/>
      <c r="C1024" s="59" t="n"/>
      <c r="D1024" s="59" t="n"/>
      <c r="E1024" s="59" t="n"/>
    </row>
    <row r="1025" ht="30" customHeight="1">
      <c r="A1025" s="47" t="inlineStr">
        <is>
          <t>Step 1</t>
        </is>
      </c>
      <c r="B1025" s="56" t="inlineStr">
        <is>
          <t>Chạy xét hàng loạt cho trường A.</t>
        </is>
      </c>
      <c r="C1025" s="57" t="n"/>
      <c r="D1025" s="57" t="n"/>
      <c r="E1025" s="57" t="n"/>
    </row>
    <row r="1026" ht="30" customHeight="1">
      <c r="A1026" s="47" t="inlineStr">
        <is>
          <t>Step 2</t>
        </is>
      </c>
      <c r="B1026" s="56" t="inlineStr">
        <is>
          <t>Xem kết quả S09 ở mục số thập phân (M=100) và dữ liệu trường B.</t>
        </is>
      </c>
      <c r="C1026" s="57" t="n"/>
      <c r="D1026" s="57" t="n"/>
      <c r="E1026" s="57" t="n"/>
    </row>
    <row r="1027" ht="44" customHeight="1">
      <c r="A1027" s="47" t="inlineStr">
        <is>
          <t>Reset</t>
        </is>
      </c>
      <c r="B1027" s="56" t="inlineStr">
        <is>
          <t>Trước mỗi biến thể, dựng lại điều kiện/dữ liệu đầu của case bằng đường được phép; giữ các reset/fixture độc lập đã nêu trong thủ tục.</t>
        </is>
      </c>
      <c r="C1027" s="57" t="n"/>
      <c r="D1027" s="57" t="n"/>
      <c r="E1027" s="57" t="n"/>
    </row>
    <row r="1028" ht="30" customHeight="1">
      <c r="A1028" s="58" t="inlineStr">
        <is>
          <t>Kết quả mong đợi</t>
        </is>
      </c>
      <c r="B1028" s="59" t="n"/>
      <c r="C1028" s="59" t="n"/>
      <c r="D1028" s="59" t="n"/>
      <c r="E1028" s="59" t="n"/>
    </row>
    <row r="1029" ht="44" customHeight="1">
      <c r="A1029" s="47" t="inlineStr">
        <is>
          <t>•</t>
        </is>
      </c>
      <c r="B1029" s="56" t="inlineStr">
        <is>
          <t>Chỉ ô của mục số nguyên (M=100) trong trường A năm 2026 được xét. S09 ở mục số thập phân (M=100) và học sinh trường B không bị ảnh hưởng.</t>
        </is>
      </c>
      <c r="C1029" s="57" t="n"/>
      <c r="D1029" s="57" t="n"/>
      <c r="E1029" s="57" t="n"/>
    </row>
    <row r="1030" ht="44" customHeight="1">
      <c r="A1030" s="47" t="inlineStr">
        <is>
          <t>Giữ nguyên</t>
        </is>
      </c>
      <c r="B1030" s="56" t="inlineStr">
        <is>
          <t>• Giữ điểm, cấu hình và đối tượng không đích theo expected;
• Chỉ thay phần thủ tục yêu cầu, không tự đổi oracle hoặc mở rộng phạm vi.</t>
        </is>
      </c>
      <c r="C1030" s="57" t="n"/>
      <c r="D1030" s="57" t="n"/>
      <c r="E1030" s="57" t="n"/>
    </row>
    <row r="1031" ht="61" customHeight="1">
      <c r="A1031" s="47" t="inlineStr">
        <is>
          <t>Quan sát tại</t>
        </is>
      </c>
      <c r="B1031" s="56" t="inlineStr">
        <is>
          <t>• Dùng trích xuất không lọc để thấy cả ô đối chứng. Trạng thái không có dấu đỏ cần đọc thêm trạng thái lưu;
• Output Excel/PDF dùng file thật.</t>
        </is>
      </c>
      <c r="C1031" s="57" t="n"/>
      <c r="D1031" s="57" t="n"/>
      <c r="E1031" s="57" t="n"/>
    </row>
    <row r="1032" ht="30" customHeight="1">
      <c r="A1032" s="58" t="inlineStr">
        <is>
          <t>Kết quả thực tế</t>
        </is>
      </c>
      <c r="B1032" s="59" t="n"/>
      <c r="C1032" s="59" t="n"/>
      <c r="D1032" s="59" t="n"/>
      <c r="E1032" s="59" t="n"/>
    </row>
    <row r="1033" ht="30" customHeight="1">
      <c r="A1033" s="47" t="inlineStr">
        <is>
          <t>Dữ liệu biến thể</t>
        </is>
      </c>
      <c r="B1033" s="56" t="inlineStr">
        <is>
          <t>Toàn bộ thủ tục theo đúng thứ tự; các đối chứng cùng fixture được kiểm trong cùng lượt, không bỏ bước</t>
        </is>
      </c>
      <c r="C1033" s="57" t="n"/>
      <c r="D1033" s="57" t="n"/>
      <c r="E1033" s="57" t="n"/>
    </row>
    <row r="1034" ht="30" customHeight="1">
      <c r="A1034" s="62" t="inlineStr">
        <is>
          <t>Kết quả thực tế</t>
        </is>
      </c>
    </row>
    <row r="1035" ht="64" customHeight="1">
      <c r="A1035" s="63" t="inlineStr"/>
      <c r="B1035" s="64" t="n"/>
      <c r="C1035" s="64" t="n"/>
      <c r="D1035" s="64" t="n"/>
      <c r="E1035" s="65" t="n"/>
    </row>
    <row r="1036" ht="30" customHeight="1">
      <c r="A1036" s="62" t="inlineStr">
        <is>
          <t>Ảnh minh chứng</t>
        </is>
      </c>
    </row>
    <row r="1037" ht="90" customHeight="1">
      <c r="A1037" s="63" t="inlineStr"/>
      <c r="B1037" s="64" t="n"/>
      <c r="C1037" s="64" t="n"/>
      <c r="D1037" s="64" t="n"/>
      <c r="E1037" s="65" t="n"/>
    </row>
    <row r="1038" ht="12" customHeight="1">
      <c r="A1038" s="66" t="inlineStr"/>
    </row>
    <row r="1039" ht="20" customHeight="1">
      <c r="A1039" s="66" t="inlineStr"/>
    </row>
    <row r="1040" ht="30" customHeight="1">
      <c r="A1040" s="46" t="inlineStr">
        <is>
          <t>TC-RS-BR-029 — Mục lựa chọn không được xét, nhưng bộ lọc theo lựa chọn vẫn dùng để chọn đối tượng</t>
        </is>
      </c>
      <c r="B1040" s="23" t="n"/>
      <c r="C1040" s="23" t="n"/>
      <c r="D1040" s="23" t="n"/>
      <c r="E1040" s="23" t="n"/>
    </row>
    <row r="1041" ht="30" customHeight="1">
      <c r="A1041" s="47" t="inlineStr">
        <is>
          <t>Trạng thái</t>
        </is>
      </c>
      <c r="B1041" s="61" t="inlineStr">
        <is>
          <t>Chưa thực hiện</t>
        </is>
      </c>
      <c r="C1041" s="57" t="n"/>
      <c r="D1041" s="57" t="n"/>
      <c r="E1041" s="57" t="n"/>
    </row>
    <row r="1042" ht="30" customHeight="1">
      <c r="A1042" s="47" t="inlineStr">
        <is>
          <t>Màn hình / chức năng</t>
        </is>
      </c>
      <c r="B1042" s="47" t="inlineStr">
        <is>
          <t>Điều kiện áp dụng（適用条件）</t>
        </is>
      </c>
      <c r="C1042" s="57" t="n"/>
      <c r="D1042" s="47" t="inlineStr">
        <is>
          <t>Đường dẫn</t>
        </is>
      </c>
      <c r="E1042" s="56" t="inlineStr">
        <is>
          <t>Chưa xác minh</t>
        </is>
      </c>
    </row>
    <row r="1043" ht="30" customHeight="1">
      <c r="A1043" s="58" t="inlineStr">
        <is>
          <t>Điều kiện kiểm thử</t>
        </is>
      </c>
      <c r="B1043" s="59" t="n"/>
      <c r="C1043" s="59" t="n"/>
      <c r="D1043" s="59" t="n"/>
      <c r="E1043" s="59" t="n"/>
    </row>
    <row r="1044" ht="30" customHeight="1">
      <c r="A1044" s="47" t="inlineStr">
        <is>
          <t>Cấu hình</t>
        </is>
      </c>
      <c r="B1044" s="56" t="inlineStr">
        <is>
          <t>• Mục kiểu lựa chọn A/B/C (A/B/C) có giá trị cho S01 = B, S02 = A.</t>
        </is>
      </c>
      <c r="C1044" s="57" t="n"/>
      <c r="D1044" s="57" t="n"/>
      <c r="E1044" s="57" t="n"/>
    </row>
    <row r="1045" ht="61" customHeight="1">
      <c r="A1045" s="47" t="inlineStr">
        <is>
          <t>Vai trò / quyền</t>
        </is>
      </c>
      <c r="B104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045" s="57" t="n"/>
      <c r="D1045" s="57" t="n"/>
      <c r="E1045" s="57" t="n"/>
    </row>
    <row r="1046" ht="44" customHeight="1">
      <c r="A1046" s="47" t="inlineStr">
        <is>
          <t>Dữ liệu test</t>
        </is>
      </c>
      <c r="B1046" s="56" t="inlineStr">
        <is>
          <t>• Mục số nguyên (M=100);
• Mục kiểu lựa chọn A/B/C, quy tắc “Cố định 30” (dưới 30)</t>
        </is>
      </c>
      <c r="C1046" s="57" t="n"/>
      <c r="D1046" s="57" t="n"/>
      <c r="E1046" s="57" t="n"/>
    </row>
    <row r="1047" ht="30" customHeight="1">
      <c r="A1047" s="47" t="inlineStr">
        <is>
          <t>Trigger</t>
        </is>
      </c>
      <c r="B1047" s="56" t="inlineStr">
        <is>
          <t>• Chỉ xem/xuất không tự chạy xét.</t>
        </is>
      </c>
      <c r="C1047" s="57" t="n"/>
      <c r="D1047" s="57" t="n"/>
      <c r="E1047" s="57" t="n"/>
    </row>
    <row r="1048" ht="44" customHeight="1">
      <c r="A1048" s="47" t="inlineStr">
        <is>
          <t>Blocker</t>
        </is>
      </c>
      <c r="B1048" s="56" t="inlineStr">
        <is>
          <t>• G-PREP-UNASSESSED: Chưa có xác minh fixture, đường thực hiện và phép quan sát trên build của từng case chưa đánh giá.</t>
        </is>
      </c>
      <c r="C1048" s="57" t="n"/>
      <c r="D1048" s="57" t="n"/>
      <c r="E1048" s="57" t="n"/>
    </row>
    <row r="1049" ht="30" customHeight="1">
      <c r="A1049" s="58" t="inlineStr">
        <is>
          <t>Thao tác</t>
        </is>
      </c>
      <c r="B1049" s="59" t="n"/>
      <c r="C1049" s="59" t="n"/>
      <c r="D1049" s="59" t="n"/>
      <c r="E1049" s="59" t="n"/>
    </row>
    <row r="1050" ht="44" customHeight="1">
      <c r="A1050" s="47" t="inlineStr">
        <is>
          <t>Step 1</t>
        </is>
      </c>
      <c r="B1050" s="56" t="inlineStr">
        <is>
          <t>Tạo quy tắc cho mục số nguyên (M=100) với bộ lọc theo lựa chọn（選択肢型） mục kiểu lựa chọn A/B/C = B, cố định 30 [&lt;].</t>
        </is>
      </c>
      <c r="C1050" s="57" t="n"/>
      <c r="D1050" s="57" t="n"/>
      <c r="E1050" s="57" t="n"/>
    </row>
    <row r="1051" ht="30" customHeight="1">
      <c r="A1051" s="47" t="inlineStr">
        <is>
          <t>Step 2</t>
        </is>
      </c>
      <c r="B1051" s="56" t="inlineStr">
        <is>
          <t>Đăng ký S01=29, S02=29.</t>
        </is>
      </c>
      <c r="C1051" s="57" t="n"/>
      <c r="D1051" s="57" t="n"/>
      <c r="E1051" s="57" t="n"/>
    </row>
    <row r="1052" ht="44" customHeight="1">
      <c r="A1052" s="47" t="inlineStr">
        <is>
          <t>Reset</t>
        </is>
      </c>
      <c r="B1052" s="56" t="inlineStr">
        <is>
          <t>Trước mỗi biến thể, dựng lại điều kiện/dữ liệu đầu của case bằng đường được phép; giữ các reset/fixture độc lập đã nêu trong thủ tục.</t>
        </is>
      </c>
      <c r="C1052" s="57" t="n"/>
      <c r="D1052" s="57" t="n"/>
      <c r="E1052" s="57" t="n"/>
    </row>
    <row r="1053" ht="30" customHeight="1">
      <c r="A1053" s="58" t="inlineStr">
        <is>
          <t>Kết quả mong đợi</t>
        </is>
      </c>
      <c r="B1053" s="59" t="n"/>
      <c r="C1053" s="59" t="n"/>
      <c r="D1053" s="59" t="n"/>
      <c r="E1053" s="59" t="n"/>
    </row>
    <row r="1054" ht="30" customHeight="1">
      <c r="A1054" s="47" t="inlineStr">
        <is>
          <t>•</t>
        </is>
      </c>
      <c r="B1054" s="56" t="inlineStr">
        <is>
          <t>S01 Đỏ (thuộc đối tượng); S02 Không áp dụng. Không có ô nào của mục kiểu lựa chọn A/B/C được xét đỏ.</t>
        </is>
      </c>
      <c r="C1054" s="57" t="n"/>
      <c r="D1054" s="57" t="n"/>
      <c r="E1054" s="57" t="n"/>
    </row>
    <row r="1055" ht="44" customHeight="1">
      <c r="A1055" s="47" t="inlineStr">
        <is>
          <t>Giữ nguyên</t>
        </is>
      </c>
      <c r="B1055" s="56" t="inlineStr">
        <is>
          <t>• Giữ điểm, cấu hình và đối tượng không đích theo expected;
• Chỉ thay phần thủ tục yêu cầu, không tự đổi oracle hoặc mở rộng phạm vi.</t>
        </is>
      </c>
      <c r="C1055" s="57" t="n"/>
      <c r="D1055" s="57" t="n"/>
      <c r="E1055" s="57" t="n"/>
    </row>
    <row r="1056" ht="61" customHeight="1">
      <c r="A1056" s="47" t="inlineStr">
        <is>
          <t>Quan sát tại</t>
        </is>
      </c>
      <c r="B1056" s="56" t="inlineStr">
        <is>
          <t>• Dùng trích xuất không lọc để thấy cả ô đối chứng. Trạng thái không có dấu đỏ cần đọc thêm trạng thái lưu;
• Output Excel/PDF dùng file thật.</t>
        </is>
      </c>
      <c r="C1056" s="57" t="n"/>
      <c r="D1056" s="57" t="n"/>
      <c r="E1056" s="57" t="n"/>
    </row>
    <row r="1057" ht="30" customHeight="1">
      <c r="A1057" s="58" t="inlineStr">
        <is>
          <t>Kết quả thực tế</t>
        </is>
      </c>
      <c r="B1057" s="59" t="n"/>
      <c r="C1057" s="59" t="n"/>
      <c r="D1057" s="59" t="n"/>
      <c r="E1057" s="59" t="n"/>
    </row>
    <row r="1058" ht="30" customHeight="1">
      <c r="A1058" s="47" t="inlineStr">
        <is>
          <t>Dữ liệu biến thể</t>
        </is>
      </c>
      <c r="B1058" s="56" t="inlineStr">
        <is>
          <t>Toàn bộ thủ tục theo đúng thứ tự; các đối chứng cùng fixture được kiểm trong cùng lượt, không bỏ bước</t>
        </is>
      </c>
      <c r="C1058" s="57" t="n"/>
      <c r="D1058" s="57" t="n"/>
      <c r="E1058" s="57" t="n"/>
    </row>
    <row r="1059" ht="30" customHeight="1">
      <c r="A1059" s="62" t="inlineStr">
        <is>
          <t>Kết quả thực tế</t>
        </is>
      </c>
    </row>
    <row r="1060" ht="64" customHeight="1">
      <c r="A1060" s="63" t="inlineStr"/>
      <c r="B1060" s="64" t="n"/>
      <c r="C1060" s="64" t="n"/>
      <c r="D1060" s="64" t="n"/>
      <c r="E1060" s="65" t="n"/>
    </row>
    <row r="1061" ht="30" customHeight="1">
      <c r="A1061" s="62" t="inlineStr">
        <is>
          <t>Ảnh minh chứng</t>
        </is>
      </c>
    </row>
    <row r="1062" ht="90" customHeight="1">
      <c r="A1062" s="63" t="inlineStr"/>
      <c r="B1062" s="64" t="n"/>
      <c r="C1062" s="64" t="n"/>
      <c r="D1062" s="64" t="n"/>
      <c r="E1062" s="65" t="n"/>
    </row>
    <row r="1063" ht="12" customHeight="1">
      <c r="A1063" s="66" t="inlineStr"/>
    </row>
    <row r="1064" ht="20" customHeight="1">
      <c r="A1064" s="66" t="inlineStr"/>
    </row>
    <row r="1065" ht="30" customHeight="1">
      <c r="A1065" s="46" t="inlineStr">
        <is>
          <t>TC-RS-BR-035 — Bộ lọc nhóm tổng hợp khác loại phải kết hợp VÀ</t>
        </is>
      </c>
      <c r="B1065" s="23" t="n"/>
      <c r="C1065" s="23" t="n"/>
      <c r="D1065" s="23" t="n"/>
      <c r="E1065" s="23" t="n"/>
    </row>
    <row r="1066" ht="30" customHeight="1">
      <c r="A1066" s="47" t="inlineStr">
        <is>
          <t>Trạng thái</t>
        </is>
      </c>
      <c r="B1066" s="61" t="inlineStr">
        <is>
          <t>Chưa thực hiện</t>
        </is>
      </c>
      <c r="C1066" s="57" t="n"/>
      <c r="D1066" s="57" t="n"/>
      <c r="E1066" s="57" t="n"/>
    </row>
    <row r="1067" ht="30" customHeight="1">
      <c r="A1067" s="47" t="inlineStr">
        <is>
          <t>Màn hình / chức năng</t>
        </is>
      </c>
      <c r="B1067" s="47" t="inlineStr">
        <is>
          <t>Điều kiện áp dụng（適用条件）</t>
        </is>
      </c>
      <c r="C1067" s="57" t="n"/>
      <c r="D1067" s="47" t="inlineStr">
        <is>
          <t>Đường dẫn</t>
        </is>
      </c>
      <c r="E1067" s="56" t="inlineStr">
        <is>
          <t>Chưa xác minh</t>
        </is>
      </c>
    </row>
    <row r="1068" ht="30" customHeight="1">
      <c r="A1068" s="58" t="inlineStr">
        <is>
          <t>Điều kiện kiểm thử</t>
        </is>
      </c>
      <c r="B1068" s="59" t="n"/>
      <c r="C1068" s="59" t="n"/>
      <c r="D1068" s="59" t="n"/>
      <c r="E1068" s="59" t="n"/>
    </row>
    <row r="1069" ht="95" customHeight="1">
      <c r="A1069" s="47" t="inlineStr">
        <is>
          <t>Cấu hình</t>
        </is>
      </c>
      <c r="B1069" s="56" t="inlineStr">
        <is>
          <t>• Hai loại nhóm tổng hợp: K1 = Nhóm thành tích（成績グループ） có mục Nâng cao;
• K2 = một loại nhóm tổng hợp khác có mục X. P5 chỉ thuộc Nâng cao;
• P6 chỉ thuộc X;
• P7 thuộc cả Nâng cao và X;
• P8 không thuộc cả hai. Cả bốn học khối 1.</t>
        </is>
      </c>
      <c r="C1069" s="57" t="n"/>
      <c r="D1069" s="57" t="n"/>
      <c r="E1069" s="57" t="n"/>
    </row>
    <row r="1070" ht="61" customHeight="1">
      <c r="A1070" s="47" t="inlineStr">
        <is>
          <t>Vai trò / quyền</t>
        </is>
      </c>
      <c r="B107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070" s="57" t="n"/>
      <c r="D1070" s="57" t="n"/>
      <c r="E1070" s="57" t="n"/>
    </row>
    <row r="1071" ht="44" customHeight="1">
      <c r="A1071" s="47" t="inlineStr">
        <is>
          <t>Dữ liệu test</t>
        </is>
      </c>
      <c r="B1071" s="56" t="inlineStr">
        <is>
          <t>• Quy tắc lọc theo nhóm tổng hợp thuộc hai loại nhóm;
• S = 20 cho P5–P8</t>
        </is>
      </c>
      <c r="C1071" s="57" t="n"/>
      <c r="D1071" s="57" t="n"/>
      <c r="E1071" s="57" t="n"/>
    </row>
    <row r="1072" ht="30" customHeight="1">
      <c r="A1072" s="47" t="inlineStr">
        <is>
          <t>Trigger</t>
        </is>
      </c>
      <c r="B1072" s="56" t="inlineStr">
        <is>
          <t>• Chỉ xem/xuất không tự chạy xét.</t>
        </is>
      </c>
      <c r="C1072" s="57" t="n"/>
      <c r="D1072" s="57" t="n"/>
      <c r="E1072" s="57" t="n"/>
    </row>
    <row r="1073" ht="44" customHeight="1">
      <c r="A1073" s="47" t="inlineStr">
        <is>
          <t>Blocker</t>
        </is>
      </c>
      <c r="B1073" s="56" t="inlineStr">
        <is>
          <t>• G-PREP-UNASSESSED: Chưa có xác minh fixture, đường thực hiện và phép quan sát trên build của từng case chưa đánh giá.</t>
        </is>
      </c>
      <c r="C1073" s="57" t="n"/>
      <c r="D1073" s="57" t="n"/>
      <c r="E1073" s="57" t="n"/>
    </row>
    <row r="1074" ht="30" customHeight="1">
      <c r="A1074" s="58" t="inlineStr">
        <is>
          <t>Thao tác</t>
        </is>
      </c>
      <c r="B1074" s="59" t="n"/>
      <c r="C1074" s="59" t="n"/>
      <c r="D1074" s="59" t="n"/>
      <c r="E1074" s="59" t="n"/>
    </row>
    <row r="1075" ht="30" customHeight="1">
      <c r="A1075" s="47" t="inlineStr">
        <is>
          <t>Step 1</t>
        </is>
      </c>
      <c r="B1075" s="56" t="inlineStr">
        <is>
          <t>Đăng ký điểm 20 cho P5–P8.</t>
        </is>
      </c>
      <c r="C1075" s="57" t="n"/>
      <c r="D1075" s="57" t="n"/>
      <c r="E1075" s="57" t="n"/>
    </row>
    <row r="1076" ht="30" customHeight="1">
      <c r="A1076" s="47" t="inlineStr">
        <is>
          <t>Step 2</t>
        </is>
      </c>
      <c r="B1076" s="56" t="inlineStr">
        <is>
          <t>Xem kết quả.</t>
        </is>
      </c>
      <c r="C1076" s="57" t="n"/>
      <c r="D1076" s="57" t="n"/>
      <c r="E1076" s="57" t="n"/>
    </row>
    <row r="1077" ht="30" customHeight="1">
      <c r="A1077" s="47" t="inlineStr">
        <is>
          <t>Step 3</t>
        </is>
      </c>
      <c r="B1077" s="56" t="inlineStr">
        <is>
          <t>Mở lại quy tắc.</t>
        </is>
      </c>
      <c r="C1077" s="57" t="n"/>
      <c r="D1077" s="57" t="n"/>
      <c r="E1077" s="57" t="n"/>
    </row>
    <row r="1078" ht="44" customHeight="1">
      <c r="A1078" s="47" t="inlineStr">
        <is>
          <t>Reset</t>
        </is>
      </c>
      <c r="B1078" s="56" t="inlineStr">
        <is>
          <t>Trước mỗi biến thể, dựng lại điều kiện/dữ liệu đầu của case bằng đường được phép; giữ các reset/fixture độc lập đã nêu trong thủ tục.</t>
        </is>
      </c>
      <c r="C1078" s="57" t="n"/>
      <c r="D1078" s="57" t="n"/>
      <c r="E1078" s="57" t="n"/>
    </row>
    <row r="1079" ht="30" customHeight="1">
      <c r="A1079" s="58" t="inlineStr">
        <is>
          <t>Kết quả mong đợi</t>
        </is>
      </c>
      <c r="B1079" s="59" t="n"/>
      <c r="C1079" s="59" t="n"/>
      <c r="D1079" s="59" t="n"/>
      <c r="E1079" s="59" t="n"/>
    </row>
    <row r="1080" ht="30" customHeight="1">
      <c r="A1080" s="47" t="inlineStr">
        <is>
          <t>•</t>
        </is>
      </c>
      <c r="B1080" s="56" t="inlineStr">
        <is>
          <t>1–2. Chỉ P7 thỏa cả hai loại nhóm và được xét → Đỏ. P5, P6, P8: Không áp dụng.</t>
        </is>
      </c>
      <c r="C1080" s="57" t="n"/>
      <c r="D1080" s="57" t="n"/>
      <c r="E1080" s="57" t="n"/>
    </row>
    <row r="1081" ht="30" customHeight="1">
      <c r="A1081" s="47" t="inlineStr">
        <is>
          <t>3.</t>
        </is>
      </c>
      <c r="B1081" s="56" t="inlineStr">
        <is>
          <t>Mỗi giá trị vẫn gắn đúng loại nhóm của nó.</t>
        </is>
      </c>
      <c r="C1081" s="57" t="n"/>
      <c r="D1081" s="57" t="n"/>
      <c r="E1081" s="57" t="n"/>
    </row>
    <row r="1082" ht="44" customHeight="1">
      <c r="A1082" s="47" t="inlineStr">
        <is>
          <t>Giữ nguyên</t>
        </is>
      </c>
      <c r="B1082" s="56" t="inlineStr">
        <is>
          <t>• Giữ điểm, cấu hình và đối tượng không đích theo expected;
• Chỉ thay phần thủ tục yêu cầu, không tự đổi oracle hoặc mở rộng phạm vi.</t>
        </is>
      </c>
      <c r="C1082" s="57" t="n"/>
      <c r="D1082" s="57" t="n"/>
      <c r="E1082" s="57" t="n"/>
    </row>
    <row r="1083" ht="61" customHeight="1">
      <c r="A1083" s="47" t="inlineStr">
        <is>
          <t>Quan sát tại</t>
        </is>
      </c>
      <c r="B1083" s="56" t="inlineStr">
        <is>
          <t>• Dùng trích xuất không lọc để thấy cả ô đối chứng. Trạng thái không có dấu đỏ cần đọc thêm trạng thái lưu;
• Output Excel/PDF dùng file thật.</t>
        </is>
      </c>
      <c r="C1083" s="57" t="n"/>
      <c r="D1083" s="57" t="n"/>
      <c r="E1083" s="57" t="n"/>
    </row>
    <row r="1084" ht="30" customHeight="1">
      <c r="A1084" s="58" t="inlineStr">
        <is>
          <t>Kết quả thực tế</t>
        </is>
      </c>
      <c r="B1084" s="59" t="n"/>
      <c r="C1084" s="59" t="n"/>
      <c r="D1084" s="59" t="n"/>
      <c r="E1084" s="59" t="n"/>
    </row>
    <row r="1085" ht="30" customHeight="1">
      <c r="A1085" s="47" t="inlineStr">
        <is>
          <t>Dữ liệu biến thể</t>
        </is>
      </c>
      <c r="B1085" s="56" t="inlineStr">
        <is>
          <t>Toàn bộ thủ tục theo đúng thứ tự; các đối chứng cùng fixture được kiểm trong cùng lượt, không bỏ bước</t>
        </is>
      </c>
      <c r="C1085" s="57" t="n"/>
      <c r="D1085" s="57" t="n"/>
      <c r="E1085" s="57" t="n"/>
    </row>
    <row r="1086" ht="30" customHeight="1">
      <c r="A1086" s="62" t="inlineStr">
        <is>
          <t>Kết quả thực tế</t>
        </is>
      </c>
    </row>
    <row r="1087" ht="64" customHeight="1">
      <c r="A1087" s="63" t="inlineStr"/>
      <c r="B1087" s="64" t="n"/>
      <c r="C1087" s="64" t="n"/>
      <c r="D1087" s="64" t="n"/>
      <c r="E1087" s="65" t="n"/>
    </row>
    <row r="1088" ht="30" customHeight="1">
      <c r="A1088" s="62" t="inlineStr">
        <is>
          <t>Ảnh minh chứng</t>
        </is>
      </c>
    </row>
    <row r="1089" ht="90" customHeight="1">
      <c r="A1089" s="63" t="inlineStr"/>
      <c r="B1089" s="64" t="n"/>
      <c r="C1089" s="64" t="n"/>
      <c r="D1089" s="64" t="n"/>
      <c r="E1089" s="65" t="n"/>
    </row>
    <row r="1090" ht="12" customHeight="1">
      <c r="A1090" s="66" t="inlineStr"/>
    </row>
    <row r="1091" ht="20" customHeight="1">
      <c r="A1091" s="66" t="inlineStr"/>
    </row>
    <row r="1092" ht="30" customHeight="1">
      <c r="A1092" s="46" t="inlineStr">
        <is>
          <t>TC-RS-VAL-015 — Chọn giới hạn bằng bộ lọc nhưng không có bộ lọc nào</t>
        </is>
      </c>
      <c r="B1092" s="23" t="n"/>
      <c r="C1092" s="23" t="n"/>
      <c r="D1092" s="23" t="n"/>
      <c r="E1092" s="23" t="n"/>
    </row>
    <row r="1093" ht="30" customHeight="1">
      <c r="A1093" s="47" t="inlineStr">
        <is>
          <t>Trạng thái</t>
        </is>
      </c>
      <c r="B1093" s="61" t="inlineStr">
        <is>
          <t>Chưa thực hiện</t>
        </is>
      </c>
      <c r="C1093" s="57" t="n"/>
      <c r="D1093" s="57" t="n"/>
      <c r="E1093" s="57" t="n"/>
    </row>
    <row r="1094" ht="30" customHeight="1">
      <c r="A1094" s="47" t="inlineStr">
        <is>
          <t>Màn hình / chức năng</t>
        </is>
      </c>
      <c r="B1094" s="47" t="inlineStr">
        <is>
          <t>Điều kiện áp dụng（適用条件）</t>
        </is>
      </c>
      <c r="C1094" s="57" t="n"/>
      <c r="D1094" s="47" t="inlineStr">
        <is>
          <t>Đường dẫn</t>
        </is>
      </c>
      <c r="E1094" s="56" t="inlineStr">
        <is>
          <t>Chưa xác minh</t>
        </is>
      </c>
    </row>
    <row r="1095" ht="30" customHeight="1">
      <c r="A1095" s="58" t="inlineStr">
        <is>
          <t>Điều kiện kiểm thử</t>
        </is>
      </c>
      <c r="B1095" s="59" t="n"/>
      <c r="C1095" s="59" t="n"/>
      <c r="D1095" s="59" t="n"/>
      <c r="E1095" s="59" t="n"/>
    </row>
    <row r="1096" ht="30" customHeight="1">
      <c r="A1096" s="47" t="inlineStr">
        <is>
          <t>Cấu hình</t>
        </is>
      </c>
      <c r="B1096" s="56" t="inlineStr">
        <is>
          <t>• Màn thêm quy tắc.</t>
        </is>
      </c>
      <c r="C1096" s="57" t="n"/>
      <c r="D1096" s="57" t="n"/>
      <c r="E1096" s="57" t="n"/>
    </row>
    <row r="1097" ht="61" customHeight="1">
      <c r="A1097" s="47" t="inlineStr">
        <is>
          <t>Vai trò / quyền</t>
        </is>
      </c>
      <c r="B109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097" s="57" t="n"/>
      <c r="D1097" s="57" t="n"/>
      <c r="E1097" s="57" t="n"/>
    </row>
    <row r="1098" ht="30" customHeight="1">
      <c r="A1098" s="47" t="inlineStr">
        <is>
          <t>Dữ liệu test</t>
        </is>
      </c>
      <c r="B1098" s="56" t="inlineStr">
        <is>
          <t>• Giới hạn bằng bộ lọc（特定条件で絞り込む）, không chọn giá trị</t>
        </is>
      </c>
      <c r="C1098" s="57" t="n"/>
      <c r="D1098" s="57" t="n"/>
      <c r="E1098" s="57" t="n"/>
    </row>
    <row r="1099" ht="30" customHeight="1">
      <c r="A1099" s="47" t="inlineStr">
        <is>
          <t>Trigger</t>
        </is>
      </c>
      <c r="B1099" s="56" t="inlineStr">
        <is>
          <t>• Chỉ xem/xuất không tự chạy xét.</t>
        </is>
      </c>
      <c r="C1099" s="57" t="n"/>
      <c r="D1099" s="57" t="n"/>
      <c r="E1099" s="57" t="n"/>
    </row>
    <row r="1100" ht="44" customHeight="1">
      <c r="A1100" s="47" t="inlineStr">
        <is>
          <t>Blocker</t>
        </is>
      </c>
      <c r="B1100" s="56" t="inlineStr">
        <is>
          <t>• G-PREP-UNASSESSED: Chưa có xác minh fixture, đường thực hiện và phép quan sát trên build của từng case chưa đánh giá.</t>
        </is>
      </c>
      <c r="C1100" s="57" t="n"/>
      <c r="D1100" s="57" t="n"/>
      <c r="E1100" s="57" t="n"/>
    </row>
    <row r="1101" ht="30" customHeight="1">
      <c r="A1101" s="58" t="inlineStr">
        <is>
          <t>Thao tác</t>
        </is>
      </c>
      <c r="B1101" s="59" t="n"/>
      <c r="C1101" s="59" t="n"/>
      <c r="D1101" s="59" t="n"/>
      <c r="E1101" s="59" t="n"/>
    </row>
    <row r="1102" ht="30" customHeight="1">
      <c r="A1102" s="47" t="inlineStr">
        <is>
          <t>•</t>
        </is>
      </c>
      <c r="B1102" s="56" t="inlineStr">
        <is>
          <t>Chọn giới hạn bằng bộ lọc, không chọn điều kiện, Lưu.</t>
        </is>
      </c>
      <c r="C1102" s="57" t="n"/>
      <c r="D1102" s="57" t="n"/>
      <c r="E1102" s="57" t="n"/>
    </row>
    <row r="1103" ht="44" customHeight="1">
      <c r="A1103" s="47" t="inlineStr">
        <is>
          <t>Reset</t>
        </is>
      </c>
      <c r="B1103" s="56" t="inlineStr">
        <is>
          <t>Trước mỗi biến thể, dựng lại điều kiện/dữ liệu đầu của case bằng đường được phép; giữ các reset/fixture độc lập đã nêu trong thủ tục.</t>
        </is>
      </c>
      <c r="C1103" s="57" t="n"/>
      <c r="D1103" s="57" t="n"/>
      <c r="E1103" s="57" t="n"/>
    </row>
    <row r="1104" ht="30" customHeight="1">
      <c r="A1104" s="58" t="inlineStr">
        <is>
          <t>Kết quả mong đợi</t>
        </is>
      </c>
      <c r="B1104" s="59" t="n"/>
      <c r="C1104" s="59" t="n"/>
      <c r="D1104" s="59" t="n"/>
      <c r="E1104" s="59" t="n"/>
    </row>
    <row r="1105" ht="30" customHeight="1">
      <c r="A1105" s="47" t="inlineStr">
        <is>
          <t>•</t>
        </is>
      </c>
      <c r="B1105" s="56" t="inlineStr">
        <is>
          <t>Không lưu được; có thông báo lỗi. Câu chữ thông báo không phải must-pass (Figma chưa có).</t>
        </is>
      </c>
      <c r="C1105" s="57" t="n"/>
      <c r="D1105" s="57" t="n"/>
      <c r="E1105" s="57" t="n"/>
    </row>
    <row r="1106" ht="44" customHeight="1">
      <c r="A1106" s="47" t="inlineStr">
        <is>
          <t>Giữ nguyên</t>
        </is>
      </c>
      <c r="B1106" s="56" t="inlineStr">
        <is>
          <t>• Giữ điểm, cấu hình và đối tượng không đích theo expected;
• Chỉ thay phần thủ tục yêu cầu, không tự đổi oracle hoặc mở rộng phạm vi.</t>
        </is>
      </c>
      <c r="C1106" s="57" t="n"/>
      <c r="D1106" s="57" t="n"/>
      <c r="E1106" s="57" t="n"/>
    </row>
    <row r="1107" ht="61" customHeight="1">
      <c r="A1107" s="47" t="inlineStr">
        <is>
          <t>Quan sát tại</t>
        </is>
      </c>
      <c r="B1107" s="56" t="inlineStr">
        <is>
          <t>• Dùng trích xuất không lọc để thấy cả ô đối chứng. Trạng thái không có dấu đỏ cần đọc thêm trạng thái lưu;
• Output Excel/PDF dùng file thật.</t>
        </is>
      </c>
      <c r="C1107" s="57" t="n"/>
      <c r="D1107" s="57" t="n"/>
      <c r="E1107" s="57" t="n"/>
    </row>
    <row r="1108" ht="30" customHeight="1">
      <c r="A1108" s="58" t="inlineStr">
        <is>
          <t>Kết quả thực tế</t>
        </is>
      </c>
      <c r="B1108" s="59" t="n"/>
      <c r="C1108" s="59" t="n"/>
      <c r="D1108" s="59" t="n"/>
      <c r="E1108" s="59" t="n"/>
    </row>
    <row r="1109" ht="30" customHeight="1">
      <c r="A1109" s="47" t="inlineStr">
        <is>
          <t>Dữ liệu biến thể</t>
        </is>
      </c>
      <c r="B1109" s="56" t="inlineStr">
        <is>
          <t>Toàn bộ thủ tục theo đúng thứ tự; các đối chứng cùng fixture được kiểm trong cùng lượt, không bỏ bước</t>
        </is>
      </c>
      <c r="C1109" s="57" t="n"/>
      <c r="D1109" s="57" t="n"/>
      <c r="E1109" s="57" t="n"/>
    </row>
    <row r="1110" ht="30" customHeight="1">
      <c r="A1110" s="62" t="inlineStr">
        <is>
          <t>Kết quả thực tế</t>
        </is>
      </c>
    </row>
    <row r="1111" ht="64" customHeight="1">
      <c r="A1111" s="63" t="inlineStr"/>
      <c r="B1111" s="64" t="n"/>
      <c r="C1111" s="64" t="n"/>
      <c r="D1111" s="64" t="n"/>
      <c r="E1111" s="65" t="n"/>
    </row>
    <row r="1112" ht="30" customHeight="1">
      <c r="A1112" s="62" t="inlineStr">
        <is>
          <t>Ảnh minh chứng</t>
        </is>
      </c>
    </row>
    <row r="1113" ht="90" customHeight="1">
      <c r="A1113" s="63" t="inlineStr"/>
      <c r="B1113" s="64" t="n"/>
      <c r="C1113" s="64" t="n"/>
      <c r="D1113" s="64" t="n"/>
      <c r="E1113" s="65" t="n"/>
    </row>
    <row r="1114" ht="12" customHeight="1">
      <c r="A1114" s="66" t="inlineStr"/>
    </row>
    <row r="1115" ht="20" customHeight="1">
      <c r="A1115" s="66" t="inlineStr"/>
    </row>
    <row r="1116" ht="30" customHeight="1">
      <c r="A1116" s="46" t="inlineStr">
        <is>
          <t>TC-RS-VAL-022 — Giá trị điều kiện phân nhánh (trung bình/tỷ lệ nhóm)</t>
        </is>
      </c>
      <c r="B1116" s="23" t="n"/>
      <c r="C1116" s="23" t="n"/>
      <c r="D1116" s="23" t="n"/>
      <c r="E1116" s="23" t="n"/>
    </row>
    <row r="1117" ht="30" customHeight="1">
      <c r="A1117" s="47" t="inlineStr">
        <is>
          <t>Trạng thái</t>
        </is>
      </c>
      <c r="B1117" s="56">
        <f>IF(0&gt;0,"Không đạt",IF(0=9,"Đạt",IF(SUMPRODUCT(--EXACT('Testcases'!B1135:B1199,"Không thực hiện"))=9,"Không thực hiện",IF(SUMPRODUCT(--EXACT('Testcases'!B1135:B1199,"Bị chặn"))&gt;0,"Bị chặn",IF(SUMPRODUCT(--EXACT('Testcases'!B1135:B1199,"Chưa thực hiện"))=9,"Chưa thực hiện","Chưa đủ kết luận")))))</f>
        <v/>
      </c>
      <c r="C1117" s="57" t="n"/>
      <c r="D1117" s="57" t="n"/>
      <c r="E1117" s="57" t="n"/>
    </row>
    <row r="1118" ht="30" customHeight="1">
      <c r="A1118" s="47" t="inlineStr">
        <is>
          <t>Màn hình / chức năng</t>
        </is>
      </c>
      <c r="B1118" s="47" t="inlineStr">
        <is>
          <t>Điều kiện áp dụng（適用条件）</t>
        </is>
      </c>
      <c r="C1118" s="57" t="n"/>
      <c r="D1118" s="47" t="inlineStr">
        <is>
          <t>Đường dẫn</t>
        </is>
      </c>
      <c r="E1118" s="56" t="inlineStr">
        <is>
          <t>Chưa xác minh</t>
        </is>
      </c>
    </row>
    <row r="1119" ht="30" customHeight="1">
      <c r="A1119" s="58" t="inlineStr">
        <is>
          <t>Điều kiện kiểm thử</t>
        </is>
      </c>
      <c r="B1119" s="59" t="n"/>
      <c r="C1119" s="59" t="n"/>
      <c r="D1119" s="59" t="n"/>
      <c r="E1119" s="59" t="n"/>
    </row>
    <row r="1120" ht="30" customHeight="1">
      <c r="A1120" s="47" t="inlineStr">
        <is>
          <t>Cấu hình</t>
        </is>
      </c>
      <c r="B1120" s="56" t="inlineStr">
        <is>
          <t>• Màn thêm quy tắc có điều kiện.</t>
        </is>
      </c>
      <c r="C1120" s="57" t="n"/>
      <c r="D1120" s="57" t="n"/>
      <c r="E1120" s="57" t="n"/>
    </row>
    <row r="1121" ht="61" customHeight="1">
      <c r="A1121" s="47" t="inlineStr">
        <is>
          <t>Vai trò / quyền</t>
        </is>
      </c>
      <c r="B112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121" s="57" t="n"/>
      <c r="D1121" s="57" t="n"/>
      <c r="E1121" s="57" t="n"/>
    </row>
    <row r="1122" ht="44" customHeight="1">
      <c r="A1122" s="47" t="inlineStr">
        <is>
          <t>Dữ liệu test</t>
        </is>
      </c>
      <c r="B1122" s="56" t="inlineStr">
        <is>
          <t>• Trung bình: trống, −1, 101, 60.5, 60.123456789;
• Tỷ lệ nhóm: −1, 0, 100, 101</t>
        </is>
      </c>
      <c r="C1122" s="57" t="n"/>
      <c r="D1122" s="57" t="n"/>
      <c r="E1122" s="57" t="n"/>
    </row>
    <row r="1123" ht="30" customHeight="1">
      <c r="A1123" s="47" t="inlineStr">
        <is>
          <t>Trigger</t>
        </is>
      </c>
      <c r="B1123" s="56" t="inlineStr">
        <is>
          <t>• Chỉ xem/xuất không tự chạy xét.</t>
        </is>
      </c>
      <c r="C1123" s="57" t="n"/>
      <c r="D1123" s="57" t="n"/>
      <c r="E1123" s="57" t="n"/>
    </row>
    <row r="1124" ht="44" customHeight="1">
      <c r="A1124" s="47" t="inlineStr">
        <is>
          <t>Blocker</t>
        </is>
      </c>
      <c r="B1124" s="56" t="inlineStr">
        <is>
          <t>• G-PREP-UNASSESSED: Chưa có xác minh fixture, đường thực hiện và phép quan sát trên build của từng case chưa đánh giá.</t>
        </is>
      </c>
      <c r="C1124" s="57" t="n"/>
      <c r="D1124" s="57" t="n"/>
      <c r="E1124" s="57" t="n"/>
    </row>
    <row r="1125" ht="30" customHeight="1">
      <c r="A1125" s="58" t="inlineStr">
        <is>
          <t>Thao tác</t>
        </is>
      </c>
      <c r="B1125" s="59" t="n"/>
      <c r="C1125" s="59" t="n"/>
      <c r="D1125" s="59" t="n"/>
      <c r="E1125" s="59" t="n"/>
    </row>
    <row r="1126" ht="30" customHeight="1">
      <c r="A1126" s="47" t="inlineStr">
        <is>
          <t>•</t>
        </is>
      </c>
      <c r="B1126" s="56" t="inlineStr">
        <is>
          <t>Nhập từng giá trị, Lưu.</t>
        </is>
      </c>
      <c r="C1126" s="57" t="n"/>
      <c r="D1126" s="57" t="n"/>
      <c r="E1126" s="57" t="n"/>
    </row>
    <row r="1127" ht="44" customHeight="1">
      <c r="A1127" s="47" t="inlineStr">
        <is>
          <t>Reset</t>
        </is>
      </c>
      <c r="B1127" s="56" t="inlineStr">
        <is>
          <t>Trước mỗi biến thể, dựng lại điều kiện/dữ liệu đầu của case bằng đường được phép; giữ các reset/fixture độc lập đã nêu trong thủ tục.</t>
        </is>
      </c>
      <c r="C1127" s="57" t="n"/>
      <c r="D1127" s="57" t="n"/>
      <c r="E1127" s="57" t="n"/>
    </row>
    <row r="1128" ht="30" customHeight="1">
      <c r="A1128" s="58" t="inlineStr">
        <is>
          <t>Kết quả mong đợi</t>
        </is>
      </c>
      <c r="B1128" s="59" t="n"/>
      <c r="C1128" s="59" t="n"/>
      <c r="D1128" s="59" t="n"/>
      <c r="E1128" s="59" t="n"/>
    </row>
    <row r="1129" ht="61" customHeight="1">
      <c r="A1129" s="47" t="inlineStr">
        <is>
          <t>•</t>
        </is>
      </c>
      <c r="B1129" s="56" t="inlineStr">
        <is>
          <t>Đề xuất (thiết kế DB v2): trống → không lưu được (điều kiện chưa đủ); 60.5 lưu được; 60.123456789 (9 chữ số lẻ) bị từ chối; tỷ lệ nhóm 0 và 100 lưu được, −1 và 101 bị từ chối. Trung bình −1 và 101: thiết kế DB v2 không nêu miền — TBD, ghi hành vi thực tế.</t>
        </is>
      </c>
      <c r="C1129" s="57" t="n"/>
      <c r="D1129" s="57" t="n"/>
      <c r="E1129" s="57" t="n"/>
    </row>
    <row r="1130" ht="44" customHeight="1">
      <c r="A1130" s="47" t="inlineStr">
        <is>
          <t>Giữ nguyên</t>
        </is>
      </c>
      <c r="B1130" s="56" t="inlineStr">
        <is>
          <t>• Giữ điểm, cấu hình và đối tượng không đích theo expected;
• Chỉ thay phần thủ tục yêu cầu, không tự đổi oracle hoặc mở rộng phạm vi.</t>
        </is>
      </c>
      <c r="C1130" s="57" t="n"/>
      <c r="D1130" s="57" t="n"/>
      <c r="E1130" s="57" t="n"/>
    </row>
    <row r="1131" ht="61" customHeight="1">
      <c r="A1131" s="47" t="inlineStr">
        <is>
          <t>Quan sát tại</t>
        </is>
      </c>
      <c r="B1131" s="56" t="inlineStr">
        <is>
          <t>• Dùng trích xuất không lọc để thấy cả ô đối chứng. Trạng thái không có dấu đỏ cần đọc thêm trạng thái lưu;
• Output Excel/PDF dùng file thật.</t>
        </is>
      </c>
      <c r="C1131" s="57" t="n"/>
      <c r="D1131" s="57" t="n"/>
      <c r="E1131" s="57" t="n"/>
    </row>
    <row r="1132" ht="30" customHeight="1">
      <c r="A1132" s="58" t="inlineStr">
        <is>
          <t>Kết quả thực tế</t>
        </is>
      </c>
      <c r="B1132" s="59" t="n"/>
      <c r="C1132" s="59" t="n"/>
      <c r="D1132" s="59" t="n"/>
      <c r="E1132" s="59" t="n"/>
    </row>
    <row r="1133" ht="30" customHeight="1">
      <c r="A1133" s="60" t="inlineStr">
        <is>
          <t>TC-RS-VAL-022 / avg-empty</t>
        </is>
      </c>
      <c r="B1133" s="36" t="n"/>
      <c r="C1133" s="36" t="n"/>
      <c r="D1133" s="36" t="n"/>
      <c r="E1133" s="36" t="n"/>
    </row>
    <row r="1134" ht="30" customHeight="1">
      <c r="A1134" s="47" t="inlineStr">
        <is>
          <t>Dữ liệu biến thể</t>
        </is>
      </c>
      <c r="B1134" s="56" t="inlineStr">
        <is>
          <t>Trung bình trống</t>
        </is>
      </c>
      <c r="C1134" s="57" t="n"/>
      <c r="D1134" s="57" t="n"/>
      <c r="E1134" s="57" t="n"/>
    </row>
    <row r="1135" ht="30" customHeight="1">
      <c r="A1135" s="47" t="inlineStr">
        <is>
          <t>Trạng thái</t>
        </is>
      </c>
      <c r="B1135" s="61" t="inlineStr">
        <is>
          <t>Chưa thực hiện</t>
        </is>
      </c>
      <c r="C1135" s="57" t="n"/>
      <c r="D1135" s="57" t="n"/>
      <c r="E1135" s="57" t="n"/>
    </row>
    <row r="1136" ht="30" customHeight="1">
      <c r="A1136" s="62" t="inlineStr">
        <is>
          <t>Kết quả thực tế</t>
        </is>
      </c>
    </row>
    <row r="1137" ht="64" customHeight="1">
      <c r="A1137" s="63" t="inlineStr"/>
      <c r="B1137" s="64" t="n"/>
      <c r="C1137" s="64" t="n"/>
      <c r="D1137" s="64" t="n"/>
      <c r="E1137" s="65" t="n"/>
    </row>
    <row r="1138" ht="30" customHeight="1">
      <c r="A1138" s="62" t="inlineStr">
        <is>
          <t>Ảnh minh chứng</t>
        </is>
      </c>
    </row>
    <row r="1139" ht="90" customHeight="1">
      <c r="A1139" s="63" t="inlineStr"/>
      <c r="B1139" s="64" t="n"/>
      <c r="C1139" s="64" t="n"/>
      <c r="D1139" s="64" t="n"/>
      <c r="E1139" s="65" t="n"/>
    </row>
    <row r="1140" ht="12" customHeight="1">
      <c r="A1140" s="66" t="inlineStr"/>
    </row>
    <row r="1141" ht="30" customHeight="1">
      <c r="A1141" s="60" t="inlineStr">
        <is>
          <t>TC-RS-VAL-022 / avg-negative</t>
        </is>
      </c>
      <c r="B1141" s="36" t="n"/>
      <c r="C1141" s="36" t="n"/>
      <c r="D1141" s="36" t="n"/>
      <c r="E1141" s="36" t="n"/>
    </row>
    <row r="1142" ht="30" customHeight="1">
      <c r="A1142" s="47" t="inlineStr">
        <is>
          <t>Dữ liệu biến thể</t>
        </is>
      </c>
      <c r="B1142" s="56" t="inlineStr">
        <is>
          <t>Trung bình -1</t>
        </is>
      </c>
      <c r="C1142" s="57" t="n"/>
      <c r="D1142" s="57" t="n"/>
      <c r="E1142" s="57" t="n"/>
    </row>
    <row r="1143" ht="30" customHeight="1">
      <c r="A1143" s="47" t="inlineStr">
        <is>
          <t>Trạng thái</t>
        </is>
      </c>
      <c r="B1143" s="61" t="inlineStr">
        <is>
          <t>Chưa thực hiện</t>
        </is>
      </c>
      <c r="C1143" s="57" t="n"/>
      <c r="D1143" s="57" t="n"/>
      <c r="E1143" s="57" t="n"/>
    </row>
    <row r="1144" ht="30" customHeight="1">
      <c r="A1144" s="62" t="inlineStr">
        <is>
          <t>Kết quả thực tế</t>
        </is>
      </c>
    </row>
    <row r="1145" ht="64" customHeight="1">
      <c r="A1145" s="63" t="inlineStr"/>
      <c r="B1145" s="64" t="n"/>
      <c r="C1145" s="64" t="n"/>
      <c r="D1145" s="64" t="n"/>
      <c r="E1145" s="65" t="n"/>
    </row>
    <row r="1146" ht="30" customHeight="1">
      <c r="A1146" s="62" t="inlineStr">
        <is>
          <t>Ảnh minh chứng</t>
        </is>
      </c>
    </row>
    <row r="1147" ht="90" customHeight="1">
      <c r="A1147" s="63" t="inlineStr"/>
      <c r="B1147" s="64" t="n"/>
      <c r="C1147" s="64" t="n"/>
      <c r="D1147" s="64" t="n"/>
      <c r="E1147" s="65" t="n"/>
    </row>
    <row r="1148" ht="12" customHeight="1">
      <c r="A1148" s="66" t="inlineStr"/>
    </row>
    <row r="1149" ht="30" customHeight="1">
      <c r="A1149" s="60" t="inlineStr">
        <is>
          <t>TC-RS-VAL-022 / avg101</t>
        </is>
      </c>
      <c r="B1149" s="36" t="n"/>
      <c r="C1149" s="36" t="n"/>
      <c r="D1149" s="36" t="n"/>
      <c r="E1149" s="36" t="n"/>
    </row>
    <row r="1150" ht="30" customHeight="1">
      <c r="A1150" s="47" t="inlineStr">
        <is>
          <t>Dữ liệu biến thể</t>
        </is>
      </c>
      <c r="B1150" s="56" t="inlineStr">
        <is>
          <t>Trung bình 101</t>
        </is>
      </c>
      <c r="C1150" s="57" t="n"/>
      <c r="D1150" s="57" t="n"/>
      <c r="E1150" s="57" t="n"/>
    </row>
    <row r="1151" ht="30" customHeight="1">
      <c r="A1151" s="47" t="inlineStr">
        <is>
          <t>Trạng thái</t>
        </is>
      </c>
      <c r="B1151" s="61" t="inlineStr">
        <is>
          <t>Chưa thực hiện</t>
        </is>
      </c>
      <c r="C1151" s="57" t="n"/>
      <c r="D1151" s="57" t="n"/>
      <c r="E1151" s="57" t="n"/>
    </row>
    <row r="1152" ht="30" customHeight="1">
      <c r="A1152" s="62" t="inlineStr">
        <is>
          <t>Kết quả thực tế</t>
        </is>
      </c>
    </row>
    <row r="1153" ht="64" customHeight="1">
      <c r="A1153" s="63" t="inlineStr"/>
      <c r="B1153" s="64" t="n"/>
      <c r="C1153" s="64" t="n"/>
      <c r="D1153" s="64" t="n"/>
      <c r="E1153" s="65" t="n"/>
    </row>
    <row r="1154" ht="30" customHeight="1">
      <c r="A1154" s="62" t="inlineStr">
        <is>
          <t>Ảnh minh chứng</t>
        </is>
      </c>
    </row>
    <row r="1155" ht="90" customHeight="1">
      <c r="A1155" s="63" t="inlineStr"/>
      <c r="B1155" s="64" t="n"/>
      <c r="C1155" s="64" t="n"/>
      <c r="D1155" s="64" t="n"/>
      <c r="E1155" s="65" t="n"/>
    </row>
    <row r="1156" ht="12" customHeight="1">
      <c r="A1156" s="66" t="inlineStr"/>
    </row>
    <row r="1157" ht="30" customHeight="1">
      <c r="A1157" s="60" t="inlineStr">
        <is>
          <t>TC-RS-VAL-022 / avg605</t>
        </is>
      </c>
      <c r="B1157" s="36" t="n"/>
      <c r="C1157" s="36" t="n"/>
      <c r="D1157" s="36" t="n"/>
      <c r="E1157" s="36" t="n"/>
    </row>
    <row r="1158" ht="30" customHeight="1">
      <c r="A1158" s="47" t="inlineStr">
        <is>
          <t>Dữ liệu biến thể</t>
        </is>
      </c>
      <c r="B1158" s="56" t="inlineStr">
        <is>
          <t>Trung bình 60.5</t>
        </is>
      </c>
      <c r="C1158" s="57" t="n"/>
      <c r="D1158" s="57" t="n"/>
      <c r="E1158" s="57" t="n"/>
    </row>
    <row r="1159" ht="30" customHeight="1">
      <c r="A1159" s="47" t="inlineStr">
        <is>
          <t>Trạng thái</t>
        </is>
      </c>
      <c r="B1159" s="61" t="inlineStr">
        <is>
          <t>Chưa thực hiện</t>
        </is>
      </c>
      <c r="C1159" s="57" t="n"/>
      <c r="D1159" s="57" t="n"/>
      <c r="E1159" s="57" t="n"/>
    </row>
    <row r="1160" ht="30" customHeight="1">
      <c r="A1160" s="62" t="inlineStr">
        <is>
          <t>Kết quả thực tế</t>
        </is>
      </c>
    </row>
    <row r="1161" ht="64" customHeight="1">
      <c r="A1161" s="63" t="inlineStr"/>
      <c r="B1161" s="64" t="n"/>
      <c r="C1161" s="64" t="n"/>
      <c r="D1161" s="64" t="n"/>
      <c r="E1161" s="65" t="n"/>
    </row>
    <row r="1162" ht="30" customHeight="1">
      <c r="A1162" s="62" t="inlineStr">
        <is>
          <t>Ảnh minh chứng</t>
        </is>
      </c>
    </row>
    <row r="1163" ht="90" customHeight="1">
      <c r="A1163" s="63" t="inlineStr"/>
      <c r="B1163" s="64" t="n"/>
      <c r="C1163" s="64" t="n"/>
      <c r="D1163" s="64" t="n"/>
      <c r="E1163" s="65" t="n"/>
    </row>
    <row r="1164" ht="12" customHeight="1">
      <c r="A1164" s="66" t="inlineStr"/>
    </row>
    <row r="1165" ht="30" customHeight="1">
      <c r="A1165" s="60" t="inlineStr">
        <is>
          <t>TC-RS-VAL-022 / avg-long</t>
        </is>
      </c>
      <c r="B1165" s="36" t="n"/>
      <c r="C1165" s="36" t="n"/>
      <c r="D1165" s="36" t="n"/>
      <c r="E1165" s="36" t="n"/>
    </row>
    <row r="1166" ht="30" customHeight="1">
      <c r="A1166" s="47" t="inlineStr">
        <is>
          <t>Dữ liệu biến thể</t>
        </is>
      </c>
      <c r="B1166" s="56" t="inlineStr">
        <is>
          <t>Trung bình 60.123456789</t>
        </is>
      </c>
      <c r="C1166" s="57" t="n"/>
      <c r="D1166" s="57" t="n"/>
      <c r="E1166" s="57" t="n"/>
    </row>
    <row r="1167" ht="30" customHeight="1">
      <c r="A1167" s="47" t="inlineStr">
        <is>
          <t>Trạng thái</t>
        </is>
      </c>
      <c r="B1167" s="61" t="inlineStr">
        <is>
          <t>Chưa thực hiện</t>
        </is>
      </c>
      <c r="C1167" s="57" t="n"/>
      <c r="D1167" s="57" t="n"/>
      <c r="E1167" s="57" t="n"/>
    </row>
    <row r="1168" ht="30" customHeight="1">
      <c r="A1168" s="62" t="inlineStr">
        <is>
          <t>Kết quả thực tế</t>
        </is>
      </c>
    </row>
    <row r="1169" ht="64" customHeight="1">
      <c r="A1169" s="63" t="inlineStr"/>
      <c r="B1169" s="64" t="n"/>
      <c r="C1169" s="64" t="n"/>
      <c r="D1169" s="64" t="n"/>
      <c r="E1169" s="65" t="n"/>
    </row>
    <row r="1170" ht="30" customHeight="1">
      <c r="A1170" s="62" t="inlineStr">
        <is>
          <t>Ảnh minh chứng</t>
        </is>
      </c>
    </row>
    <row r="1171" ht="90" customHeight="1">
      <c r="A1171" s="63" t="inlineStr"/>
      <c r="B1171" s="64" t="n"/>
      <c r="C1171" s="64" t="n"/>
      <c r="D1171" s="64" t="n"/>
      <c r="E1171" s="65" t="n"/>
    </row>
    <row r="1172" ht="12" customHeight="1">
      <c r="A1172" s="66" t="inlineStr"/>
    </row>
    <row r="1173" ht="30" customHeight="1">
      <c r="A1173" s="60" t="inlineStr">
        <is>
          <t>TC-RS-VAL-022 / ratio-negative</t>
        </is>
      </c>
      <c r="B1173" s="36" t="n"/>
      <c r="C1173" s="36" t="n"/>
      <c r="D1173" s="36" t="n"/>
      <c r="E1173" s="36" t="n"/>
    </row>
    <row r="1174" ht="30" customHeight="1">
      <c r="A1174" s="47" t="inlineStr">
        <is>
          <t>Dữ liệu biến thể</t>
        </is>
      </c>
      <c r="B1174" s="56" t="inlineStr">
        <is>
          <t>Tỷ lệ -1</t>
        </is>
      </c>
      <c r="C1174" s="57" t="n"/>
      <c r="D1174" s="57" t="n"/>
      <c r="E1174" s="57" t="n"/>
    </row>
    <row r="1175" ht="30" customHeight="1">
      <c r="A1175" s="47" t="inlineStr">
        <is>
          <t>Trạng thái</t>
        </is>
      </c>
      <c r="B1175" s="61" t="inlineStr">
        <is>
          <t>Chưa thực hiện</t>
        </is>
      </c>
      <c r="C1175" s="57" t="n"/>
      <c r="D1175" s="57" t="n"/>
      <c r="E1175" s="57" t="n"/>
    </row>
    <row r="1176" ht="30" customHeight="1">
      <c r="A1176" s="62" t="inlineStr">
        <is>
          <t>Kết quả thực tế</t>
        </is>
      </c>
    </row>
    <row r="1177" ht="64" customHeight="1">
      <c r="A1177" s="63" t="inlineStr"/>
      <c r="B1177" s="64" t="n"/>
      <c r="C1177" s="64" t="n"/>
      <c r="D1177" s="64" t="n"/>
      <c r="E1177" s="65" t="n"/>
    </row>
    <row r="1178" ht="30" customHeight="1">
      <c r="A1178" s="62" t="inlineStr">
        <is>
          <t>Ảnh minh chứng</t>
        </is>
      </c>
    </row>
    <row r="1179" ht="90" customHeight="1">
      <c r="A1179" s="63" t="inlineStr"/>
      <c r="B1179" s="64" t="n"/>
      <c r="C1179" s="64" t="n"/>
      <c r="D1179" s="64" t="n"/>
      <c r="E1179" s="65" t="n"/>
    </row>
    <row r="1180" ht="12" customHeight="1">
      <c r="A1180" s="66" t="inlineStr"/>
    </row>
    <row r="1181" ht="30" customHeight="1">
      <c r="A1181" s="60" t="inlineStr">
        <is>
          <t>TC-RS-VAL-022 / ratio0</t>
        </is>
      </c>
      <c r="B1181" s="36" t="n"/>
      <c r="C1181" s="36" t="n"/>
      <c r="D1181" s="36" t="n"/>
      <c r="E1181" s="36" t="n"/>
    </row>
    <row r="1182" ht="30" customHeight="1">
      <c r="A1182" s="47" t="inlineStr">
        <is>
          <t>Dữ liệu biến thể</t>
        </is>
      </c>
      <c r="B1182" s="56" t="inlineStr">
        <is>
          <t>Tỷ lệ 0</t>
        </is>
      </c>
      <c r="C1182" s="57" t="n"/>
      <c r="D1182" s="57" t="n"/>
      <c r="E1182" s="57" t="n"/>
    </row>
    <row r="1183" ht="30" customHeight="1">
      <c r="A1183" s="47" t="inlineStr">
        <is>
          <t>Trạng thái</t>
        </is>
      </c>
      <c r="B1183" s="61" t="inlineStr">
        <is>
          <t>Chưa thực hiện</t>
        </is>
      </c>
      <c r="C1183" s="57" t="n"/>
      <c r="D1183" s="57" t="n"/>
      <c r="E1183" s="57" t="n"/>
    </row>
    <row r="1184" ht="30" customHeight="1">
      <c r="A1184" s="62" t="inlineStr">
        <is>
          <t>Kết quả thực tế</t>
        </is>
      </c>
    </row>
    <row r="1185" ht="64" customHeight="1">
      <c r="A1185" s="63" t="inlineStr"/>
      <c r="B1185" s="64" t="n"/>
      <c r="C1185" s="64" t="n"/>
      <c r="D1185" s="64" t="n"/>
      <c r="E1185" s="65" t="n"/>
    </row>
    <row r="1186" ht="30" customHeight="1">
      <c r="A1186" s="62" t="inlineStr">
        <is>
          <t>Ảnh minh chứng</t>
        </is>
      </c>
    </row>
    <row r="1187" ht="90" customHeight="1">
      <c r="A1187" s="63" t="inlineStr"/>
      <c r="B1187" s="64" t="n"/>
      <c r="C1187" s="64" t="n"/>
      <c r="D1187" s="64" t="n"/>
      <c r="E1187" s="65" t="n"/>
    </row>
    <row r="1188" ht="12" customHeight="1">
      <c r="A1188" s="66" t="inlineStr"/>
    </row>
    <row r="1189" ht="30" customHeight="1">
      <c r="A1189" s="60" t="inlineStr">
        <is>
          <t>TC-RS-VAL-022 / ratio100</t>
        </is>
      </c>
      <c r="B1189" s="36" t="n"/>
      <c r="C1189" s="36" t="n"/>
      <c r="D1189" s="36" t="n"/>
      <c r="E1189" s="36" t="n"/>
    </row>
    <row r="1190" ht="30" customHeight="1">
      <c r="A1190" s="47" t="inlineStr">
        <is>
          <t>Dữ liệu biến thể</t>
        </is>
      </c>
      <c r="B1190" s="56" t="inlineStr">
        <is>
          <t>Tỷ lệ 100</t>
        </is>
      </c>
      <c r="C1190" s="57" t="n"/>
      <c r="D1190" s="57" t="n"/>
      <c r="E1190" s="57" t="n"/>
    </row>
    <row r="1191" ht="30" customHeight="1">
      <c r="A1191" s="47" t="inlineStr">
        <is>
          <t>Trạng thái</t>
        </is>
      </c>
      <c r="B1191" s="61" t="inlineStr">
        <is>
          <t>Chưa thực hiện</t>
        </is>
      </c>
      <c r="C1191" s="57" t="n"/>
      <c r="D1191" s="57" t="n"/>
      <c r="E1191" s="57" t="n"/>
    </row>
    <row r="1192" ht="30" customHeight="1">
      <c r="A1192" s="62" t="inlineStr">
        <is>
          <t>Kết quả thực tế</t>
        </is>
      </c>
    </row>
    <row r="1193" ht="64" customHeight="1">
      <c r="A1193" s="63" t="inlineStr"/>
      <c r="B1193" s="64" t="n"/>
      <c r="C1193" s="64" t="n"/>
      <c r="D1193" s="64" t="n"/>
      <c r="E1193" s="65" t="n"/>
    </row>
    <row r="1194" ht="30" customHeight="1">
      <c r="A1194" s="62" t="inlineStr">
        <is>
          <t>Ảnh minh chứng</t>
        </is>
      </c>
    </row>
    <row r="1195" ht="90" customHeight="1">
      <c r="A1195" s="63" t="inlineStr"/>
      <c r="B1195" s="64" t="n"/>
      <c r="C1195" s="64" t="n"/>
      <c r="D1195" s="64" t="n"/>
      <c r="E1195" s="65" t="n"/>
    </row>
    <row r="1196" ht="12" customHeight="1">
      <c r="A1196" s="66" t="inlineStr"/>
    </row>
    <row r="1197" ht="30" customHeight="1">
      <c r="A1197" s="60" t="inlineStr">
        <is>
          <t>TC-RS-VAL-022 / ratio101</t>
        </is>
      </c>
      <c r="B1197" s="36" t="n"/>
      <c r="C1197" s="36" t="n"/>
      <c r="D1197" s="36" t="n"/>
      <c r="E1197" s="36" t="n"/>
    </row>
    <row r="1198" ht="30" customHeight="1">
      <c r="A1198" s="47" t="inlineStr">
        <is>
          <t>Dữ liệu biến thể</t>
        </is>
      </c>
      <c r="B1198" s="56" t="inlineStr">
        <is>
          <t>Tỷ lệ 101</t>
        </is>
      </c>
      <c r="C1198" s="57" t="n"/>
      <c r="D1198" s="57" t="n"/>
      <c r="E1198" s="57" t="n"/>
    </row>
    <row r="1199" ht="30" customHeight="1">
      <c r="A1199" s="47" t="inlineStr">
        <is>
          <t>Trạng thái</t>
        </is>
      </c>
      <c r="B1199" s="61" t="inlineStr">
        <is>
          <t>Chưa thực hiện</t>
        </is>
      </c>
      <c r="C1199" s="57" t="n"/>
      <c r="D1199" s="57" t="n"/>
      <c r="E1199" s="57" t="n"/>
    </row>
    <row r="1200" ht="30" customHeight="1">
      <c r="A1200" s="62" t="inlineStr">
        <is>
          <t>Kết quả thực tế</t>
        </is>
      </c>
    </row>
    <row r="1201" ht="64" customHeight="1">
      <c r="A1201" s="63" t="inlineStr"/>
      <c r="B1201" s="64" t="n"/>
      <c r="C1201" s="64" t="n"/>
      <c r="D1201" s="64" t="n"/>
      <c r="E1201" s="65" t="n"/>
    </row>
    <row r="1202" ht="30" customHeight="1">
      <c r="A1202" s="62" t="inlineStr">
        <is>
          <t>Ảnh minh chứng</t>
        </is>
      </c>
    </row>
    <row r="1203" ht="90" customHeight="1">
      <c r="A1203" s="63" t="inlineStr"/>
      <c r="B1203" s="64" t="n"/>
      <c r="C1203" s="64" t="n"/>
      <c r="D1203" s="64" t="n"/>
      <c r="E1203" s="65" t="n"/>
    </row>
    <row r="1204" ht="12" customHeight="1">
      <c r="A1204" s="66" t="inlineStr"/>
    </row>
    <row r="1205" ht="20" customHeight="1">
      <c r="A1205" s="66" t="inlineStr"/>
    </row>
    <row r="1206" ht="30" customHeight="1">
      <c r="A1206" s="46" t="inlineStr">
        <is>
          <t>TC-RS-UI-008 — Màn Điều kiện áp dụng（適用条件設定）: bố cục và chuyển Toàn bộ/Bộ lọc</t>
        </is>
      </c>
      <c r="B1206" s="23" t="n"/>
      <c r="C1206" s="23" t="n"/>
      <c r="D1206" s="23" t="n"/>
      <c r="E1206" s="23" t="n"/>
    </row>
    <row r="1207" ht="30" customHeight="1">
      <c r="A1207" s="47" t="inlineStr">
        <is>
          <t>Trạng thái</t>
        </is>
      </c>
      <c r="B1207" s="61" t="inlineStr">
        <is>
          <t>Chưa thực hiện</t>
        </is>
      </c>
      <c r="C1207" s="57" t="n"/>
      <c r="D1207" s="57" t="n"/>
      <c r="E1207" s="57" t="n"/>
    </row>
    <row r="1208" ht="30" customHeight="1">
      <c r="A1208" s="47" t="inlineStr">
        <is>
          <t>Màn hình / chức năng</t>
        </is>
      </c>
      <c r="B1208" s="47" t="inlineStr">
        <is>
          <t>Điều kiện áp dụng（適用条件）</t>
        </is>
      </c>
      <c r="C1208" s="57" t="n"/>
      <c r="D1208" s="47" t="inlineStr">
        <is>
          <t>Đường dẫn</t>
        </is>
      </c>
      <c r="E1208" s="56" t="inlineStr">
        <is>
          <t>Chưa xác minh</t>
        </is>
      </c>
    </row>
    <row r="1209" ht="30" customHeight="1">
      <c r="A1209" s="58" t="inlineStr">
        <is>
          <t>Điều kiện kiểm thử</t>
        </is>
      </c>
      <c r="B1209" s="59" t="n"/>
      <c r="C1209" s="59" t="n"/>
      <c r="D1209" s="59" t="n"/>
      <c r="E1209" s="59" t="n"/>
    </row>
    <row r="1210" ht="30" customHeight="1">
      <c r="A1210" s="47" t="inlineStr">
        <is>
          <t>Cấu hình</t>
        </is>
      </c>
      <c r="B1210" s="56" t="inlineStr">
        <is>
          <t>• Mở thêm quy tắc cho mục số thập phân (M=100).</t>
        </is>
      </c>
      <c r="C1210" s="57" t="n"/>
      <c r="D1210" s="57" t="n"/>
      <c r="E1210" s="57" t="n"/>
    </row>
    <row r="1211" ht="61" customHeight="1">
      <c r="A1211" s="47" t="inlineStr">
        <is>
          <t>Vai trò / quyền</t>
        </is>
      </c>
      <c r="B121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211" s="57" t="n"/>
      <c r="D1211" s="57" t="n"/>
      <c r="E1211" s="57" t="n"/>
    </row>
    <row r="1212" ht="30" customHeight="1">
      <c r="A1212" s="47" t="inlineStr">
        <is>
          <t>Dữ liệu test</t>
        </is>
      </c>
      <c r="B1212" s="56" t="inlineStr">
        <is>
          <t>• Mục số thập phân (M=100)</t>
        </is>
      </c>
      <c r="C1212" s="57" t="n"/>
      <c r="D1212" s="57" t="n"/>
      <c r="E1212" s="57" t="n"/>
    </row>
    <row r="1213" ht="30" customHeight="1">
      <c r="A1213" s="47" t="inlineStr">
        <is>
          <t>Trigger</t>
        </is>
      </c>
      <c r="B1213" s="56" t="inlineStr">
        <is>
          <t>• Chỉ xem/xuất không tự chạy xét.</t>
        </is>
      </c>
      <c r="C1213" s="57" t="n"/>
      <c r="D1213" s="57" t="n"/>
      <c r="E1213" s="57" t="n"/>
    </row>
    <row r="1214" ht="44" customHeight="1">
      <c r="A1214" s="47" t="inlineStr">
        <is>
          <t>Blocker</t>
        </is>
      </c>
      <c r="B1214" s="56" t="inlineStr">
        <is>
          <t>• G-PREP-UNASSESSED: Chưa có xác minh fixture, đường thực hiện và phép quan sát trên build của từng case chưa đánh giá.</t>
        </is>
      </c>
      <c r="C1214" s="57" t="n"/>
      <c r="D1214" s="57" t="n"/>
      <c r="E1214" s="57" t="n"/>
    </row>
    <row r="1215" ht="30" customHeight="1">
      <c r="A1215" s="58" t="inlineStr">
        <is>
          <t>Thao tác</t>
        </is>
      </c>
      <c r="B1215" s="59" t="n"/>
      <c r="C1215" s="59" t="n"/>
      <c r="D1215" s="59" t="n"/>
      <c r="E1215" s="59" t="n"/>
    </row>
    <row r="1216" ht="30" customHeight="1">
      <c r="A1216" s="47" t="inlineStr">
        <is>
          <t>Step 1</t>
        </is>
      </c>
      <c r="B1216" s="56" t="inlineStr">
        <is>
          <t>Đối chiếu bố cục và đọc nguyên văn hướng dẫn điều kiện.</t>
        </is>
      </c>
      <c r="C1216" s="57" t="n"/>
      <c r="D1216" s="57" t="n"/>
      <c r="E1216" s="57" t="n"/>
    </row>
    <row r="1217" ht="30" customHeight="1">
      <c r="A1217" s="47" t="inlineStr">
        <is>
          <t>Step 2</t>
        </is>
      </c>
      <c r="B1217" s="56" t="inlineStr">
        <is>
          <t>Chọn Toàn bộ đối tượng（全員が対象）.</t>
        </is>
      </c>
      <c r="C1217" s="57" t="n"/>
      <c r="D1217" s="57" t="n"/>
      <c r="E1217" s="57" t="n"/>
    </row>
    <row r="1218" ht="44" customHeight="1">
      <c r="A1218" s="47" t="inlineStr">
        <is>
          <t>Step 3</t>
        </is>
      </c>
      <c r="B1218" s="56" t="inlineStr">
        <is>
          <t>Chọn Giới hạn bằng bộ lọc（特定条件で絞り込む）, thêm hai điều kiện cùng loại và hai điều kiện khác loại.</t>
        </is>
      </c>
      <c r="C1218" s="57" t="n"/>
      <c r="D1218" s="57" t="n"/>
      <c r="E1218" s="57" t="n"/>
    </row>
    <row r="1219" ht="44" customHeight="1">
      <c r="A1219" s="47" t="inlineStr">
        <is>
          <t>Reset</t>
        </is>
      </c>
      <c r="B1219" s="56" t="inlineStr">
        <is>
          <t>Trước mỗi biến thể, dựng lại điều kiện/dữ liệu đầu của case bằng đường được phép; giữ các reset/fixture độc lập đã nêu trong thủ tục.</t>
        </is>
      </c>
      <c r="C1219" s="57" t="n"/>
      <c r="D1219" s="57" t="n"/>
      <c r="E1219" s="57" t="n"/>
    </row>
    <row r="1220" ht="30" customHeight="1">
      <c r="A1220" s="58" t="inlineStr">
        <is>
          <t>Kết quả mong đợi</t>
        </is>
      </c>
      <c r="B1220" s="59" t="n"/>
      <c r="C1220" s="59" t="n"/>
      <c r="D1220" s="59" t="n"/>
      <c r="E1220" s="59" t="n"/>
    </row>
    <row r="1221" ht="30" customHeight="1">
      <c r="A1221" s="47" t="inlineStr">
        <is>
          <t>1.</t>
        </is>
      </c>
      <c r="B1221" s="56" t="inlineStr">
        <is>
          <t>Có các phần tử như Source.</t>
        </is>
      </c>
      <c r="C1221" s="57" t="n"/>
      <c r="D1221" s="57" t="n"/>
      <c r="E1221" s="57" t="n"/>
    </row>
    <row r="1222" ht="30" customHeight="1">
      <c r="A1222" s="47" t="inlineStr">
        <is>
          <t>2.</t>
        </is>
      </c>
      <c r="B1222" s="56" t="inlineStr">
        <is>
          <t>Không hiện vùng Điều kiện lọc（絞り込み条件）.</t>
        </is>
      </c>
      <c r="C1222" s="57" t="n"/>
      <c r="D1222" s="57" t="n"/>
      <c r="E1222" s="57" t="n"/>
    </row>
    <row r="1223" ht="78" customHeight="1">
      <c r="A1223" s="47" t="inlineStr">
        <is>
          <t>3.</t>
        </is>
      </c>
      <c r="B1223" s="56" t="inlineStr">
        <is>
          <t>Hiện vùng lọc, thêm được điều kiện và câu 「※同じ種類の条件はいずれか1つ、種類が違う条件はすべて満たす生徒が対象となります。」 (cùng loại chỉ cần thỏa một điều kiện, khác loại phải thỏa tất cả). Hướng dẫn phải phân biệt OR trong cùng loại bộ lọc với AND giữa các loại điều kiện; không dùng câu này để thay thế phép AND giữa các điều kiện nguồn A/R trong cùng rule.</t>
        </is>
      </c>
      <c r="C1223" s="57" t="n"/>
      <c r="D1223" s="57" t="n"/>
      <c r="E1223" s="57" t="n"/>
    </row>
    <row r="1224" ht="44" customHeight="1">
      <c r="A1224" s="47" t="inlineStr">
        <is>
          <t>Giữ nguyên</t>
        </is>
      </c>
      <c r="B1224" s="56" t="inlineStr">
        <is>
          <t>• Giữ điểm, cấu hình và đối tượng không đích theo expected;
• Chỉ thay phần thủ tục yêu cầu, không tự đổi oracle hoặc mở rộng phạm vi.</t>
        </is>
      </c>
      <c r="C1224" s="57" t="n"/>
      <c r="D1224" s="57" t="n"/>
      <c r="E1224" s="57" t="n"/>
    </row>
    <row r="1225" ht="61" customHeight="1">
      <c r="A1225" s="47" t="inlineStr">
        <is>
          <t>Quan sát tại</t>
        </is>
      </c>
      <c r="B1225" s="56" t="inlineStr">
        <is>
          <t>• Dùng trích xuất không lọc để thấy cả ô đối chứng. Trạng thái không có dấu đỏ cần đọc thêm trạng thái lưu;
• Output Excel/PDF dùng file thật.</t>
        </is>
      </c>
      <c r="C1225" s="57" t="n"/>
      <c r="D1225" s="57" t="n"/>
      <c r="E1225" s="57" t="n"/>
    </row>
    <row r="1226" ht="30" customHeight="1">
      <c r="A1226" s="58" t="inlineStr">
        <is>
          <t>Kết quả thực tế</t>
        </is>
      </c>
      <c r="B1226" s="59" t="n"/>
      <c r="C1226" s="59" t="n"/>
      <c r="D1226" s="59" t="n"/>
      <c r="E1226" s="59" t="n"/>
    </row>
    <row r="1227" ht="30" customHeight="1">
      <c r="A1227" s="47" t="inlineStr">
        <is>
          <t>Dữ liệu biến thể</t>
        </is>
      </c>
      <c r="B1227" s="56" t="inlineStr">
        <is>
          <t>Toàn bộ thủ tục theo đúng thứ tự; các đối chứng cùng fixture được kiểm trong cùng lượt, không bỏ bước</t>
        </is>
      </c>
      <c r="C1227" s="57" t="n"/>
      <c r="D1227" s="57" t="n"/>
      <c r="E1227" s="57" t="n"/>
    </row>
    <row r="1228" ht="30" customHeight="1">
      <c r="A1228" s="62" t="inlineStr">
        <is>
          <t>Kết quả thực tế</t>
        </is>
      </c>
    </row>
    <row r="1229" ht="64" customHeight="1">
      <c r="A1229" s="63" t="inlineStr"/>
      <c r="B1229" s="64" t="n"/>
      <c r="C1229" s="64" t="n"/>
      <c r="D1229" s="64" t="n"/>
      <c r="E1229" s="65" t="n"/>
    </row>
    <row r="1230" ht="30" customHeight="1">
      <c r="A1230" s="62" t="inlineStr">
        <is>
          <t>Ảnh minh chứng</t>
        </is>
      </c>
    </row>
    <row r="1231" ht="90" customHeight="1">
      <c r="A1231" s="63" t="inlineStr"/>
      <c r="B1231" s="64" t="n"/>
      <c r="C1231" s="64" t="n"/>
      <c r="D1231" s="64" t="n"/>
      <c r="E1231" s="65" t="n"/>
    </row>
    <row r="1232" ht="12" customHeight="1">
      <c r="A1232" s="66" t="inlineStr"/>
    </row>
    <row r="1233" ht="20" customHeight="1">
      <c r="A1233" s="66" t="inlineStr"/>
    </row>
    <row r="1234" ht="44" customHeight="1">
      <c r="A1234" s="46" t="inlineStr">
        <is>
          <t>TC-RS-UI-009 — Khối điều kiện Trung bình（平均点） và nguồn tham chiếu, không có ô chọn "kết quả tổng hợp dùng để tham chiếu"</t>
        </is>
      </c>
      <c r="B1234" s="23" t="n"/>
      <c r="C1234" s="23" t="n"/>
      <c r="D1234" s="23" t="n"/>
      <c r="E1234" s="23" t="n"/>
    </row>
    <row r="1235" ht="30" customHeight="1">
      <c r="A1235" s="47" t="inlineStr">
        <is>
          <t>Trạng thái</t>
        </is>
      </c>
      <c r="B1235" s="61" t="inlineStr">
        <is>
          <t>Chưa thực hiện</t>
        </is>
      </c>
      <c r="C1235" s="57" t="n"/>
      <c r="D1235" s="57" t="n"/>
      <c r="E1235" s="57" t="n"/>
    </row>
    <row r="1236" ht="30" customHeight="1">
      <c r="A1236" s="47" t="inlineStr">
        <is>
          <t>Màn hình / chức năng</t>
        </is>
      </c>
      <c r="B1236" s="47" t="inlineStr">
        <is>
          <t>Điều kiện áp dụng（適用条件）</t>
        </is>
      </c>
      <c r="C1236" s="57" t="n"/>
      <c r="D1236" s="47" t="inlineStr">
        <is>
          <t>Đường dẫn</t>
        </is>
      </c>
      <c r="E1236" s="56" t="inlineStr">
        <is>
          <t>Chưa xác minh</t>
        </is>
      </c>
    </row>
    <row r="1237" ht="30" customHeight="1">
      <c r="A1237" s="58" t="inlineStr">
        <is>
          <t>Điều kiện kiểm thử</t>
        </is>
      </c>
      <c r="B1237" s="59" t="n"/>
      <c r="C1237" s="59" t="n"/>
      <c r="D1237" s="59" t="n"/>
      <c r="E1237" s="59" t="n"/>
    </row>
    <row r="1238" ht="30" customHeight="1">
      <c r="A1238" s="47" t="inlineStr">
        <is>
          <t>Cấu hình</t>
        </is>
      </c>
      <c r="B1238" s="56" t="inlineStr">
        <is>
          <t>• Màn Điều kiện áp dụng, Giới hạn bằng bộ lọc.</t>
        </is>
      </c>
      <c r="C1238" s="57" t="n"/>
      <c r="D1238" s="57" t="n"/>
      <c r="E1238" s="57" t="n"/>
    </row>
    <row r="1239" ht="61" customHeight="1">
      <c r="A1239" s="47" t="inlineStr">
        <is>
          <t>Vai trò / quyền</t>
        </is>
      </c>
      <c r="B123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239" s="57" t="n"/>
      <c r="D1239" s="57" t="n"/>
      <c r="E1239" s="57" t="n"/>
    </row>
    <row r="1240" ht="30" customHeight="1">
      <c r="A1240" s="47" t="inlineStr">
        <is>
          <t>Dữ liệu test</t>
        </is>
      </c>
      <c r="B1240" s="56" t="inlineStr">
        <is>
          <t>• —</t>
        </is>
      </c>
      <c r="C1240" s="57" t="n"/>
      <c r="D1240" s="57" t="n"/>
      <c r="E1240" s="57" t="n"/>
    </row>
    <row r="1241" ht="30" customHeight="1">
      <c r="A1241" s="47" t="inlineStr">
        <is>
          <t>Trigger</t>
        </is>
      </c>
      <c r="B1241" s="56" t="inlineStr">
        <is>
          <t>• Chỉ xem/xuất không tự chạy xét.</t>
        </is>
      </c>
      <c r="C1241" s="57" t="n"/>
      <c r="D1241" s="57" t="n"/>
      <c r="E1241" s="57" t="n"/>
    </row>
    <row r="1242" ht="44" customHeight="1">
      <c r="A1242" s="47" t="inlineStr">
        <is>
          <t>Blocker</t>
        </is>
      </c>
      <c r="B1242" s="56" t="inlineStr">
        <is>
          <t>• G-PREP-UNASSESSED: Chưa có xác minh fixture, đường thực hiện và phép quan sát trên build của từng case chưa đánh giá.</t>
        </is>
      </c>
      <c r="C1242" s="57" t="n"/>
      <c r="D1242" s="57" t="n"/>
      <c r="E1242" s="57" t="n"/>
    </row>
    <row r="1243" ht="30" customHeight="1">
      <c r="A1243" s="58" t="inlineStr">
        <is>
          <t>Thao tác</t>
        </is>
      </c>
      <c r="B1243" s="59" t="n"/>
      <c r="C1243" s="59" t="n"/>
      <c r="D1243" s="59" t="n"/>
      <c r="E1243" s="59" t="n"/>
    </row>
    <row r="1244" ht="30" customHeight="1">
      <c r="A1244" s="47" t="inlineStr">
        <is>
          <t>•</t>
        </is>
      </c>
      <c r="B1244" s="56" t="inlineStr">
        <is>
          <t>Thêm điều kiện Trung bình（平均点）, xem các ô.</t>
        </is>
      </c>
      <c r="C1244" s="57" t="n"/>
      <c r="D1244" s="57" t="n"/>
      <c r="E1244" s="57" t="n"/>
    </row>
    <row r="1245" ht="44" customHeight="1">
      <c r="A1245" s="47" t="inlineStr">
        <is>
          <t>Reset</t>
        </is>
      </c>
      <c r="B1245" s="56" t="inlineStr">
        <is>
          <t>Trước mỗi biến thể, dựng lại điều kiện/dữ liệu đầu của case bằng đường được phép; giữ các reset/fixture độc lập đã nêu trong thủ tục.</t>
        </is>
      </c>
      <c r="C1245" s="57" t="n"/>
      <c r="D1245" s="57" t="n"/>
      <c r="E1245" s="57" t="n"/>
    </row>
    <row r="1246" ht="30" customHeight="1">
      <c r="A1246" s="58" t="inlineStr">
        <is>
          <t>Kết quả mong đợi</t>
        </is>
      </c>
      <c r="B1246" s="59" t="n"/>
      <c r="C1246" s="59" t="n"/>
      <c r="D1246" s="59" t="n"/>
      <c r="E1246" s="59" t="n"/>
    </row>
    <row r="1247" ht="44" customHeight="1">
      <c r="A1247" s="47" t="inlineStr">
        <is>
          <t>•</t>
        </is>
      </c>
      <c r="B1247" s="56" t="inlineStr">
        <is>
          <t>CONFIRMED: có ba ô nguồn (thời kỳ, thiết lập tổng hợp thứ hạng, nhóm tham chiếu); không có ô chọn kết quả tổng hợp cụ thể/bản chốt.</t>
        </is>
      </c>
      <c r="C1247" s="57" t="n"/>
      <c r="D1247" s="57" t="n"/>
      <c r="E1247" s="57" t="n"/>
    </row>
    <row r="1248" ht="30" customHeight="1">
      <c r="A1248" s="47" t="inlineStr">
        <is>
          <t>•</t>
        </is>
      </c>
      <c r="B1248" s="56" t="inlineStr">
        <is>
          <t>PROPOSED: câu mục tham chiếu, bố cục ô mốc + đơn vị 点 (điểm) + dấu.</t>
        </is>
      </c>
      <c r="C1248" s="57" t="n"/>
      <c r="D1248" s="57" t="n"/>
      <c r="E1248" s="57" t="n"/>
    </row>
    <row r="1249" ht="44" customHeight="1">
      <c r="A1249" s="47" t="inlineStr">
        <is>
          <t>Giữ nguyên</t>
        </is>
      </c>
      <c r="B1249" s="56" t="inlineStr">
        <is>
          <t>• Giữ điểm, cấu hình và đối tượng không đích theo expected;
• Chỉ thay phần thủ tục yêu cầu, không tự đổi oracle hoặc mở rộng phạm vi.</t>
        </is>
      </c>
      <c r="C1249" s="57" t="n"/>
      <c r="D1249" s="57" t="n"/>
      <c r="E1249" s="57" t="n"/>
    </row>
    <row r="1250" ht="61" customHeight="1">
      <c r="A1250" s="47" t="inlineStr">
        <is>
          <t>Quan sát tại</t>
        </is>
      </c>
      <c r="B1250" s="56" t="inlineStr">
        <is>
          <t>• Dùng trích xuất không lọc để thấy cả ô đối chứng. Trạng thái không có dấu đỏ cần đọc thêm trạng thái lưu;
• Output Excel/PDF dùng file thật.</t>
        </is>
      </c>
      <c r="C1250" s="57" t="n"/>
      <c r="D1250" s="57" t="n"/>
      <c r="E1250" s="57" t="n"/>
    </row>
    <row r="1251" ht="30" customHeight="1">
      <c r="A1251" s="58" t="inlineStr">
        <is>
          <t>Kết quả thực tế</t>
        </is>
      </c>
      <c r="B1251" s="59" t="n"/>
      <c r="C1251" s="59" t="n"/>
      <c r="D1251" s="59" t="n"/>
      <c r="E1251" s="59" t="n"/>
    </row>
    <row r="1252" ht="30" customHeight="1">
      <c r="A1252" s="47" t="inlineStr">
        <is>
          <t>Dữ liệu biến thể</t>
        </is>
      </c>
      <c r="B1252" s="56" t="inlineStr">
        <is>
          <t>Toàn bộ thủ tục theo đúng thứ tự; các đối chứng cùng fixture được kiểm trong cùng lượt, không bỏ bước</t>
        </is>
      </c>
      <c r="C1252" s="57" t="n"/>
      <c r="D1252" s="57" t="n"/>
      <c r="E1252" s="57" t="n"/>
    </row>
    <row r="1253" ht="30" customHeight="1">
      <c r="A1253" s="62" t="inlineStr">
        <is>
          <t>Kết quả thực tế</t>
        </is>
      </c>
    </row>
    <row r="1254" ht="64" customHeight="1">
      <c r="A1254" s="63" t="inlineStr"/>
      <c r="B1254" s="64" t="n"/>
      <c r="C1254" s="64" t="n"/>
      <c r="D1254" s="64" t="n"/>
      <c r="E1254" s="65" t="n"/>
    </row>
    <row r="1255" ht="30" customHeight="1">
      <c r="A1255" s="62" t="inlineStr">
        <is>
          <t>Ảnh minh chứng</t>
        </is>
      </c>
    </row>
    <row r="1256" ht="90" customHeight="1">
      <c r="A1256" s="63" t="inlineStr"/>
      <c r="B1256" s="64" t="n"/>
      <c r="C1256" s="64" t="n"/>
      <c r="D1256" s="64" t="n"/>
      <c r="E1256" s="65" t="n"/>
    </row>
    <row r="1257" ht="12" customHeight="1">
      <c r="A1257" s="66" t="inlineStr"/>
    </row>
    <row r="1258" ht="20" customHeight="1">
      <c r="A1258" s="66" t="inlineStr"/>
    </row>
    <row r="1259" ht="30" customHeight="1">
      <c r="A1259" s="46" t="inlineStr">
        <is>
          <t>TC-RS-UI-010 — Khối điều kiện Tỷ lệ điểm của nhóm（集団の得点率）</t>
        </is>
      </c>
      <c r="B1259" s="23" t="n"/>
      <c r="C1259" s="23" t="n"/>
      <c r="D1259" s="23" t="n"/>
      <c r="E1259" s="23" t="n"/>
    </row>
    <row r="1260" ht="30" customHeight="1">
      <c r="A1260" s="47" t="inlineStr">
        <is>
          <t>Trạng thái</t>
        </is>
      </c>
      <c r="B1260" s="61" t="inlineStr">
        <is>
          <t>Chưa thực hiện</t>
        </is>
      </c>
      <c r="C1260" s="57" t="n"/>
      <c r="D1260" s="57" t="n"/>
      <c r="E1260" s="57" t="n"/>
    </row>
    <row r="1261" ht="30" customHeight="1">
      <c r="A1261" s="47" t="inlineStr">
        <is>
          <t>Màn hình / chức năng</t>
        </is>
      </c>
      <c r="B1261" s="47" t="inlineStr">
        <is>
          <t>Điều kiện áp dụng（適用条件）</t>
        </is>
      </c>
      <c r="C1261" s="57" t="n"/>
      <c r="D1261" s="47" t="inlineStr">
        <is>
          <t>Đường dẫn</t>
        </is>
      </c>
      <c r="E1261" s="56" t="inlineStr">
        <is>
          <t>Chưa xác minh</t>
        </is>
      </c>
    </row>
    <row r="1262" ht="30" customHeight="1">
      <c r="A1262" s="58" t="inlineStr">
        <is>
          <t>Điều kiện kiểm thử</t>
        </is>
      </c>
      <c r="B1262" s="59" t="n"/>
      <c r="C1262" s="59" t="n"/>
      <c r="D1262" s="59" t="n"/>
      <c r="E1262" s="59" t="n"/>
    </row>
    <row r="1263" ht="30" customHeight="1">
      <c r="A1263" s="47" t="inlineStr">
        <is>
          <t>Cấu hình</t>
        </is>
      </c>
      <c r="B1263" s="56" t="inlineStr">
        <is>
          <t>• Màn Điều kiện áp dụng.</t>
        </is>
      </c>
      <c r="C1263" s="57" t="n"/>
      <c r="D1263" s="57" t="n"/>
      <c r="E1263" s="57" t="n"/>
    </row>
    <row r="1264" ht="61" customHeight="1">
      <c r="A1264" s="47" t="inlineStr">
        <is>
          <t>Vai trò / quyền</t>
        </is>
      </c>
      <c r="B126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264" s="57" t="n"/>
      <c r="D1264" s="57" t="n"/>
      <c r="E1264" s="57" t="n"/>
    </row>
    <row r="1265" ht="30" customHeight="1">
      <c r="A1265" s="47" t="inlineStr">
        <is>
          <t>Dữ liệu test</t>
        </is>
      </c>
      <c r="B1265" s="56" t="inlineStr">
        <is>
          <t>• —</t>
        </is>
      </c>
      <c r="C1265" s="57" t="n"/>
      <c r="D1265" s="57" t="n"/>
      <c r="E1265" s="57" t="n"/>
    </row>
    <row r="1266" ht="30" customHeight="1">
      <c r="A1266" s="47" t="inlineStr">
        <is>
          <t>Trigger</t>
        </is>
      </c>
      <c r="B1266" s="56" t="inlineStr">
        <is>
          <t>• Chỉ xem/xuất không tự chạy xét.</t>
        </is>
      </c>
      <c r="C1266" s="57" t="n"/>
      <c r="D1266" s="57" t="n"/>
      <c r="E1266" s="57" t="n"/>
    </row>
    <row r="1267" ht="44" customHeight="1">
      <c r="A1267" s="47" t="inlineStr">
        <is>
          <t>Blocker</t>
        </is>
      </c>
      <c r="B1267" s="56" t="inlineStr">
        <is>
          <t>• G-PREP-UNASSESSED: Chưa có xác minh fixture, đường thực hiện và phép quan sát trên build của từng case chưa đánh giá.</t>
        </is>
      </c>
      <c r="C1267" s="57" t="n"/>
      <c r="D1267" s="57" t="n"/>
      <c r="E1267" s="57" t="n"/>
    </row>
    <row r="1268" ht="30" customHeight="1">
      <c r="A1268" s="58" t="inlineStr">
        <is>
          <t>Thao tác</t>
        </is>
      </c>
      <c r="B1268" s="59" t="n"/>
      <c r="C1268" s="59" t="n"/>
      <c r="D1268" s="59" t="n"/>
      <c r="E1268" s="59" t="n"/>
    </row>
    <row r="1269" ht="30" customHeight="1">
      <c r="A1269" s="47" t="inlineStr">
        <is>
          <t>•</t>
        </is>
      </c>
      <c r="B1269" s="56" t="inlineStr">
        <is>
          <t>Thêm điều kiện Tỷ lệ điểm của nhóm（集団の得点率）.</t>
        </is>
      </c>
      <c r="C1269" s="57" t="n"/>
      <c r="D1269" s="57" t="n"/>
      <c r="E1269" s="57" t="n"/>
    </row>
    <row r="1270" ht="44" customHeight="1">
      <c r="A1270" s="47" t="inlineStr">
        <is>
          <t>Reset</t>
        </is>
      </c>
      <c r="B1270" s="56" t="inlineStr">
        <is>
          <t>Trước mỗi biến thể, dựng lại điều kiện/dữ liệu đầu của case bằng đường được phép; giữ các reset/fixture độc lập đã nêu trong thủ tục.</t>
        </is>
      </c>
      <c r="C1270" s="57" t="n"/>
      <c r="D1270" s="57" t="n"/>
      <c r="E1270" s="57" t="n"/>
    </row>
    <row r="1271" ht="30" customHeight="1">
      <c r="A1271" s="58" t="inlineStr">
        <is>
          <t>Kết quả mong đợi</t>
        </is>
      </c>
      <c r="B1271" s="59" t="n"/>
      <c r="C1271" s="59" t="n"/>
      <c r="D1271" s="59" t="n"/>
      <c r="E1271" s="59" t="n"/>
    </row>
    <row r="1272" ht="44" customHeight="1">
      <c r="A1272" s="47" t="inlineStr">
        <is>
          <t>•</t>
        </is>
      </c>
      <c r="B1272" s="56" t="inlineStr">
        <is>
          <t>Có ba ô nguồn như UI-009, ô mốc với đơn vị %, dấu so sánh. Không có tùy chọn cách tính A/B (Q&amp;A nghiệp vụ đã xác nhận câu “Tỷ lệ nhóm có cần xử lý riêng khi các lớp khác điểm tối đa không?” — CONFIRMED).</t>
        </is>
      </c>
      <c r="C1272" s="57" t="n"/>
      <c r="D1272" s="57" t="n"/>
      <c r="E1272" s="57" t="n"/>
    </row>
    <row r="1273" ht="44" customHeight="1">
      <c r="A1273" s="47" t="inlineStr">
        <is>
          <t>Giữ nguyên</t>
        </is>
      </c>
      <c r="B1273" s="56" t="inlineStr">
        <is>
          <t>• Giữ điểm, cấu hình và đối tượng không đích theo expected;
• Chỉ thay phần thủ tục yêu cầu, không tự đổi oracle hoặc mở rộng phạm vi.</t>
        </is>
      </c>
      <c r="C1273" s="57" t="n"/>
      <c r="D1273" s="57" t="n"/>
      <c r="E1273" s="57" t="n"/>
    </row>
    <row r="1274" ht="61" customHeight="1">
      <c r="A1274" s="47" t="inlineStr">
        <is>
          <t>Quan sát tại</t>
        </is>
      </c>
      <c r="B1274" s="56" t="inlineStr">
        <is>
          <t>• Dùng trích xuất không lọc để thấy cả ô đối chứng. Trạng thái không có dấu đỏ cần đọc thêm trạng thái lưu;
• Output Excel/PDF dùng file thật.</t>
        </is>
      </c>
      <c r="C1274" s="57" t="n"/>
      <c r="D1274" s="57" t="n"/>
      <c r="E1274" s="57" t="n"/>
    </row>
    <row r="1275" ht="30" customHeight="1">
      <c r="A1275" s="58" t="inlineStr">
        <is>
          <t>Kết quả thực tế</t>
        </is>
      </c>
      <c r="B1275" s="59" t="n"/>
      <c r="C1275" s="59" t="n"/>
      <c r="D1275" s="59" t="n"/>
      <c r="E1275" s="59" t="n"/>
    </row>
    <row r="1276" ht="30" customHeight="1">
      <c r="A1276" s="47" t="inlineStr">
        <is>
          <t>Dữ liệu biến thể</t>
        </is>
      </c>
      <c r="B1276" s="56" t="inlineStr">
        <is>
          <t>Toàn bộ thủ tục theo đúng thứ tự; các đối chứng cùng fixture được kiểm trong cùng lượt, không bỏ bước</t>
        </is>
      </c>
      <c r="C1276" s="57" t="n"/>
      <c r="D1276" s="57" t="n"/>
      <c r="E1276" s="57" t="n"/>
    </row>
    <row r="1277" ht="30" customHeight="1">
      <c r="A1277" s="62" t="inlineStr">
        <is>
          <t>Kết quả thực tế</t>
        </is>
      </c>
    </row>
    <row r="1278" ht="64" customHeight="1">
      <c r="A1278" s="63" t="inlineStr"/>
      <c r="B1278" s="64" t="n"/>
      <c r="C1278" s="64" t="n"/>
      <c r="D1278" s="64" t="n"/>
      <c r="E1278" s="65" t="n"/>
    </row>
    <row r="1279" ht="30" customHeight="1">
      <c r="A1279" s="62" t="inlineStr">
        <is>
          <t>Ảnh minh chứng</t>
        </is>
      </c>
    </row>
    <row r="1280" ht="90" customHeight="1">
      <c r="A1280" s="63" t="inlineStr"/>
      <c r="B1280" s="64" t="n"/>
      <c r="C1280" s="64" t="n"/>
      <c r="D1280" s="64" t="n"/>
      <c r="E1280" s="65" t="n"/>
    </row>
    <row r="1281" ht="12" customHeight="1">
      <c r="A1281" s="66" t="inlineStr"/>
    </row>
    <row r="1282" ht="20" customHeight="1">
      <c r="A1282" s="66" t="inlineStr"/>
    </row>
    <row r="1283" ht="30" customHeight="1">
      <c r="A1283" s="46" t="inlineStr">
        <is>
          <t>TC-RS-FUNC-011 — Chọn loại ngưỡng làm thay đổi vùng nhập</t>
        </is>
      </c>
      <c r="B1283" s="23" t="n"/>
      <c r="C1283" s="23" t="n"/>
      <c r="D1283" s="23" t="n"/>
      <c r="E1283" s="23" t="n"/>
    </row>
    <row r="1284" ht="30" customHeight="1">
      <c r="A1284" s="47" t="inlineStr">
        <is>
          <t>Trạng thái</t>
        </is>
      </c>
      <c r="B1284" s="56">
        <f>IF(0&gt;0,"Không đạt",IF(0=3,"Đạt",IF(SUMPRODUCT(--EXACT('Testcases'!B1306:B1322,"Không thực hiện"))=3,"Không thực hiện",IF(SUMPRODUCT(--EXACT('Testcases'!B1306:B1322,"Bị chặn"))&gt;0,"Bị chặn",IF(SUMPRODUCT(--EXACT('Testcases'!B1306:B1322,"Chưa thực hiện"))=3,"Chưa thực hiện","Chưa đủ kết luận")))))</f>
        <v/>
      </c>
      <c r="C1284" s="57" t="n"/>
      <c r="D1284" s="57" t="n"/>
      <c r="E1284" s="57" t="n"/>
    </row>
    <row r="1285" ht="30" customHeight="1">
      <c r="A1285" s="47" t="inlineStr">
        <is>
          <t>Màn hình / chức năng</t>
        </is>
      </c>
      <c r="B1285" s="47" t="inlineStr">
        <is>
          <t>Thiết lập ngưỡng（基準設定）</t>
        </is>
      </c>
      <c r="C1285" s="57" t="n"/>
      <c r="D1285" s="47" t="inlineStr">
        <is>
          <t>Đường dẫn</t>
        </is>
      </c>
      <c r="E1285" s="56" t="inlineStr">
        <is>
          <t>Chưa xác minh</t>
        </is>
      </c>
    </row>
    <row r="1286" ht="30" customHeight="1">
      <c r="A1286" s="58" t="inlineStr">
        <is>
          <t>Điều kiện kiểm thử</t>
        </is>
      </c>
      <c r="B1286" s="59" t="n"/>
      <c r="C1286" s="59" t="n"/>
      <c r="D1286" s="59" t="n"/>
      <c r="E1286" s="59" t="n"/>
    </row>
    <row r="1287" ht="30" customHeight="1">
      <c r="A1287" s="47" t="inlineStr">
        <is>
          <t>Cấu hình</t>
        </is>
      </c>
      <c r="B1287" s="56" t="inlineStr">
        <is>
          <t>• Mở Ngưỡng của một quy tắc.</t>
        </is>
      </c>
      <c r="C1287" s="57" t="n"/>
      <c r="D1287" s="57" t="n"/>
      <c r="E1287" s="57" t="n"/>
    </row>
    <row r="1288" ht="61" customHeight="1">
      <c r="A1288" s="47" t="inlineStr">
        <is>
          <t>Vai trò / quyền</t>
        </is>
      </c>
      <c r="B128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288" s="57" t="n"/>
      <c r="D1288" s="57" t="n"/>
      <c r="E1288" s="57" t="n"/>
    </row>
    <row r="1289" ht="30" customHeight="1">
      <c r="A1289" s="47" t="inlineStr">
        <is>
          <t>Dữ liệu test</t>
        </is>
      </c>
      <c r="B1289" s="56" t="inlineStr">
        <is>
          <t>• —</t>
        </is>
      </c>
      <c r="C1289" s="57" t="n"/>
      <c r="D1289" s="57" t="n"/>
      <c r="E1289" s="57" t="n"/>
    </row>
    <row r="1290" ht="30" customHeight="1">
      <c r="A1290" s="47" t="inlineStr">
        <is>
          <t>Trigger</t>
        </is>
      </c>
      <c r="B1290" s="56" t="inlineStr">
        <is>
          <t>• Chỉ xem/xuất không tự chạy xét.</t>
        </is>
      </c>
      <c r="C1290" s="57" t="n"/>
      <c r="D1290" s="57" t="n"/>
      <c r="E1290" s="57" t="n"/>
    </row>
    <row r="1291" ht="44" customHeight="1">
      <c r="A1291" s="47" t="inlineStr">
        <is>
          <t>Blocker</t>
        </is>
      </c>
      <c r="B1291" s="56" t="inlineStr">
        <is>
          <t>• G-PREP-UNASSESSED: Chưa có xác minh fixture, đường thực hiện và phép quan sát trên build của từng case chưa đánh giá.</t>
        </is>
      </c>
      <c r="C1291" s="57" t="n"/>
      <c r="D1291" s="57" t="n"/>
      <c r="E1291" s="57" t="n"/>
    </row>
    <row r="1292" ht="30" customHeight="1">
      <c r="A1292" s="58" t="inlineStr">
        <is>
          <t>Thao tác</t>
        </is>
      </c>
      <c r="B1292" s="59" t="n"/>
      <c r="C1292" s="59" t="n"/>
      <c r="D1292" s="59" t="n"/>
      <c r="E1292" s="59" t="n"/>
    </row>
    <row r="1293" ht="30" customHeight="1">
      <c r="A1293" s="47" t="inlineStr">
        <is>
          <t>Step 1</t>
        </is>
      </c>
      <c r="B1293" s="56" t="inlineStr">
        <is>
          <t>Chọn Điểm cố định（固定点数）.</t>
        </is>
      </c>
      <c r="C1293" s="57" t="n"/>
      <c r="D1293" s="57" t="n"/>
      <c r="E1293" s="57" t="n"/>
    </row>
    <row r="1294" ht="30" customHeight="1">
      <c r="A1294" s="47" t="inlineStr">
        <is>
          <t>Step 2</t>
        </is>
      </c>
      <c r="B1294" s="56" t="inlineStr">
        <is>
          <t>Chọn Tỷ lệ điểm tối đa（得点率）.</t>
        </is>
      </c>
      <c r="C1294" s="57" t="n"/>
      <c r="D1294" s="57" t="n"/>
      <c r="E1294" s="57" t="n"/>
    </row>
    <row r="1295" ht="30" customHeight="1">
      <c r="A1295" s="47" t="inlineStr">
        <is>
          <t>Step 3</t>
        </is>
      </c>
      <c r="B1295" s="56" t="inlineStr">
        <is>
          <t>Chọn Công thức（計算式）.</t>
        </is>
      </c>
      <c r="C1295" s="57" t="n"/>
      <c r="D1295" s="57" t="n"/>
      <c r="E1295" s="57" t="n"/>
    </row>
    <row r="1296" ht="44" customHeight="1">
      <c r="A1296" s="47" t="inlineStr">
        <is>
          <t>Reset</t>
        </is>
      </c>
      <c r="B1296" s="56" t="inlineStr">
        <is>
          <t>Trước mỗi biến thể, dựng lại điều kiện/dữ liệu đầu của case bằng đường được phép; giữ các reset/fixture độc lập đã nêu trong thủ tục.</t>
        </is>
      </c>
      <c r="C1296" s="57" t="n"/>
      <c r="D1296" s="57" t="n"/>
      <c r="E1296" s="57" t="n"/>
    </row>
    <row r="1297" ht="30" customHeight="1">
      <c r="A1297" s="58" t="inlineStr">
        <is>
          <t>Kết quả mong đợi</t>
        </is>
      </c>
      <c r="B1297" s="59" t="n"/>
      <c r="C1297" s="59" t="n"/>
      <c r="D1297" s="59" t="n"/>
      <c r="E1297" s="59" t="n"/>
    </row>
    <row r="1298" ht="30" customHeight="1">
      <c r="A1298" s="47" t="inlineStr">
        <is>
          <t>1.</t>
        </is>
      </c>
      <c r="B1298" s="56" t="inlineStr">
        <is>
          <t>Cố định: có ô ngưỡng và dấu so sánh; không có vùng nguồn trung bình, không có xử lý phần lẻ.</t>
        </is>
      </c>
      <c r="C1298" s="57" t="n"/>
      <c r="D1298" s="57" t="n"/>
      <c r="E1298" s="57" t="n"/>
    </row>
    <row r="1299" ht="30" customHeight="1">
      <c r="A1299" s="47" t="inlineStr">
        <is>
          <t>2.</t>
        </is>
      </c>
      <c r="B1299" s="56" t="inlineStr">
        <is>
          <t>Tỷ lệ: có ô %, xử lý phần lẻ, dấu so sánh; không có vùng nguồn trung bình.</t>
        </is>
      </c>
      <c r="C1299" s="57" t="n"/>
      <c r="D1299" s="57" t="n"/>
      <c r="E1299" s="57" t="n"/>
    </row>
    <row r="1300" ht="30" customHeight="1">
      <c r="A1300" s="47" t="inlineStr">
        <is>
          <t>3.</t>
        </is>
      </c>
      <c r="B1300" s="56" t="inlineStr">
        <is>
          <t>Công thức: có vùng nguồn trung bình, bảng dòng công thức, dấu so sánh.</t>
        </is>
      </c>
      <c r="C1300" s="57" t="n"/>
      <c r="D1300" s="57" t="n"/>
      <c r="E1300" s="57" t="n"/>
    </row>
    <row r="1301" ht="44" customHeight="1">
      <c r="A1301" s="47" t="inlineStr">
        <is>
          <t>Giữ nguyên</t>
        </is>
      </c>
      <c r="B1301" s="56" t="inlineStr">
        <is>
          <t>• Giữ điểm, cấu hình và đối tượng không đích theo expected;
• Chỉ thay phần thủ tục yêu cầu, không tự đổi oracle hoặc mở rộng phạm vi.</t>
        </is>
      </c>
      <c r="C1301" s="57" t="n"/>
      <c r="D1301" s="57" t="n"/>
      <c r="E1301" s="57" t="n"/>
    </row>
    <row r="1302" ht="61" customHeight="1">
      <c r="A1302" s="47" t="inlineStr">
        <is>
          <t>Quan sát tại</t>
        </is>
      </c>
      <c r="B1302" s="56" t="inlineStr">
        <is>
          <t>• Dùng trích xuất không lọc để thấy cả ô đối chứng. Trạng thái không có dấu đỏ cần đọc thêm trạng thái lưu;
• Output Excel/PDF dùng file thật.</t>
        </is>
      </c>
      <c r="C1302" s="57" t="n"/>
      <c r="D1302" s="57" t="n"/>
      <c r="E1302" s="57" t="n"/>
    </row>
    <row r="1303" ht="30" customHeight="1">
      <c r="A1303" s="58" t="inlineStr">
        <is>
          <t>Kết quả thực tế</t>
        </is>
      </c>
      <c r="B1303" s="59" t="n"/>
      <c r="C1303" s="59" t="n"/>
      <c r="D1303" s="59" t="n"/>
      <c r="E1303" s="59" t="n"/>
    </row>
    <row r="1304" ht="30" customHeight="1">
      <c r="A1304" s="60" t="inlineStr">
        <is>
          <t>TC-RS-FUNC-011 / fixed</t>
        </is>
      </c>
      <c r="B1304" s="36" t="n"/>
      <c r="C1304" s="36" t="n"/>
      <c r="D1304" s="36" t="n"/>
      <c r="E1304" s="36" t="n"/>
    </row>
    <row r="1305" ht="30" customHeight="1">
      <c r="A1305" s="47" t="inlineStr">
        <is>
          <t>Dữ liệu biến thể</t>
        </is>
      </c>
      <c r="B1305" s="56" t="inlineStr">
        <is>
          <t>Chọn cố định</t>
        </is>
      </c>
      <c r="C1305" s="57" t="n"/>
      <c r="D1305" s="57" t="n"/>
      <c r="E1305" s="57" t="n"/>
    </row>
    <row r="1306" ht="30" customHeight="1">
      <c r="A1306" s="47" t="inlineStr">
        <is>
          <t>Trạng thái</t>
        </is>
      </c>
      <c r="B1306" s="61" t="inlineStr">
        <is>
          <t>Chưa thực hiện</t>
        </is>
      </c>
      <c r="C1306" s="57" t="n"/>
      <c r="D1306" s="57" t="n"/>
      <c r="E1306" s="57" t="n"/>
    </row>
    <row r="1307" ht="30" customHeight="1">
      <c r="A1307" s="62" t="inlineStr">
        <is>
          <t>Kết quả thực tế</t>
        </is>
      </c>
    </row>
    <row r="1308" ht="64" customHeight="1">
      <c r="A1308" s="63" t="inlineStr"/>
      <c r="B1308" s="64" t="n"/>
      <c r="C1308" s="64" t="n"/>
      <c r="D1308" s="64" t="n"/>
      <c r="E1308" s="65" t="n"/>
    </row>
    <row r="1309" ht="30" customHeight="1">
      <c r="A1309" s="62" t="inlineStr">
        <is>
          <t>Ảnh minh chứng</t>
        </is>
      </c>
    </row>
    <row r="1310" ht="90" customHeight="1">
      <c r="A1310" s="63" t="inlineStr"/>
      <c r="B1310" s="64" t="n"/>
      <c r="C1310" s="64" t="n"/>
      <c r="D1310" s="64" t="n"/>
      <c r="E1310" s="65" t="n"/>
    </row>
    <row r="1311" ht="12" customHeight="1">
      <c r="A1311" s="66" t="inlineStr"/>
    </row>
    <row r="1312" ht="30" customHeight="1">
      <c r="A1312" s="60" t="inlineStr">
        <is>
          <t>TC-RS-FUNC-011 / ratio</t>
        </is>
      </c>
      <c r="B1312" s="36" t="n"/>
      <c r="C1312" s="36" t="n"/>
      <c r="D1312" s="36" t="n"/>
      <c r="E1312" s="36" t="n"/>
    </row>
    <row r="1313" ht="30" customHeight="1">
      <c r="A1313" s="47" t="inlineStr">
        <is>
          <t>Dữ liệu biến thể</t>
        </is>
      </c>
      <c r="B1313" s="56" t="inlineStr">
        <is>
          <t>Chọn tỷ lệ</t>
        </is>
      </c>
      <c r="C1313" s="57" t="n"/>
      <c r="D1313" s="57" t="n"/>
      <c r="E1313" s="57" t="n"/>
    </row>
    <row r="1314" ht="30" customHeight="1">
      <c r="A1314" s="47" t="inlineStr">
        <is>
          <t>Trạng thái</t>
        </is>
      </c>
      <c r="B1314" s="61" t="inlineStr">
        <is>
          <t>Chưa thực hiện</t>
        </is>
      </c>
      <c r="C1314" s="57" t="n"/>
      <c r="D1314" s="57" t="n"/>
      <c r="E1314" s="57" t="n"/>
    </row>
    <row r="1315" ht="30" customHeight="1">
      <c r="A1315" s="62" t="inlineStr">
        <is>
          <t>Kết quả thực tế</t>
        </is>
      </c>
    </row>
    <row r="1316" ht="64" customHeight="1">
      <c r="A1316" s="63" t="inlineStr"/>
      <c r="B1316" s="64" t="n"/>
      <c r="C1316" s="64" t="n"/>
      <c r="D1316" s="64" t="n"/>
      <c r="E1316" s="65" t="n"/>
    </row>
    <row r="1317" ht="30" customHeight="1">
      <c r="A1317" s="62" t="inlineStr">
        <is>
          <t>Ảnh minh chứng</t>
        </is>
      </c>
    </row>
    <row r="1318" ht="90" customHeight="1">
      <c r="A1318" s="63" t="inlineStr"/>
      <c r="B1318" s="64" t="n"/>
      <c r="C1318" s="64" t="n"/>
      <c r="D1318" s="64" t="n"/>
      <c r="E1318" s="65" t="n"/>
    </row>
    <row r="1319" ht="12" customHeight="1">
      <c r="A1319" s="66" t="inlineStr"/>
    </row>
    <row r="1320" ht="30" customHeight="1">
      <c r="A1320" s="60" t="inlineStr">
        <is>
          <t>TC-RS-FUNC-011 / formula</t>
        </is>
      </c>
      <c r="B1320" s="36" t="n"/>
      <c r="C1320" s="36" t="n"/>
      <c r="D1320" s="36" t="n"/>
      <c r="E1320" s="36" t="n"/>
    </row>
    <row r="1321" ht="30" customHeight="1">
      <c r="A1321" s="47" t="inlineStr">
        <is>
          <t>Dữ liệu biến thể</t>
        </is>
      </c>
      <c r="B1321" s="56" t="inlineStr">
        <is>
          <t>Chọn công thức</t>
        </is>
      </c>
      <c r="C1321" s="57" t="n"/>
      <c r="D1321" s="57" t="n"/>
      <c r="E1321" s="57" t="n"/>
    </row>
    <row r="1322" ht="30" customHeight="1">
      <c r="A1322" s="47" t="inlineStr">
        <is>
          <t>Trạng thái</t>
        </is>
      </c>
      <c r="B1322" s="61" t="inlineStr">
        <is>
          <t>Chưa thực hiện</t>
        </is>
      </c>
      <c r="C1322" s="57" t="n"/>
      <c r="D1322" s="57" t="n"/>
      <c r="E1322" s="57" t="n"/>
    </row>
    <row r="1323" ht="30" customHeight="1">
      <c r="A1323" s="62" t="inlineStr">
        <is>
          <t>Kết quả thực tế</t>
        </is>
      </c>
    </row>
    <row r="1324" ht="64" customHeight="1">
      <c r="A1324" s="63" t="inlineStr"/>
      <c r="B1324" s="64" t="n"/>
      <c r="C1324" s="64" t="n"/>
      <c r="D1324" s="64" t="n"/>
      <c r="E1324" s="65" t="n"/>
    </row>
    <row r="1325" ht="30" customHeight="1">
      <c r="A1325" s="62" t="inlineStr">
        <is>
          <t>Ảnh minh chứng</t>
        </is>
      </c>
    </row>
    <row r="1326" ht="90" customHeight="1">
      <c r="A1326" s="63" t="inlineStr"/>
      <c r="B1326" s="64" t="n"/>
      <c r="C1326" s="64" t="n"/>
      <c r="D1326" s="64" t="n"/>
      <c r="E1326" s="65" t="n"/>
    </row>
    <row r="1327" ht="12" customHeight="1">
      <c r="A1327" s="66" t="inlineStr"/>
    </row>
    <row r="1328" ht="20" customHeight="1">
      <c r="A1328" s="66" t="inlineStr"/>
    </row>
    <row r="1329" ht="30" customHeight="1">
      <c r="A1329" s="46" t="inlineStr">
        <is>
          <t>TC-RS-FUNC-013 — Dấu so sánh Nhỏ hơn（未満）/Nhỏ hơn hoặc bằng（以下） được lưu và hiển thị</t>
        </is>
      </c>
      <c r="B1329" s="23" t="n"/>
      <c r="C1329" s="23" t="n"/>
      <c r="D1329" s="23" t="n"/>
      <c r="E1329" s="23" t="n"/>
    </row>
    <row r="1330" ht="30" customHeight="1">
      <c r="A1330" s="47" t="inlineStr">
        <is>
          <t>Trạng thái</t>
        </is>
      </c>
      <c r="B1330" s="56">
        <f>IF(0&gt;0,"Không đạt",IF(0=2,"Đạt",IF(SUMPRODUCT(--EXACT('Testcases'!B1349:B1357,"Không thực hiện"))=2,"Không thực hiện",IF(SUMPRODUCT(--EXACT('Testcases'!B1349:B1357,"Bị chặn"))&gt;0,"Bị chặn",IF(SUMPRODUCT(--EXACT('Testcases'!B1349:B1357,"Chưa thực hiện"))=2,"Chưa thực hiện","Chưa đủ kết luận")))))</f>
        <v/>
      </c>
      <c r="C1330" s="57" t="n"/>
      <c r="D1330" s="57" t="n"/>
      <c r="E1330" s="57" t="n"/>
    </row>
    <row r="1331" ht="30" customHeight="1">
      <c r="A1331" s="47" t="inlineStr">
        <is>
          <t>Màn hình / chức năng</t>
        </is>
      </c>
      <c r="B1331" s="47" t="inlineStr">
        <is>
          <t>Thiết lập ngưỡng（基準設定）</t>
        </is>
      </c>
      <c r="C1331" s="57" t="n"/>
      <c r="D1331" s="47" t="inlineStr">
        <is>
          <t>Đường dẫn</t>
        </is>
      </c>
      <c r="E1331" s="56" t="inlineStr">
        <is>
          <t>Chưa xác minh</t>
        </is>
      </c>
    </row>
    <row r="1332" ht="30" customHeight="1">
      <c r="A1332" s="58" t="inlineStr">
        <is>
          <t>Điều kiện kiểm thử</t>
        </is>
      </c>
      <c r="B1332" s="59" t="n"/>
      <c r="C1332" s="59" t="n"/>
      <c r="D1332" s="59" t="n"/>
      <c r="E1332" s="59" t="n"/>
    </row>
    <row r="1333" ht="30" customHeight="1">
      <c r="A1333" s="47" t="inlineStr">
        <is>
          <t>Cấu hình</t>
        </is>
      </c>
      <c r="B1333" s="56" t="inlineStr">
        <is>
          <t>• Có quy tắc “Cố định 30” (dưới 30).</t>
        </is>
      </c>
      <c r="C1333" s="57" t="n"/>
      <c r="D1333" s="57" t="n"/>
      <c r="E1333" s="57" t="n"/>
    </row>
    <row r="1334" ht="61" customHeight="1">
      <c r="A1334" s="47" t="inlineStr">
        <is>
          <t>Vai trò / quyền</t>
        </is>
      </c>
      <c r="B133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334" s="57" t="n"/>
      <c r="D1334" s="57" t="n"/>
      <c r="E1334" s="57" t="n"/>
    </row>
    <row r="1335" ht="30" customHeight="1">
      <c r="A1335" s="47" t="inlineStr">
        <is>
          <t>Dữ liệu test</t>
        </is>
      </c>
      <c r="B1335" s="56" t="inlineStr">
        <is>
          <t>• Quy tắc “Cố định 30” (dưới 30), quy tắc cố định 30 với Nhỏ hơn hoặc bằng（以下）</t>
        </is>
      </c>
      <c r="C1335" s="57" t="n"/>
      <c r="D1335" s="57" t="n"/>
      <c r="E1335" s="57" t="n"/>
    </row>
    <row r="1336" ht="30" customHeight="1">
      <c r="A1336" s="47" t="inlineStr">
        <is>
          <t>Trigger</t>
        </is>
      </c>
      <c r="B1336" s="56" t="inlineStr">
        <is>
          <t>• Chỉ xem/xuất không tự chạy xét.</t>
        </is>
      </c>
      <c r="C1336" s="57" t="n"/>
      <c r="D1336" s="57" t="n"/>
      <c r="E1336" s="57" t="n"/>
    </row>
    <row r="1337" ht="44" customHeight="1">
      <c r="A1337" s="47" t="inlineStr">
        <is>
          <t>Blocker</t>
        </is>
      </c>
      <c r="B1337" s="56" t="inlineStr">
        <is>
          <t>• G-PREP-UNASSESSED: Chưa có xác minh fixture, đường thực hiện và phép quan sát trên build của từng case chưa đánh giá.</t>
        </is>
      </c>
      <c r="C1337" s="57" t="n"/>
      <c r="D1337" s="57" t="n"/>
      <c r="E1337" s="57" t="n"/>
    </row>
    <row r="1338" ht="30" customHeight="1">
      <c r="A1338" s="58" t="inlineStr">
        <is>
          <t>Thao tác</t>
        </is>
      </c>
      <c r="B1338" s="59" t="n"/>
      <c r="C1338" s="59" t="n"/>
      <c r="D1338" s="59" t="n"/>
      <c r="E1338" s="59" t="n"/>
    </row>
    <row r="1339" ht="30" customHeight="1">
      <c r="A1339" s="47" t="inlineStr">
        <is>
          <t>Step 1</t>
        </is>
      </c>
      <c r="B1339" s="56" t="inlineStr">
        <is>
          <t>Đổi dấu của quy tắc “Cố định 30” (dưới 30) sang Nhỏ hơn hoặc bằng（以下）, lưu, mở lại.</t>
        </is>
      </c>
      <c r="C1339" s="57" t="n"/>
      <c r="D1339" s="57" t="n"/>
      <c r="E1339" s="57" t="n"/>
    </row>
    <row r="1340" ht="30" customHeight="1">
      <c r="A1340" s="47" t="inlineStr">
        <is>
          <t>Step 2</t>
        </is>
      </c>
      <c r="B1340" s="56" t="inlineStr">
        <is>
          <t>Đổi lại Nhỏ hơn（未満）, lưu, mở lại.</t>
        </is>
      </c>
      <c r="C1340" s="57" t="n"/>
      <c r="D1340" s="57" t="n"/>
      <c r="E1340" s="57" t="n"/>
    </row>
    <row r="1341" ht="44" customHeight="1">
      <c r="A1341" s="47" t="inlineStr">
        <is>
          <t>Reset</t>
        </is>
      </c>
      <c r="B1341" s="56" t="inlineStr">
        <is>
          <t>Trước mỗi biến thể, dựng lại điều kiện/dữ liệu đầu của case bằng đường được phép; giữ các reset/fixture độc lập đã nêu trong thủ tục.</t>
        </is>
      </c>
      <c r="C1341" s="57" t="n"/>
      <c r="D1341" s="57" t="n"/>
      <c r="E1341" s="57" t="n"/>
    </row>
    <row r="1342" ht="30" customHeight="1">
      <c r="A1342" s="58" t="inlineStr">
        <is>
          <t>Kết quả mong đợi</t>
        </is>
      </c>
      <c r="B1342" s="59" t="n"/>
      <c r="C1342" s="59" t="n"/>
      <c r="D1342" s="59" t="n"/>
      <c r="E1342" s="59" t="n"/>
    </row>
    <row r="1343" ht="44" customHeight="1">
      <c r="A1343" s="47" t="inlineStr">
        <is>
          <t>•</t>
        </is>
      </c>
      <c r="B1343" s="56" t="inlineStr">
        <is>
          <t>Dấu đã chọn được lưu, hiển thị đúng ở form và tóm tắt danh sách. Tác động lên kết quả: case “Ngưỡng cố định 30: S = 29 / 30 / 31 với [&lt;] và [≤]”.</t>
        </is>
      </c>
      <c r="C1343" s="57" t="n"/>
      <c r="D1343" s="57" t="n"/>
      <c r="E1343" s="57" t="n"/>
    </row>
    <row r="1344" ht="44" customHeight="1">
      <c r="A1344" s="47" t="inlineStr">
        <is>
          <t>Giữ nguyên</t>
        </is>
      </c>
      <c r="B1344" s="56" t="inlineStr">
        <is>
          <t>• Giữ điểm, cấu hình và đối tượng không đích theo expected;
• Chỉ thay phần thủ tục yêu cầu, không tự đổi oracle hoặc mở rộng phạm vi.</t>
        </is>
      </c>
      <c r="C1344" s="57" t="n"/>
      <c r="D1344" s="57" t="n"/>
      <c r="E1344" s="57" t="n"/>
    </row>
    <row r="1345" ht="61" customHeight="1">
      <c r="A1345" s="47" t="inlineStr">
        <is>
          <t>Quan sát tại</t>
        </is>
      </c>
      <c r="B1345" s="56" t="inlineStr">
        <is>
          <t>• Dùng trích xuất không lọc để thấy cả ô đối chứng. Trạng thái không có dấu đỏ cần đọc thêm trạng thái lưu;
• Output Excel/PDF dùng file thật.</t>
        </is>
      </c>
      <c r="C1345" s="57" t="n"/>
      <c r="D1345" s="57" t="n"/>
      <c r="E1345" s="57" t="n"/>
    </row>
    <row r="1346" ht="30" customHeight="1">
      <c r="A1346" s="58" t="inlineStr">
        <is>
          <t>Kết quả thực tế</t>
        </is>
      </c>
      <c r="B1346" s="59" t="n"/>
      <c r="C1346" s="59" t="n"/>
      <c r="D1346" s="59" t="n"/>
      <c r="E1346" s="59" t="n"/>
    </row>
    <row r="1347" ht="30" customHeight="1">
      <c r="A1347" s="60" t="inlineStr">
        <is>
          <t>TC-RS-FUNC-013 / lt</t>
        </is>
      </c>
      <c r="B1347" s="36" t="n"/>
      <c r="C1347" s="36" t="n"/>
      <c r="D1347" s="36" t="n"/>
      <c r="E1347" s="36" t="n"/>
    </row>
    <row r="1348" ht="30" customHeight="1">
      <c r="A1348" s="47" t="inlineStr">
        <is>
          <t>Dữ liệu biến thể</t>
        </is>
      </c>
      <c r="B1348" s="56" t="inlineStr">
        <is>
          <t>Dấu nhỏ hơn</t>
        </is>
      </c>
      <c r="C1348" s="57" t="n"/>
      <c r="D1348" s="57" t="n"/>
      <c r="E1348" s="57" t="n"/>
    </row>
    <row r="1349" ht="30" customHeight="1">
      <c r="A1349" s="47" t="inlineStr">
        <is>
          <t>Trạng thái</t>
        </is>
      </c>
      <c r="B1349" s="61" t="inlineStr">
        <is>
          <t>Chưa thực hiện</t>
        </is>
      </c>
      <c r="C1349" s="57" t="n"/>
      <c r="D1349" s="57" t="n"/>
      <c r="E1349" s="57" t="n"/>
    </row>
    <row r="1350" ht="30" customHeight="1">
      <c r="A1350" s="62" t="inlineStr">
        <is>
          <t>Kết quả thực tế</t>
        </is>
      </c>
    </row>
    <row r="1351" ht="64" customHeight="1">
      <c r="A1351" s="63" t="inlineStr"/>
      <c r="B1351" s="64" t="n"/>
      <c r="C1351" s="64" t="n"/>
      <c r="D1351" s="64" t="n"/>
      <c r="E1351" s="65" t="n"/>
    </row>
    <row r="1352" ht="30" customHeight="1">
      <c r="A1352" s="62" t="inlineStr">
        <is>
          <t>Ảnh minh chứng</t>
        </is>
      </c>
    </row>
    <row r="1353" ht="90" customHeight="1">
      <c r="A1353" s="63" t="inlineStr"/>
      <c r="B1353" s="64" t="n"/>
      <c r="C1353" s="64" t="n"/>
      <c r="D1353" s="64" t="n"/>
      <c r="E1353" s="65" t="n"/>
    </row>
    <row r="1354" ht="12" customHeight="1">
      <c r="A1354" s="66" t="inlineStr"/>
    </row>
    <row r="1355" ht="30" customHeight="1">
      <c r="A1355" s="60" t="inlineStr">
        <is>
          <t>TC-RS-FUNC-013 / le</t>
        </is>
      </c>
      <c r="B1355" s="36" t="n"/>
      <c r="C1355" s="36" t="n"/>
      <c r="D1355" s="36" t="n"/>
      <c r="E1355" s="36" t="n"/>
    </row>
    <row r="1356" ht="30" customHeight="1">
      <c r="A1356" s="47" t="inlineStr">
        <is>
          <t>Dữ liệu biến thể</t>
        </is>
      </c>
      <c r="B1356" s="56" t="inlineStr">
        <is>
          <t>Dấu nhỏ hơn hoặc bằng</t>
        </is>
      </c>
      <c r="C1356" s="57" t="n"/>
      <c r="D1356" s="57" t="n"/>
      <c r="E1356" s="57" t="n"/>
    </row>
    <row r="1357" ht="30" customHeight="1">
      <c r="A1357" s="47" t="inlineStr">
        <is>
          <t>Trạng thái</t>
        </is>
      </c>
      <c r="B1357" s="61" t="inlineStr">
        <is>
          <t>Chưa thực hiện</t>
        </is>
      </c>
      <c r="C1357" s="57" t="n"/>
      <c r="D1357" s="57" t="n"/>
      <c r="E1357" s="57" t="n"/>
    </row>
    <row r="1358" ht="30" customHeight="1">
      <c r="A1358" s="62" t="inlineStr">
        <is>
          <t>Kết quả thực tế</t>
        </is>
      </c>
    </row>
    <row r="1359" ht="64" customHeight="1">
      <c r="A1359" s="63" t="inlineStr"/>
      <c r="B1359" s="64" t="n"/>
      <c r="C1359" s="64" t="n"/>
      <c r="D1359" s="64" t="n"/>
      <c r="E1359" s="65" t="n"/>
    </row>
    <row r="1360" ht="30" customHeight="1">
      <c r="A1360" s="62" t="inlineStr">
        <is>
          <t>Ảnh minh chứng</t>
        </is>
      </c>
    </row>
    <row r="1361" ht="90" customHeight="1">
      <c r="A1361" s="63" t="inlineStr"/>
      <c r="B1361" s="64" t="n"/>
      <c r="C1361" s="64" t="n"/>
      <c r="D1361" s="64" t="n"/>
      <c r="E1361" s="65" t="n"/>
    </row>
    <row r="1362" ht="12" customHeight="1">
      <c r="A1362" s="66" t="inlineStr"/>
    </row>
    <row r="1363" ht="20" customHeight="1">
      <c r="A1363" s="66" t="inlineStr"/>
    </row>
    <row r="1364" ht="30" customHeight="1">
      <c r="A1364" s="46" t="inlineStr">
        <is>
          <t>TC-RS-VAL-001 — Điểm cố định: biên −1 / 0 / 100 / 101 với M=100</t>
        </is>
      </c>
      <c r="B1364" s="23" t="n"/>
      <c r="C1364" s="23" t="n"/>
      <c r="D1364" s="23" t="n"/>
      <c r="E1364" s="23" t="n"/>
    </row>
    <row r="1365" ht="30" customHeight="1">
      <c r="A1365" s="47" t="inlineStr">
        <is>
          <t>Trạng thái</t>
        </is>
      </c>
      <c r="B1365" s="56">
        <f>IF(0&gt;0,"Không đạt",IF(0=4,"Đạt",IF(SUMPRODUCT(--EXACT('Testcases'!B1383:B1407,"Không thực hiện"))=4,"Không thực hiện",IF(SUMPRODUCT(--EXACT('Testcases'!B1383:B1407,"Bị chặn"))&gt;0,"Bị chặn",IF(SUMPRODUCT(--EXACT('Testcases'!B1383:B1407,"Chưa thực hiện"))=4,"Chưa thực hiện","Chưa đủ kết luận")))))</f>
        <v/>
      </c>
      <c r="C1365" s="57" t="n"/>
      <c r="D1365" s="57" t="n"/>
      <c r="E1365" s="57" t="n"/>
    </row>
    <row r="1366" ht="30" customHeight="1">
      <c r="A1366" s="47" t="inlineStr">
        <is>
          <t>Màn hình / chức năng</t>
        </is>
      </c>
      <c r="B1366" s="47" t="inlineStr">
        <is>
          <t>Thiết lập ngưỡng（基準設定）</t>
        </is>
      </c>
      <c r="C1366" s="57" t="n"/>
      <c r="D1366" s="47" t="inlineStr">
        <is>
          <t>Đường dẫn</t>
        </is>
      </c>
      <c r="E1366" s="56" t="inlineStr">
        <is>
          <t>Chưa xác minh</t>
        </is>
      </c>
    </row>
    <row r="1367" ht="30" customHeight="1">
      <c r="A1367" s="58" t="inlineStr">
        <is>
          <t>Điều kiện kiểm thử</t>
        </is>
      </c>
      <c r="B1367" s="59" t="n"/>
      <c r="C1367" s="59" t="n"/>
      <c r="D1367" s="59" t="n"/>
      <c r="E1367" s="59" t="n"/>
    </row>
    <row r="1368" ht="30" customHeight="1">
      <c r="A1368" s="47" t="inlineStr">
        <is>
          <t>Cấu hình</t>
        </is>
      </c>
      <c r="B1368" s="56" t="inlineStr">
        <is>
          <t>• Mục số nguyên (M=100) (M=100 cho mọi đối tượng), Toàn bộ đối tượng.</t>
        </is>
      </c>
      <c r="C1368" s="57" t="n"/>
      <c r="D1368" s="57" t="n"/>
      <c r="E1368" s="57" t="n"/>
    </row>
    <row r="1369" ht="61" customHeight="1">
      <c r="A1369" s="47" t="inlineStr">
        <is>
          <t>Vai trò / quyền</t>
        </is>
      </c>
      <c r="B136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369" s="57" t="n"/>
      <c r="D1369" s="57" t="n"/>
      <c r="E1369" s="57" t="n"/>
    </row>
    <row r="1370" ht="44" customHeight="1">
      <c r="A1370" s="47" t="inlineStr">
        <is>
          <t>Dữ liệu test</t>
        </is>
      </c>
      <c r="B1370" s="56" t="inlineStr">
        <is>
          <t>• Mục số nguyên (M=100);
• N = −1, 0, 100, 101</t>
        </is>
      </c>
      <c r="C1370" s="57" t="n"/>
      <c r="D1370" s="57" t="n"/>
      <c r="E1370" s="57" t="n"/>
    </row>
    <row r="1371" ht="30" customHeight="1">
      <c r="A1371" s="47" t="inlineStr">
        <is>
          <t>Trigger</t>
        </is>
      </c>
      <c r="B1371" s="56" t="inlineStr">
        <is>
          <t>• Chỉ xem/xuất không tự chạy xét.</t>
        </is>
      </c>
      <c r="C1371" s="57" t="n"/>
      <c r="D1371" s="57" t="n"/>
      <c r="E1371" s="57" t="n"/>
    </row>
    <row r="1372" ht="44" customHeight="1">
      <c r="A1372" s="47" t="inlineStr">
        <is>
          <t>Blocker</t>
        </is>
      </c>
      <c r="B1372" s="56" t="inlineStr">
        <is>
          <t>• G-PREP-UNASSESSED: Chưa có xác minh fixture, đường thực hiện và phép quan sát trên build của từng case chưa đánh giá.</t>
        </is>
      </c>
      <c r="C1372" s="57" t="n"/>
      <c r="D1372" s="57" t="n"/>
      <c r="E1372" s="57" t="n"/>
    </row>
    <row r="1373" ht="30" customHeight="1">
      <c r="A1373" s="58" t="inlineStr">
        <is>
          <t>Thao tác</t>
        </is>
      </c>
      <c r="B1373" s="59" t="n"/>
      <c r="C1373" s="59" t="n"/>
      <c r="D1373" s="59" t="n"/>
      <c r="E1373" s="59" t="n"/>
    </row>
    <row r="1374" ht="30" customHeight="1">
      <c r="A1374" s="47" t="inlineStr">
        <is>
          <t>•</t>
        </is>
      </c>
      <c r="B1374" s="56" t="inlineStr">
        <is>
          <t>Lần lượt nhập Điểm cố định（固定点数）= −1, 0, 100, 101 và bấm Cập nhật（更新する）.</t>
        </is>
      </c>
      <c r="C1374" s="57" t="n"/>
      <c r="D1374" s="57" t="n"/>
      <c r="E1374" s="57" t="n"/>
    </row>
    <row r="1375" ht="44" customHeight="1">
      <c r="A1375" s="47" t="inlineStr">
        <is>
          <t>Reset</t>
        </is>
      </c>
      <c r="B1375" s="56" t="inlineStr">
        <is>
          <t>Trước mỗi biến thể, dựng lại điều kiện/dữ liệu đầu của case bằng đường được phép; giữ các reset/fixture độc lập đã nêu trong thủ tục.</t>
        </is>
      </c>
      <c r="C1375" s="57" t="n"/>
      <c r="D1375" s="57" t="n"/>
      <c r="E1375" s="57" t="n"/>
    </row>
    <row r="1376" ht="30" customHeight="1">
      <c r="A1376" s="58" t="inlineStr">
        <is>
          <t>Kết quả mong đợi</t>
        </is>
      </c>
      <c r="B1376" s="59" t="n"/>
      <c r="C1376" s="59" t="n"/>
      <c r="D1376" s="59" t="n"/>
      <c r="E1376" s="59" t="n"/>
    </row>
    <row r="1377" ht="44" customHeight="1">
      <c r="A1377" s="47" t="inlineStr">
        <is>
          <t>•</t>
        </is>
      </c>
      <c r="B1377" s="56" t="inlineStr">
        <is>
          <t>−1: Không lưu được, có lỗi. 0: lưu được. 100: lưu được. 101: không lưu được, có lỗi vượt M. Khi lỗi, cấu hình đã lưu trước đó không đổi.</t>
        </is>
      </c>
      <c r="C1377" s="57" t="n"/>
      <c r="D1377" s="57" t="n"/>
      <c r="E1377" s="57" t="n"/>
    </row>
    <row r="1378" ht="44" customHeight="1">
      <c r="A1378" s="47" t="inlineStr">
        <is>
          <t>Giữ nguyên</t>
        </is>
      </c>
      <c r="B1378" s="56" t="inlineStr">
        <is>
          <t>• Giữ điểm, cấu hình và đối tượng không đích theo expected;
• Chỉ thay phần thủ tục yêu cầu, không tự đổi oracle hoặc mở rộng phạm vi.</t>
        </is>
      </c>
      <c r="C1378" s="57" t="n"/>
      <c r="D1378" s="57" t="n"/>
      <c r="E1378" s="57" t="n"/>
    </row>
    <row r="1379" ht="61" customHeight="1">
      <c r="A1379" s="47" t="inlineStr">
        <is>
          <t>Quan sát tại</t>
        </is>
      </c>
      <c r="B1379" s="56" t="inlineStr">
        <is>
          <t>• Dùng trích xuất không lọc để thấy cả ô đối chứng. Trạng thái không có dấu đỏ cần đọc thêm trạng thái lưu;
• Output Excel/PDF dùng file thật.</t>
        </is>
      </c>
      <c r="C1379" s="57" t="n"/>
      <c r="D1379" s="57" t="n"/>
      <c r="E1379" s="57" t="n"/>
    </row>
    <row r="1380" ht="30" customHeight="1">
      <c r="A1380" s="58" t="inlineStr">
        <is>
          <t>Kết quả thực tế</t>
        </is>
      </c>
      <c r="B1380" s="59" t="n"/>
      <c r="C1380" s="59" t="n"/>
      <c r="D1380" s="59" t="n"/>
      <c r="E1380" s="59" t="n"/>
    </row>
    <row r="1381" ht="30" customHeight="1">
      <c r="A1381" s="60" t="inlineStr">
        <is>
          <t>TC-RS-VAL-001 / negative</t>
        </is>
      </c>
      <c r="B1381" s="36" t="n"/>
      <c r="C1381" s="36" t="n"/>
      <c r="D1381" s="36" t="n"/>
      <c r="E1381" s="36" t="n"/>
    </row>
    <row r="1382" ht="30" customHeight="1">
      <c r="A1382" s="47" t="inlineStr">
        <is>
          <t>Dữ liệu biến thể</t>
        </is>
      </c>
      <c r="B1382" s="56" t="inlineStr">
        <is>
          <t>N=-1</t>
        </is>
      </c>
      <c r="C1382" s="57" t="n"/>
      <c r="D1382" s="57" t="n"/>
      <c r="E1382" s="57" t="n"/>
    </row>
    <row r="1383" ht="30" customHeight="1">
      <c r="A1383" s="47" t="inlineStr">
        <is>
          <t>Trạng thái</t>
        </is>
      </c>
      <c r="B1383" s="61" t="inlineStr">
        <is>
          <t>Chưa thực hiện</t>
        </is>
      </c>
      <c r="C1383" s="57" t="n"/>
      <c r="D1383" s="57" t="n"/>
      <c r="E1383" s="57" t="n"/>
    </row>
    <row r="1384" ht="30" customHeight="1">
      <c r="A1384" s="62" t="inlineStr">
        <is>
          <t>Kết quả thực tế</t>
        </is>
      </c>
    </row>
    <row r="1385" ht="64" customHeight="1">
      <c r="A1385" s="63" t="inlineStr"/>
      <c r="B1385" s="64" t="n"/>
      <c r="C1385" s="64" t="n"/>
      <c r="D1385" s="64" t="n"/>
      <c r="E1385" s="65" t="n"/>
    </row>
    <row r="1386" ht="30" customHeight="1">
      <c r="A1386" s="62" t="inlineStr">
        <is>
          <t>Ảnh minh chứng</t>
        </is>
      </c>
    </row>
    <row r="1387" ht="90" customHeight="1">
      <c r="A1387" s="63" t="inlineStr"/>
      <c r="B1387" s="64" t="n"/>
      <c r="C1387" s="64" t="n"/>
      <c r="D1387" s="64" t="n"/>
      <c r="E1387" s="65" t="n"/>
    </row>
    <row r="1388" ht="12" customHeight="1">
      <c r="A1388" s="66" t="inlineStr"/>
    </row>
    <row r="1389" ht="30" customHeight="1">
      <c r="A1389" s="60" t="inlineStr">
        <is>
          <t>TC-RS-VAL-001 / zero</t>
        </is>
      </c>
      <c r="B1389" s="36" t="n"/>
      <c r="C1389" s="36" t="n"/>
      <c r="D1389" s="36" t="n"/>
      <c r="E1389" s="36" t="n"/>
    </row>
    <row r="1390" ht="30" customHeight="1">
      <c r="A1390" s="47" t="inlineStr">
        <is>
          <t>Dữ liệu biến thể</t>
        </is>
      </c>
      <c r="B1390" s="56" t="inlineStr">
        <is>
          <t>N=0</t>
        </is>
      </c>
      <c r="C1390" s="57" t="n"/>
      <c r="D1390" s="57" t="n"/>
      <c r="E1390" s="57" t="n"/>
    </row>
    <row r="1391" ht="30" customHeight="1">
      <c r="A1391" s="47" t="inlineStr">
        <is>
          <t>Trạng thái</t>
        </is>
      </c>
      <c r="B1391" s="61" t="inlineStr">
        <is>
          <t>Chưa thực hiện</t>
        </is>
      </c>
      <c r="C1391" s="57" t="n"/>
      <c r="D1391" s="57" t="n"/>
      <c r="E1391" s="57" t="n"/>
    </row>
    <row r="1392" ht="30" customHeight="1">
      <c r="A1392" s="62" t="inlineStr">
        <is>
          <t>Kết quả thực tế</t>
        </is>
      </c>
    </row>
    <row r="1393" ht="64" customHeight="1">
      <c r="A1393" s="63" t="inlineStr"/>
      <c r="B1393" s="64" t="n"/>
      <c r="C1393" s="64" t="n"/>
      <c r="D1393" s="64" t="n"/>
      <c r="E1393" s="65" t="n"/>
    </row>
    <row r="1394" ht="30" customHeight="1">
      <c r="A1394" s="62" t="inlineStr">
        <is>
          <t>Ảnh minh chứng</t>
        </is>
      </c>
    </row>
    <row r="1395" ht="90" customHeight="1">
      <c r="A1395" s="63" t="inlineStr"/>
      <c r="B1395" s="64" t="n"/>
      <c r="C1395" s="64" t="n"/>
      <c r="D1395" s="64" t="n"/>
      <c r="E1395" s="65" t="n"/>
    </row>
    <row r="1396" ht="12" customHeight="1">
      <c r="A1396" s="66" t="inlineStr"/>
    </row>
    <row r="1397" ht="30" customHeight="1">
      <c r="A1397" s="60" t="inlineStr">
        <is>
          <t>TC-RS-VAL-001 / maximum</t>
        </is>
      </c>
      <c r="B1397" s="36" t="n"/>
      <c r="C1397" s="36" t="n"/>
      <c r="D1397" s="36" t="n"/>
      <c r="E1397" s="36" t="n"/>
    </row>
    <row r="1398" ht="30" customHeight="1">
      <c r="A1398" s="47" t="inlineStr">
        <is>
          <t>Dữ liệu biến thể</t>
        </is>
      </c>
      <c r="B1398" s="56" t="inlineStr">
        <is>
          <t>N=100</t>
        </is>
      </c>
      <c r="C1398" s="57" t="n"/>
      <c r="D1398" s="57" t="n"/>
      <c r="E1398" s="57" t="n"/>
    </row>
    <row r="1399" ht="30" customHeight="1">
      <c r="A1399" s="47" t="inlineStr">
        <is>
          <t>Trạng thái</t>
        </is>
      </c>
      <c r="B1399" s="61" t="inlineStr">
        <is>
          <t>Chưa thực hiện</t>
        </is>
      </c>
      <c r="C1399" s="57" t="n"/>
      <c r="D1399" s="57" t="n"/>
      <c r="E1399" s="57" t="n"/>
    </row>
    <row r="1400" ht="30" customHeight="1">
      <c r="A1400" s="62" t="inlineStr">
        <is>
          <t>Kết quả thực tế</t>
        </is>
      </c>
    </row>
    <row r="1401" ht="64" customHeight="1">
      <c r="A1401" s="63" t="inlineStr"/>
      <c r="B1401" s="64" t="n"/>
      <c r="C1401" s="64" t="n"/>
      <c r="D1401" s="64" t="n"/>
      <c r="E1401" s="65" t="n"/>
    </row>
    <row r="1402" ht="30" customHeight="1">
      <c r="A1402" s="62" t="inlineStr">
        <is>
          <t>Ảnh minh chứng</t>
        </is>
      </c>
    </row>
    <row r="1403" ht="90" customHeight="1">
      <c r="A1403" s="63" t="inlineStr"/>
      <c r="B1403" s="64" t="n"/>
      <c r="C1403" s="64" t="n"/>
      <c r="D1403" s="64" t="n"/>
      <c r="E1403" s="65" t="n"/>
    </row>
    <row r="1404" ht="12" customHeight="1">
      <c r="A1404" s="66" t="inlineStr"/>
    </row>
    <row r="1405" ht="30" customHeight="1">
      <c r="A1405" s="60" t="inlineStr">
        <is>
          <t>TC-RS-VAL-001 / above</t>
        </is>
      </c>
      <c r="B1405" s="36" t="n"/>
      <c r="C1405" s="36" t="n"/>
      <c r="D1405" s="36" t="n"/>
      <c r="E1405" s="36" t="n"/>
    </row>
    <row r="1406" ht="30" customHeight="1">
      <c r="A1406" s="47" t="inlineStr">
        <is>
          <t>Dữ liệu biến thể</t>
        </is>
      </c>
      <c r="B1406" s="56" t="inlineStr">
        <is>
          <t>N=101</t>
        </is>
      </c>
      <c r="C1406" s="57" t="n"/>
      <c r="D1406" s="57" t="n"/>
      <c r="E1406" s="57" t="n"/>
    </row>
    <row r="1407" ht="30" customHeight="1">
      <c r="A1407" s="47" t="inlineStr">
        <is>
          <t>Trạng thái</t>
        </is>
      </c>
      <c r="B1407" s="61" t="inlineStr">
        <is>
          <t>Chưa thực hiện</t>
        </is>
      </c>
      <c r="C1407" s="57" t="n"/>
      <c r="D1407" s="57" t="n"/>
      <c r="E1407" s="57" t="n"/>
    </row>
    <row r="1408" ht="30" customHeight="1">
      <c r="A1408" s="62" t="inlineStr">
        <is>
          <t>Kết quả thực tế</t>
        </is>
      </c>
    </row>
    <row r="1409" ht="64" customHeight="1">
      <c r="A1409" s="63" t="inlineStr"/>
      <c r="B1409" s="64" t="n"/>
      <c r="C1409" s="64" t="n"/>
      <c r="D1409" s="64" t="n"/>
      <c r="E1409" s="65" t="n"/>
    </row>
    <row r="1410" ht="30" customHeight="1">
      <c r="A1410" s="62" t="inlineStr">
        <is>
          <t>Ảnh minh chứng</t>
        </is>
      </c>
    </row>
    <row r="1411" ht="90" customHeight="1">
      <c r="A1411" s="63" t="inlineStr"/>
      <c r="B1411" s="64" t="n"/>
      <c r="C1411" s="64" t="n"/>
      <c r="D1411" s="64" t="n"/>
      <c r="E1411" s="65" t="n"/>
    </row>
    <row r="1412" ht="12" customHeight="1">
      <c r="A1412" s="66" t="inlineStr"/>
    </row>
    <row r="1413" ht="20" customHeight="1">
      <c r="A1413" s="66" t="inlineStr"/>
    </row>
    <row r="1414" ht="30" customHeight="1">
      <c r="A1414" s="46" t="inlineStr">
        <is>
          <t>TC-RS-VAL-002 — Điểm cố định phải ≤ M của mọi đối tượng (M=20 và M=100)</t>
        </is>
      </c>
      <c r="B1414" s="23" t="n"/>
      <c r="C1414" s="23" t="n"/>
      <c r="D1414" s="23" t="n"/>
      <c r="E1414" s="23" t="n"/>
    </row>
    <row r="1415" ht="30" customHeight="1">
      <c r="A1415" s="47" t="inlineStr">
        <is>
          <t>Trạng thái</t>
        </is>
      </c>
      <c r="B1415" s="56">
        <f>IF(0&gt;0,"Không đạt",IF(0=3,"Đạt",IF(SUMPRODUCT(--EXACT('Testcases'!B1437:B1453,"Không thực hiện"))=3,"Không thực hiện",IF(SUMPRODUCT(--EXACT('Testcases'!B1437:B1453,"Bị chặn"))&gt;0,"Bị chặn",IF(SUMPRODUCT(--EXACT('Testcases'!B1437:B1453,"Chưa thực hiện"))=3,"Chưa thực hiện","Chưa đủ kết luận")))))</f>
        <v/>
      </c>
      <c r="C1415" s="57" t="n"/>
      <c r="D1415" s="57" t="n"/>
      <c r="E1415" s="57" t="n"/>
    </row>
    <row r="1416" ht="30" customHeight="1">
      <c r="A1416" s="47" t="inlineStr">
        <is>
          <t>Màn hình / chức năng</t>
        </is>
      </c>
      <c r="B1416" s="47" t="inlineStr">
        <is>
          <t>Thiết lập ngưỡng（基準設定）</t>
        </is>
      </c>
      <c r="C1416" s="57" t="n"/>
      <c r="D1416" s="47" t="inlineStr">
        <is>
          <t>Đường dẫn</t>
        </is>
      </c>
      <c r="E1416" s="56" t="inlineStr">
        <is>
          <t>Chưa xác minh</t>
        </is>
      </c>
    </row>
    <row r="1417" ht="30" customHeight="1">
      <c r="A1417" s="58" t="inlineStr">
        <is>
          <t>Điều kiện kiểm thử</t>
        </is>
      </c>
      <c r="B1417" s="59" t="n"/>
      <c r="C1417" s="59" t="n"/>
      <c r="D1417" s="59" t="n"/>
      <c r="E1417" s="59" t="n"/>
    </row>
    <row r="1418" ht="30" customHeight="1">
      <c r="A1418" s="47" t="inlineStr">
        <is>
          <t>Cấu hình</t>
        </is>
      </c>
      <c r="B1418" s="56" t="inlineStr">
        <is>
          <t>• Mục có M khác nhau theo lớp (G-A M=20, G-B M=100) (G-A M=20, G-B M=100).</t>
        </is>
      </c>
      <c r="C1418" s="57" t="n"/>
      <c r="D1418" s="57" t="n"/>
      <c r="E1418" s="57" t="n"/>
    </row>
    <row r="1419" ht="61" customHeight="1">
      <c r="A1419" s="47" t="inlineStr">
        <is>
          <t>Vai trò / quyền</t>
        </is>
      </c>
      <c r="B141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419" s="57" t="n"/>
      <c r="D1419" s="57" t="n"/>
      <c r="E1419" s="57" t="n"/>
    </row>
    <row r="1420" ht="44" customHeight="1">
      <c r="A1420" s="47" t="inlineStr">
        <is>
          <t>Dữ liệu test</t>
        </is>
      </c>
      <c r="B1420" s="56" t="inlineStr">
        <is>
          <t>• Mục có M khác nhau theo lớp (G-A M=20, G-B M=100);
• N = 30, 20</t>
        </is>
      </c>
      <c r="C1420" s="57" t="n"/>
      <c r="D1420" s="57" t="n"/>
      <c r="E1420" s="57" t="n"/>
    </row>
    <row r="1421" ht="30" customHeight="1">
      <c r="A1421" s="47" t="inlineStr">
        <is>
          <t>Trigger</t>
        </is>
      </c>
      <c r="B1421" s="56" t="inlineStr">
        <is>
          <t>• Chỉ xem/xuất không tự chạy xét.</t>
        </is>
      </c>
      <c r="C1421" s="57" t="n"/>
      <c r="D1421" s="57" t="n"/>
      <c r="E1421" s="57" t="n"/>
    </row>
    <row r="1422" ht="44" customHeight="1">
      <c r="A1422" s="47" t="inlineStr">
        <is>
          <t>Blocker</t>
        </is>
      </c>
      <c r="B1422" s="56" t="inlineStr">
        <is>
          <t>• G-PREP-UNASSESSED: Chưa có xác minh fixture, đường thực hiện và phép quan sát trên build của từng case chưa đánh giá.</t>
        </is>
      </c>
      <c r="C1422" s="57" t="n"/>
      <c r="D1422" s="57" t="n"/>
      <c r="E1422" s="57" t="n"/>
    </row>
    <row r="1423" ht="30" customHeight="1">
      <c r="A1423" s="58" t="inlineStr">
        <is>
          <t>Thao tác</t>
        </is>
      </c>
      <c r="B1423" s="59" t="n"/>
      <c r="C1423" s="59" t="n"/>
      <c r="D1423" s="59" t="n"/>
      <c r="E1423" s="59" t="n"/>
    </row>
    <row r="1424" ht="30" customHeight="1">
      <c r="A1424" s="47" t="inlineStr">
        <is>
          <t>Step 1</t>
        </is>
      </c>
      <c r="B1424" s="56" t="inlineStr">
        <is>
          <t>Toàn bộ đối tượng, N=30, Lưu.</t>
        </is>
      </c>
      <c r="C1424" s="57" t="n"/>
      <c r="D1424" s="57" t="n"/>
      <c r="E1424" s="57" t="n"/>
    </row>
    <row r="1425" ht="30" customHeight="1">
      <c r="A1425" s="47" t="inlineStr">
        <is>
          <t>Step 2</t>
        </is>
      </c>
      <c r="B1425" s="56" t="inlineStr">
        <is>
          <t>Toàn bộ đối tượng, N=20, Lưu.</t>
        </is>
      </c>
      <c r="C1425" s="57" t="n"/>
      <c r="D1425" s="57" t="n"/>
      <c r="E1425" s="57" t="n"/>
    </row>
    <row r="1426" ht="30" customHeight="1">
      <c r="A1426" s="47" t="inlineStr">
        <is>
          <t>Step 3</t>
        </is>
      </c>
      <c r="B1426" s="56" t="inlineStr">
        <is>
          <t>Lọc chỉ lớp G-B, N=30, Lưu.</t>
        </is>
      </c>
      <c r="C1426" s="57" t="n"/>
      <c r="D1426" s="57" t="n"/>
      <c r="E1426" s="57" t="n"/>
    </row>
    <row r="1427" ht="44" customHeight="1">
      <c r="A1427" s="47" t="inlineStr">
        <is>
          <t>Reset</t>
        </is>
      </c>
      <c r="B1427" s="56" t="inlineStr">
        <is>
          <t>Trước mỗi biến thể, dựng lại điều kiện/dữ liệu đầu của case bằng đường được phép; giữ các reset/fixture độc lập đã nêu trong thủ tục.</t>
        </is>
      </c>
      <c r="C1427" s="57" t="n"/>
      <c r="D1427" s="57" t="n"/>
      <c r="E1427" s="57" t="n"/>
    </row>
    <row r="1428" ht="30" customHeight="1">
      <c r="A1428" s="58" t="inlineStr">
        <is>
          <t>Kết quả mong đợi</t>
        </is>
      </c>
      <c r="B1428" s="59" t="n"/>
      <c r="C1428" s="59" t="n"/>
      <c r="D1428" s="59" t="n"/>
      <c r="E1428" s="59" t="n"/>
    </row>
    <row r="1429" ht="30" customHeight="1">
      <c r="A1429" s="47" t="inlineStr">
        <is>
          <t>1.</t>
        </is>
      </c>
      <c r="B1429" s="56" t="inlineStr">
        <is>
          <t>Không lưu được (G-A M=20).</t>
        </is>
      </c>
      <c r="C1429" s="57" t="n"/>
      <c r="D1429" s="57" t="n"/>
      <c r="E1429" s="57" t="n"/>
    </row>
    <row r="1430" ht="30" customHeight="1">
      <c r="A1430" s="47" t="inlineStr">
        <is>
          <t>2.</t>
        </is>
      </c>
      <c r="B1430" s="56" t="inlineStr">
        <is>
          <t>Lưu được.</t>
        </is>
      </c>
      <c r="C1430" s="57" t="n"/>
      <c r="D1430" s="57" t="n"/>
      <c r="E1430" s="57" t="n"/>
    </row>
    <row r="1431" ht="30" customHeight="1">
      <c r="A1431" s="47" t="inlineStr">
        <is>
          <t>3.</t>
        </is>
      </c>
      <c r="B1431" s="56" t="inlineStr">
        <is>
          <t>Lưu được.</t>
        </is>
      </c>
      <c r="C1431" s="57" t="n"/>
      <c r="D1431" s="57" t="n"/>
      <c r="E1431" s="57" t="n"/>
    </row>
    <row r="1432" ht="44" customHeight="1">
      <c r="A1432" s="47" t="inlineStr">
        <is>
          <t>Giữ nguyên</t>
        </is>
      </c>
      <c r="B1432" s="56" t="inlineStr">
        <is>
          <t>• Giữ điểm, cấu hình và đối tượng không đích theo expected;
• Chỉ thay phần thủ tục yêu cầu, không tự đổi oracle hoặc mở rộng phạm vi.</t>
        </is>
      </c>
      <c r="C1432" s="57" t="n"/>
      <c r="D1432" s="57" t="n"/>
      <c r="E1432" s="57" t="n"/>
    </row>
    <row r="1433" ht="61" customHeight="1">
      <c r="A1433" s="47" t="inlineStr">
        <is>
          <t>Quan sát tại</t>
        </is>
      </c>
      <c r="B1433" s="56" t="inlineStr">
        <is>
          <t>• Dùng trích xuất không lọc để thấy cả ô đối chứng. Trạng thái không có dấu đỏ cần đọc thêm trạng thái lưu;
• Output Excel/PDF dùng file thật.</t>
        </is>
      </c>
      <c r="C1433" s="57" t="n"/>
      <c r="D1433" s="57" t="n"/>
      <c r="E1433" s="57" t="n"/>
    </row>
    <row r="1434" ht="30" customHeight="1">
      <c r="A1434" s="58" t="inlineStr">
        <is>
          <t>Kết quả thực tế</t>
        </is>
      </c>
      <c r="B1434" s="59" t="n"/>
      <c r="C1434" s="59" t="n"/>
      <c r="D1434" s="59" t="n"/>
      <c r="E1434" s="59" t="n"/>
    </row>
    <row r="1435" ht="30" customHeight="1">
      <c r="A1435" s="60" t="inlineStr">
        <is>
          <t>TC-RS-VAL-002 / all30</t>
        </is>
      </c>
      <c r="B1435" s="36" t="n"/>
      <c r="C1435" s="36" t="n"/>
      <c r="D1435" s="36" t="n"/>
      <c r="E1435" s="36" t="n"/>
    </row>
    <row r="1436" ht="30" customHeight="1">
      <c r="A1436" s="47" t="inlineStr">
        <is>
          <t>Dữ liệu biến thể</t>
        </is>
      </c>
      <c r="B1436" s="56" t="inlineStr">
        <is>
          <t>Toàn bộ N=30</t>
        </is>
      </c>
      <c r="C1436" s="57" t="n"/>
      <c r="D1436" s="57" t="n"/>
      <c r="E1436" s="57" t="n"/>
    </row>
    <row r="1437" ht="30" customHeight="1">
      <c r="A1437" s="47" t="inlineStr">
        <is>
          <t>Trạng thái</t>
        </is>
      </c>
      <c r="B1437" s="61" t="inlineStr">
        <is>
          <t>Chưa thực hiện</t>
        </is>
      </c>
      <c r="C1437" s="57" t="n"/>
      <c r="D1437" s="57" t="n"/>
      <c r="E1437" s="57" t="n"/>
    </row>
    <row r="1438" ht="30" customHeight="1">
      <c r="A1438" s="62" t="inlineStr">
        <is>
          <t>Kết quả thực tế</t>
        </is>
      </c>
    </row>
    <row r="1439" ht="64" customHeight="1">
      <c r="A1439" s="63" t="inlineStr"/>
      <c r="B1439" s="64" t="n"/>
      <c r="C1439" s="64" t="n"/>
      <c r="D1439" s="64" t="n"/>
      <c r="E1439" s="65" t="n"/>
    </row>
    <row r="1440" ht="30" customHeight="1">
      <c r="A1440" s="62" t="inlineStr">
        <is>
          <t>Ảnh minh chứng</t>
        </is>
      </c>
    </row>
    <row r="1441" ht="90" customHeight="1">
      <c r="A1441" s="63" t="inlineStr"/>
      <c r="B1441" s="64" t="n"/>
      <c r="C1441" s="64" t="n"/>
      <c r="D1441" s="64" t="n"/>
      <c r="E1441" s="65" t="n"/>
    </row>
    <row r="1442" ht="12" customHeight="1">
      <c r="A1442" s="66" t="inlineStr"/>
    </row>
    <row r="1443" ht="30" customHeight="1">
      <c r="A1443" s="60" t="inlineStr">
        <is>
          <t>TC-RS-VAL-002 / all20</t>
        </is>
      </c>
      <c r="B1443" s="36" t="n"/>
      <c r="C1443" s="36" t="n"/>
      <c r="D1443" s="36" t="n"/>
      <c r="E1443" s="36" t="n"/>
    </row>
    <row r="1444" ht="30" customHeight="1">
      <c r="A1444" s="47" t="inlineStr">
        <is>
          <t>Dữ liệu biến thể</t>
        </is>
      </c>
      <c r="B1444" s="56" t="inlineStr">
        <is>
          <t>Toàn bộ N=20</t>
        </is>
      </c>
      <c r="C1444" s="57" t="n"/>
      <c r="D1444" s="57" t="n"/>
      <c r="E1444" s="57" t="n"/>
    </row>
    <row r="1445" ht="30" customHeight="1">
      <c r="A1445" s="47" t="inlineStr">
        <is>
          <t>Trạng thái</t>
        </is>
      </c>
      <c r="B1445" s="61" t="inlineStr">
        <is>
          <t>Chưa thực hiện</t>
        </is>
      </c>
      <c r="C1445" s="57" t="n"/>
      <c r="D1445" s="57" t="n"/>
      <c r="E1445" s="57" t="n"/>
    </row>
    <row r="1446" ht="30" customHeight="1">
      <c r="A1446" s="62" t="inlineStr">
        <is>
          <t>Kết quả thực tế</t>
        </is>
      </c>
    </row>
    <row r="1447" ht="64" customHeight="1">
      <c r="A1447" s="63" t="inlineStr"/>
      <c r="B1447" s="64" t="n"/>
      <c r="C1447" s="64" t="n"/>
      <c r="D1447" s="64" t="n"/>
      <c r="E1447" s="65" t="n"/>
    </row>
    <row r="1448" ht="30" customHeight="1">
      <c r="A1448" s="62" t="inlineStr">
        <is>
          <t>Ảnh minh chứng</t>
        </is>
      </c>
    </row>
    <row r="1449" ht="90" customHeight="1">
      <c r="A1449" s="63" t="inlineStr"/>
      <c r="B1449" s="64" t="n"/>
      <c r="C1449" s="64" t="n"/>
      <c r="D1449" s="64" t="n"/>
      <c r="E1449" s="65" t="n"/>
    </row>
    <row r="1450" ht="12" customHeight="1">
      <c r="A1450" s="66" t="inlineStr"/>
    </row>
    <row r="1451" ht="30" customHeight="1">
      <c r="A1451" s="60" t="inlineStr">
        <is>
          <t>TC-RS-VAL-002 / gb30</t>
        </is>
      </c>
      <c r="B1451" s="36" t="n"/>
      <c r="C1451" s="36" t="n"/>
      <c r="D1451" s="36" t="n"/>
      <c r="E1451" s="36" t="n"/>
    </row>
    <row r="1452" ht="30" customHeight="1">
      <c r="A1452" s="47" t="inlineStr">
        <is>
          <t>Dữ liệu biến thể</t>
        </is>
      </c>
      <c r="B1452" s="56" t="inlineStr">
        <is>
          <t>Chỉ G-B N=30</t>
        </is>
      </c>
      <c r="C1452" s="57" t="n"/>
      <c r="D1452" s="57" t="n"/>
      <c r="E1452" s="57" t="n"/>
    </row>
    <row r="1453" ht="30" customHeight="1">
      <c r="A1453" s="47" t="inlineStr">
        <is>
          <t>Trạng thái</t>
        </is>
      </c>
      <c r="B1453" s="61" t="inlineStr">
        <is>
          <t>Chưa thực hiện</t>
        </is>
      </c>
      <c r="C1453" s="57" t="n"/>
      <c r="D1453" s="57" t="n"/>
      <c r="E1453" s="57" t="n"/>
    </row>
    <row r="1454" ht="30" customHeight="1">
      <c r="A1454" s="62" t="inlineStr">
        <is>
          <t>Kết quả thực tế</t>
        </is>
      </c>
    </row>
    <row r="1455" ht="64" customHeight="1">
      <c r="A1455" s="63" t="inlineStr"/>
      <c r="B1455" s="64" t="n"/>
      <c r="C1455" s="64" t="n"/>
      <c r="D1455" s="64" t="n"/>
      <c r="E1455" s="65" t="n"/>
    </row>
    <row r="1456" ht="30" customHeight="1">
      <c r="A1456" s="62" t="inlineStr">
        <is>
          <t>Ảnh minh chứng</t>
        </is>
      </c>
    </row>
    <row r="1457" ht="90" customHeight="1">
      <c r="A1457" s="63" t="inlineStr"/>
      <c r="B1457" s="64" t="n"/>
      <c r="C1457" s="64" t="n"/>
      <c r="D1457" s="64" t="n"/>
      <c r="E1457" s="65" t="n"/>
    </row>
    <row r="1458" ht="12" customHeight="1">
      <c r="A1458" s="66" t="inlineStr"/>
    </row>
    <row r="1459" ht="20" customHeight="1">
      <c r="A1459" s="66" t="inlineStr"/>
    </row>
    <row r="1460" ht="30" customHeight="1">
      <c r="A1460" s="46" t="inlineStr">
        <is>
          <t>TC-RS-VAL-003 — Mở rộng phạm vi sau khi lưu: kiểm lại ngưỡng cố định với M của đối tượng mới</t>
        </is>
      </c>
      <c r="B1460" s="23" t="n"/>
      <c r="C1460" s="23" t="n"/>
      <c r="D1460" s="23" t="n"/>
      <c r="E1460" s="23" t="n"/>
    </row>
    <row r="1461" ht="30" customHeight="1">
      <c r="A1461" s="47" t="inlineStr">
        <is>
          <t>Trạng thái</t>
        </is>
      </c>
      <c r="B1461" s="61" t="inlineStr">
        <is>
          <t>Chưa thực hiện</t>
        </is>
      </c>
      <c r="C1461" s="57" t="n"/>
      <c r="D1461" s="57" t="n"/>
      <c r="E1461" s="57" t="n"/>
    </row>
    <row r="1462" ht="30" customHeight="1">
      <c r="A1462" s="47" t="inlineStr">
        <is>
          <t>Màn hình / chức năng</t>
        </is>
      </c>
      <c r="B1462" s="47" t="inlineStr">
        <is>
          <t>Thiết lập ngưỡng（基準設定）</t>
        </is>
      </c>
      <c r="C1462" s="57" t="n"/>
      <c r="D1462" s="47" t="inlineStr">
        <is>
          <t>Đường dẫn</t>
        </is>
      </c>
      <c r="E1462" s="56" t="inlineStr">
        <is>
          <t>Chưa xác minh</t>
        </is>
      </c>
    </row>
    <row r="1463" ht="30" customHeight="1">
      <c r="A1463" s="58" t="inlineStr">
        <is>
          <t>Điều kiện kiểm thử</t>
        </is>
      </c>
      <c r="B1463" s="59" t="n"/>
      <c r="C1463" s="59" t="n"/>
      <c r="D1463" s="59" t="n"/>
      <c r="E1463" s="59" t="n"/>
    </row>
    <row r="1464" ht="44" customHeight="1">
      <c r="A1464" s="47" t="inlineStr">
        <is>
          <t>Cấu hình</t>
        </is>
      </c>
      <c r="B1464" s="56" t="inlineStr">
        <is>
          <t>• Mục có M khác nhau theo lớp (G-A M=20, G-B M=100);
• Quy tắc lọc chỉ G-B, cố định 30 đã lưu.</t>
        </is>
      </c>
      <c r="C1464" s="57" t="n"/>
      <c r="D1464" s="57" t="n"/>
      <c r="E1464" s="57" t="n"/>
    </row>
    <row r="1465" ht="61" customHeight="1">
      <c r="A1465" s="47" t="inlineStr">
        <is>
          <t>Vai trò / quyền</t>
        </is>
      </c>
      <c r="B146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465" s="57" t="n"/>
      <c r="D1465" s="57" t="n"/>
      <c r="E1465" s="57" t="n"/>
    </row>
    <row r="1466" ht="30" customHeight="1">
      <c r="A1466" s="47" t="inlineStr">
        <is>
          <t>Dữ liệu test</t>
        </is>
      </c>
      <c r="B1466" s="56" t="inlineStr">
        <is>
          <t>• Mục có M khác nhau theo lớp (G-A M=20, G-B M=100)</t>
        </is>
      </c>
      <c r="C1466" s="57" t="n"/>
      <c r="D1466" s="57" t="n"/>
      <c r="E1466" s="57" t="n"/>
    </row>
    <row r="1467" ht="30" customHeight="1">
      <c r="A1467" s="47" t="inlineStr">
        <is>
          <t>Trigger</t>
        </is>
      </c>
      <c r="B1467" s="56" t="inlineStr">
        <is>
          <t>• Chỉ xem/xuất không tự chạy xét.</t>
        </is>
      </c>
      <c r="C1467" s="57" t="n"/>
      <c r="D1467" s="57" t="n"/>
      <c r="E1467" s="57" t="n"/>
    </row>
    <row r="1468" ht="44" customHeight="1">
      <c r="A1468" s="47" t="inlineStr">
        <is>
          <t>Blocker</t>
        </is>
      </c>
      <c r="B1468" s="56" t="inlineStr">
        <is>
          <t>• G-PREP-UNASSESSED: Chưa có xác minh fixture, đường thực hiện và phép quan sát trên build của từng case chưa đánh giá.</t>
        </is>
      </c>
      <c r="C1468" s="57" t="n"/>
      <c r="D1468" s="57" t="n"/>
      <c r="E1468" s="57" t="n"/>
    </row>
    <row r="1469" ht="30" customHeight="1">
      <c r="A1469" s="58" t="inlineStr">
        <is>
          <t>Thao tác</t>
        </is>
      </c>
      <c r="B1469" s="59" t="n"/>
      <c r="C1469" s="59" t="n"/>
      <c r="D1469" s="59" t="n"/>
      <c r="E1469" s="59" t="n"/>
    </row>
    <row r="1470" ht="30" customHeight="1">
      <c r="A1470" s="47" t="inlineStr">
        <is>
          <t>•</t>
        </is>
      </c>
      <c r="B1470" s="56" t="inlineStr">
        <is>
          <t>Sửa bộ lọc thành G-A hoặc G-B (giữ N=30), bấm Lưu.</t>
        </is>
      </c>
      <c r="C1470" s="57" t="n"/>
      <c r="D1470" s="57" t="n"/>
      <c r="E1470" s="57" t="n"/>
    </row>
    <row r="1471" ht="44" customHeight="1">
      <c r="A1471" s="47" t="inlineStr">
        <is>
          <t>Reset</t>
        </is>
      </c>
      <c r="B1471" s="56" t="inlineStr">
        <is>
          <t>Trước mỗi biến thể, dựng lại điều kiện/dữ liệu đầu của case bằng đường được phép; giữ các reset/fixture độc lập đã nêu trong thủ tục.</t>
        </is>
      </c>
      <c r="C1471" s="57" t="n"/>
      <c r="D1471" s="57" t="n"/>
      <c r="E1471" s="57" t="n"/>
    </row>
    <row r="1472" ht="30" customHeight="1">
      <c r="A1472" s="58" t="inlineStr">
        <is>
          <t>Kết quả mong đợi</t>
        </is>
      </c>
      <c r="B1472" s="59" t="n"/>
      <c r="C1472" s="59" t="n"/>
      <c r="D1472" s="59" t="n"/>
      <c r="E1472" s="59" t="n"/>
    </row>
    <row r="1473" ht="30" customHeight="1">
      <c r="A1473" s="47" t="inlineStr">
        <is>
          <t>•</t>
        </is>
      </c>
      <c r="B1473" s="56" t="inlineStr">
        <is>
          <t>Không lưu được vì G-A có M=20; cấu hình cũ (chỉ G-B) giữ nguyên.</t>
        </is>
      </c>
      <c r="C1473" s="57" t="n"/>
      <c r="D1473" s="57" t="n"/>
      <c r="E1473" s="57" t="n"/>
    </row>
    <row r="1474" ht="44" customHeight="1">
      <c r="A1474" s="47" t="inlineStr">
        <is>
          <t>Giữ nguyên</t>
        </is>
      </c>
      <c r="B1474" s="56" t="inlineStr">
        <is>
          <t>• Giữ điểm, cấu hình và đối tượng không đích theo expected;
• Chỉ thay phần thủ tục yêu cầu, không tự đổi oracle hoặc mở rộng phạm vi.</t>
        </is>
      </c>
      <c r="C1474" s="57" t="n"/>
      <c r="D1474" s="57" t="n"/>
      <c r="E1474" s="57" t="n"/>
    </row>
    <row r="1475" ht="61" customHeight="1">
      <c r="A1475" s="47" t="inlineStr">
        <is>
          <t>Quan sát tại</t>
        </is>
      </c>
      <c r="B1475" s="56" t="inlineStr">
        <is>
          <t>• Dùng trích xuất không lọc để thấy cả ô đối chứng. Trạng thái không có dấu đỏ cần đọc thêm trạng thái lưu;
• Output Excel/PDF dùng file thật.</t>
        </is>
      </c>
      <c r="C1475" s="57" t="n"/>
      <c r="D1475" s="57" t="n"/>
      <c r="E1475" s="57" t="n"/>
    </row>
    <row r="1476" ht="30" customHeight="1">
      <c r="A1476" s="58" t="inlineStr">
        <is>
          <t>Kết quả thực tế</t>
        </is>
      </c>
      <c r="B1476" s="59" t="n"/>
      <c r="C1476" s="59" t="n"/>
      <c r="D1476" s="59" t="n"/>
      <c r="E1476" s="59" t="n"/>
    </row>
    <row r="1477" ht="30" customHeight="1">
      <c r="A1477" s="47" t="inlineStr">
        <is>
          <t>Dữ liệu biến thể</t>
        </is>
      </c>
      <c r="B1477" s="56" t="inlineStr">
        <is>
          <t>Toàn bộ thủ tục theo đúng thứ tự; các đối chứng cùng fixture được kiểm trong cùng lượt, không bỏ bước</t>
        </is>
      </c>
      <c r="C1477" s="57" t="n"/>
      <c r="D1477" s="57" t="n"/>
      <c r="E1477" s="57" t="n"/>
    </row>
    <row r="1478" ht="30" customHeight="1">
      <c r="A1478" s="62" t="inlineStr">
        <is>
          <t>Kết quả thực tế</t>
        </is>
      </c>
    </row>
    <row r="1479" ht="64" customHeight="1">
      <c r="A1479" s="63" t="inlineStr"/>
      <c r="B1479" s="64" t="n"/>
      <c r="C1479" s="64" t="n"/>
      <c r="D1479" s="64" t="n"/>
      <c r="E1479" s="65" t="n"/>
    </row>
    <row r="1480" ht="30" customHeight="1">
      <c r="A1480" s="62" t="inlineStr">
        <is>
          <t>Ảnh minh chứng</t>
        </is>
      </c>
    </row>
    <row r="1481" ht="90" customHeight="1">
      <c r="A1481" s="63" t="inlineStr"/>
      <c r="B1481" s="64" t="n"/>
      <c r="C1481" s="64" t="n"/>
      <c r="D1481" s="64" t="n"/>
      <c r="E1481" s="65" t="n"/>
    </row>
    <row r="1482" ht="12" customHeight="1">
      <c r="A1482" s="66" t="inlineStr"/>
    </row>
    <row r="1483" ht="20" customHeight="1">
      <c r="A1483" s="66" t="inlineStr"/>
    </row>
    <row r="1484" ht="30" customHeight="1">
      <c r="A1484" s="46" t="inlineStr">
        <is>
          <t>TC-RS-VAL-004 — Ngưỡng cố định/tỷ lệ trống hoặc không phải số</t>
        </is>
      </c>
      <c r="B1484" s="23" t="n"/>
      <c r="C1484" s="23" t="n"/>
      <c r="D1484" s="23" t="n"/>
      <c r="E1484" s="23" t="n"/>
    </row>
    <row r="1485" ht="30" customHeight="1">
      <c r="A1485" s="47" t="inlineStr">
        <is>
          <t>Trạng thái</t>
        </is>
      </c>
      <c r="B1485" s="56">
        <f>IF(0&gt;0,"Không đạt",IF(0=8,"Đạt",IF(SUMPRODUCT(--EXACT('Testcases'!B1503:B1559,"Không thực hiện"))=8,"Không thực hiện",IF(SUMPRODUCT(--EXACT('Testcases'!B1503:B1559,"Bị chặn"))&gt;0,"Bị chặn",IF(SUMPRODUCT(--EXACT('Testcases'!B1503:B1559,"Chưa thực hiện"))=8,"Chưa thực hiện","Chưa đủ kết luận")))))</f>
        <v/>
      </c>
      <c r="C1485" s="57" t="n"/>
      <c r="D1485" s="57" t="n"/>
      <c r="E1485" s="57" t="n"/>
    </row>
    <row r="1486" ht="30" customHeight="1">
      <c r="A1486" s="47" t="inlineStr">
        <is>
          <t>Màn hình / chức năng</t>
        </is>
      </c>
      <c r="B1486" s="47" t="inlineStr">
        <is>
          <t>Thiết lập ngưỡng（基準設定）</t>
        </is>
      </c>
      <c r="C1486" s="57" t="n"/>
      <c r="D1486" s="47" t="inlineStr">
        <is>
          <t>Đường dẫn</t>
        </is>
      </c>
      <c r="E1486" s="56" t="inlineStr">
        <is>
          <t>Chưa xác minh</t>
        </is>
      </c>
    </row>
    <row r="1487" ht="30" customHeight="1">
      <c r="A1487" s="58" t="inlineStr">
        <is>
          <t>Điều kiện kiểm thử</t>
        </is>
      </c>
      <c r="B1487" s="59" t="n"/>
      <c r="C1487" s="59" t="n"/>
      <c r="D1487" s="59" t="n"/>
      <c r="E1487" s="59" t="n"/>
    </row>
    <row r="1488" ht="30" customHeight="1">
      <c r="A1488" s="47" t="inlineStr">
        <is>
          <t>Cấu hình</t>
        </is>
      </c>
      <c r="B1488" s="56" t="inlineStr">
        <is>
          <t>• Màn cấu hình mục số nguyên (M=100).</t>
        </is>
      </c>
      <c r="C1488" s="57" t="n"/>
      <c r="D1488" s="57" t="n"/>
      <c r="E1488" s="57" t="n"/>
    </row>
    <row r="1489" ht="61" customHeight="1">
      <c r="A1489" s="47" t="inlineStr">
        <is>
          <t>Vai trò / quyền</t>
        </is>
      </c>
      <c r="B148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489" s="57" t="n"/>
      <c r="D1489" s="57" t="n"/>
      <c r="E1489" s="57" t="n"/>
    </row>
    <row r="1490" ht="44" customHeight="1">
      <c r="A1490" s="47" t="inlineStr">
        <is>
          <t>Dữ liệu test</t>
        </is>
      </c>
      <c r="B1490" s="56" t="inlineStr">
        <is>
          <t>• Mục số nguyên (M=100);
• Giá trị: trống, [abc], [3O] (chữ O), [３０] (số toàn khổ)</t>
        </is>
      </c>
      <c r="C1490" s="57" t="n"/>
      <c r="D1490" s="57" t="n"/>
      <c r="E1490" s="57" t="n"/>
    </row>
    <row r="1491" ht="30" customHeight="1">
      <c r="A1491" s="47" t="inlineStr">
        <is>
          <t>Trigger</t>
        </is>
      </c>
      <c r="B1491" s="56" t="inlineStr">
        <is>
          <t>• Chỉ xem/xuất không tự chạy xét.</t>
        </is>
      </c>
      <c r="C1491" s="57" t="n"/>
      <c r="D1491" s="57" t="n"/>
      <c r="E1491" s="57" t="n"/>
    </row>
    <row r="1492" ht="44" customHeight="1">
      <c r="A1492" s="47" t="inlineStr">
        <is>
          <t>Blocker</t>
        </is>
      </c>
      <c r="B1492" s="56" t="inlineStr">
        <is>
          <t>• G-PREP-UNASSESSED: Chưa có xác minh fixture, đường thực hiện và phép quan sát trên build của từng case chưa đánh giá.</t>
        </is>
      </c>
      <c r="C1492" s="57" t="n"/>
      <c r="D1492" s="57" t="n"/>
      <c r="E1492" s="57" t="n"/>
    </row>
    <row r="1493" ht="30" customHeight="1">
      <c r="A1493" s="58" t="inlineStr">
        <is>
          <t>Thao tác</t>
        </is>
      </c>
      <c r="B1493" s="59" t="n"/>
      <c r="C1493" s="59" t="n"/>
      <c r="D1493" s="59" t="n"/>
      <c r="E1493" s="59" t="n"/>
    </row>
    <row r="1494" ht="30" customHeight="1">
      <c r="A1494" s="47" t="inlineStr">
        <is>
          <t>•</t>
        </is>
      </c>
      <c r="B1494" s="56" t="inlineStr">
        <is>
          <t>Với loại Điểm cố định（固定点数） rồi Tỷ lệ điểm tối đa（得点率）: nhập từng giá trị, bấm Lưu.</t>
        </is>
      </c>
      <c r="C1494" s="57" t="n"/>
      <c r="D1494" s="57" t="n"/>
      <c r="E1494" s="57" t="n"/>
    </row>
    <row r="1495" ht="44" customHeight="1">
      <c r="A1495" s="47" t="inlineStr">
        <is>
          <t>Reset</t>
        </is>
      </c>
      <c r="B1495" s="56" t="inlineStr">
        <is>
          <t>Trước mỗi biến thể, dựng lại điều kiện/dữ liệu đầu của case bằng đường được phép; giữ các reset/fixture độc lập đã nêu trong thủ tục.</t>
        </is>
      </c>
      <c r="C1495" s="57" t="n"/>
      <c r="D1495" s="57" t="n"/>
      <c r="E1495" s="57" t="n"/>
    </row>
    <row r="1496" ht="30" customHeight="1">
      <c r="A1496" s="58" t="inlineStr">
        <is>
          <t>Kết quả mong đợi</t>
        </is>
      </c>
      <c r="B1496" s="59" t="n"/>
      <c r="C1496" s="59" t="n"/>
      <c r="D1496" s="59" t="n"/>
      <c r="E1496" s="59" t="n"/>
    </row>
    <row r="1497" ht="44" customHeight="1">
      <c r="A1497" s="47" t="inlineStr">
        <is>
          <t>•</t>
        </is>
      </c>
      <c r="B1497" s="56" t="inlineStr">
        <is>
          <t>Trống, [abc], [3O]: không lưu được, có lỗi. [３０]: xử lý theo quy ước nhập số hiện hành của BLEND (TBD — có thể chuẩn hóa thành 30 hoặc báo lỗi).</t>
        </is>
      </c>
      <c r="C1497" s="57" t="n"/>
      <c r="D1497" s="57" t="n"/>
      <c r="E1497" s="57" t="n"/>
    </row>
    <row r="1498" ht="44" customHeight="1">
      <c r="A1498" s="47" t="inlineStr">
        <is>
          <t>Giữ nguyên</t>
        </is>
      </c>
      <c r="B1498" s="56" t="inlineStr">
        <is>
          <t>• Giữ điểm, cấu hình và đối tượng không đích theo expected;
• Chỉ thay phần thủ tục yêu cầu, không tự đổi oracle hoặc mở rộng phạm vi.</t>
        </is>
      </c>
      <c r="C1498" s="57" t="n"/>
      <c r="D1498" s="57" t="n"/>
      <c r="E1498" s="57" t="n"/>
    </row>
    <row r="1499" ht="61" customHeight="1">
      <c r="A1499" s="47" t="inlineStr">
        <is>
          <t>Quan sát tại</t>
        </is>
      </c>
      <c r="B1499" s="56" t="inlineStr">
        <is>
          <t>• Dùng trích xuất không lọc để thấy cả ô đối chứng. Trạng thái không có dấu đỏ cần đọc thêm trạng thái lưu;
• Output Excel/PDF dùng file thật.</t>
        </is>
      </c>
      <c r="C1499" s="57" t="n"/>
      <c r="D1499" s="57" t="n"/>
      <c r="E1499" s="57" t="n"/>
    </row>
    <row r="1500" ht="30" customHeight="1">
      <c r="A1500" s="58" t="inlineStr">
        <is>
          <t>Kết quả thực tế</t>
        </is>
      </c>
      <c r="B1500" s="59" t="n"/>
      <c r="C1500" s="59" t="n"/>
      <c r="D1500" s="59" t="n"/>
      <c r="E1500" s="59" t="n"/>
    </row>
    <row r="1501" ht="30" customHeight="1">
      <c r="A1501" s="60" t="inlineStr">
        <is>
          <t>TC-RS-VAL-004 / fixed-empty</t>
        </is>
      </c>
      <c r="B1501" s="36" t="n"/>
      <c r="C1501" s="36" t="n"/>
      <c r="D1501" s="36" t="n"/>
      <c r="E1501" s="36" t="n"/>
    </row>
    <row r="1502" ht="30" customHeight="1">
      <c r="A1502" s="47" t="inlineStr">
        <is>
          <t>Dữ liệu biến thể</t>
        </is>
      </c>
      <c r="B1502" s="56" t="inlineStr">
        <is>
          <t>Cố định với trống</t>
        </is>
      </c>
      <c r="C1502" s="57" t="n"/>
      <c r="D1502" s="57" t="n"/>
      <c r="E1502" s="57" t="n"/>
    </row>
    <row r="1503" ht="30" customHeight="1">
      <c r="A1503" s="47" t="inlineStr">
        <is>
          <t>Trạng thái</t>
        </is>
      </c>
      <c r="B1503" s="61" t="inlineStr">
        <is>
          <t>Chưa thực hiện</t>
        </is>
      </c>
      <c r="C1503" s="57" t="n"/>
      <c r="D1503" s="57" t="n"/>
      <c r="E1503" s="57" t="n"/>
    </row>
    <row r="1504" ht="30" customHeight="1">
      <c r="A1504" s="62" t="inlineStr">
        <is>
          <t>Kết quả thực tế</t>
        </is>
      </c>
    </row>
    <row r="1505" ht="64" customHeight="1">
      <c r="A1505" s="63" t="inlineStr"/>
      <c r="B1505" s="64" t="n"/>
      <c r="C1505" s="64" t="n"/>
      <c r="D1505" s="64" t="n"/>
      <c r="E1505" s="65" t="n"/>
    </row>
    <row r="1506" ht="30" customHeight="1">
      <c r="A1506" s="62" t="inlineStr">
        <is>
          <t>Ảnh minh chứng</t>
        </is>
      </c>
    </row>
    <row r="1507" ht="90" customHeight="1">
      <c r="A1507" s="63" t="inlineStr"/>
      <c r="B1507" s="64" t="n"/>
      <c r="C1507" s="64" t="n"/>
      <c r="D1507" s="64" t="n"/>
      <c r="E1507" s="65" t="n"/>
    </row>
    <row r="1508" ht="12" customHeight="1">
      <c r="A1508" s="66" t="inlineStr"/>
    </row>
    <row r="1509" ht="30" customHeight="1">
      <c r="A1509" s="60" t="inlineStr">
        <is>
          <t>TC-RS-VAL-004 / fixed-abc</t>
        </is>
      </c>
      <c r="B1509" s="36" t="n"/>
      <c r="C1509" s="36" t="n"/>
      <c r="D1509" s="36" t="n"/>
      <c r="E1509" s="36" t="n"/>
    </row>
    <row r="1510" ht="30" customHeight="1">
      <c r="A1510" s="47" t="inlineStr">
        <is>
          <t>Dữ liệu biến thể</t>
        </is>
      </c>
      <c r="B1510" s="56" t="inlineStr">
        <is>
          <t>Cố định với abc</t>
        </is>
      </c>
      <c r="C1510" s="57" t="n"/>
      <c r="D1510" s="57" t="n"/>
      <c r="E1510" s="57" t="n"/>
    </row>
    <row r="1511" ht="30" customHeight="1">
      <c r="A1511" s="47" t="inlineStr">
        <is>
          <t>Trạng thái</t>
        </is>
      </c>
      <c r="B1511" s="61" t="inlineStr">
        <is>
          <t>Chưa thực hiện</t>
        </is>
      </c>
      <c r="C1511" s="57" t="n"/>
      <c r="D1511" s="57" t="n"/>
      <c r="E1511" s="57" t="n"/>
    </row>
    <row r="1512" ht="30" customHeight="1">
      <c r="A1512" s="62" t="inlineStr">
        <is>
          <t>Kết quả thực tế</t>
        </is>
      </c>
    </row>
    <row r="1513" ht="64" customHeight="1">
      <c r="A1513" s="63" t="inlineStr"/>
      <c r="B1513" s="64" t="n"/>
      <c r="C1513" s="64" t="n"/>
      <c r="D1513" s="64" t="n"/>
      <c r="E1513" s="65" t="n"/>
    </row>
    <row r="1514" ht="30" customHeight="1">
      <c r="A1514" s="62" t="inlineStr">
        <is>
          <t>Ảnh minh chứng</t>
        </is>
      </c>
    </row>
    <row r="1515" ht="90" customHeight="1">
      <c r="A1515" s="63" t="inlineStr"/>
      <c r="B1515" s="64" t="n"/>
      <c r="C1515" s="64" t="n"/>
      <c r="D1515" s="64" t="n"/>
      <c r="E1515" s="65" t="n"/>
    </row>
    <row r="1516" ht="12" customHeight="1">
      <c r="A1516" s="66" t="inlineStr"/>
    </row>
    <row r="1517" ht="30" customHeight="1">
      <c r="A1517" s="60" t="inlineStr">
        <is>
          <t>TC-RS-VAL-004 / fixed-3O</t>
        </is>
      </c>
      <c r="B1517" s="36" t="n"/>
      <c r="C1517" s="36" t="n"/>
      <c r="D1517" s="36" t="n"/>
      <c r="E1517" s="36" t="n"/>
    </row>
    <row r="1518" ht="30" customHeight="1">
      <c r="A1518" s="47" t="inlineStr">
        <is>
          <t>Dữ liệu biến thể</t>
        </is>
      </c>
      <c r="B1518" s="56" t="inlineStr">
        <is>
          <t>Cố định với 3O</t>
        </is>
      </c>
      <c r="C1518" s="57" t="n"/>
      <c r="D1518" s="57" t="n"/>
      <c r="E1518" s="57" t="n"/>
    </row>
    <row r="1519" ht="30" customHeight="1">
      <c r="A1519" s="47" t="inlineStr">
        <is>
          <t>Trạng thái</t>
        </is>
      </c>
      <c r="B1519" s="61" t="inlineStr">
        <is>
          <t>Chưa thực hiện</t>
        </is>
      </c>
      <c r="C1519" s="57" t="n"/>
      <c r="D1519" s="57" t="n"/>
      <c r="E1519" s="57" t="n"/>
    </row>
    <row r="1520" ht="30" customHeight="1">
      <c r="A1520" s="62" t="inlineStr">
        <is>
          <t>Kết quả thực tế</t>
        </is>
      </c>
    </row>
    <row r="1521" ht="64" customHeight="1">
      <c r="A1521" s="63" t="inlineStr"/>
      <c r="B1521" s="64" t="n"/>
      <c r="C1521" s="64" t="n"/>
      <c r="D1521" s="64" t="n"/>
      <c r="E1521" s="65" t="n"/>
    </row>
    <row r="1522" ht="30" customHeight="1">
      <c r="A1522" s="62" t="inlineStr">
        <is>
          <t>Ảnh minh chứng</t>
        </is>
      </c>
    </row>
    <row r="1523" ht="90" customHeight="1">
      <c r="A1523" s="63" t="inlineStr"/>
      <c r="B1523" s="64" t="n"/>
      <c r="C1523" s="64" t="n"/>
      <c r="D1523" s="64" t="n"/>
      <c r="E1523" s="65" t="n"/>
    </row>
    <row r="1524" ht="12" customHeight="1">
      <c r="A1524" s="66" t="inlineStr"/>
    </row>
    <row r="1525" ht="30" customHeight="1">
      <c r="A1525" s="60" t="inlineStr">
        <is>
          <t>TC-RS-VAL-004 / fixed-fullwidth</t>
        </is>
      </c>
      <c r="B1525" s="36" t="n"/>
      <c r="C1525" s="36" t="n"/>
      <c r="D1525" s="36" t="n"/>
      <c r="E1525" s="36" t="n"/>
    </row>
    <row r="1526" ht="30" customHeight="1">
      <c r="A1526" s="47" t="inlineStr">
        <is>
          <t>Dữ liệu biến thể</t>
        </is>
      </c>
      <c r="B1526" s="56" t="inlineStr">
        <is>
          <t>Cố định với chữ số toàn chiều rộng, phần TBD giữ BLOCKED</t>
        </is>
      </c>
      <c r="C1526" s="57" t="n"/>
      <c r="D1526" s="57" t="n"/>
      <c r="E1526" s="57" t="n"/>
    </row>
    <row r="1527" ht="30" customHeight="1">
      <c r="A1527" s="47" t="inlineStr">
        <is>
          <t>Trạng thái</t>
        </is>
      </c>
      <c r="B1527" s="61" t="inlineStr">
        <is>
          <t>Chưa thực hiện</t>
        </is>
      </c>
      <c r="C1527" s="57" t="n"/>
      <c r="D1527" s="57" t="n"/>
      <c r="E1527" s="57" t="n"/>
    </row>
    <row r="1528" ht="30" customHeight="1">
      <c r="A1528" s="62" t="inlineStr">
        <is>
          <t>Kết quả thực tế</t>
        </is>
      </c>
    </row>
    <row r="1529" ht="64" customHeight="1">
      <c r="A1529" s="63" t="inlineStr"/>
      <c r="B1529" s="64" t="n"/>
      <c r="C1529" s="64" t="n"/>
      <c r="D1529" s="64" t="n"/>
      <c r="E1529" s="65" t="n"/>
    </row>
    <row r="1530" ht="30" customHeight="1">
      <c r="A1530" s="62" t="inlineStr">
        <is>
          <t>Ảnh minh chứng</t>
        </is>
      </c>
    </row>
    <row r="1531" ht="90" customHeight="1">
      <c r="A1531" s="63" t="inlineStr"/>
      <c r="B1531" s="64" t="n"/>
      <c r="C1531" s="64" t="n"/>
      <c r="D1531" s="64" t="n"/>
      <c r="E1531" s="65" t="n"/>
    </row>
    <row r="1532" ht="12" customHeight="1">
      <c r="A1532" s="66" t="inlineStr"/>
    </row>
    <row r="1533" ht="30" customHeight="1">
      <c r="A1533" s="60" t="inlineStr">
        <is>
          <t>TC-RS-VAL-004 / ratio-empty</t>
        </is>
      </c>
      <c r="B1533" s="36" t="n"/>
      <c r="C1533" s="36" t="n"/>
      <c r="D1533" s="36" t="n"/>
      <c r="E1533" s="36" t="n"/>
    </row>
    <row r="1534" ht="30" customHeight="1">
      <c r="A1534" s="47" t="inlineStr">
        <is>
          <t>Dữ liệu biến thể</t>
        </is>
      </c>
      <c r="B1534" s="56" t="inlineStr">
        <is>
          <t>Tỷ lệ với trống</t>
        </is>
      </c>
      <c r="C1534" s="57" t="n"/>
      <c r="D1534" s="57" t="n"/>
      <c r="E1534" s="57" t="n"/>
    </row>
    <row r="1535" ht="30" customHeight="1">
      <c r="A1535" s="47" t="inlineStr">
        <is>
          <t>Trạng thái</t>
        </is>
      </c>
      <c r="B1535" s="61" t="inlineStr">
        <is>
          <t>Chưa thực hiện</t>
        </is>
      </c>
      <c r="C1535" s="57" t="n"/>
      <c r="D1535" s="57" t="n"/>
      <c r="E1535" s="57" t="n"/>
    </row>
    <row r="1536" ht="30" customHeight="1">
      <c r="A1536" s="62" t="inlineStr">
        <is>
          <t>Kết quả thực tế</t>
        </is>
      </c>
    </row>
    <row r="1537" ht="64" customHeight="1">
      <c r="A1537" s="63" t="inlineStr"/>
      <c r="B1537" s="64" t="n"/>
      <c r="C1537" s="64" t="n"/>
      <c r="D1537" s="64" t="n"/>
      <c r="E1537" s="65" t="n"/>
    </row>
    <row r="1538" ht="30" customHeight="1">
      <c r="A1538" s="62" t="inlineStr">
        <is>
          <t>Ảnh minh chứng</t>
        </is>
      </c>
    </row>
    <row r="1539" ht="90" customHeight="1">
      <c r="A1539" s="63" t="inlineStr"/>
      <c r="B1539" s="64" t="n"/>
      <c r="C1539" s="64" t="n"/>
      <c r="D1539" s="64" t="n"/>
      <c r="E1539" s="65" t="n"/>
    </row>
    <row r="1540" ht="12" customHeight="1">
      <c r="A1540" s="66" t="inlineStr"/>
    </row>
    <row r="1541" ht="30" customHeight="1">
      <c r="A1541" s="60" t="inlineStr">
        <is>
          <t>TC-RS-VAL-004 / ratio-abc</t>
        </is>
      </c>
      <c r="B1541" s="36" t="n"/>
      <c r="C1541" s="36" t="n"/>
      <c r="D1541" s="36" t="n"/>
      <c r="E1541" s="36" t="n"/>
    </row>
    <row r="1542" ht="30" customHeight="1">
      <c r="A1542" s="47" t="inlineStr">
        <is>
          <t>Dữ liệu biến thể</t>
        </is>
      </c>
      <c r="B1542" s="56" t="inlineStr">
        <is>
          <t>Tỷ lệ với abc</t>
        </is>
      </c>
      <c r="C1542" s="57" t="n"/>
      <c r="D1542" s="57" t="n"/>
      <c r="E1542" s="57" t="n"/>
    </row>
    <row r="1543" ht="30" customHeight="1">
      <c r="A1543" s="47" t="inlineStr">
        <is>
          <t>Trạng thái</t>
        </is>
      </c>
      <c r="B1543" s="61" t="inlineStr">
        <is>
          <t>Chưa thực hiện</t>
        </is>
      </c>
      <c r="C1543" s="57" t="n"/>
      <c r="D1543" s="57" t="n"/>
      <c r="E1543" s="57" t="n"/>
    </row>
    <row r="1544" ht="30" customHeight="1">
      <c r="A1544" s="62" t="inlineStr">
        <is>
          <t>Kết quả thực tế</t>
        </is>
      </c>
    </row>
    <row r="1545" ht="64" customHeight="1">
      <c r="A1545" s="63" t="inlineStr"/>
      <c r="B1545" s="64" t="n"/>
      <c r="C1545" s="64" t="n"/>
      <c r="D1545" s="64" t="n"/>
      <c r="E1545" s="65" t="n"/>
    </row>
    <row r="1546" ht="30" customHeight="1">
      <c r="A1546" s="62" t="inlineStr">
        <is>
          <t>Ảnh minh chứng</t>
        </is>
      </c>
    </row>
    <row r="1547" ht="90" customHeight="1">
      <c r="A1547" s="63" t="inlineStr"/>
      <c r="B1547" s="64" t="n"/>
      <c r="C1547" s="64" t="n"/>
      <c r="D1547" s="64" t="n"/>
      <c r="E1547" s="65" t="n"/>
    </row>
    <row r="1548" ht="12" customHeight="1">
      <c r="A1548" s="66" t="inlineStr"/>
    </row>
    <row r="1549" ht="30" customHeight="1">
      <c r="A1549" s="60" t="inlineStr">
        <is>
          <t>TC-RS-VAL-004 / ratio-3O</t>
        </is>
      </c>
      <c r="B1549" s="36" t="n"/>
      <c r="C1549" s="36" t="n"/>
      <c r="D1549" s="36" t="n"/>
      <c r="E1549" s="36" t="n"/>
    </row>
    <row r="1550" ht="30" customHeight="1">
      <c r="A1550" s="47" t="inlineStr">
        <is>
          <t>Dữ liệu biến thể</t>
        </is>
      </c>
      <c r="B1550" s="56" t="inlineStr">
        <is>
          <t>Tỷ lệ với 3O</t>
        </is>
      </c>
      <c r="C1550" s="57" t="n"/>
      <c r="D1550" s="57" t="n"/>
      <c r="E1550" s="57" t="n"/>
    </row>
    <row r="1551" ht="30" customHeight="1">
      <c r="A1551" s="47" t="inlineStr">
        <is>
          <t>Trạng thái</t>
        </is>
      </c>
      <c r="B1551" s="61" t="inlineStr">
        <is>
          <t>Chưa thực hiện</t>
        </is>
      </c>
      <c r="C1551" s="57" t="n"/>
      <c r="D1551" s="57" t="n"/>
      <c r="E1551" s="57" t="n"/>
    </row>
    <row r="1552" ht="30" customHeight="1">
      <c r="A1552" s="62" t="inlineStr">
        <is>
          <t>Kết quả thực tế</t>
        </is>
      </c>
    </row>
    <row r="1553" ht="64" customHeight="1">
      <c r="A1553" s="63" t="inlineStr"/>
      <c r="B1553" s="64" t="n"/>
      <c r="C1553" s="64" t="n"/>
      <c r="D1553" s="64" t="n"/>
      <c r="E1553" s="65" t="n"/>
    </row>
    <row r="1554" ht="30" customHeight="1">
      <c r="A1554" s="62" t="inlineStr">
        <is>
          <t>Ảnh minh chứng</t>
        </is>
      </c>
    </row>
    <row r="1555" ht="90" customHeight="1">
      <c r="A1555" s="63" t="inlineStr"/>
      <c r="B1555" s="64" t="n"/>
      <c r="C1555" s="64" t="n"/>
      <c r="D1555" s="64" t="n"/>
      <c r="E1555" s="65" t="n"/>
    </row>
    <row r="1556" ht="12" customHeight="1">
      <c r="A1556" s="66" t="inlineStr"/>
    </row>
    <row r="1557" ht="30" customHeight="1">
      <c r="A1557" s="60" t="inlineStr">
        <is>
          <t>TC-RS-VAL-004 / ratio-fullwidth</t>
        </is>
      </c>
      <c r="B1557" s="36" t="n"/>
      <c r="C1557" s="36" t="n"/>
      <c r="D1557" s="36" t="n"/>
      <c r="E1557" s="36" t="n"/>
    </row>
    <row r="1558" ht="30" customHeight="1">
      <c r="A1558" s="47" t="inlineStr">
        <is>
          <t>Dữ liệu biến thể</t>
        </is>
      </c>
      <c r="B1558" s="56" t="inlineStr">
        <is>
          <t>Tỷ lệ với chữ số toàn chiều rộng, phần TBD giữ BLOCKED</t>
        </is>
      </c>
      <c r="C1558" s="57" t="n"/>
      <c r="D1558" s="57" t="n"/>
      <c r="E1558" s="57" t="n"/>
    </row>
    <row r="1559" ht="30" customHeight="1">
      <c r="A1559" s="47" t="inlineStr">
        <is>
          <t>Trạng thái</t>
        </is>
      </c>
      <c r="B1559" s="61" t="inlineStr">
        <is>
          <t>Chưa thực hiện</t>
        </is>
      </c>
      <c r="C1559" s="57" t="n"/>
      <c r="D1559" s="57" t="n"/>
      <c r="E1559" s="57" t="n"/>
    </row>
    <row r="1560" ht="30" customHeight="1">
      <c r="A1560" s="62" t="inlineStr">
        <is>
          <t>Kết quả thực tế</t>
        </is>
      </c>
    </row>
    <row r="1561" ht="64" customHeight="1">
      <c r="A1561" s="63" t="inlineStr"/>
      <c r="B1561" s="64" t="n"/>
      <c r="C1561" s="64" t="n"/>
      <c r="D1561" s="64" t="n"/>
      <c r="E1561" s="65" t="n"/>
    </row>
    <row r="1562" ht="30" customHeight="1">
      <c r="A1562" s="62" t="inlineStr">
        <is>
          <t>Ảnh minh chứng</t>
        </is>
      </c>
    </row>
    <row r="1563" ht="90" customHeight="1">
      <c r="A1563" s="63" t="inlineStr"/>
      <c r="B1563" s="64" t="n"/>
      <c r="C1563" s="64" t="n"/>
      <c r="D1563" s="64" t="n"/>
      <c r="E1563" s="65" t="n"/>
    </row>
    <row r="1564" ht="12" customHeight="1">
      <c r="A1564" s="66" t="inlineStr"/>
    </row>
    <row r="1565" ht="20" customHeight="1">
      <c r="A1565" s="66" t="inlineStr"/>
    </row>
    <row r="1566" ht="30" customHeight="1">
      <c r="A1566" s="46" t="inlineStr">
        <is>
          <t>TC-RS-VAL-005 — Điểm cố định thập phân</t>
        </is>
      </c>
      <c r="B1566" s="23" t="n"/>
      <c r="C1566" s="23" t="n"/>
      <c r="D1566" s="23" t="n"/>
      <c r="E1566" s="23" t="n"/>
    </row>
    <row r="1567" ht="30" customHeight="1">
      <c r="A1567" s="47" t="inlineStr">
        <is>
          <t>Trạng thái</t>
        </is>
      </c>
      <c r="B1567" s="56">
        <f>IF(0&gt;0,"Không đạt",IF(0=4,"Đạt",IF(SUMPRODUCT(--EXACT('Testcases'!B1585:B1609,"Không thực hiện"))=4,"Không thực hiện",IF(SUMPRODUCT(--EXACT('Testcases'!B1585:B1609,"Bị chặn"))&gt;0,"Bị chặn",IF(SUMPRODUCT(--EXACT('Testcases'!B1585:B1609,"Chưa thực hiện"))=4,"Chưa thực hiện","Chưa đủ kết luận")))))</f>
        <v/>
      </c>
      <c r="C1567" s="57" t="n"/>
      <c r="D1567" s="57" t="n"/>
      <c r="E1567" s="57" t="n"/>
    </row>
    <row r="1568" ht="30" customHeight="1">
      <c r="A1568" s="47" t="inlineStr">
        <is>
          <t>Màn hình / chức năng</t>
        </is>
      </c>
      <c r="B1568" s="47" t="inlineStr">
        <is>
          <t>Thiết lập ngưỡng（基準設定）</t>
        </is>
      </c>
      <c r="C1568" s="57" t="n"/>
      <c r="D1568" s="47" t="inlineStr">
        <is>
          <t>Đường dẫn</t>
        </is>
      </c>
      <c r="E1568" s="56" t="inlineStr">
        <is>
          <t>Chưa xác minh</t>
        </is>
      </c>
    </row>
    <row r="1569" ht="30" customHeight="1">
      <c r="A1569" s="58" t="inlineStr">
        <is>
          <t>Điều kiện kiểm thử</t>
        </is>
      </c>
      <c r="B1569" s="59" t="n"/>
      <c r="C1569" s="59" t="n"/>
      <c r="D1569" s="59" t="n"/>
      <c r="E1569" s="59" t="n"/>
    </row>
    <row r="1570" ht="30" customHeight="1">
      <c r="A1570" s="47" t="inlineStr">
        <is>
          <t>Cấu hình</t>
        </is>
      </c>
      <c r="B1570" s="56" t="inlineStr">
        <is>
          <t>• Mục số thập phân (M=100) (thập phân).</t>
        </is>
      </c>
      <c r="C1570" s="57" t="n"/>
      <c r="D1570" s="57" t="n"/>
      <c r="E1570" s="57" t="n"/>
    </row>
    <row r="1571" ht="61" customHeight="1">
      <c r="A1571" s="47" t="inlineStr">
        <is>
          <t>Vai trò / quyền</t>
        </is>
      </c>
      <c r="B157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571" s="57" t="n"/>
      <c r="D1571" s="57" t="n"/>
      <c r="E1571" s="57" t="n"/>
    </row>
    <row r="1572" ht="44" customHeight="1">
      <c r="A1572" s="47" t="inlineStr">
        <is>
          <t>Dữ liệu test</t>
        </is>
      </c>
      <c r="B1572" s="56" t="inlineStr">
        <is>
          <t>• Mục số thập phân (M=100);
• N = 29.5, 29.55, 29.555, 29.5555</t>
        </is>
      </c>
      <c r="C1572" s="57" t="n"/>
      <c r="D1572" s="57" t="n"/>
      <c r="E1572" s="57" t="n"/>
    </row>
    <row r="1573" ht="30" customHeight="1">
      <c r="A1573" s="47" t="inlineStr">
        <is>
          <t>Trigger</t>
        </is>
      </c>
      <c r="B1573" s="56" t="inlineStr">
        <is>
          <t>• Chỉ xem/xuất không tự chạy xét.</t>
        </is>
      </c>
      <c r="C1573" s="57" t="n"/>
      <c r="D1573" s="57" t="n"/>
      <c r="E1573" s="57" t="n"/>
    </row>
    <row r="1574" ht="44" customHeight="1">
      <c r="A1574" s="47" t="inlineStr">
        <is>
          <t>Blocker</t>
        </is>
      </c>
      <c r="B1574" s="56" t="inlineStr">
        <is>
          <t>• G-PREP-UNASSESSED: Chưa có xác minh fixture, đường thực hiện và phép quan sát trên build của từng case chưa đánh giá.</t>
        </is>
      </c>
      <c r="C1574" s="57" t="n"/>
      <c r="D1574" s="57" t="n"/>
      <c r="E1574" s="57" t="n"/>
    </row>
    <row r="1575" ht="30" customHeight="1">
      <c r="A1575" s="58" t="inlineStr">
        <is>
          <t>Thao tác</t>
        </is>
      </c>
      <c r="B1575" s="59" t="n"/>
      <c r="C1575" s="59" t="n"/>
      <c r="D1575" s="59" t="n"/>
      <c r="E1575" s="59" t="n"/>
    </row>
    <row r="1576" ht="30" customHeight="1">
      <c r="A1576" s="47" t="inlineStr">
        <is>
          <t>•</t>
        </is>
      </c>
      <c r="B1576" s="56" t="inlineStr">
        <is>
          <t>Nhập từng giá trị, Lưu, mở lại.</t>
        </is>
      </c>
      <c r="C1576" s="57" t="n"/>
      <c r="D1576" s="57" t="n"/>
      <c r="E1576" s="57" t="n"/>
    </row>
    <row r="1577" ht="44" customHeight="1">
      <c r="A1577" s="47" t="inlineStr">
        <is>
          <t>Reset</t>
        </is>
      </c>
      <c r="B1577" s="56" t="inlineStr">
        <is>
          <t>Trước mỗi biến thể, dựng lại điều kiện/dữ liệu đầu của case bằng đường được phép; giữ các reset/fixture độc lập đã nêu trong thủ tục.</t>
        </is>
      </c>
      <c r="C1577" s="57" t="n"/>
      <c r="D1577" s="57" t="n"/>
      <c r="E1577" s="57" t="n"/>
    </row>
    <row r="1578" ht="30" customHeight="1">
      <c r="A1578" s="58" t="inlineStr">
        <is>
          <t>Kết quả mong đợi</t>
        </is>
      </c>
      <c r="B1578" s="59" t="n"/>
      <c r="C1578" s="59" t="n"/>
      <c r="D1578" s="59" t="n"/>
      <c r="E1578" s="59" t="n"/>
    </row>
    <row r="1579" ht="61" customHeight="1">
      <c r="A1579" s="47" t="inlineStr">
        <is>
          <t>•</t>
        </is>
      </c>
      <c r="B1579" s="56" t="inlineStr">
        <is>
          <t>Đề xuất (thiết kế DB v2 mục 4.2 “Xử lý phần lẻ và miền lưu trữ”): 29.5, 29.55, 29.555 lưu và mở lại đúng; 29.5555 bị từ chối, không tự cắt/làm tròn. Tối thiểu (CONFIRMED, đặc tả v2 mục 6.8 “Yêu cầu độ chính xác”): không được âm thầm làm tròn/cắt giá trị mà không báo.</t>
        </is>
      </c>
      <c r="C1579" s="57" t="n"/>
      <c r="D1579" s="57" t="n"/>
      <c r="E1579" s="57" t="n"/>
    </row>
    <row r="1580" ht="44" customHeight="1">
      <c r="A1580" s="47" t="inlineStr">
        <is>
          <t>Giữ nguyên</t>
        </is>
      </c>
      <c r="B1580" s="56" t="inlineStr">
        <is>
          <t>• Giữ điểm, cấu hình và đối tượng không đích theo expected;
• Chỉ thay phần thủ tục yêu cầu, không tự đổi oracle hoặc mở rộng phạm vi.</t>
        </is>
      </c>
      <c r="C1580" s="57" t="n"/>
      <c r="D1580" s="57" t="n"/>
      <c r="E1580" s="57" t="n"/>
    </row>
    <row r="1581" ht="61" customHeight="1">
      <c r="A1581" s="47" t="inlineStr">
        <is>
          <t>Quan sát tại</t>
        </is>
      </c>
      <c r="B1581" s="56" t="inlineStr">
        <is>
          <t>• Dùng trích xuất không lọc để thấy cả ô đối chứng. Trạng thái không có dấu đỏ cần đọc thêm trạng thái lưu;
• Output Excel/PDF dùng file thật.</t>
        </is>
      </c>
      <c r="C1581" s="57" t="n"/>
      <c r="D1581" s="57" t="n"/>
      <c r="E1581" s="57" t="n"/>
    </row>
    <row r="1582" ht="30" customHeight="1">
      <c r="A1582" s="58" t="inlineStr">
        <is>
          <t>Kết quả thực tế</t>
        </is>
      </c>
      <c r="B1582" s="59" t="n"/>
      <c r="C1582" s="59" t="n"/>
      <c r="D1582" s="59" t="n"/>
      <c r="E1582" s="59" t="n"/>
    </row>
    <row r="1583" ht="30" customHeight="1">
      <c r="A1583" s="60" t="inlineStr">
        <is>
          <t>TC-RS-VAL-005 / d1</t>
        </is>
      </c>
      <c r="B1583" s="36" t="n"/>
      <c r="C1583" s="36" t="n"/>
      <c r="D1583" s="36" t="n"/>
      <c r="E1583" s="36" t="n"/>
    </row>
    <row r="1584" ht="30" customHeight="1">
      <c r="A1584" s="47" t="inlineStr">
        <is>
          <t>Dữ liệu biến thể</t>
        </is>
      </c>
      <c r="B1584" s="56" t="inlineStr">
        <is>
          <t>29.5</t>
        </is>
      </c>
      <c r="C1584" s="57" t="n"/>
      <c r="D1584" s="57" t="n"/>
      <c r="E1584" s="57" t="n"/>
    </row>
    <row r="1585" ht="30" customHeight="1">
      <c r="A1585" s="47" t="inlineStr">
        <is>
          <t>Trạng thái</t>
        </is>
      </c>
      <c r="B1585" s="61" t="inlineStr">
        <is>
          <t>Chưa thực hiện</t>
        </is>
      </c>
      <c r="C1585" s="57" t="n"/>
      <c r="D1585" s="57" t="n"/>
      <c r="E1585" s="57" t="n"/>
    </row>
    <row r="1586" ht="30" customHeight="1">
      <c r="A1586" s="62" t="inlineStr">
        <is>
          <t>Kết quả thực tế</t>
        </is>
      </c>
    </row>
    <row r="1587" ht="64" customHeight="1">
      <c r="A1587" s="63" t="inlineStr"/>
      <c r="B1587" s="64" t="n"/>
      <c r="C1587" s="64" t="n"/>
      <c r="D1587" s="64" t="n"/>
      <c r="E1587" s="65" t="n"/>
    </row>
    <row r="1588" ht="30" customHeight="1">
      <c r="A1588" s="62" t="inlineStr">
        <is>
          <t>Ảnh minh chứng</t>
        </is>
      </c>
    </row>
    <row r="1589" ht="90" customHeight="1">
      <c r="A1589" s="63" t="inlineStr"/>
      <c r="B1589" s="64" t="n"/>
      <c r="C1589" s="64" t="n"/>
      <c r="D1589" s="64" t="n"/>
      <c r="E1589" s="65" t="n"/>
    </row>
    <row r="1590" ht="12" customHeight="1">
      <c r="A1590" s="66" t="inlineStr"/>
    </row>
    <row r="1591" ht="30" customHeight="1">
      <c r="A1591" s="60" t="inlineStr">
        <is>
          <t>TC-RS-VAL-005 / d2</t>
        </is>
      </c>
      <c r="B1591" s="36" t="n"/>
      <c r="C1591" s="36" t="n"/>
      <c r="D1591" s="36" t="n"/>
      <c r="E1591" s="36" t="n"/>
    </row>
    <row r="1592" ht="30" customHeight="1">
      <c r="A1592" s="47" t="inlineStr">
        <is>
          <t>Dữ liệu biến thể</t>
        </is>
      </c>
      <c r="B1592" s="56" t="inlineStr">
        <is>
          <t>29.55</t>
        </is>
      </c>
      <c r="C1592" s="57" t="n"/>
      <c r="D1592" s="57" t="n"/>
      <c r="E1592" s="57" t="n"/>
    </row>
    <row r="1593" ht="30" customHeight="1">
      <c r="A1593" s="47" t="inlineStr">
        <is>
          <t>Trạng thái</t>
        </is>
      </c>
      <c r="B1593" s="61" t="inlineStr">
        <is>
          <t>Chưa thực hiện</t>
        </is>
      </c>
      <c r="C1593" s="57" t="n"/>
      <c r="D1593" s="57" t="n"/>
      <c r="E1593" s="57" t="n"/>
    </row>
    <row r="1594" ht="30" customHeight="1">
      <c r="A1594" s="62" t="inlineStr">
        <is>
          <t>Kết quả thực tế</t>
        </is>
      </c>
    </row>
    <row r="1595" ht="64" customHeight="1">
      <c r="A1595" s="63" t="inlineStr"/>
      <c r="B1595" s="64" t="n"/>
      <c r="C1595" s="64" t="n"/>
      <c r="D1595" s="64" t="n"/>
      <c r="E1595" s="65" t="n"/>
    </row>
    <row r="1596" ht="30" customHeight="1">
      <c r="A1596" s="62" t="inlineStr">
        <is>
          <t>Ảnh minh chứng</t>
        </is>
      </c>
    </row>
    <row r="1597" ht="90" customHeight="1">
      <c r="A1597" s="63" t="inlineStr"/>
      <c r="B1597" s="64" t="n"/>
      <c r="C1597" s="64" t="n"/>
      <c r="D1597" s="64" t="n"/>
      <c r="E1597" s="65" t="n"/>
    </row>
    <row r="1598" ht="12" customHeight="1">
      <c r="A1598" s="66" t="inlineStr"/>
    </row>
    <row r="1599" ht="30" customHeight="1">
      <c r="A1599" s="60" t="inlineStr">
        <is>
          <t>TC-RS-VAL-005 / d3</t>
        </is>
      </c>
      <c r="B1599" s="36" t="n"/>
      <c r="C1599" s="36" t="n"/>
      <c r="D1599" s="36" t="n"/>
      <c r="E1599" s="36" t="n"/>
    </row>
    <row r="1600" ht="30" customHeight="1">
      <c r="A1600" s="47" t="inlineStr">
        <is>
          <t>Dữ liệu biến thể</t>
        </is>
      </c>
      <c r="B1600" s="56" t="inlineStr">
        <is>
          <t>29.555</t>
        </is>
      </c>
      <c r="C1600" s="57" t="n"/>
      <c r="D1600" s="57" t="n"/>
      <c r="E1600" s="57" t="n"/>
    </row>
    <row r="1601" ht="30" customHeight="1">
      <c r="A1601" s="47" t="inlineStr">
        <is>
          <t>Trạng thái</t>
        </is>
      </c>
      <c r="B1601" s="61" t="inlineStr">
        <is>
          <t>Chưa thực hiện</t>
        </is>
      </c>
      <c r="C1601" s="57" t="n"/>
      <c r="D1601" s="57" t="n"/>
      <c r="E1601" s="57" t="n"/>
    </row>
    <row r="1602" ht="30" customHeight="1">
      <c r="A1602" s="62" t="inlineStr">
        <is>
          <t>Kết quả thực tế</t>
        </is>
      </c>
    </row>
    <row r="1603" ht="64" customHeight="1">
      <c r="A1603" s="63" t="inlineStr"/>
      <c r="B1603" s="64" t="n"/>
      <c r="C1603" s="64" t="n"/>
      <c r="D1603" s="64" t="n"/>
      <c r="E1603" s="65" t="n"/>
    </row>
    <row r="1604" ht="30" customHeight="1">
      <c r="A1604" s="62" t="inlineStr">
        <is>
          <t>Ảnh minh chứng</t>
        </is>
      </c>
    </row>
    <row r="1605" ht="90" customHeight="1">
      <c r="A1605" s="63" t="inlineStr"/>
      <c r="B1605" s="64" t="n"/>
      <c r="C1605" s="64" t="n"/>
      <c r="D1605" s="64" t="n"/>
      <c r="E1605" s="65" t="n"/>
    </row>
    <row r="1606" ht="12" customHeight="1">
      <c r="A1606" s="66" t="inlineStr"/>
    </row>
    <row r="1607" ht="30" customHeight="1">
      <c r="A1607" s="60" t="inlineStr">
        <is>
          <t>TC-RS-VAL-005 / d4</t>
        </is>
      </c>
      <c r="B1607" s="36" t="n"/>
      <c r="C1607" s="36" t="n"/>
      <c r="D1607" s="36" t="n"/>
      <c r="E1607" s="36" t="n"/>
    </row>
    <row r="1608" ht="30" customHeight="1">
      <c r="A1608" s="47" t="inlineStr">
        <is>
          <t>Dữ liệu biến thể</t>
        </is>
      </c>
      <c r="B1608" s="56" t="inlineStr">
        <is>
          <t>29.5555</t>
        </is>
      </c>
      <c r="C1608" s="57" t="n"/>
      <c r="D1608" s="57" t="n"/>
      <c r="E1608" s="57" t="n"/>
    </row>
    <row r="1609" ht="30" customHeight="1">
      <c r="A1609" s="47" t="inlineStr">
        <is>
          <t>Trạng thái</t>
        </is>
      </c>
      <c r="B1609" s="61" t="inlineStr">
        <is>
          <t>Chưa thực hiện</t>
        </is>
      </c>
      <c r="C1609" s="57" t="n"/>
      <c r="D1609" s="57" t="n"/>
      <c r="E1609" s="57" t="n"/>
    </row>
    <row r="1610" ht="30" customHeight="1">
      <c r="A1610" s="62" t="inlineStr">
        <is>
          <t>Kết quả thực tế</t>
        </is>
      </c>
    </row>
    <row r="1611" ht="64" customHeight="1">
      <c r="A1611" s="63" t="inlineStr"/>
      <c r="B1611" s="64" t="n"/>
      <c r="C1611" s="64" t="n"/>
      <c r="D1611" s="64" t="n"/>
      <c r="E1611" s="65" t="n"/>
    </row>
    <row r="1612" ht="30" customHeight="1">
      <c r="A1612" s="62" t="inlineStr">
        <is>
          <t>Ảnh minh chứng</t>
        </is>
      </c>
    </row>
    <row r="1613" ht="90" customHeight="1">
      <c r="A1613" s="63" t="inlineStr"/>
      <c r="B1613" s="64" t="n"/>
      <c r="C1613" s="64" t="n"/>
      <c r="D1613" s="64" t="n"/>
      <c r="E1613" s="65" t="n"/>
    </row>
    <row r="1614" ht="12" customHeight="1">
      <c r="A1614" s="66" t="inlineStr"/>
    </row>
    <row r="1615" ht="20" customHeight="1">
      <c r="A1615" s="66" t="inlineStr"/>
    </row>
    <row r="1616" ht="30" customHeight="1">
      <c r="A1616" s="46" t="inlineStr">
        <is>
          <t>TC-RS-CALC-001 — Ngưỡng cố định 30: S = 29 / 30 / 31 với [&lt;] và [≤]</t>
        </is>
      </c>
      <c r="B1616" s="23" t="n"/>
      <c r="C1616" s="23" t="n"/>
      <c r="D1616" s="23" t="n"/>
      <c r="E1616" s="23" t="n"/>
    </row>
    <row r="1617" ht="30" customHeight="1">
      <c r="A1617" s="47" t="inlineStr">
        <is>
          <t>Trạng thái</t>
        </is>
      </c>
      <c r="B1617" s="56">
        <f>IF(0&gt;0,"Không đạt",IF(0=2,"Đạt",IF(SUMPRODUCT(--EXACT('Testcases'!B1637:B1645,"Không thực hiện"))=2,"Không thực hiện",IF(SUMPRODUCT(--EXACT('Testcases'!B1637:B1645,"Bị chặn"))&gt;0,"Bị chặn",IF(SUMPRODUCT(--EXACT('Testcases'!B1637:B1645,"Chưa thực hiện"))=2,"Chưa thực hiện","Chưa đủ kết luận")))))</f>
        <v/>
      </c>
      <c r="C1617" s="57" t="n"/>
      <c r="D1617" s="57" t="n"/>
      <c r="E1617" s="57" t="n"/>
    </row>
    <row r="1618" ht="30" customHeight="1">
      <c r="A1618" s="47" t="inlineStr">
        <is>
          <t>Màn hình / chức năng</t>
        </is>
      </c>
      <c r="B1618" s="47" t="inlineStr">
        <is>
          <t>Thiết lập ngưỡng（基準設定）</t>
        </is>
      </c>
      <c r="C1618" s="57" t="n"/>
      <c r="D1618" s="47" t="inlineStr">
        <is>
          <t>Đường dẫn</t>
        </is>
      </c>
      <c r="E1618" s="56" t="inlineStr">
        <is>
          <t>Chưa xác minh</t>
        </is>
      </c>
    </row>
    <row r="1619" ht="30" customHeight="1">
      <c r="A1619" s="58" t="inlineStr">
        <is>
          <t>Điều kiện kiểm thử</t>
        </is>
      </c>
      <c r="B1619" s="59" t="n"/>
      <c r="C1619" s="59" t="n"/>
      <c r="D1619" s="59" t="n"/>
      <c r="E1619" s="59" t="n"/>
    </row>
    <row r="1620" ht="30" customHeight="1">
      <c r="A1620" s="47" t="inlineStr">
        <is>
          <t>Cấu hình</t>
        </is>
      </c>
      <c r="B1620" s="56" t="inlineStr">
        <is>
          <t>• Mục số nguyên (M=100) (M=100).</t>
        </is>
      </c>
      <c r="C1620" s="57" t="n"/>
      <c r="D1620" s="57" t="n"/>
      <c r="E1620" s="57" t="n"/>
    </row>
    <row r="1621" ht="61" customHeight="1">
      <c r="A1621" s="47" t="inlineStr">
        <is>
          <t>Vai trò / quyền</t>
        </is>
      </c>
      <c r="B162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621" s="57" t="n"/>
      <c r="D1621" s="57" t="n"/>
      <c r="E1621" s="57" t="n"/>
    </row>
    <row r="1622" ht="61" customHeight="1">
      <c r="A1622" s="47" t="inlineStr">
        <is>
          <t>Dữ liệu test</t>
        </is>
      </c>
      <c r="B1622" s="56" t="inlineStr">
        <is>
          <t>• Mục số nguyên (M=100);
• Quy tắc “Cố định 30” (dưới 30), quy tắc cố định 30 với Nhỏ hơn hoặc bằng（以下）, học sinh S01 (điểm 29), học sinh S02 (điểm 30), học sinh S03 (điểm 31)</t>
        </is>
      </c>
      <c r="C1622" s="57" t="n"/>
      <c r="D1622" s="57" t="n"/>
      <c r="E1622" s="57" t="n"/>
    </row>
    <row r="1623" ht="30" customHeight="1">
      <c r="A1623" s="47" t="inlineStr">
        <is>
          <t>Trigger</t>
        </is>
      </c>
      <c r="B1623" s="56" t="inlineStr">
        <is>
          <t>• Chỉ xem/xuất không tự chạy xét.</t>
        </is>
      </c>
      <c r="C1623" s="57" t="n"/>
      <c r="D1623" s="57" t="n"/>
      <c r="E1623" s="57" t="n"/>
    </row>
    <row r="1624" ht="44" customHeight="1">
      <c r="A1624" s="47" t="inlineStr">
        <is>
          <t>Blocker</t>
        </is>
      </c>
      <c r="B1624" s="56" t="inlineStr">
        <is>
          <t>• G-PREP-UNASSESSED: Chưa có xác minh fixture, đường thực hiện và phép quan sát trên build của từng case chưa đánh giá.</t>
        </is>
      </c>
      <c r="C1624" s="57" t="n"/>
      <c r="D1624" s="57" t="n"/>
      <c r="E1624" s="57" t="n"/>
    </row>
    <row r="1625" ht="30" customHeight="1">
      <c r="A1625" s="58" t="inlineStr">
        <is>
          <t>Thao tác</t>
        </is>
      </c>
      <c r="B1625" s="59" t="n"/>
      <c r="C1625" s="59" t="n"/>
      <c r="D1625" s="59" t="n"/>
      <c r="E1625" s="59" t="n"/>
    </row>
    <row r="1626" ht="30" customHeight="1">
      <c r="A1626" s="47" t="inlineStr">
        <is>
          <t>Step 1</t>
        </is>
      </c>
      <c r="B1626" s="56" t="inlineStr">
        <is>
          <t>Chỉ có quy tắc “Cố định 30” (dưới 30) ([T=30], [&lt;]): đăng ký S01=29, S02=30, S03=31.</t>
        </is>
      </c>
      <c r="C1626" s="57" t="n"/>
      <c r="D1626" s="57" t="n"/>
      <c r="E1626" s="57" t="n"/>
    </row>
    <row r="1627" ht="30" customHeight="1">
      <c r="A1627" s="47" t="inlineStr">
        <is>
          <t>Step 2</t>
        </is>
      </c>
      <c r="B1627" s="56" t="inlineStr">
        <is>
          <t>Đổi thành quy tắc cố định 30 với Nhỏ hơn hoặc bằng（以下） ([≤]), chạy lại.</t>
        </is>
      </c>
      <c r="C1627" s="57" t="n"/>
      <c r="D1627" s="57" t="n"/>
      <c r="E1627" s="57" t="n"/>
    </row>
    <row r="1628" ht="44" customHeight="1">
      <c r="A1628" s="47" t="inlineStr">
        <is>
          <t>Reset</t>
        </is>
      </c>
      <c r="B1628" s="56" t="inlineStr">
        <is>
          <t>Trước mỗi biến thể, dựng lại điều kiện/dữ liệu đầu của case bằng đường được phép; giữ các reset/fixture độc lập đã nêu trong thủ tục.</t>
        </is>
      </c>
      <c r="C1628" s="57" t="n"/>
      <c r="D1628" s="57" t="n"/>
      <c r="E1628" s="57" t="n"/>
    </row>
    <row r="1629" ht="30" customHeight="1">
      <c r="A1629" s="58" t="inlineStr">
        <is>
          <t>Kết quả mong đợi</t>
        </is>
      </c>
      <c r="B1629" s="59" t="n"/>
      <c r="C1629" s="59" t="n"/>
      <c r="D1629" s="59" t="n"/>
      <c r="E1629" s="59" t="n"/>
    </row>
    <row r="1630" ht="30" customHeight="1">
      <c r="A1630" s="47" t="inlineStr">
        <is>
          <t>•</t>
        </is>
      </c>
      <c r="B1630" s="56" t="inlineStr">
        <is>
          <t>Bước 1: 29 Đỏ; 30 Không đỏ; 31 Không đỏ.</t>
        </is>
      </c>
      <c r="C1630" s="57" t="n"/>
      <c r="D1630" s="57" t="n"/>
      <c r="E1630" s="57" t="n"/>
    </row>
    <row r="1631" ht="30" customHeight="1">
      <c r="A1631" s="47" t="inlineStr">
        <is>
          <t>•</t>
        </is>
      </c>
      <c r="B1631" s="56" t="inlineStr">
        <is>
          <t>Bước 2: 29 Đỏ; 30 Đỏ; 31 Không đỏ.</t>
        </is>
      </c>
      <c r="C1631" s="57" t="n"/>
      <c r="D1631" s="57" t="n"/>
      <c r="E1631" s="57" t="n"/>
    </row>
    <row r="1632" ht="44" customHeight="1">
      <c r="A1632" s="47" t="inlineStr">
        <is>
          <t>Giữ nguyên</t>
        </is>
      </c>
      <c r="B1632" s="56" t="inlineStr">
        <is>
          <t>• Giữ điểm, cấu hình và đối tượng không đích theo expected;
• Chỉ thay phần thủ tục yêu cầu, không tự đổi oracle hoặc mở rộng phạm vi.</t>
        </is>
      </c>
      <c r="C1632" s="57" t="n"/>
      <c r="D1632" s="57" t="n"/>
      <c r="E1632" s="57" t="n"/>
    </row>
    <row r="1633" ht="61" customHeight="1">
      <c r="A1633" s="47" t="inlineStr">
        <is>
          <t>Quan sát tại</t>
        </is>
      </c>
      <c r="B1633" s="56" t="inlineStr">
        <is>
          <t>• Dùng trích xuất không lọc để thấy cả ô đối chứng. Trạng thái không có dấu đỏ cần đọc thêm trạng thái lưu;
• Output Excel/PDF dùng file thật.</t>
        </is>
      </c>
      <c r="C1633" s="57" t="n"/>
      <c r="D1633" s="57" t="n"/>
      <c r="E1633" s="57" t="n"/>
    </row>
    <row r="1634" ht="30" customHeight="1">
      <c r="A1634" s="58" t="inlineStr">
        <is>
          <t>Kết quả thực tế</t>
        </is>
      </c>
      <c r="B1634" s="59" t="n"/>
      <c r="C1634" s="59" t="n"/>
      <c r="D1634" s="59" t="n"/>
      <c r="E1634" s="59" t="n"/>
    </row>
    <row r="1635" ht="30" customHeight="1">
      <c r="A1635" s="60" t="inlineStr">
        <is>
          <t>TC-RS-CALC-001 / lt</t>
        </is>
      </c>
      <c r="B1635" s="36" t="n"/>
      <c r="C1635" s="36" t="n"/>
      <c r="D1635" s="36" t="n"/>
      <c r="E1635" s="36" t="n"/>
    </row>
    <row r="1636" ht="30" customHeight="1">
      <c r="A1636" s="47" t="inlineStr">
        <is>
          <t>Dữ liệu biến thể</t>
        </is>
      </c>
      <c r="B1636" s="56" t="inlineStr">
        <is>
          <t>Ngưỡng 30, dấu nhỏ hơn, cả ba điểm</t>
        </is>
      </c>
      <c r="C1636" s="57" t="n"/>
      <c r="D1636" s="57" t="n"/>
      <c r="E1636" s="57" t="n"/>
    </row>
    <row r="1637" ht="30" customHeight="1">
      <c r="A1637" s="47" t="inlineStr">
        <is>
          <t>Trạng thái</t>
        </is>
      </c>
      <c r="B1637" s="61" t="inlineStr">
        <is>
          <t>Chưa thực hiện</t>
        </is>
      </c>
      <c r="C1637" s="57" t="n"/>
      <c r="D1637" s="57" t="n"/>
      <c r="E1637" s="57" t="n"/>
    </row>
    <row r="1638" ht="30" customHeight="1">
      <c r="A1638" s="62" t="inlineStr">
        <is>
          <t>Kết quả thực tế</t>
        </is>
      </c>
    </row>
    <row r="1639" ht="64" customHeight="1">
      <c r="A1639" s="63" t="inlineStr"/>
      <c r="B1639" s="64" t="n"/>
      <c r="C1639" s="64" t="n"/>
      <c r="D1639" s="64" t="n"/>
      <c r="E1639" s="65" t="n"/>
    </row>
    <row r="1640" ht="30" customHeight="1">
      <c r="A1640" s="62" t="inlineStr">
        <is>
          <t>Ảnh minh chứng</t>
        </is>
      </c>
    </row>
    <row r="1641" ht="90" customHeight="1">
      <c r="A1641" s="63" t="inlineStr"/>
      <c r="B1641" s="64" t="n"/>
      <c r="C1641" s="64" t="n"/>
      <c r="D1641" s="64" t="n"/>
      <c r="E1641" s="65" t="n"/>
    </row>
    <row r="1642" ht="12" customHeight="1">
      <c r="A1642" s="66" t="inlineStr"/>
    </row>
    <row r="1643" ht="30" customHeight="1">
      <c r="A1643" s="60" t="inlineStr">
        <is>
          <t>TC-RS-CALC-001 / le</t>
        </is>
      </c>
      <c r="B1643" s="36" t="n"/>
      <c r="C1643" s="36" t="n"/>
      <c r="D1643" s="36" t="n"/>
      <c r="E1643" s="36" t="n"/>
    </row>
    <row r="1644" ht="30" customHeight="1">
      <c r="A1644" s="47" t="inlineStr">
        <is>
          <t>Dữ liệu biến thể</t>
        </is>
      </c>
      <c r="B1644" s="56" t="inlineStr">
        <is>
          <t>Ngưỡng 30, dấu nhỏ hơn hoặc bằng, cả ba điểm</t>
        </is>
      </c>
      <c r="C1644" s="57" t="n"/>
      <c r="D1644" s="57" t="n"/>
      <c r="E1644" s="57" t="n"/>
    </row>
    <row r="1645" ht="30" customHeight="1">
      <c r="A1645" s="47" t="inlineStr">
        <is>
          <t>Trạng thái</t>
        </is>
      </c>
      <c r="B1645" s="61" t="inlineStr">
        <is>
          <t>Chưa thực hiện</t>
        </is>
      </c>
      <c r="C1645" s="57" t="n"/>
      <c r="D1645" s="57" t="n"/>
      <c r="E1645" s="57" t="n"/>
    </row>
    <row r="1646" ht="30" customHeight="1">
      <c r="A1646" s="62" t="inlineStr">
        <is>
          <t>Kết quả thực tế</t>
        </is>
      </c>
    </row>
    <row r="1647" ht="64" customHeight="1">
      <c r="A1647" s="63" t="inlineStr"/>
      <c r="B1647" s="64" t="n"/>
      <c r="C1647" s="64" t="n"/>
      <c r="D1647" s="64" t="n"/>
      <c r="E1647" s="65" t="n"/>
    </row>
    <row r="1648" ht="30" customHeight="1">
      <c r="A1648" s="62" t="inlineStr">
        <is>
          <t>Ảnh minh chứng</t>
        </is>
      </c>
    </row>
    <row r="1649" ht="90" customHeight="1">
      <c r="A1649" s="63" t="inlineStr"/>
      <c r="B1649" s="64" t="n"/>
      <c r="C1649" s="64" t="n"/>
      <c r="D1649" s="64" t="n"/>
      <c r="E1649" s="65" t="n"/>
    </row>
    <row r="1650" ht="12" customHeight="1">
      <c r="A1650" s="66" t="inlineStr"/>
    </row>
    <row r="1651" ht="20" customHeight="1">
      <c r="A1651" s="66" t="inlineStr"/>
    </row>
    <row r="1652" ht="30" customHeight="1">
      <c r="A1652" s="46" t="inlineStr">
        <is>
          <t>TC-RS-CALC-002 — Điểm 0 với ngưỡng 0 và 30</t>
        </is>
      </c>
      <c r="B1652" s="23" t="n"/>
      <c r="C1652" s="23" t="n"/>
      <c r="D1652" s="23" t="n"/>
      <c r="E1652" s="23" t="n"/>
    </row>
    <row r="1653" ht="30" customHeight="1">
      <c r="A1653" s="47" t="inlineStr">
        <is>
          <t>Trạng thái</t>
        </is>
      </c>
      <c r="B1653" s="56">
        <f>IF(0&gt;0,"Không đạt",IF(0=3,"Đạt",IF(SUMPRODUCT(--EXACT('Testcases'!B1673:B1689,"Không thực hiện"))=3,"Không thực hiện",IF(SUMPRODUCT(--EXACT('Testcases'!B1673:B1689,"Bị chặn"))&gt;0,"Bị chặn",IF(SUMPRODUCT(--EXACT('Testcases'!B1673:B1689,"Chưa thực hiện"))=3,"Chưa thực hiện","Chưa đủ kết luận")))))</f>
        <v/>
      </c>
      <c r="C1653" s="57" t="n"/>
      <c r="D1653" s="57" t="n"/>
      <c r="E1653" s="57" t="n"/>
    </row>
    <row r="1654" ht="30" customHeight="1">
      <c r="A1654" s="47" t="inlineStr">
        <is>
          <t>Màn hình / chức năng</t>
        </is>
      </c>
      <c r="B1654" s="47" t="inlineStr">
        <is>
          <t>Thiết lập ngưỡng（基準設定）</t>
        </is>
      </c>
      <c r="C1654" s="57" t="n"/>
      <c r="D1654" s="47" t="inlineStr">
        <is>
          <t>Đường dẫn</t>
        </is>
      </c>
      <c r="E1654" s="56" t="inlineStr">
        <is>
          <t>Chưa xác minh</t>
        </is>
      </c>
    </row>
    <row r="1655" ht="30" customHeight="1">
      <c r="A1655" s="58" t="inlineStr">
        <is>
          <t>Điều kiện kiểm thử</t>
        </is>
      </c>
      <c r="B1655" s="59" t="n"/>
      <c r="C1655" s="59" t="n"/>
      <c r="D1655" s="59" t="n"/>
      <c r="E1655" s="59" t="n"/>
    </row>
    <row r="1656" ht="30" customHeight="1">
      <c r="A1656" s="47" t="inlineStr">
        <is>
          <t>Cấu hình</t>
        </is>
      </c>
      <c r="B1656" s="56" t="inlineStr">
        <is>
          <t>• Mục số nguyên (M=100).</t>
        </is>
      </c>
      <c r="C1656" s="57" t="n"/>
      <c r="D1656" s="57" t="n"/>
      <c r="E1656" s="57" t="n"/>
    </row>
    <row r="1657" ht="61" customHeight="1">
      <c r="A1657" s="47" t="inlineStr">
        <is>
          <t>Vai trò / quyền</t>
        </is>
      </c>
      <c r="B165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657" s="57" t="n"/>
      <c r="D1657" s="57" t="n"/>
      <c r="E1657" s="57" t="n"/>
    </row>
    <row r="1658" ht="61" customHeight="1">
      <c r="A1658" s="47" t="inlineStr">
        <is>
          <t>Dữ liệu test</t>
        </is>
      </c>
      <c r="B1658" s="56" t="inlineStr">
        <is>
          <t>• Mục số nguyên (M=100);
• Học sinh S04 (điểm 0) (S=0);
• N = 0, 30</t>
        </is>
      </c>
      <c r="C1658" s="57" t="n"/>
      <c r="D1658" s="57" t="n"/>
      <c r="E1658" s="57" t="n"/>
    </row>
    <row r="1659" ht="30" customHeight="1">
      <c r="A1659" s="47" t="inlineStr">
        <is>
          <t>Trigger</t>
        </is>
      </c>
      <c r="B1659" s="56" t="inlineStr">
        <is>
          <t>• Chỉ xem/xuất không tự chạy xét.</t>
        </is>
      </c>
      <c r="C1659" s="57" t="n"/>
      <c r="D1659" s="57" t="n"/>
      <c r="E1659" s="57" t="n"/>
    </row>
    <row r="1660" ht="44" customHeight="1">
      <c r="A1660" s="47" t="inlineStr">
        <is>
          <t>Blocker</t>
        </is>
      </c>
      <c r="B1660" s="56" t="inlineStr">
        <is>
          <t>• G-PREP-UNASSESSED: Chưa có xác minh fixture, đường thực hiện và phép quan sát trên build của từng case chưa đánh giá.</t>
        </is>
      </c>
      <c r="C1660" s="57" t="n"/>
      <c r="D1660" s="57" t="n"/>
      <c r="E1660" s="57" t="n"/>
    </row>
    <row r="1661" ht="30" customHeight="1">
      <c r="A1661" s="58" t="inlineStr">
        <is>
          <t>Thao tác</t>
        </is>
      </c>
      <c r="B1661" s="59" t="n"/>
      <c r="C1661" s="59" t="n"/>
      <c r="D1661" s="59" t="n"/>
      <c r="E1661" s="59" t="n"/>
    </row>
    <row r="1662" ht="30" customHeight="1">
      <c r="A1662" s="47" t="inlineStr">
        <is>
          <t>•</t>
        </is>
      </c>
      <c r="B1662" s="56" t="inlineStr">
        <is>
          <t>Với từng cấu hình: cố định 0 [&lt;], cố định 0 [≤], cố định 30 [&lt;]: chạy lại, xem S04.</t>
        </is>
      </c>
      <c r="C1662" s="57" t="n"/>
      <c r="D1662" s="57" t="n"/>
      <c r="E1662" s="57" t="n"/>
    </row>
    <row r="1663" ht="44" customHeight="1">
      <c r="A1663" s="47" t="inlineStr">
        <is>
          <t>Reset</t>
        </is>
      </c>
      <c r="B1663" s="56" t="inlineStr">
        <is>
          <t>Trước mỗi biến thể, dựng lại điều kiện/dữ liệu đầu của case bằng đường được phép; giữ các reset/fixture độc lập đã nêu trong thủ tục.</t>
        </is>
      </c>
      <c r="C1663" s="57" t="n"/>
      <c r="D1663" s="57" t="n"/>
      <c r="E1663" s="57" t="n"/>
    </row>
    <row r="1664" ht="30" customHeight="1">
      <c r="A1664" s="58" t="inlineStr">
        <is>
          <t>Kết quả mong đợi</t>
        </is>
      </c>
      <c r="B1664" s="59" t="n"/>
      <c r="C1664" s="59" t="n"/>
      <c r="D1664" s="59" t="n"/>
      <c r="E1664" s="59" t="n"/>
    </row>
    <row r="1665" ht="30" customHeight="1">
      <c r="A1665" s="47" t="inlineStr">
        <is>
          <t>•</t>
        </is>
      </c>
      <c r="B1665" s="56" t="inlineStr">
        <is>
          <t>0 [&lt;]: [0&lt;0] Sai → Không đỏ.</t>
        </is>
      </c>
      <c r="C1665" s="57" t="n"/>
      <c r="D1665" s="57" t="n"/>
      <c r="E1665" s="57" t="n"/>
    </row>
    <row r="1666" ht="30" customHeight="1">
      <c r="A1666" s="47" t="inlineStr">
        <is>
          <t>•</t>
        </is>
      </c>
      <c r="B1666" s="56" t="inlineStr">
        <is>
          <t>0 [≤]: [0≤0] → Đỏ.</t>
        </is>
      </c>
      <c r="C1666" s="57" t="n"/>
      <c r="D1666" s="57" t="n"/>
      <c r="E1666" s="57" t="n"/>
    </row>
    <row r="1667" ht="30" customHeight="1">
      <c r="A1667" s="47" t="inlineStr">
        <is>
          <t>•</t>
        </is>
      </c>
      <c r="B1667" s="56" t="inlineStr">
        <is>
          <t>30 [&lt;]: [0&lt;30] → Đỏ.</t>
        </is>
      </c>
      <c r="C1667" s="57" t="n"/>
      <c r="D1667" s="57" t="n"/>
      <c r="E1667" s="57" t="n"/>
    </row>
    <row r="1668" ht="44" customHeight="1">
      <c r="A1668" s="47" t="inlineStr">
        <is>
          <t>Giữ nguyên</t>
        </is>
      </c>
      <c r="B1668" s="56" t="inlineStr">
        <is>
          <t>• Giữ điểm, cấu hình và đối tượng không đích theo expected;
• Chỉ thay phần thủ tục yêu cầu, không tự đổi oracle hoặc mở rộng phạm vi.</t>
        </is>
      </c>
      <c r="C1668" s="57" t="n"/>
      <c r="D1668" s="57" t="n"/>
      <c r="E1668" s="57" t="n"/>
    </row>
    <row r="1669" ht="61" customHeight="1">
      <c r="A1669" s="47" t="inlineStr">
        <is>
          <t>Quan sát tại</t>
        </is>
      </c>
      <c r="B1669" s="56" t="inlineStr">
        <is>
          <t>• Dùng trích xuất không lọc để thấy cả ô đối chứng. Trạng thái không có dấu đỏ cần đọc thêm trạng thái lưu;
• Output Excel/PDF dùng file thật.</t>
        </is>
      </c>
      <c r="C1669" s="57" t="n"/>
      <c r="D1669" s="57" t="n"/>
      <c r="E1669" s="57" t="n"/>
    </row>
    <row r="1670" ht="30" customHeight="1">
      <c r="A1670" s="58" t="inlineStr">
        <is>
          <t>Kết quả thực tế</t>
        </is>
      </c>
      <c r="B1670" s="59" t="n"/>
      <c r="C1670" s="59" t="n"/>
      <c r="D1670" s="59" t="n"/>
      <c r="E1670" s="59" t="n"/>
    </row>
    <row r="1671" ht="30" customHeight="1">
      <c r="A1671" s="60" t="inlineStr">
        <is>
          <t>TC-RS-CALC-002 / zero-lt</t>
        </is>
      </c>
      <c r="B1671" s="36" t="n"/>
      <c r="C1671" s="36" t="n"/>
      <c r="D1671" s="36" t="n"/>
      <c r="E1671" s="36" t="n"/>
    </row>
    <row r="1672" ht="30" customHeight="1">
      <c r="A1672" s="47" t="inlineStr">
        <is>
          <t>Dữ liệu biến thể</t>
        </is>
      </c>
      <c r="B1672" s="56" t="inlineStr">
        <is>
          <t>Ngưỡng 0 nhỏ hơn</t>
        </is>
      </c>
      <c r="C1672" s="57" t="n"/>
      <c r="D1672" s="57" t="n"/>
      <c r="E1672" s="57" t="n"/>
    </row>
    <row r="1673" ht="30" customHeight="1">
      <c r="A1673" s="47" t="inlineStr">
        <is>
          <t>Trạng thái</t>
        </is>
      </c>
      <c r="B1673" s="61" t="inlineStr">
        <is>
          <t>Chưa thực hiện</t>
        </is>
      </c>
      <c r="C1673" s="57" t="n"/>
      <c r="D1673" s="57" t="n"/>
      <c r="E1673" s="57" t="n"/>
    </row>
    <row r="1674" ht="30" customHeight="1">
      <c r="A1674" s="62" t="inlineStr">
        <is>
          <t>Kết quả thực tế</t>
        </is>
      </c>
    </row>
    <row r="1675" ht="64" customHeight="1">
      <c r="A1675" s="63" t="inlineStr"/>
      <c r="B1675" s="64" t="n"/>
      <c r="C1675" s="64" t="n"/>
      <c r="D1675" s="64" t="n"/>
      <c r="E1675" s="65" t="n"/>
    </row>
    <row r="1676" ht="30" customHeight="1">
      <c r="A1676" s="62" t="inlineStr">
        <is>
          <t>Ảnh minh chứng</t>
        </is>
      </c>
    </row>
    <row r="1677" ht="90" customHeight="1">
      <c r="A1677" s="63" t="inlineStr"/>
      <c r="B1677" s="64" t="n"/>
      <c r="C1677" s="64" t="n"/>
      <c r="D1677" s="64" t="n"/>
      <c r="E1677" s="65" t="n"/>
    </row>
    <row r="1678" ht="12" customHeight="1">
      <c r="A1678" s="66" t="inlineStr"/>
    </row>
    <row r="1679" ht="30" customHeight="1">
      <c r="A1679" s="60" t="inlineStr">
        <is>
          <t>TC-RS-CALC-002 / zero-le</t>
        </is>
      </c>
      <c r="B1679" s="36" t="n"/>
      <c r="C1679" s="36" t="n"/>
      <c r="D1679" s="36" t="n"/>
      <c r="E1679" s="36" t="n"/>
    </row>
    <row r="1680" ht="30" customHeight="1">
      <c r="A1680" s="47" t="inlineStr">
        <is>
          <t>Dữ liệu biến thể</t>
        </is>
      </c>
      <c r="B1680" s="56" t="inlineStr">
        <is>
          <t>Ngưỡng 0 nhỏ hơn hoặc bằng</t>
        </is>
      </c>
      <c r="C1680" s="57" t="n"/>
      <c r="D1680" s="57" t="n"/>
      <c r="E1680" s="57" t="n"/>
    </row>
    <row r="1681" ht="30" customHeight="1">
      <c r="A1681" s="47" t="inlineStr">
        <is>
          <t>Trạng thái</t>
        </is>
      </c>
      <c r="B1681" s="61" t="inlineStr">
        <is>
          <t>Chưa thực hiện</t>
        </is>
      </c>
      <c r="C1681" s="57" t="n"/>
      <c r="D1681" s="57" t="n"/>
      <c r="E1681" s="57" t="n"/>
    </row>
    <row r="1682" ht="30" customHeight="1">
      <c r="A1682" s="62" t="inlineStr">
        <is>
          <t>Kết quả thực tế</t>
        </is>
      </c>
    </row>
    <row r="1683" ht="64" customHeight="1">
      <c r="A1683" s="63" t="inlineStr"/>
      <c r="B1683" s="64" t="n"/>
      <c r="C1683" s="64" t="n"/>
      <c r="D1683" s="64" t="n"/>
      <c r="E1683" s="65" t="n"/>
    </row>
    <row r="1684" ht="30" customHeight="1">
      <c r="A1684" s="62" t="inlineStr">
        <is>
          <t>Ảnh minh chứng</t>
        </is>
      </c>
    </row>
    <row r="1685" ht="90" customHeight="1">
      <c r="A1685" s="63" t="inlineStr"/>
      <c r="B1685" s="64" t="n"/>
      <c r="C1685" s="64" t="n"/>
      <c r="D1685" s="64" t="n"/>
      <c r="E1685" s="65" t="n"/>
    </row>
    <row r="1686" ht="12" customHeight="1">
      <c r="A1686" s="66" t="inlineStr"/>
    </row>
    <row r="1687" ht="30" customHeight="1">
      <c r="A1687" s="60" t="inlineStr">
        <is>
          <t>TC-RS-CALC-002 / thirty-lt</t>
        </is>
      </c>
      <c r="B1687" s="36" t="n"/>
      <c r="C1687" s="36" t="n"/>
      <c r="D1687" s="36" t="n"/>
      <c r="E1687" s="36" t="n"/>
    </row>
    <row r="1688" ht="30" customHeight="1">
      <c r="A1688" s="47" t="inlineStr">
        <is>
          <t>Dữ liệu biến thể</t>
        </is>
      </c>
      <c r="B1688" s="56" t="inlineStr">
        <is>
          <t>Ngưỡng 30 nhỏ hơn</t>
        </is>
      </c>
      <c r="C1688" s="57" t="n"/>
      <c r="D1688" s="57" t="n"/>
      <c r="E1688" s="57" t="n"/>
    </row>
    <row r="1689" ht="30" customHeight="1">
      <c r="A1689" s="47" t="inlineStr">
        <is>
          <t>Trạng thái</t>
        </is>
      </c>
      <c r="B1689" s="61" t="inlineStr">
        <is>
          <t>Chưa thực hiện</t>
        </is>
      </c>
      <c r="C1689" s="57" t="n"/>
      <c r="D1689" s="57" t="n"/>
      <c r="E1689" s="57" t="n"/>
    </row>
    <row r="1690" ht="30" customHeight="1">
      <c r="A1690" s="62" t="inlineStr">
        <is>
          <t>Kết quả thực tế</t>
        </is>
      </c>
    </row>
    <row r="1691" ht="64" customHeight="1">
      <c r="A1691" s="63" t="inlineStr"/>
      <c r="B1691" s="64" t="n"/>
      <c r="C1691" s="64" t="n"/>
      <c r="D1691" s="64" t="n"/>
      <c r="E1691" s="65" t="n"/>
    </row>
    <row r="1692" ht="30" customHeight="1">
      <c r="A1692" s="62" t="inlineStr">
        <is>
          <t>Ảnh minh chứng</t>
        </is>
      </c>
    </row>
    <row r="1693" ht="90" customHeight="1">
      <c r="A1693" s="63" t="inlineStr"/>
      <c r="B1693" s="64" t="n"/>
      <c r="C1693" s="64" t="n"/>
      <c r="D1693" s="64" t="n"/>
      <c r="E1693" s="65" t="n"/>
    </row>
    <row r="1694" ht="12" customHeight="1">
      <c r="A1694" s="66" t="inlineStr"/>
    </row>
    <row r="1695" ht="20" customHeight="1">
      <c r="A1695" s="66" t="inlineStr"/>
    </row>
    <row r="1696" ht="30" customHeight="1">
      <c r="A1696" s="46" t="inlineStr">
        <is>
          <t>TC-RS-CALC-003 — Điểm thập phân sát ngưỡng</t>
        </is>
      </c>
      <c r="B1696" s="23" t="n"/>
      <c r="C1696" s="23" t="n"/>
      <c r="D1696" s="23" t="n"/>
      <c r="E1696" s="23" t="n"/>
    </row>
    <row r="1697" ht="30" customHeight="1">
      <c r="A1697" s="47" t="inlineStr">
        <is>
          <t>Trạng thái</t>
        </is>
      </c>
      <c r="B1697" s="56">
        <f>IF(0&gt;0,"Không đạt",IF(0=2,"Đạt",IF(SUMPRODUCT(--EXACT('Testcases'!B1716:B1724,"Không thực hiện"))=2,"Không thực hiện",IF(SUMPRODUCT(--EXACT('Testcases'!B1716:B1724,"Bị chặn"))&gt;0,"Bị chặn",IF(SUMPRODUCT(--EXACT('Testcases'!B1716:B1724,"Chưa thực hiện"))=2,"Chưa thực hiện","Chưa đủ kết luận")))))</f>
        <v/>
      </c>
      <c r="C1697" s="57" t="n"/>
      <c r="D1697" s="57" t="n"/>
      <c r="E1697" s="57" t="n"/>
    </row>
    <row r="1698" ht="30" customHeight="1">
      <c r="A1698" s="47" t="inlineStr">
        <is>
          <t>Màn hình / chức năng</t>
        </is>
      </c>
      <c r="B1698" s="47" t="inlineStr">
        <is>
          <t>Thiết lập ngưỡng（基準設定）</t>
        </is>
      </c>
      <c r="C1698" s="57" t="n"/>
      <c r="D1698" s="47" t="inlineStr">
        <is>
          <t>Đường dẫn</t>
        </is>
      </c>
      <c r="E1698" s="56" t="inlineStr">
        <is>
          <t>Chưa xác minh</t>
        </is>
      </c>
    </row>
    <row r="1699" ht="30" customHeight="1">
      <c r="A1699" s="58" t="inlineStr">
        <is>
          <t>Điều kiện kiểm thử</t>
        </is>
      </c>
      <c r="B1699" s="59" t="n"/>
      <c r="C1699" s="59" t="n"/>
      <c r="D1699" s="59" t="n"/>
      <c r="E1699" s="59" t="n"/>
    </row>
    <row r="1700" ht="44" customHeight="1">
      <c r="A1700" s="47" t="inlineStr">
        <is>
          <t>Cấu hình</t>
        </is>
      </c>
      <c r="B1700" s="56" t="inlineStr">
        <is>
          <t>• Mục số thập phân (M=100) (thập phân, M=100);
• Cố định 30.</t>
        </is>
      </c>
      <c r="C1700" s="57" t="n"/>
      <c r="D1700" s="57" t="n"/>
      <c r="E1700" s="57" t="n"/>
    </row>
    <row r="1701" ht="61" customHeight="1">
      <c r="A1701" s="47" t="inlineStr">
        <is>
          <t>Vai trò / quyền</t>
        </is>
      </c>
      <c r="B170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701" s="57" t="n"/>
      <c r="D1701" s="57" t="n"/>
      <c r="E1701" s="57" t="n"/>
    </row>
    <row r="1702" ht="44" customHeight="1">
      <c r="A1702" s="47" t="inlineStr">
        <is>
          <t>Dữ liệu test</t>
        </is>
      </c>
      <c r="B1702" s="56" t="inlineStr">
        <is>
          <t>• Mục số thập phân (M=100);
• S = 29.5, 29.9, 30.0, 30.01</t>
        </is>
      </c>
      <c r="C1702" s="57" t="n"/>
      <c r="D1702" s="57" t="n"/>
      <c r="E1702" s="57" t="n"/>
    </row>
    <row r="1703" ht="30" customHeight="1">
      <c r="A1703" s="47" t="inlineStr">
        <is>
          <t>Trigger</t>
        </is>
      </c>
      <c r="B1703" s="56" t="inlineStr">
        <is>
          <t>• Chỉ xem/xuất không tự chạy xét.</t>
        </is>
      </c>
      <c r="C1703" s="57" t="n"/>
      <c r="D1703" s="57" t="n"/>
      <c r="E1703" s="57" t="n"/>
    </row>
    <row r="1704" ht="44" customHeight="1">
      <c r="A1704" s="47" t="inlineStr">
        <is>
          <t>Blocker</t>
        </is>
      </c>
      <c r="B1704" s="56" t="inlineStr">
        <is>
          <t>• G-PREP-UNASSESSED: Chưa có xác minh fixture, đường thực hiện và phép quan sát trên build của từng case chưa đánh giá.</t>
        </is>
      </c>
      <c r="C1704" s="57" t="n"/>
      <c r="D1704" s="57" t="n"/>
      <c r="E1704" s="57" t="n"/>
    </row>
    <row r="1705" ht="30" customHeight="1">
      <c r="A1705" s="58" t="inlineStr">
        <is>
          <t>Thao tác</t>
        </is>
      </c>
      <c r="B1705" s="59" t="n"/>
      <c r="C1705" s="59" t="n"/>
      <c r="D1705" s="59" t="n"/>
      <c r="E1705" s="59" t="n"/>
    </row>
    <row r="1706" ht="30" customHeight="1">
      <c r="A1706" s="47" t="inlineStr">
        <is>
          <t>•</t>
        </is>
      </c>
      <c r="B1706" s="56" t="inlineStr">
        <is>
          <t>Đăng ký bốn học sinh với các điểm trên; xét với [&lt;] rồi [≤].</t>
        </is>
      </c>
      <c r="C1706" s="57" t="n"/>
      <c r="D1706" s="57" t="n"/>
      <c r="E1706" s="57" t="n"/>
    </row>
    <row r="1707" ht="44" customHeight="1">
      <c r="A1707" s="47" t="inlineStr">
        <is>
          <t>Reset</t>
        </is>
      </c>
      <c r="B1707" s="56" t="inlineStr">
        <is>
          <t>Trước mỗi biến thể, dựng lại điều kiện/dữ liệu đầu của case bằng đường được phép; giữ các reset/fixture độc lập đã nêu trong thủ tục.</t>
        </is>
      </c>
      <c r="C1707" s="57" t="n"/>
      <c r="D1707" s="57" t="n"/>
      <c r="E1707" s="57" t="n"/>
    </row>
    <row r="1708" ht="30" customHeight="1">
      <c r="A1708" s="58" t="inlineStr">
        <is>
          <t>Kết quả mong đợi</t>
        </is>
      </c>
      <c r="B1708" s="59" t="n"/>
      <c r="C1708" s="59" t="n"/>
      <c r="D1708" s="59" t="n"/>
      <c r="E1708" s="59" t="n"/>
    </row>
    <row r="1709" ht="30" customHeight="1">
      <c r="A1709" s="47" t="inlineStr">
        <is>
          <t>•</t>
        </is>
      </c>
      <c r="B1709" s="56" t="inlineStr">
        <is>
          <t>[&lt;]: 29.5 Đỏ; 29.9 Đỏ; 30.0 Không đỏ; 30.01 Không đỏ.</t>
        </is>
      </c>
      <c r="C1709" s="57" t="n"/>
      <c r="D1709" s="57" t="n"/>
      <c r="E1709" s="57" t="n"/>
    </row>
    <row r="1710" ht="30" customHeight="1">
      <c r="A1710" s="47" t="inlineStr">
        <is>
          <t>•</t>
        </is>
      </c>
      <c r="B1710" s="56" t="inlineStr">
        <is>
          <t>[≤]: 29.5 Đỏ; 29.9 Đỏ; 30.0 Đỏ; 30.01 Không đỏ.</t>
        </is>
      </c>
      <c r="C1710" s="57" t="n"/>
      <c r="D1710" s="57" t="n"/>
      <c r="E1710" s="57" t="n"/>
    </row>
    <row r="1711" ht="44" customHeight="1">
      <c r="A1711" s="47" t="inlineStr">
        <is>
          <t>Giữ nguyên</t>
        </is>
      </c>
      <c r="B1711" s="56" t="inlineStr">
        <is>
          <t>• Giữ điểm, cấu hình và đối tượng không đích theo expected;
• Chỉ thay phần thủ tục yêu cầu, không tự đổi oracle hoặc mở rộng phạm vi.</t>
        </is>
      </c>
      <c r="C1711" s="57" t="n"/>
      <c r="D1711" s="57" t="n"/>
      <c r="E1711" s="57" t="n"/>
    </row>
    <row r="1712" ht="61" customHeight="1">
      <c r="A1712" s="47" t="inlineStr">
        <is>
          <t>Quan sát tại</t>
        </is>
      </c>
      <c r="B1712" s="56" t="inlineStr">
        <is>
          <t>• Dùng trích xuất không lọc để thấy cả ô đối chứng. Trạng thái không có dấu đỏ cần đọc thêm trạng thái lưu;
• Output Excel/PDF dùng file thật.</t>
        </is>
      </c>
      <c r="C1712" s="57" t="n"/>
      <c r="D1712" s="57" t="n"/>
      <c r="E1712" s="57" t="n"/>
    </row>
    <row r="1713" ht="30" customHeight="1">
      <c r="A1713" s="58" t="inlineStr">
        <is>
          <t>Kết quả thực tế</t>
        </is>
      </c>
      <c r="B1713" s="59" t="n"/>
      <c r="C1713" s="59" t="n"/>
      <c r="D1713" s="59" t="n"/>
      <c r="E1713" s="59" t="n"/>
    </row>
    <row r="1714" ht="30" customHeight="1">
      <c r="A1714" s="60" t="inlineStr">
        <is>
          <t>TC-RS-CALC-003 / lt</t>
        </is>
      </c>
      <c r="B1714" s="36" t="n"/>
      <c r="C1714" s="36" t="n"/>
      <c r="D1714" s="36" t="n"/>
      <c r="E1714" s="36" t="n"/>
    </row>
    <row r="1715" ht="30" customHeight="1">
      <c r="A1715" s="47" t="inlineStr">
        <is>
          <t>Dữ liệu biến thể</t>
        </is>
      </c>
      <c r="B1715" s="56" t="inlineStr">
        <is>
          <t>Dấu nhỏ hơn, cả bốn điểm</t>
        </is>
      </c>
      <c r="C1715" s="57" t="n"/>
      <c r="D1715" s="57" t="n"/>
      <c r="E1715" s="57" t="n"/>
    </row>
    <row r="1716" ht="30" customHeight="1">
      <c r="A1716" s="47" t="inlineStr">
        <is>
          <t>Trạng thái</t>
        </is>
      </c>
      <c r="B1716" s="61" t="inlineStr">
        <is>
          <t>Chưa thực hiện</t>
        </is>
      </c>
      <c r="C1716" s="57" t="n"/>
      <c r="D1716" s="57" t="n"/>
      <c r="E1716" s="57" t="n"/>
    </row>
    <row r="1717" ht="30" customHeight="1">
      <c r="A1717" s="62" t="inlineStr">
        <is>
          <t>Kết quả thực tế</t>
        </is>
      </c>
    </row>
    <row r="1718" ht="64" customHeight="1">
      <c r="A1718" s="63" t="inlineStr"/>
      <c r="B1718" s="64" t="n"/>
      <c r="C1718" s="64" t="n"/>
      <c r="D1718" s="64" t="n"/>
      <c r="E1718" s="65" t="n"/>
    </row>
    <row r="1719" ht="30" customHeight="1">
      <c r="A1719" s="62" t="inlineStr">
        <is>
          <t>Ảnh minh chứng</t>
        </is>
      </c>
    </row>
    <row r="1720" ht="90" customHeight="1">
      <c r="A1720" s="63" t="inlineStr"/>
      <c r="B1720" s="64" t="n"/>
      <c r="C1720" s="64" t="n"/>
      <c r="D1720" s="64" t="n"/>
      <c r="E1720" s="65" t="n"/>
    </row>
    <row r="1721" ht="12" customHeight="1">
      <c r="A1721" s="66" t="inlineStr"/>
    </row>
    <row r="1722" ht="30" customHeight="1">
      <c r="A1722" s="60" t="inlineStr">
        <is>
          <t>TC-RS-CALC-003 / le</t>
        </is>
      </c>
      <c r="B1722" s="36" t="n"/>
      <c r="C1722" s="36" t="n"/>
      <c r="D1722" s="36" t="n"/>
      <c r="E1722" s="36" t="n"/>
    </row>
    <row r="1723" ht="30" customHeight="1">
      <c r="A1723" s="47" t="inlineStr">
        <is>
          <t>Dữ liệu biến thể</t>
        </is>
      </c>
      <c r="B1723" s="56" t="inlineStr">
        <is>
          <t>Dấu nhỏ hơn hoặc bằng, cả bốn điểm</t>
        </is>
      </c>
      <c r="C1723" s="57" t="n"/>
      <c r="D1723" s="57" t="n"/>
      <c r="E1723" s="57" t="n"/>
    </row>
    <row r="1724" ht="30" customHeight="1">
      <c r="A1724" s="47" t="inlineStr">
        <is>
          <t>Trạng thái</t>
        </is>
      </c>
      <c r="B1724" s="61" t="inlineStr">
        <is>
          <t>Chưa thực hiện</t>
        </is>
      </c>
      <c r="C1724" s="57" t="n"/>
      <c r="D1724" s="57" t="n"/>
      <c r="E1724" s="57" t="n"/>
    </row>
    <row r="1725" ht="30" customHeight="1">
      <c r="A1725" s="62" t="inlineStr">
        <is>
          <t>Kết quả thực tế</t>
        </is>
      </c>
    </row>
    <row r="1726" ht="64" customHeight="1">
      <c r="A1726" s="63" t="inlineStr"/>
      <c r="B1726" s="64" t="n"/>
      <c r="C1726" s="64" t="n"/>
      <c r="D1726" s="64" t="n"/>
      <c r="E1726" s="65" t="n"/>
    </row>
    <row r="1727" ht="30" customHeight="1">
      <c r="A1727" s="62" t="inlineStr">
        <is>
          <t>Ảnh minh chứng</t>
        </is>
      </c>
    </row>
    <row r="1728" ht="90" customHeight="1">
      <c r="A1728" s="63" t="inlineStr"/>
      <c r="B1728" s="64" t="n"/>
      <c r="C1728" s="64" t="n"/>
      <c r="D1728" s="64" t="n"/>
      <c r="E1728" s="65" t="n"/>
    </row>
    <row r="1729" ht="12" customHeight="1">
      <c r="A1729" s="66" t="inlineStr"/>
    </row>
    <row r="1730" ht="20" customHeight="1">
      <c r="A1730" s="66" t="inlineStr"/>
    </row>
    <row r="1731" ht="30" customHeight="1">
      <c r="A1731" s="46" t="inlineStr">
        <is>
          <t>TC-RS-CALC-004 — Ngưỡng cố định giữ [T=N] khi M đổi về sau</t>
        </is>
      </c>
      <c r="B1731" s="23" t="n"/>
      <c r="C1731" s="23" t="n"/>
      <c r="D1731" s="23" t="n"/>
      <c r="E1731" s="23" t="n"/>
    </row>
    <row r="1732" ht="30" customHeight="1">
      <c r="A1732" s="47" t="inlineStr">
        <is>
          <t>Trạng thái</t>
        </is>
      </c>
      <c r="B1732" s="61" t="inlineStr">
        <is>
          <t>Chưa thực hiện</t>
        </is>
      </c>
      <c r="C1732" s="57" t="n"/>
      <c r="D1732" s="57" t="n"/>
      <c r="E1732" s="57" t="n"/>
    </row>
    <row r="1733" ht="30" customHeight="1">
      <c r="A1733" s="47" t="inlineStr">
        <is>
          <t>Màn hình / chức năng</t>
        </is>
      </c>
      <c r="B1733" s="47" t="inlineStr">
        <is>
          <t>Thiết lập ngưỡng（基準設定）</t>
        </is>
      </c>
      <c r="C1733" s="57" t="n"/>
      <c r="D1733" s="47" t="inlineStr">
        <is>
          <t>Đường dẫn</t>
        </is>
      </c>
      <c r="E1733" s="56" t="inlineStr">
        <is>
          <t>Chưa xác minh</t>
        </is>
      </c>
    </row>
    <row r="1734" ht="30" customHeight="1">
      <c r="A1734" s="58" t="inlineStr">
        <is>
          <t>Điều kiện kiểm thử</t>
        </is>
      </c>
      <c r="B1734" s="59" t="n"/>
      <c r="C1734" s="59" t="n"/>
      <c r="D1734" s="59" t="n"/>
      <c r="E1734" s="59" t="n"/>
    </row>
    <row r="1735" ht="44" customHeight="1">
      <c r="A1735" s="47" t="inlineStr">
        <is>
          <t>Cấu hình</t>
        </is>
      </c>
      <c r="B1735" s="56" t="inlineStr">
        <is>
          <t>• Quy tắc “Cố định 30” (dưới 30) (N=30) lưu khi M=100. Sau đó đổi Giá trị tối đa（最大値） của mục số nguyên (M=100) thành 20.</t>
        </is>
      </c>
      <c r="C1735" s="57" t="n"/>
      <c r="D1735" s="57" t="n"/>
      <c r="E1735" s="57" t="n"/>
    </row>
    <row r="1736" ht="61" customHeight="1">
      <c r="A1736" s="47" t="inlineStr">
        <is>
          <t>Vai trò / quyền</t>
        </is>
      </c>
      <c r="B173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736" s="57" t="n"/>
      <c r="D1736" s="57" t="n"/>
      <c r="E1736" s="57" t="n"/>
    </row>
    <row r="1737" ht="61" customHeight="1">
      <c r="A1737" s="47" t="inlineStr">
        <is>
          <t>Dữ liệu test</t>
        </is>
      </c>
      <c r="B1737" s="56" t="inlineStr">
        <is>
          <t>• Mục số nguyên (M=100);
• Quy tắc “Cố định 30” (dưới 30);
• S = 15, 20</t>
        </is>
      </c>
      <c r="C1737" s="57" t="n"/>
      <c r="D1737" s="57" t="n"/>
      <c r="E1737" s="57" t="n"/>
    </row>
    <row r="1738" ht="30" customHeight="1">
      <c r="A1738" s="47" t="inlineStr">
        <is>
          <t>Trigger</t>
        </is>
      </c>
      <c r="B1738" s="56" t="inlineStr">
        <is>
          <t>• Chỉ xem/xuất không tự chạy xét.</t>
        </is>
      </c>
      <c r="C1738" s="57" t="n"/>
      <c r="D1738" s="57" t="n"/>
      <c r="E1738" s="57" t="n"/>
    </row>
    <row r="1739" ht="44" customHeight="1">
      <c r="A1739" s="47" t="inlineStr">
        <is>
          <t>Blocker</t>
        </is>
      </c>
      <c r="B1739" s="56" t="inlineStr">
        <is>
          <t>• G-PREP-UNASSESSED: Chưa có xác minh fixture, đường thực hiện và phép quan sát trên build của từng case chưa đánh giá.</t>
        </is>
      </c>
      <c r="C1739" s="57" t="n"/>
      <c r="D1739" s="57" t="n"/>
      <c r="E1739" s="57" t="n"/>
    </row>
    <row r="1740" ht="30" customHeight="1">
      <c r="A1740" s="58" t="inlineStr">
        <is>
          <t>Thao tác</t>
        </is>
      </c>
      <c r="B1740" s="59" t="n"/>
      <c r="C1740" s="59" t="n"/>
      <c r="D1740" s="59" t="n"/>
      <c r="E1740" s="59" t="n"/>
    </row>
    <row r="1741" ht="30" customHeight="1">
      <c r="A1741" s="47" t="inlineStr">
        <is>
          <t>Step 1</t>
        </is>
      </c>
      <c r="B1741" s="56" t="inlineStr">
        <is>
          <t>Đăng ký hai học sinh S=15 và S=20.</t>
        </is>
      </c>
      <c r="C1741" s="57" t="n"/>
      <c r="D1741" s="57" t="n"/>
      <c r="E1741" s="57" t="n"/>
    </row>
    <row r="1742" ht="30" customHeight="1">
      <c r="A1742" s="47" t="inlineStr">
        <is>
          <t>Step 2</t>
        </is>
      </c>
      <c r="B1742" s="56" t="inlineStr">
        <is>
          <t>Mở lại quy tắc.</t>
        </is>
      </c>
      <c r="C1742" s="57" t="n"/>
      <c r="D1742" s="57" t="n"/>
      <c r="E1742" s="57" t="n"/>
    </row>
    <row r="1743" ht="44" customHeight="1">
      <c r="A1743" s="47" t="inlineStr">
        <is>
          <t>Reset</t>
        </is>
      </c>
      <c r="B1743" s="56" t="inlineStr">
        <is>
          <t>Trước mỗi biến thể, dựng lại điều kiện/dữ liệu đầu của case bằng đường được phép; giữ các reset/fixture độc lập đã nêu trong thủ tục.</t>
        </is>
      </c>
      <c r="C1743" s="57" t="n"/>
      <c r="D1743" s="57" t="n"/>
      <c r="E1743" s="57" t="n"/>
    </row>
    <row r="1744" ht="30" customHeight="1">
      <c r="A1744" s="58" t="inlineStr">
        <is>
          <t>Kết quả mong đợi</t>
        </is>
      </c>
      <c r="B1744" s="59" t="n"/>
      <c r="C1744" s="59" t="n"/>
      <c r="D1744" s="59" t="n"/>
      <c r="E1744" s="59" t="n"/>
    </row>
    <row r="1745" ht="30" customHeight="1">
      <c r="A1745" s="47" t="inlineStr">
        <is>
          <t>1.</t>
        </is>
      </c>
      <c r="B1745" s="56" t="inlineStr">
        <is>
          <t>[T=30] → 15 Đỏ; 20 Đỏ. Không chuyển thành Chưa xét được; không tự đổi [T] thành 20 hoặc [M×30%].</t>
        </is>
      </c>
      <c r="C1745" s="57" t="n"/>
      <c r="D1745" s="57" t="n"/>
      <c r="E1745" s="57" t="n"/>
    </row>
    <row r="1746" ht="30" customHeight="1">
      <c r="A1746" s="47" t="inlineStr">
        <is>
          <t>2.</t>
        </is>
      </c>
      <c r="B1746" s="56" t="inlineStr">
        <is>
          <t>N vẫn hiển thị 30 (không bị tự sửa).</t>
        </is>
      </c>
      <c r="C1746" s="57" t="n"/>
      <c r="D1746" s="57" t="n"/>
      <c r="E1746" s="57" t="n"/>
    </row>
    <row r="1747" ht="44" customHeight="1">
      <c r="A1747" s="47" t="inlineStr">
        <is>
          <t>Giữ nguyên</t>
        </is>
      </c>
      <c r="B1747" s="56" t="inlineStr">
        <is>
          <t>• Giữ điểm, cấu hình và đối tượng không đích theo expected;
• Chỉ thay phần thủ tục yêu cầu, không tự đổi oracle hoặc mở rộng phạm vi.</t>
        </is>
      </c>
      <c r="C1747" s="57" t="n"/>
      <c r="D1747" s="57" t="n"/>
      <c r="E1747" s="57" t="n"/>
    </row>
    <row r="1748" ht="61" customHeight="1">
      <c r="A1748" s="47" t="inlineStr">
        <is>
          <t>Quan sát tại</t>
        </is>
      </c>
      <c r="B1748" s="56" t="inlineStr">
        <is>
          <t>• Dùng trích xuất không lọc để thấy cả ô đối chứng. Trạng thái không có dấu đỏ cần đọc thêm trạng thái lưu;
• Output Excel/PDF dùng file thật.</t>
        </is>
      </c>
      <c r="C1748" s="57" t="n"/>
      <c r="D1748" s="57" t="n"/>
      <c r="E1748" s="57" t="n"/>
    </row>
    <row r="1749" ht="30" customHeight="1">
      <c r="A1749" s="58" t="inlineStr">
        <is>
          <t>Kết quả thực tế</t>
        </is>
      </c>
      <c r="B1749" s="59" t="n"/>
      <c r="C1749" s="59" t="n"/>
      <c r="D1749" s="59" t="n"/>
      <c r="E1749" s="59" t="n"/>
    </row>
    <row r="1750" ht="30" customHeight="1">
      <c r="A1750" s="47" t="inlineStr">
        <is>
          <t>Dữ liệu biến thể</t>
        </is>
      </c>
      <c r="B1750" s="56" t="inlineStr">
        <is>
          <t>Toàn bộ thủ tục theo đúng thứ tự; các đối chứng cùng fixture được kiểm trong cùng lượt, không bỏ bước</t>
        </is>
      </c>
      <c r="C1750" s="57" t="n"/>
      <c r="D1750" s="57" t="n"/>
      <c r="E1750" s="57" t="n"/>
    </row>
    <row r="1751" ht="30" customHeight="1">
      <c r="A1751" s="62" t="inlineStr">
        <is>
          <t>Kết quả thực tế</t>
        </is>
      </c>
    </row>
    <row r="1752" ht="64" customHeight="1">
      <c r="A1752" s="63" t="inlineStr"/>
      <c r="B1752" s="64" t="n"/>
      <c r="C1752" s="64" t="n"/>
      <c r="D1752" s="64" t="n"/>
      <c r="E1752" s="65" t="n"/>
    </row>
    <row r="1753" ht="30" customHeight="1">
      <c r="A1753" s="62" t="inlineStr">
        <is>
          <t>Ảnh minh chứng</t>
        </is>
      </c>
    </row>
    <row r="1754" ht="90" customHeight="1">
      <c r="A1754" s="63" t="inlineStr"/>
      <c r="B1754" s="64" t="n"/>
      <c r="C1754" s="64" t="n"/>
      <c r="D1754" s="64" t="n"/>
      <c r="E1754" s="65" t="n"/>
    </row>
    <row r="1755" ht="12" customHeight="1">
      <c r="A1755" s="66" t="inlineStr"/>
    </row>
    <row r="1756" ht="20" customHeight="1">
      <c r="A1756" s="66" t="inlineStr"/>
    </row>
    <row r="1757" ht="30" customHeight="1">
      <c r="A1757" s="46" t="inlineStr">
        <is>
          <t>TC-RS-UI-011 — Màn Ngưỡng（基準設定）: ba loại, dấu so sánh và câu giải thích đổi theo dấu</t>
        </is>
      </c>
      <c r="B1757" s="23" t="n"/>
      <c r="C1757" s="23" t="n"/>
      <c r="D1757" s="23" t="n"/>
      <c r="E1757" s="23" t="n"/>
    </row>
    <row r="1758" ht="30" customHeight="1">
      <c r="A1758" s="47" t="inlineStr">
        <is>
          <t>Trạng thái</t>
        </is>
      </c>
      <c r="B1758" s="56">
        <f>IF(0&gt;0,"Không đạt",IF(0=2,"Đạt",IF(SUMPRODUCT(--EXACT('Testcases'!B1778:B1786,"Không thực hiện"))=2,"Không thực hiện",IF(SUMPRODUCT(--EXACT('Testcases'!B1778:B1786,"Bị chặn"))&gt;0,"Bị chặn",IF(SUMPRODUCT(--EXACT('Testcases'!B1778:B1786,"Chưa thực hiện"))=2,"Chưa thực hiện","Chưa đủ kết luận")))))</f>
        <v/>
      </c>
      <c r="C1758" s="57" t="n"/>
      <c r="D1758" s="57" t="n"/>
      <c r="E1758" s="57" t="n"/>
    </row>
    <row r="1759" ht="30" customHeight="1">
      <c r="A1759" s="47" t="inlineStr">
        <is>
          <t>Màn hình / chức năng</t>
        </is>
      </c>
      <c r="B1759" s="47" t="inlineStr">
        <is>
          <t>Thiết lập ngưỡng（基準設定）</t>
        </is>
      </c>
      <c r="C1759" s="57" t="n"/>
      <c r="D1759" s="47" t="inlineStr">
        <is>
          <t>Đường dẫn</t>
        </is>
      </c>
      <c r="E1759" s="56" t="inlineStr">
        <is>
          <t>Chưa xác minh</t>
        </is>
      </c>
    </row>
    <row r="1760" ht="30" customHeight="1">
      <c r="A1760" s="58" t="inlineStr">
        <is>
          <t>Điều kiện kiểm thử</t>
        </is>
      </c>
      <c r="B1760" s="59" t="n"/>
      <c r="C1760" s="59" t="n"/>
      <c r="D1760" s="59" t="n"/>
      <c r="E1760" s="59" t="n"/>
    </row>
    <row r="1761" ht="30" customHeight="1">
      <c r="A1761" s="47" t="inlineStr">
        <is>
          <t>Cấu hình</t>
        </is>
      </c>
      <c r="B1761" s="56" t="inlineStr">
        <is>
          <t>• Mở ngưỡng của một quy tắc.</t>
        </is>
      </c>
      <c r="C1761" s="57" t="n"/>
      <c r="D1761" s="57" t="n"/>
      <c r="E1761" s="57" t="n"/>
    </row>
    <row r="1762" ht="61" customHeight="1">
      <c r="A1762" s="47" t="inlineStr">
        <is>
          <t>Vai trò / quyền</t>
        </is>
      </c>
      <c r="B176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762" s="57" t="n"/>
      <c r="D1762" s="57" t="n"/>
      <c r="E1762" s="57" t="n"/>
    </row>
    <row r="1763" ht="30" customHeight="1">
      <c r="A1763" s="47" t="inlineStr">
        <is>
          <t>Dữ liệu test</t>
        </is>
      </c>
      <c r="B1763" s="56" t="inlineStr">
        <is>
          <t>• —</t>
        </is>
      </c>
      <c r="C1763" s="57" t="n"/>
      <c r="D1763" s="57" t="n"/>
      <c r="E1763" s="57" t="n"/>
    </row>
    <row r="1764" ht="30" customHeight="1">
      <c r="A1764" s="47" t="inlineStr">
        <is>
          <t>Trigger</t>
        </is>
      </c>
      <c r="B1764" s="56" t="inlineStr">
        <is>
          <t>• Chỉ xem/xuất không tự chạy xét.</t>
        </is>
      </c>
      <c r="C1764" s="57" t="n"/>
      <c r="D1764" s="57" t="n"/>
      <c r="E1764" s="57" t="n"/>
    </row>
    <row r="1765" ht="44" customHeight="1">
      <c r="A1765" s="47" t="inlineStr">
        <is>
          <t>Blocker</t>
        </is>
      </c>
      <c r="B1765" s="56" t="inlineStr">
        <is>
          <t>• G-PREP-UNASSESSED: Chưa có xác minh fixture, đường thực hiện và phép quan sát trên build của từng case chưa đánh giá.</t>
        </is>
      </c>
      <c r="C1765" s="57" t="n"/>
      <c r="D1765" s="57" t="n"/>
      <c r="E1765" s="57" t="n"/>
    </row>
    <row r="1766" ht="30" customHeight="1">
      <c r="A1766" s="58" t="inlineStr">
        <is>
          <t>Thao tác</t>
        </is>
      </c>
      <c r="B1766" s="59" t="n"/>
      <c r="C1766" s="59" t="n"/>
      <c r="D1766" s="59" t="n"/>
      <c r="E1766" s="59" t="n"/>
    </row>
    <row r="1767" ht="30" customHeight="1">
      <c r="A1767" s="47" t="inlineStr">
        <is>
          <t>Step 1</t>
        </is>
      </c>
      <c r="B1767" s="56" t="inlineStr">
        <is>
          <t>Xem ba lựa chọn loại.</t>
        </is>
      </c>
      <c r="C1767" s="57" t="n"/>
      <c r="D1767" s="57" t="n"/>
      <c r="E1767" s="57" t="n"/>
    </row>
    <row r="1768" ht="30" customHeight="1">
      <c r="A1768" s="47" t="inlineStr">
        <is>
          <t>Step 2</t>
        </is>
      </c>
      <c r="B1768" s="56" t="inlineStr">
        <is>
          <t>Đổi Dấu so sánh（比較条件） giữa Nhỏ hơn（未満） và Nhỏ hơn hoặc bằng（以下）.</t>
        </is>
      </c>
      <c r="C1768" s="57" t="n"/>
      <c r="D1768" s="57" t="n"/>
      <c r="E1768" s="57" t="n"/>
    </row>
    <row r="1769" ht="44" customHeight="1">
      <c r="A1769" s="47" t="inlineStr">
        <is>
          <t>Reset</t>
        </is>
      </c>
      <c r="B1769" s="56" t="inlineStr">
        <is>
          <t>Trước mỗi biến thể, dựng lại điều kiện/dữ liệu đầu của case bằng đường được phép; giữ các reset/fixture độc lập đã nêu trong thủ tục.</t>
        </is>
      </c>
      <c r="C1769" s="57" t="n"/>
      <c r="D1769" s="57" t="n"/>
      <c r="E1769" s="57" t="n"/>
    </row>
    <row r="1770" ht="30" customHeight="1">
      <c r="A1770" s="58" t="inlineStr">
        <is>
          <t>Kết quả mong đợi</t>
        </is>
      </c>
      <c r="B1770" s="59" t="n"/>
      <c r="C1770" s="59" t="n"/>
      <c r="D1770" s="59" t="n"/>
      <c r="E1770" s="59" t="n"/>
    </row>
    <row r="1771" ht="44" customHeight="1">
      <c r="A1771" s="47" t="inlineStr">
        <is>
          <t>1.</t>
        </is>
      </c>
      <c r="B1771" s="56" t="inlineStr">
        <is>
          <t>Có Điểm cố định（固定点数）, Tỷ lệ điểm tối đa（得点率）, Công thức（計算式） (theo phạm vi phát hành — xem UI-025).</t>
        </is>
      </c>
      <c r="C1771" s="57" t="n"/>
      <c r="D1771" s="57" t="n"/>
      <c r="E1771" s="57" t="n"/>
    </row>
    <row r="1772" ht="30" customHeight="1">
      <c r="A1772" s="47" t="inlineStr">
        <is>
          <t>2.</t>
        </is>
      </c>
      <c r="B1772" s="56" t="inlineStr">
        <is>
          <t>Câu giải thích dưới dấu đổi theo lựa chọn.</t>
        </is>
      </c>
      <c r="C1772" s="57" t="n"/>
      <c r="D1772" s="57" t="n"/>
      <c r="E1772" s="57" t="n"/>
    </row>
    <row r="1773" ht="44" customHeight="1">
      <c r="A1773" s="47" t="inlineStr">
        <is>
          <t>Giữ nguyên</t>
        </is>
      </c>
      <c r="B1773" s="56" t="inlineStr">
        <is>
          <t>• Giữ điểm, cấu hình và đối tượng không đích theo expected;
• Chỉ thay phần thủ tục yêu cầu, không tự đổi oracle hoặc mở rộng phạm vi.</t>
        </is>
      </c>
      <c r="C1773" s="57" t="n"/>
      <c r="D1773" s="57" t="n"/>
      <c r="E1773" s="57" t="n"/>
    </row>
    <row r="1774" ht="61" customHeight="1">
      <c r="A1774" s="47" t="inlineStr">
        <is>
          <t>Quan sát tại</t>
        </is>
      </c>
      <c r="B1774" s="56" t="inlineStr">
        <is>
          <t>• Dùng trích xuất không lọc để thấy cả ô đối chứng. Trạng thái không có dấu đỏ cần đọc thêm trạng thái lưu;
• Output Excel/PDF dùng file thật.</t>
        </is>
      </c>
      <c r="C1774" s="57" t="n"/>
      <c r="D1774" s="57" t="n"/>
      <c r="E1774" s="57" t="n"/>
    </row>
    <row r="1775" ht="30" customHeight="1">
      <c r="A1775" s="58" t="inlineStr">
        <is>
          <t>Kết quả thực tế</t>
        </is>
      </c>
      <c r="B1775" s="59" t="n"/>
      <c r="C1775" s="59" t="n"/>
      <c r="D1775" s="59" t="n"/>
      <c r="E1775" s="59" t="n"/>
    </row>
    <row r="1776" ht="30" customHeight="1">
      <c r="A1776" s="60" t="inlineStr">
        <is>
          <t>TC-RS-UI-011 / lt</t>
        </is>
      </c>
      <c r="B1776" s="36" t="n"/>
      <c r="C1776" s="36" t="n"/>
      <c r="D1776" s="36" t="n"/>
      <c r="E1776" s="36" t="n"/>
    </row>
    <row r="1777" ht="30" customHeight="1">
      <c r="A1777" s="47" t="inlineStr">
        <is>
          <t>Dữ liệu biến thể</t>
        </is>
      </c>
      <c r="B1777" s="56" t="inlineStr">
        <is>
          <t>Dấu nhỏ hơn</t>
        </is>
      </c>
      <c r="C1777" s="57" t="n"/>
      <c r="D1777" s="57" t="n"/>
      <c r="E1777" s="57" t="n"/>
    </row>
    <row r="1778" ht="30" customHeight="1">
      <c r="A1778" s="47" t="inlineStr">
        <is>
          <t>Trạng thái</t>
        </is>
      </c>
      <c r="B1778" s="61" t="inlineStr">
        <is>
          <t>Chưa thực hiện</t>
        </is>
      </c>
      <c r="C1778" s="57" t="n"/>
      <c r="D1778" s="57" t="n"/>
      <c r="E1778" s="57" t="n"/>
    </row>
    <row r="1779" ht="30" customHeight="1">
      <c r="A1779" s="62" t="inlineStr">
        <is>
          <t>Kết quả thực tế</t>
        </is>
      </c>
    </row>
    <row r="1780" ht="64" customHeight="1">
      <c r="A1780" s="63" t="inlineStr"/>
      <c r="B1780" s="64" t="n"/>
      <c r="C1780" s="64" t="n"/>
      <c r="D1780" s="64" t="n"/>
      <c r="E1780" s="65" t="n"/>
    </row>
    <row r="1781" ht="30" customHeight="1">
      <c r="A1781" s="62" t="inlineStr">
        <is>
          <t>Ảnh minh chứng</t>
        </is>
      </c>
    </row>
    <row r="1782" ht="90" customHeight="1">
      <c r="A1782" s="63" t="inlineStr"/>
      <c r="B1782" s="64" t="n"/>
      <c r="C1782" s="64" t="n"/>
      <c r="D1782" s="64" t="n"/>
      <c r="E1782" s="65" t="n"/>
    </row>
    <row r="1783" ht="12" customHeight="1">
      <c r="A1783" s="66" t="inlineStr"/>
    </row>
    <row r="1784" ht="30" customHeight="1">
      <c r="A1784" s="60" t="inlineStr">
        <is>
          <t>TC-RS-UI-011 / le</t>
        </is>
      </c>
      <c r="B1784" s="36" t="n"/>
      <c r="C1784" s="36" t="n"/>
      <c r="D1784" s="36" t="n"/>
      <c r="E1784" s="36" t="n"/>
    </row>
    <row r="1785" ht="30" customHeight="1">
      <c r="A1785" s="47" t="inlineStr">
        <is>
          <t>Dữ liệu biến thể</t>
        </is>
      </c>
      <c r="B1785" s="56" t="inlineStr">
        <is>
          <t>Dấu nhỏ hơn hoặc bằng</t>
        </is>
      </c>
      <c r="C1785" s="57" t="n"/>
      <c r="D1785" s="57" t="n"/>
      <c r="E1785" s="57" t="n"/>
    </row>
    <row r="1786" ht="30" customHeight="1">
      <c r="A1786" s="47" t="inlineStr">
        <is>
          <t>Trạng thái</t>
        </is>
      </c>
      <c r="B1786" s="61" t="inlineStr">
        <is>
          <t>Chưa thực hiện</t>
        </is>
      </c>
      <c r="C1786" s="57" t="n"/>
      <c r="D1786" s="57" t="n"/>
      <c r="E1786" s="57" t="n"/>
    </row>
    <row r="1787" ht="30" customHeight="1">
      <c r="A1787" s="62" t="inlineStr">
        <is>
          <t>Kết quả thực tế</t>
        </is>
      </c>
    </row>
    <row r="1788" ht="64" customHeight="1">
      <c r="A1788" s="63" t="inlineStr"/>
      <c r="B1788" s="64" t="n"/>
      <c r="C1788" s="64" t="n"/>
      <c r="D1788" s="64" t="n"/>
      <c r="E1788" s="65" t="n"/>
    </row>
    <row r="1789" ht="30" customHeight="1">
      <c r="A1789" s="62" t="inlineStr">
        <is>
          <t>Ảnh minh chứng</t>
        </is>
      </c>
    </row>
    <row r="1790" ht="90" customHeight="1">
      <c r="A1790" s="63" t="inlineStr"/>
      <c r="B1790" s="64" t="n"/>
      <c r="C1790" s="64" t="n"/>
      <c r="D1790" s="64" t="n"/>
      <c r="E1790" s="65" t="n"/>
    </row>
    <row r="1791" ht="12" customHeight="1">
      <c r="A1791" s="66" t="inlineStr"/>
    </row>
    <row r="1792" ht="20" customHeight="1">
      <c r="A1792" s="66" t="inlineStr"/>
    </row>
    <row r="1793" ht="30" customHeight="1">
      <c r="A1793" s="46" t="inlineStr">
        <is>
          <t>TC-RS-UI-012 — Mặc định khi tạo quy tắc mới</t>
        </is>
      </c>
      <c r="B1793" s="23" t="n"/>
      <c r="C1793" s="23" t="n"/>
      <c r="D1793" s="23" t="n"/>
      <c r="E1793" s="23" t="n"/>
    </row>
    <row r="1794" ht="30" customHeight="1">
      <c r="A1794" s="47" t="inlineStr">
        <is>
          <t>Trạng thái</t>
        </is>
      </c>
      <c r="B1794" s="61" t="inlineStr">
        <is>
          <t>Chưa thực hiện</t>
        </is>
      </c>
      <c r="C1794" s="57" t="n"/>
      <c r="D1794" s="57" t="n"/>
      <c r="E1794" s="57" t="n"/>
    </row>
    <row r="1795" ht="30" customHeight="1">
      <c r="A1795" s="47" t="inlineStr">
        <is>
          <t>Màn hình / chức năng</t>
        </is>
      </c>
      <c r="B1795" s="47" t="inlineStr">
        <is>
          <t>Thiết lập ngưỡng（基準設定）</t>
        </is>
      </c>
      <c r="C1795" s="57" t="n"/>
      <c r="D1795" s="47" t="inlineStr">
        <is>
          <t>Đường dẫn</t>
        </is>
      </c>
      <c r="E1795" s="56" t="inlineStr">
        <is>
          <t>Chưa xác minh</t>
        </is>
      </c>
    </row>
    <row r="1796" ht="30" customHeight="1">
      <c r="A1796" s="58" t="inlineStr">
        <is>
          <t>Điều kiện kiểm thử</t>
        </is>
      </c>
      <c r="B1796" s="59" t="n"/>
      <c r="C1796" s="59" t="n"/>
      <c r="D1796" s="59" t="n"/>
      <c r="E1796" s="59" t="n"/>
    </row>
    <row r="1797" ht="30" customHeight="1">
      <c r="A1797" s="47" t="inlineStr">
        <is>
          <t>Cấu hình</t>
        </is>
      </c>
      <c r="B1797" s="56" t="inlineStr">
        <is>
          <t>• Thêm quy tắc mới, lưu điều kiện, mở ngưỡng.</t>
        </is>
      </c>
      <c r="C1797" s="57" t="n"/>
      <c r="D1797" s="57" t="n"/>
      <c r="E1797" s="57" t="n"/>
    </row>
    <row r="1798" ht="61" customHeight="1">
      <c r="A1798" s="47" t="inlineStr">
        <is>
          <t>Vai trò / quyền</t>
        </is>
      </c>
      <c r="B179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798" s="57" t="n"/>
      <c r="D1798" s="57" t="n"/>
      <c r="E1798" s="57" t="n"/>
    </row>
    <row r="1799" ht="30" customHeight="1">
      <c r="A1799" s="47" t="inlineStr">
        <is>
          <t>Dữ liệu test</t>
        </is>
      </c>
      <c r="B1799" s="56" t="inlineStr">
        <is>
          <t>• —</t>
        </is>
      </c>
      <c r="C1799" s="57" t="n"/>
      <c r="D1799" s="57" t="n"/>
      <c r="E1799" s="57" t="n"/>
    </row>
    <row r="1800" ht="30" customHeight="1">
      <c r="A1800" s="47" t="inlineStr">
        <is>
          <t>Trigger</t>
        </is>
      </c>
      <c r="B1800" s="56" t="inlineStr">
        <is>
          <t>• Chỉ xem/xuất không tự chạy xét.</t>
        </is>
      </c>
      <c r="C1800" s="57" t="n"/>
      <c r="D1800" s="57" t="n"/>
      <c r="E1800" s="57" t="n"/>
    </row>
    <row r="1801" ht="44" customHeight="1">
      <c r="A1801" s="47" t="inlineStr">
        <is>
          <t>Blocker</t>
        </is>
      </c>
      <c r="B1801" s="56" t="inlineStr">
        <is>
          <t>• G-PREP-UNASSESSED: Chưa có xác minh fixture, đường thực hiện và phép quan sát trên build của từng case chưa đánh giá.</t>
        </is>
      </c>
      <c r="C1801" s="57" t="n"/>
      <c r="D1801" s="57" t="n"/>
      <c r="E1801" s="57" t="n"/>
    </row>
    <row r="1802" ht="30" customHeight="1">
      <c r="A1802" s="58" t="inlineStr">
        <is>
          <t>Thao tác</t>
        </is>
      </c>
      <c r="B1802" s="59" t="n"/>
      <c r="C1802" s="59" t="n"/>
      <c r="D1802" s="59" t="n"/>
      <c r="E1802" s="59" t="n"/>
    </row>
    <row r="1803" ht="30" customHeight="1">
      <c r="A1803" s="47" t="inlineStr">
        <is>
          <t>•</t>
        </is>
      </c>
      <c r="B1803" s="56" t="inlineStr">
        <is>
          <t>Quan sát giá trị ban đầu.</t>
        </is>
      </c>
      <c r="C1803" s="57" t="n"/>
      <c r="D1803" s="57" t="n"/>
      <c r="E1803" s="57" t="n"/>
    </row>
    <row r="1804" ht="44" customHeight="1">
      <c r="A1804" s="47" t="inlineStr">
        <is>
          <t>Reset</t>
        </is>
      </c>
      <c r="B1804" s="56" t="inlineStr">
        <is>
          <t>Trước mỗi biến thể, dựng lại điều kiện/dữ liệu đầu của case bằng đường được phép; giữ các reset/fixture độc lập đã nêu trong thủ tục.</t>
        </is>
      </c>
      <c r="C1804" s="57" t="n"/>
      <c r="D1804" s="57" t="n"/>
      <c r="E1804" s="57" t="n"/>
    </row>
    <row r="1805" ht="30" customHeight="1">
      <c r="A1805" s="58" t="inlineStr">
        <is>
          <t>Kết quả mong đợi</t>
        </is>
      </c>
      <c r="B1805" s="59" t="n"/>
      <c r="C1805" s="59" t="n"/>
      <c r="D1805" s="59" t="n"/>
      <c r="E1805" s="59" t="n"/>
    </row>
    <row r="1806" ht="44" customHeight="1">
      <c r="A1806" s="47" t="inlineStr">
        <is>
          <t>•</t>
        </is>
      </c>
      <c r="B1806" s="56" t="inlineStr">
        <is>
          <t>Loại = Điểm cố định（固定点数）; dấu = Nhỏ hơn（未満）; ô Điểm chuẩn（基準点） trống; tỷ lệ/công thức (nếu mở) mặc định Không xử lý phần lẻ（しない）.</t>
        </is>
      </c>
      <c r="C1806" s="57" t="n"/>
      <c r="D1806" s="57" t="n"/>
      <c r="E1806" s="57" t="n"/>
    </row>
    <row r="1807" ht="30" customHeight="1">
      <c r="A1807" s="47" t="inlineStr">
        <is>
          <t>•</t>
        </is>
      </c>
      <c r="B1807" s="56" t="inlineStr">
        <is>
          <t>Quy tắc mới được thêm ở cuối danh sách (PROPOSED).</t>
        </is>
      </c>
      <c r="C1807" s="57" t="n"/>
      <c r="D1807" s="57" t="n"/>
      <c r="E1807" s="57" t="n"/>
    </row>
    <row r="1808" ht="44" customHeight="1">
      <c r="A1808" s="47" t="inlineStr">
        <is>
          <t>Giữ nguyên</t>
        </is>
      </c>
      <c r="B1808" s="56" t="inlineStr">
        <is>
          <t>• Giữ điểm, cấu hình và đối tượng không đích theo expected;
• Chỉ thay phần thủ tục yêu cầu, không tự đổi oracle hoặc mở rộng phạm vi.</t>
        </is>
      </c>
      <c r="C1808" s="57" t="n"/>
      <c r="D1808" s="57" t="n"/>
      <c r="E1808" s="57" t="n"/>
    </row>
    <row r="1809" ht="61" customHeight="1">
      <c r="A1809" s="47" t="inlineStr">
        <is>
          <t>Quan sát tại</t>
        </is>
      </c>
      <c r="B1809" s="56" t="inlineStr">
        <is>
          <t>• Dùng trích xuất không lọc để thấy cả ô đối chứng. Trạng thái không có dấu đỏ cần đọc thêm trạng thái lưu;
• Output Excel/PDF dùng file thật.</t>
        </is>
      </c>
      <c r="C1809" s="57" t="n"/>
      <c r="D1809" s="57" t="n"/>
      <c r="E1809" s="57" t="n"/>
    </row>
    <row r="1810" ht="30" customHeight="1">
      <c r="A1810" s="58" t="inlineStr">
        <is>
          <t>Kết quả thực tế</t>
        </is>
      </c>
      <c r="B1810" s="59" t="n"/>
      <c r="C1810" s="59" t="n"/>
      <c r="D1810" s="59" t="n"/>
      <c r="E1810" s="59" t="n"/>
    </row>
    <row r="1811" ht="30" customHeight="1">
      <c r="A1811" s="47" t="inlineStr">
        <is>
          <t>Dữ liệu biến thể</t>
        </is>
      </c>
      <c r="B1811" s="56" t="inlineStr">
        <is>
          <t>Toàn bộ thủ tục theo đúng thứ tự; các đối chứng cùng fixture được kiểm trong cùng lượt, không bỏ bước</t>
        </is>
      </c>
      <c r="C1811" s="57" t="n"/>
      <c r="D1811" s="57" t="n"/>
      <c r="E1811" s="57" t="n"/>
    </row>
    <row r="1812" ht="30" customHeight="1">
      <c r="A1812" s="62" t="inlineStr">
        <is>
          <t>Kết quả thực tế</t>
        </is>
      </c>
    </row>
    <row r="1813" ht="64" customHeight="1">
      <c r="A1813" s="63" t="inlineStr"/>
      <c r="B1813" s="64" t="n"/>
      <c r="C1813" s="64" t="n"/>
      <c r="D1813" s="64" t="n"/>
      <c r="E1813" s="65" t="n"/>
    </row>
    <row r="1814" ht="30" customHeight="1">
      <c r="A1814" s="62" t="inlineStr">
        <is>
          <t>Ảnh minh chứng</t>
        </is>
      </c>
    </row>
    <row r="1815" ht="90" customHeight="1">
      <c r="A1815" s="63" t="inlineStr"/>
      <c r="B1815" s="64" t="n"/>
      <c r="C1815" s="64" t="n"/>
      <c r="D1815" s="64" t="n"/>
      <c r="E1815" s="65" t="n"/>
    </row>
    <row r="1816" ht="12" customHeight="1">
      <c r="A1816" s="66" t="inlineStr"/>
    </row>
    <row r="1817" ht="20" customHeight="1">
      <c r="A1817" s="66" t="inlineStr"/>
    </row>
    <row r="1818" ht="30" customHeight="1">
      <c r="A1818" s="46" t="inlineStr">
        <is>
          <t>TC-RS-UI-013 — Ngưỡng cố định không hiển thị nguồn trung bình</t>
        </is>
      </c>
      <c r="B1818" s="23" t="n"/>
      <c r="C1818" s="23" t="n"/>
      <c r="D1818" s="23" t="n"/>
      <c r="E1818" s="23" t="n"/>
    </row>
    <row r="1819" ht="30" customHeight="1">
      <c r="A1819" s="47" t="inlineStr">
        <is>
          <t>Trạng thái</t>
        </is>
      </c>
      <c r="B1819" s="61" t="inlineStr">
        <is>
          <t>Chưa thực hiện</t>
        </is>
      </c>
      <c r="C1819" s="57" t="n"/>
      <c r="D1819" s="57" t="n"/>
      <c r="E1819" s="57" t="n"/>
    </row>
    <row r="1820" ht="30" customHeight="1">
      <c r="A1820" s="47" t="inlineStr">
        <is>
          <t>Màn hình / chức năng</t>
        </is>
      </c>
      <c r="B1820" s="47" t="inlineStr">
        <is>
          <t>Thiết lập ngưỡng（基準設定）</t>
        </is>
      </c>
      <c r="C1820" s="57" t="n"/>
      <c r="D1820" s="47" t="inlineStr">
        <is>
          <t>Đường dẫn</t>
        </is>
      </c>
      <c r="E1820" s="56" t="inlineStr">
        <is>
          <t>Chưa xác minh</t>
        </is>
      </c>
    </row>
    <row r="1821" ht="30" customHeight="1">
      <c r="A1821" s="58" t="inlineStr">
        <is>
          <t>Điều kiện kiểm thử</t>
        </is>
      </c>
      <c r="B1821" s="59" t="n"/>
      <c r="C1821" s="59" t="n"/>
      <c r="D1821" s="59" t="n"/>
      <c r="E1821" s="59" t="n"/>
    </row>
    <row r="1822" ht="30" customHeight="1">
      <c r="A1822" s="47" t="inlineStr">
        <is>
          <t>Cấu hình</t>
        </is>
      </c>
      <c r="B1822" s="56" t="inlineStr">
        <is>
          <t>• Mở ngưỡng, chọn Điểm cố định（固定点数）.</t>
        </is>
      </c>
      <c r="C1822" s="57" t="n"/>
      <c r="D1822" s="57" t="n"/>
      <c r="E1822" s="57" t="n"/>
    </row>
    <row r="1823" ht="61" customHeight="1">
      <c r="A1823" s="47" t="inlineStr">
        <is>
          <t>Vai trò / quyền</t>
        </is>
      </c>
      <c r="B182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823" s="57" t="n"/>
      <c r="D1823" s="57" t="n"/>
      <c r="E1823" s="57" t="n"/>
    </row>
    <row r="1824" ht="30" customHeight="1">
      <c r="A1824" s="47" t="inlineStr">
        <is>
          <t>Dữ liệu test</t>
        </is>
      </c>
      <c r="B1824" s="56" t="inlineStr">
        <is>
          <t>• —</t>
        </is>
      </c>
      <c r="C1824" s="57" t="n"/>
      <c r="D1824" s="57" t="n"/>
      <c r="E1824" s="57" t="n"/>
    </row>
    <row r="1825" ht="30" customHeight="1">
      <c r="A1825" s="47" t="inlineStr">
        <is>
          <t>Trigger</t>
        </is>
      </c>
      <c r="B1825" s="56" t="inlineStr">
        <is>
          <t>• Chỉ xem/xuất không tự chạy xét.</t>
        </is>
      </c>
      <c r="C1825" s="57" t="n"/>
      <c r="D1825" s="57" t="n"/>
      <c r="E1825" s="57" t="n"/>
    </row>
    <row r="1826" ht="44" customHeight="1">
      <c r="A1826" s="47" t="inlineStr">
        <is>
          <t>Blocker</t>
        </is>
      </c>
      <c r="B1826" s="56" t="inlineStr">
        <is>
          <t>• G-PREP-UNASSESSED: Chưa có xác minh fixture, đường thực hiện và phép quan sát trên build của từng case chưa đánh giá.</t>
        </is>
      </c>
      <c r="C1826" s="57" t="n"/>
      <c r="D1826" s="57" t="n"/>
      <c r="E1826" s="57" t="n"/>
    </row>
    <row r="1827" ht="30" customHeight="1">
      <c r="A1827" s="58" t="inlineStr">
        <is>
          <t>Thao tác</t>
        </is>
      </c>
      <c r="B1827" s="59" t="n"/>
      <c r="C1827" s="59" t="n"/>
      <c r="D1827" s="59" t="n"/>
      <c r="E1827" s="59" t="n"/>
    </row>
    <row r="1828" ht="30" customHeight="1">
      <c r="A1828" s="47" t="inlineStr">
        <is>
          <t>•</t>
        </is>
      </c>
      <c r="B1828" s="56" t="inlineStr">
        <is>
          <t>Xem màn.</t>
        </is>
      </c>
      <c r="C1828" s="57" t="n"/>
      <c r="D1828" s="57" t="n"/>
      <c r="E1828" s="57" t="n"/>
    </row>
    <row r="1829" ht="44" customHeight="1">
      <c r="A1829" s="47" t="inlineStr">
        <is>
          <t>Reset</t>
        </is>
      </c>
      <c r="B1829" s="56" t="inlineStr">
        <is>
          <t>Trước mỗi biến thể, dựng lại điều kiện/dữ liệu đầu của case bằng đường được phép; giữ các reset/fixture độc lập đã nêu trong thủ tục.</t>
        </is>
      </c>
      <c r="C1829" s="57" t="n"/>
      <c r="D1829" s="57" t="n"/>
      <c r="E1829" s="57" t="n"/>
    </row>
    <row r="1830" ht="30" customHeight="1">
      <c r="A1830" s="58" t="inlineStr">
        <is>
          <t>Kết quả mong đợi</t>
        </is>
      </c>
      <c r="B1830" s="59" t="n"/>
      <c r="C1830" s="59" t="n"/>
      <c r="D1830" s="59" t="n"/>
      <c r="E1830" s="59" t="n"/>
    </row>
    <row r="1831" ht="30" customHeight="1">
      <c r="A1831" s="47" t="inlineStr">
        <is>
          <t>•</t>
        </is>
      </c>
      <c r="B1831" s="56" t="inlineStr">
        <is>
          <t>CONFIRMED: không có khối Trung bình tham chiếu（参照する平均点）; lưu không yêu cầu chọn nguồn.</t>
        </is>
      </c>
      <c r="C1831" s="57" t="n"/>
      <c r="D1831" s="57" t="n"/>
      <c r="E1831" s="57" t="n"/>
    </row>
    <row r="1832" ht="61" customHeight="1">
      <c r="A1832" s="47" t="inlineStr">
        <is>
          <t>•</t>
        </is>
      </c>
      <c r="B1832" s="56" t="inlineStr">
        <is>
          <t>PROPOSED: ô Điểm chuẩn（基準点） + đơn vị 点 (điểm), câu 「30点未満を赤点とします。30点は赤点になりません。」 (dưới 30 là đỏ; 30 không đỏ) đổi theo giá trị/dấu, câu 「判定には登録済みの最終点数を使用します。」 (xét dùng điểm cuối đã đăng ký).</t>
        </is>
      </c>
      <c r="C1832" s="57" t="n"/>
      <c r="D1832" s="57" t="n"/>
      <c r="E1832" s="57" t="n"/>
    </row>
    <row r="1833" ht="44" customHeight="1">
      <c r="A1833" s="47" t="inlineStr">
        <is>
          <t>Giữ nguyên</t>
        </is>
      </c>
      <c r="B1833" s="56" t="inlineStr">
        <is>
          <t>• Giữ điểm, cấu hình và đối tượng không đích theo expected;
• Chỉ thay phần thủ tục yêu cầu, không tự đổi oracle hoặc mở rộng phạm vi.</t>
        </is>
      </c>
      <c r="C1833" s="57" t="n"/>
      <c r="D1833" s="57" t="n"/>
      <c r="E1833" s="57" t="n"/>
    </row>
    <row r="1834" ht="61" customHeight="1">
      <c r="A1834" s="47" t="inlineStr">
        <is>
          <t>Quan sát tại</t>
        </is>
      </c>
      <c r="B1834" s="56" t="inlineStr">
        <is>
          <t>• Dùng trích xuất không lọc để thấy cả ô đối chứng. Trạng thái không có dấu đỏ cần đọc thêm trạng thái lưu;
• Output Excel/PDF dùng file thật.</t>
        </is>
      </c>
      <c r="C1834" s="57" t="n"/>
      <c r="D1834" s="57" t="n"/>
      <c r="E1834" s="57" t="n"/>
    </row>
    <row r="1835" ht="30" customHeight="1">
      <c r="A1835" s="58" t="inlineStr">
        <is>
          <t>Kết quả thực tế</t>
        </is>
      </c>
      <c r="B1835" s="59" t="n"/>
      <c r="C1835" s="59" t="n"/>
      <c r="D1835" s="59" t="n"/>
      <c r="E1835" s="59" t="n"/>
    </row>
    <row r="1836" ht="30" customHeight="1">
      <c r="A1836" s="47" t="inlineStr">
        <is>
          <t>Dữ liệu biến thể</t>
        </is>
      </c>
      <c r="B1836" s="56" t="inlineStr">
        <is>
          <t>Toàn bộ thủ tục theo đúng thứ tự; các đối chứng cùng fixture được kiểm trong cùng lượt, không bỏ bước</t>
        </is>
      </c>
      <c r="C1836" s="57" t="n"/>
      <c r="D1836" s="57" t="n"/>
      <c r="E1836" s="57" t="n"/>
    </row>
    <row r="1837" ht="30" customHeight="1">
      <c r="A1837" s="62" t="inlineStr">
        <is>
          <t>Kết quả thực tế</t>
        </is>
      </c>
    </row>
    <row r="1838" ht="64" customHeight="1">
      <c r="A1838" s="63" t="inlineStr"/>
      <c r="B1838" s="64" t="n"/>
      <c r="C1838" s="64" t="n"/>
      <c r="D1838" s="64" t="n"/>
      <c r="E1838" s="65" t="n"/>
    </row>
    <row r="1839" ht="30" customHeight="1">
      <c r="A1839" s="62" t="inlineStr">
        <is>
          <t>Ảnh minh chứng</t>
        </is>
      </c>
    </row>
    <row r="1840" ht="90" customHeight="1">
      <c r="A1840" s="63" t="inlineStr"/>
      <c r="B1840" s="64" t="n"/>
      <c r="C1840" s="64" t="n"/>
      <c r="D1840" s="64" t="n"/>
      <c r="E1840" s="65" t="n"/>
    </row>
    <row r="1841" ht="12" customHeight="1">
      <c r="A1841" s="66" t="inlineStr"/>
    </row>
    <row r="1842" ht="20" customHeight="1">
      <c r="A1842" s="66" t="inlineStr"/>
    </row>
    <row r="1843" ht="30" customHeight="1">
      <c r="A1843" s="46" t="inlineStr">
        <is>
          <t>TC-RS-FUNC-012 — Công thức: thêm/xóa dòng, kết quả dòng cuối là ngưỡng</t>
        </is>
      </c>
      <c r="B1843" s="23" t="n"/>
      <c r="C1843" s="23" t="n"/>
      <c r="D1843" s="23" t="n"/>
      <c r="E1843" s="23" t="n"/>
    </row>
    <row r="1844" ht="30" customHeight="1">
      <c r="A1844" s="47" t="inlineStr">
        <is>
          <t>Trạng thái</t>
        </is>
      </c>
      <c r="B1844" s="61" t="inlineStr">
        <is>
          <t>Chưa thực hiện</t>
        </is>
      </c>
      <c r="C1844" s="57" t="n"/>
      <c r="D1844" s="57" t="n"/>
      <c r="E1844" s="57" t="n"/>
    </row>
    <row r="1845" ht="30" customHeight="1">
      <c r="A1845" s="47" t="inlineStr">
        <is>
          <t>Màn hình / chức năng</t>
        </is>
      </c>
      <c r="B1845" s="47" t="inlineStr">
        <is>
          <t>Thiết lập ngưỡng（基準設定）</t>
        </is>
      </c>
      <c r="C1845" s="57" t="n"/>
      <c r="D1845" s="47" t="inlineStr">
        <is>
          <t>Đường dẫn</t>
        </is>
      </c>
      <c r="E1845" s="56" t="inlineStr">
        <is>
          <t>Chưa xác minh</t>
        </is>
      </c>
    </row>
    <row r="1846" ht="30" customHeight="1">
      <c r="A1846" s="58" t="inlineStr">
        <is>
          <t>Điều kiện kiểm thử</t>
        </is>
      </c>
      <c r="B1846" s="59" t="n"/>
      <c r="C1846" s="59" t="n"/>
      <c r="D1846" s="59" t="n"/>
      <c r="E1846" s="59" t="n"/>
    </row>
    <row r="1847" ht="30" customHeight="1">
      <c r="A1847" s="47" t="inlineStr">
        <is>
          <t>Cấu hình</t>
        </is>
      </c>
      <c r="B1847" s="56" t="inlineStr">
        <is>
          <t>• Mở Ngưỡng loại Công thức（計算式）.</t>
        </is>
      </c>
      <c r="C1847" s="57" t="n"/>
      <c r="D1847" s="57" t="n"/>
      <c r="E1847" s="57" t="n"/>
    </row>
    <row r="1848" ht="61" customHeight="1">
      <c r="A1848" s="47" t="inlineStr">
        <is>
          <t>Vai trò / quyền</t>
        </is>
      </c>
      <c r="B184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848" s="57" t="n"/>
      <c r="D1848" s="57" t="n"/>
      <c r="E1848" s="57" t="n"/>
    </row>
    <row r="1849" ht="30" customHeight="1">
      <c r="A1849" s="47" t="inlineStr">
        <is>
          <t>Dữ liệu test</t>
        </is>
      </c>
      <c r="B1849" s="56" t="inlineStr">
        <is>
          <t>• Quy tắc công thức hai dòng (trung bình ÷ 2 × 0.8)</t>
        </is>
      </c>
      <c r="C1849" s="57" t="n"/>
      <c r="D1849" s="57" t="n"/>
      <c r="E1849" s="57" t="n"/>
    </row>
    <row r="1850" ht="30" customHeight="1">
      <c r="A1850" s="47" t="inlineStr">
        <is>
          <t>Trigger</t>
        </is>
      </c>
      <c r="B1850" s="56" t="inlineStr">
        <is>
          <t>• Chỉ xem/xuất không tự chạy xét.</t>
        </is>
      </c>
      <c r="C1850" s="57" t="n"/>
      <c r="D1850" s="57" t="n"/>
      <c r="E1850" s="57" t="n"/>
    </row>
    <row r="1851" ht="44" customHeight="1">
      <c r="A1851" s="47" t="inlineStr">
        <is>
          <t>Blocker</t>
        </is>
      </c>
      <c r="B1851" s="56" t="inlineStr">
        <is>
          <t>• G-PREP-UNASSESSED: Chưa có xác minh fixture, đường thực hiện và phép quan sát trên build của từng case chưa đánh giá.</t>
        </is>
      </c>
      <c r="C1851" s="57" t="n"/>
      <c r="D1851" s="57" t="n"/>
      <c r="E1851" s="57" t="n"/>
    </row>
    <row r="1852" ht="30" customHeight="1">
      <c r="A1852" s="58" t="inlineStr">
        <is>
          <t>Thao tác</t>
        </is>
      </c>
      <c r="B1852" s="59" t="n"/>
      <c r="C1852" s="59" t="n"/>
      <c r="D1852" s="59" t="n"/>
      <c r="E1852" s="59" t="n"/>
    </row>
    <row r="1853" ht="30" customHeight="1">
      <c r="A1853" s="47" t="inlineStr">
        <is>
          <t>Step 1</t>
        </is>
      </c>
      <c r="B1853" s="56" t="inlineStr">
        <is>
          <t>Cấu hình dòng 1 và dòng 2 như quy tắc công thức hai dòng (trung bình ÷ 2 × 0.8), lưu.</t>
        </is>
      </c>
      <c r="C1853" s="57" t="n"/>
      <c r="D1853" s="57" t="n"/>
      <c r="E1853" s="57" t="n"/>
    </row>
    <row r="1854" ht="30" customHeight="1">
      <c r="A1854" s="47" t="inlineStr">
        <is>
          <t>Step 2</t>
        </is>
      </c>
      <c r="B1854" s="56" t="inlineStr">
        <is>
          <t>Mở lại; bấm Thêm công thức（計算式を追加） để có dòng 3, rồi xóa dòng 3, lưu.</t>
        </is>
      </c>
      <c r="C1854" s="57" t="n"/>
      <c r="D1854" s="57" t="n"/>
      <c r="E1854" s="57" t="n"/>
    </row>
    <row r="1855" ht="30" customHeight="1">
      <c r="A1855" s="47" t="inlineStr">
        <is>
          <t>Step 3</t>
        </is>
      </c>
      <c r="B1855" s="56" t="inlineStr">
        <is>
          <t>Xem tóm tắt ở danh sách.</t>
        </is>
      </c>
      <c r="C1855" s="57" t="n"/>
      <c r="D1855" s="57" t="n"/>
      <c r="E1855" s="57" t="n"/>
    </row>
    <row r="1856" ht="44" customHeight="1">
      <c r="A1856" s="47" t="inlineStr">
        <is>
          <t>Reset</t>
        </is>
      </c>
      <c r="B1856" s="56" t="inlineStr">
        <is>
          <t>Trước mỗi biến thể, dựng lại điều kiện/dữ liệu đầu của case bằng đường được phép; giữ các reset/fixture độc lập đã nêu trong thủ tục.</t>
        </is>
      </c>
      <c r="C1856" s="57" t="n"/>
      <c r="D1856" s="57" t="n"/>
      <c r="E1856" s="57" t="n"/>
    </row>
    <row r="1857" ht="30" customHeight="1">
      <c r="A1857" s="58" t="inlineStr">
        <is>
          <t>Kết quả mong đợi</t>
        </is>
      </c>
      <c r="B1857" s="59" t="n"/>
      <c r="C1857" s="59" t="n"/>
      <c r="D1857" s="59" t="n"/>
      <c r="E1857" s="59" t="n"/>
    </row>
    <row r="1858" ht="44" customHeight="1">
      <c r="A1858" s="47" t="inlineStr">
        <is>
          <t>1.</t>
        </is>
      </c>
      <c r="B1858" s="56" t="inlineStr">
        <is>
          <t>Lưu được 2 dòng; mở lại giữ vế trái, phép toán, vế phải và xử lý phần lẻ từng dòng (chi tiết form là PROPOSED theo thiết kế).</t>
        </is>
      </c>
      <c r="C1858" s="57" t="n"/>
      <c r="D1858" s="57" t="n"/>
      <c r="E1858" s="57" t="n"/>
    </row>
    <row r="1859" ht="44" customHeight="1">
      <c r="A1859" s="47" t="inlineStr">
        <is>
          <t>2.</t>
        </is>
      </c>
      <c r="B1859" s="56" t="inlineStr">
        <is>
          <t>Danh sách tóm tắt đủ các dòng và dấu so sánh (PROPOSED; không dùng làm oracle nghiệp vụ nếu đặc tả chưa chốt bố cục tóm tắt).</t>
        </is>
      </c>
      <c r="C1859" s="57" t="n"/>
      <c r="D1859" s="57" t="n"/>
      <c r="E1859" s="57" t="n"/>
    </row>
    <row r="1860" ht="44" customHeight="1">
      <c r="A1860" s="47" t="inlineStr">
        <is>
          <t>3.</t>
        </is>
      </c>
      <c r="B1860" s="56" t="inlineStr">
        <is>
          <t>Khi xét, [T] = kết quả dòng cuối; phép tính và xử lý phần lẻ phải tuân theo AC-G16 và case “Công thức hai dòng theo Figma: (A÷2)×0.8, dòng 1 làm tròn xuống”.</t>
        </is>
      </c>
      <c r="C1860" s="57" t="n"/>
      <c r="D1860" s="57" t="n"/>
      <c r="E1860" s="57" t="n"/>
    </row>
    <row r="1861" ht="44" customHeight="1">
      <c r="A1861" s="47" t="inlineStr">
        <is>
          <t>Giữ nguyên</t>
        </is>
      </c>
      <c r="B1861" s="56" t="inlineStr">
        <is>
          <t>• Giữ điểm, cấu hình và đối tượng không đích theo expected;
• Chỉ thay phần thủ tục yêu cầu, không tự đổi oracle hoặc mở rộng phạm vi.</t>
        </is>
      </c>
      <c r="C1861" s="57" t="n"/>
      <c r="D1861" s="57" t="n"/>
      <c r="E1861" s="57" t="n"/>
    </row>
    <row r="1862" ht="61" customHeight="1">
      <c r="A1862" s="47" t="inlineStr">
        <is>
          <t>Quan sát tại</t>
        </is>
      </c>
      <c r="B1862" s="56" t="inlineStr">
        <is>
          <t>• Dùng trích xuất không lọc để thấy cả ô đối chứng. Trạng thái không có dấu đỏ cần đọc thêm trạng thái lưu;
• Output Excel/PDF dùng file thật.</t>
        </is>
      </c>
      <c r="C1862" s="57" t="n"/>
      <c r="D1862" s="57" t="n"/>
      <c r="E1862" s="57" t="n"/>
    </row>
    <row r="1863" ht="30" customHeight="1">
      <c r="A1863" s="58" t="inlineStr">
        <is>
          <t>Kết quả thực tế</t>
        </is>
      </c>
      <c r="B1863" s="59" t="n"/>
      <c r="C1863" s="59" t="n"/>
      <c r="D1863" s="59" t="n"/>
      <c r="E1863" s="59" t="n"/>
    </row>
    <row r="1864" ht="30" customHeight="1">
      <c r="A1864" s="47" t="inlineStr">
        <is>
          <t>Dữ liệu biến thể</t>
        </is>
      </c>
      <c r="B1864" s="56" t="inlineStr">
        <is>
          <t>Toàn bộ thủ tục theo đúng thứ tự; các đối chứng cùng fixture được kiểm trong cùng lượt, không bỏ bước</t>
        </is>
      </c>
      <c r="C1864" s="57" t="n"/>
      <c r="D1864" s="57" t="n"/>
      <c r="E1864" s="57" t="n"/>
    </row>
    <row r="1865" ht="30" customHeight="1">
      <c r="A1865" s="62" t="inlineStr">
        <is>
          <t>Kết quả thực tế</t>
        </is>
      </c>
    </row>
    <row r="1866" ht="64" customHeight="1">
      <c r="A1866" s="63" t="inlineStr"/>
      <c r="B1866" s="64" t="n"/>
      <c r="C1866" s="64" t="n"/>
      <c r="D1866" s="64" t="n"/>
      <c r="E1866" s="65" t="n"/>
    </row>
    <row r="1867" ht="30" customHeight="1">
      <c r="A1867" s="62" t="inlineStr">
        <is>
          <t>Ảnh minh chứng</t>
        </is>
      </c>
    </row>
    <row r="1868" ht="90" customHeight="1">
      <c r="A1868" s="63" t="inlineStr"/>
      <c r="B1868" s="64" t="n"/>
      <c r="C1868" s="64" t="n"/>
      <c r="D1868" s="64" t="n"/>
      <c r="E1868" s="65" t="n"/>
    </row>
    <row r="1869" ht="12" customHeight="1">
      <c r="A1869" s="66" t="inlineStr"/>
    </row>
    <row r="1870" ht="20" customHeight="1">
      <c r="A1870" s="66" t="inlineStr"/>
    </row>
    <row r="1871" ht="30" customHeight="1">
      <c r="A1871" s="46" t="inlineStr">
        <is>
          <t>TC-RS-VAL-008 — Công thức phải có ít nhất một dòng</t>
        </is>
      </c>
      <c r="B1871" s="23" t="n"/>
      <c r="C1871" s="23" t="n"/>
      <c r="D1871" s="23" t="n"/>
      <c r="E1871" s="23" t="n"/>
    </row>
    <row r="1872" ht="30" customHeight="1">
      <c r="A1872" s="47" t="inlineStr">
        <is>
          <t>Trạng thái</t>
        </is>
      </c>
      <c r="B1872" s="61" t="inlineStr">
        <is>
          <t>Chưa thực hiện</t>
        </is>
      </c>
      <c r="C1872" s="57" t="n"/>
      <c r="D1872" s="57" t="n"/>
      <c r="E1872" s="57" t="n"/>
    </row>
    <row r="1873" ht="30" customHeight="1">
      <c r="A1873" s="47" t="inlineStr">
        <is>
          <t>Màn hình / chức năng</t>
        </is>
      </c>
      <c r="B1873" s="47" t="inlineStr">
        <is>
          <t>Thiết lập ngưỡng（基準設定）</t>
        </is>
      </c>
      <c r="C1873" s="57" t="n"/>
      <c r="D1873" s="47" t="inlineStr">
        <is>
          <t>Đường dẫn</t>
        </is>
      </c>
      <c r="E1873" s="56" t="inlineStr">
        <is>
          <t>Chưa xác minh</t>
        </is>
      </c>
    </row>
    <row r="1874" ht="30" customHeight="1">
      <c r="A1874" s="58" t="inlineStr">
        <is>
          <t>Điều kiện kiểm thử</t>
        </is>
      </c>
      <c r="B1874" s="59" t="n"/>
      <c r="C1874" s="59" t="n"/>
      <c r="D1874" s="59" t="n"/>
      <c r="E1874" s="59" t="n"/>
    </row>
    <row r="1875" ht="30" customHeight="1">
      <c r="A1875" s="47" t="inlineStr">
        <is>
          <t>Cấu hình</t>
        </is>
      </c>
      <c r="B1875" s="56" t="inlineStr">
        <is>
          <t>• Loại Công thức tính（計算式）.</t>
        </is>
      </c>
      <c r="C1875" s="57" t="n"/>
      <c r="D1875" s="57" t="n"/>
      <c r="E1875" s="57" t="n"/>
    </row>
    <row r="1876" ht="61" customHeight="1">
      <c r="A1876" s="47" t="inlineStr">
        <is>
          <t>Vai trò / quyền</t>
        </is>
      </c>
      <c r="B187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876" s="57" t="n"/>
      <c r="D1876" s="57" t="n"/>
      <c r="E1876" s="57" t="n"/>
    </row>
    <row r="1877" ht="30" customHeight="1">
      <c r="A1877" s="47" t="inlineStr">
        <is>
          <t>Dữ liệu test</t>
        </is>
      </c>
      <c r="B1877" s="56" t="inlineStr">
        <is>
          <t>• —</t>
        </is>
      </c>
      <c r="C1877" s="57" t="n"/>
      <c r="D1877" s="57" t="n"/>
      <c r="E1877" s="57" t="n"/>
    </row>
    <row r="1878" ht="30" customHeight="1">
      <c r="A1878" s="47" t="inlineStr">
        <is>
          <t>Trigger</t>
        </is>
      </c>
      <c r="B1878" s="56" t="inlineStr">
        <is>
          <t>• Chỉ xem/xuất không tự chạy xét.</t>
        </is>
      </c>
      <c r="C1878" s="57" t="n"/>
      <c r="D1878" s="57" t="n"/>
      <c r="E1878" s="57" t="n"/>
    </row>
    <row r="1879" ht="44" customHeight="1">
      <c r="A1879" s="47" t="inlineStr">
        <is>
          <t>Blocker</t>
        </is>
      </c>
      <c r="B1879" s="56" t="inlineStr">
        <is>
          <t>• G-PREP-UNASSESSED: Chưa có xác minh fixture, đường thực hiện và phép quan sát trên build của từng case chưa đánh giá.</t>
        </is>
      </c>
      <c r="C1879" s="57" t="n"/>
      <c r="D1879" s="57" t="n"/>
      <c r="E1879" s="57" t="n"/>
    </row>
    <row r="1880" ht="30" customHeight="1">
      <c r="A1880" s="58" t="inlineStr">
        <is>
          <t>Thao tác</t>
        </is>
      </c>
      <c r="B1880" s="59" t="n"/>
      <c r="C1880" s="59" t="n"/>
      <c r="D1880" s="59" t="n"/>
      <c r="E1880" s="59" t="n"/>
    </row>
    <row r="1881" ht="30" customHeight="1">
      <c r="A1881" s="47" t="inlineStr">
        <is>
          <t>•</t>
        </is>
      </c>
      <c r="B1881" s="56" t="inlineStr">
        <is>
          <t>Xóa hết các dòng công thức (nếu UI cho phép), bấm Lưu.</t>
        </is>
      </c>
      <c r="C1881" s="57" t="n"/>
      <c r="D1881" s="57" t="n"/>
      <c r="E1881" s="57" t="n"/>
    </row>
    <row r="1882" ht="44" customHeight="1">
      <c r="A1882" s="47" t="inlineStr">
        <is>
          <t>Reset</t>
        </is>
      </c>
      <c r="B1882" s="56" t="inlineStr">
        <is>
          <t>Trước mỗi biến thể, dựng lại điều kiện/dữ liệu đầu của case bằng đường được phép; giữ các reset/fixture độc lập đã nêu trong thủ tục.</t>
        </is>
      </c>
      <c r="C1882" s="57" t="n"/>
      <c r="D1882" s="57" t="n"/>
      <c r="E1882" s="57" t="n"/>
    </row>
    <row r="1883" ht="30" customHeight="1">
      <c r="A1883" s="58" t="inlineStr">
        <is>
          <t>Kết quả mong đợi</t>
        </is>
      </c>
      <c r="B1883" s="59" t="n"/>
      <c r="C1883" s="59" t="n"/>
      <c r="D1883" s="59" t="n"/>
      <c r="E1883" s="59" t="n"/>
    </row>
    <row r="1884" ht="30" customHeight="1">
      <c r="A1884" s="47" t="inlineStr">
        <is>
          <t>•</t>
        </is>
      </c>
      <c r="B1884" s="56" t="inlineStr">
        <is>
          <t>Không lưu được (hoặc UI không cho xóa dòng cuối).</t>
        </is>
      </c>
      <c r="C1884" s="57" t="n"/>
      <c r="D1884" s="57" t="n"/>
      <c r="E1884" s="57" t="n"/>
    </row>
    <row r="1885" ht="44" customHeight="1">
      <c r="A1885" s="47" t="inlineStr">
        <is>
          <t>Giữ nguyên</t>
        </is>
      </c>
      <c r="B1885" s="56" t="inlineStr">
        <is>
          <t>• Giữ điểm, cấu hình và đối tượng không đích theo expected;
• Chỉ thay phần thủ tục yêu cầu, không tự đổi oracle hoặc mở rộng phạm vi.</t>
        </is>
      </c>
      <c r="C1885" s="57" t="n"/>
      <c r="D1885" s="57" t="n"/>
      <c r="E1885" s="57" t="n"/>
    </row>
    <row r="1886" ht="61" customHeight="1">
      <c r="A1886" s="47" t="inlineStr">
        <is>
          <t>Quan sát tại</t>
        </is>
      </c>
      <c r="B1886" s="56" t="inlineStr">
        <is>
          <t>• Dùng trích xuất không lọc để thấy cả ô đối chứng. Trạng thái không có dấu đỏ cần đọc thêm trạng thái lưu;
• Output Excel/PDF dùng file thật.</t>
        </is>
      </c>
      <c r="C1886" s="57" t="n"/>
      <c r="D1886" s="57" t="n"/>
      <c r="E1886" s="57" t="n"/>
    </row>
    <row r="1887" ht="30" customHeight="1">
      <c r="A1887" s="58" t="inlineStr">
        <is>
          <t>Kết quả thực tế</t>
        </is>
      </c>
      <c r="B1887" s="59" t="n"/>
      <c r="C1887" s="59" t="n"/>
      <c r="D1887" s="59" t="n"/>
      <c r="E1887" s="59" t="n"/>
    </row>
    <row r="1888" ht="30" customHeight="1">
      <c r="A1888" s="47" t="inlineStr">
        <is>
          <t>Dữ liệu biến thể</t>
        </is>
      </c>
      <c r="B1888" s="56" t="inlineStr">
        <is>
          <t>Toàn bộ thủ tục theo đúng thứ tự; các đối chứng cùng fixture được kiểm trong cùng lượt, không bỏ bước</t>
        </is>
      </c>
      <c r="C1888" s="57" t="n"/>
      <c r="D1888" s="57" t="n"/>
      <c r="E1888" s="57" t="n"/>
    </row>
    <row r="1889" ht="30" customHeight="1">
      <c r="A1889" s="62" t="inlineStr">
        <is>
          <t>Kết quả thực tế</t>
        </is>
      </c>
    </row>
    <row r="1890" ht="64" customHeight="1">
      <c r="A1890" s="63" t="inlineStr"/>
      <c r="B1890" s="64" t="n"/>
      <c r="C1890" s="64" t="n"/>
      <c r="D1890" s="64" t="n"/>
      <c r="E1890" s="65" t="n"/>
    </row>
    <row r="1891" ht="30" customHeight="1">
      <c r="A1891" s="62" t="inlineStr">
        <is>
          <t>Ảnh minh chứng</t>
        </is>
      </c>
    </row>
    <row r="1892" ht="90" customHeight="1">
      <c r="A1892" s="63" t="inlineStr"/>
      <c r="B1892" s="64" t="n"/>
      <c r="C1892" s="64" t="n"/>
      <c r="D1892" s="64" t="n"/>
      <c r="E1892" s="65" t="n"/>
    </row>
    <row r="1893" ht="12" customHeight="1">
      <c r="A1893" s="66" t="inlineStr"/>
    </row>
    <row r="1894" ht="20" customHeight="1">
      <c r="A1894" s="66" t="inlineStr"/>
    </row>
    <row r="1895" ht="30" customHeight="1">
      <c r="A1895" s="46" t="inlineStr">
        <is>
          <t>TC-RS-VAL-009 — Chia cho số cố định 0 không lưu được</t>
        </is>
      </c>
      <c r="B1895" s="23" t="n"/>
      <c r="C1895" s="23" t="n"/>
      <c r="D1895" s="23" t="n"/>
      <c r="E1895" s="23" t="n"/>
    </row>
    <row r="1896" ht="30" customHeight="1">
      <c r="A1896" s="47" t="inlineStr">
        <is>
          <t>Trạng thái</t>
        </is>
      </c>
      <c r="B1896" s="56">
        <f>IF(0&gt;0,"Không đạt",IF(0=2,"Đạt",IF(SUMPRODUCT(--EXACT('Testcases'!B1914:B1922,"Không thực hiện"))=2,"Không thực hiện",IF(SUMPRODUCT(--EXACT('Testcases'!B1914:B1922,"Bị chặn"))&gt;0,"Bị chặn",IF(SUMPRODUCT(--EXACT('Testcases'!B1914:B1922,"Chưa thực hiện"))=2,"Chưa thực hiện","Chưa đủ kết luận")))))</f>
        <v/>
      </c>
      <c r="C1896" s="57" t="n"/>
      <c r="D1896" s="57" t="n"/>
      <c r="E1896" s="57" t="n"/>
    </row>
    <row r="1897" ht="30" customHeight="1">
      <c r="A1897" s="47" t="inlineStr">
        <is>
          <t>Màn hình / chức năng</t>
        </is>
      </c>
      <c r="B1897" s="47" t="inlineStr">
        <is>
          <t>Thiết lập ngưỡng（基準設定）</t>
        </is>
      </c>
      <c r="C1897" s="57" t="n"/>
      <c r="D1897" s="47" t="inlineStr">
        <is>
          <t>Đường dẫn</t>
        </is>
      </c>
      <c r="E1897" s="56" t="inlineStr">
        <is>
          <t>Chưa xác minh</t>
        </is>
      </c>
    </row>
    <row r="1898" ht="30" customHeight="1">
      <c r="A1898" s="58" t="inlineStr">
        <is>
          <t>Điều kiện kiểm thử</t>
        </is>
      </c>
      <c r="B1898" s="59" t="n"/>
      <c r="C1898" s="59" t="n"/>
      <c r="D1898" s="59" t="n"/>
      <c r="E1898" s="59" t="n"/>
    </row>
    <row r="1899" ht="30" customHeight="1">
      <c r="A1899" s="47" t="inlineStr">
        <is>
          <t>Cấu hình</t>
        </is>
      </c>
      <c r="B1899" s="56" t="inlineStr">
        <is>
          <t>• Loại Công thức tính（計算式）.</t>
        </is>
      </c>
      <c r="C1899" s="57" t="n"/>
      <c r="D1899" s="57" t="n"/>
      <c r="E1899" s="57" t="n"/>
    </row>
    <row r="1900" ht="61" customHeight="1">
      <c r="A1900" s="47" t="inlineStr">
        <is>
          <t>Vai trò / quyền</t>
        </is>
      </c>
      <c r="B190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900" s="57" t="n"/>
      <c r="D1900" s="57" t="n"/>
      <c r="E1900" s="57" t="n"/>
    </row>
    <row r="1901" ht="44" customHeight="1">
      <c r="A1901" s="47" t="inlineStr">
        <is>
          <t>Dữ liệu test</t>
        </is>
      </c>
      <c r="B1901" s="56" t="inlineStr">
        <is>
          <t>• Dòng 1: Trung bình（平均点）÷ Số cố định（固定値）0;
• Biến thể 0.0</t>
        </is>
      </c>
      <c r="C1901" s="57" t="n"/>
      <c r="D1901" s="57" t="n"/>
      <c r="E1901" s="57" t="n"/>
    </row>
    <row r="1902" ht="30" customHeight="1">
      <c r="A1902" s="47" t="inlineStr">
        <is>
          <t>Trigger</t>
        </is>
      </c>
      <c r="B1902" s="56" t="inlineStr">
        <is>
          <t>• Chỉ xem/xuất không tự chạy xét.</t>
        </is>
      </c>
      <c r="C1902" s="57" t="n"/>
      <c r="D1902" s="57" t="n"/>
      <c r="E1902" s="57" t="n"/>
    </row>
    <row r="1903" ht="44" customHeight="1">
      <c r="A1903" s="47" t="inlineStr">
        <is>
          <t>Blocker</t>
        </is>
      </c>
      <c r="B1903" s="56" t="inlineStr">
        <is>
          <t>• G-PREP-UNASSESSED: Chưa có xác minh fixture, đường thực hiện và phép quan sát trên build của từng case chưa đánh giá.</t>
        </is>
      </c>
      <c r="C1903" s="57" t="n"/>
      <c r="D1903" s="57" t="n"/>
      <c r="E1903" s="57" t="n"/>
    </row>
    <row r="1904" ht="30" customHeight="1">
      <c r="A1904" s="58" t="inlineStr">
        <is>
          <t>Thao tác</t>
        </is>
      </c>
      <c r="B1904" s="59" t="n"/>
      <c r="C1904" s="59" t="n"/>
      <c r="D1904" s="59" t="n"/>
      <c r="E1904" s="59" t="n"/>
    </row>
    <row r="1905" ht="30" customHeight="1">
      <c r="A1905" s="47" t="inlineStr">
        <is>
          <t>•</t>
        </is>
      </c>
      <c r="B1905" s="56" t="inlineStr">
        <is>
          <t>Nhập công thức, Lưu.</t>
        </is>
      </c>
      <c r="C1905" s="57" t="n"/>
      <c r="D1905" s="57" t="n"/>
      <c r="E1905" s="57" t="n"/>
    </row>
    <row r="1906" ht="44" customHeight="1">
      <c r="A1906" s="47" t="inlineStr">
        <is>
          <t>Reset</t>
        </is>
      </c>
      <c r="B1906" s="56" t="inlineStr">
        <is>
          <t>Trước mỗi biến thể, dựng lại điều kiện/dữ liệu đầu của case bằng đường được phép; giữ các reset/fixture độc lập đã nêu trong thủ tục.</t>
        </is>
      </c>
      <c r="C1906" s="57" t="n"/>
      <c r="D1906" s="57" t="n"/>
      <c r="E1906" s="57" t="n"/>
    </row>
    <row r="1907" ht="30" customHeight="1">
      <c r="A1907" s="58" t="inlineStr">
        <is>
          <t>Kết quả mong đợi</t>
        </is>
      </c>
      <c r="B1907" s="59" t="n"/>
      <c r="C1907" s="59" t="n"/>
      <c r="D1907" s="59" t="n"/>
      <c r="E1907" s="59" t="n"/>
    </row>
    <row r="1908" ht="30" customHeight="1">
      <c r="A1908" s="47" t="inlineStr">
        <is>
          <t>•</t>
        </is>
      </c>
      <c r="B1908" s="56" t="inlineStr">
        <is>
          <t>Không lưu được; lỗi chỉ rõ dòng/vế phải.</t>
        </is>
      </c>
      <c r="C1908" s="57" t="n"/>
      <c r="D1908" s="57" t="n"/>
      <c r="E1908" s="57" t="n"/>
    </row>
    <row r="1909" ht="44" customHeight="1">
      <c r="A1909" s="47" t="inlineStr">
        <is>
          <t>Giữ nguyên</t>
        </is>
      </c>
      <c r="B1909" s="56" t="inlineStr">
        <is>
          <t>• Giữ điểm, cấu hình và đối tượng không đích theo expected;
• Chỉ thay phần thủ tục yêu cầu, không tự đổi oracle hoặc mở rộng phạm vi.</t>
        </is>
      </c>
      <c r="C1909" s="57" t="n"/>
      <c r="D1909" s="57" t="n"/>
      <c r="E1909" s="57" t="n"/>
    </row>
    <row r="1910" ht="61" customHeight="1">
      <c r="A1910" s="47" t="inlineStr">
        <is>
          <t>Quan sát tại</t>
        </is>
      </c>
      <c r="B1910" s="56" t="inlineStr">
        <is>
          <t>• Dùng trích xuất không lọc để thấy cả ô đối chứng. Trạng thái không có dấu đỏ cần đọc thêm trạng thái lưu;
• Output Excel/PDF dùng file thật.</t>
        </is>
      </c>
      <c r="C1910" s="57" t="n"/>
      <c r="D1910" s="57" t="n"/>
      <c r="E1910" s="57" t="n"/>
    </row>
    <row r="1911" ht="30" customHeight="1">
      <c r="A1911" s="58" t="inlineStr">
        <is>
          <t>Kết quả thực tế</t>
        </is>
      </c>
      <c r="B1911" s="59" t="n"/>
      <c r="C1911" s="59" t="n"/>
      <c r="D1911" s="59" t="n"/>
      <c r="E1911" s="59" t="n"/>
    </row>
    <row r="1912" ht="30" customHeight="1">
      <c r="A1912" s="60" t="inlineStr">
        <is>
          <t>TC-RS-VAL-009 / zero</t>
        </is>
      </c>
      <c r="B1912" s="36" t="n"/>
      <c r="C1912" s="36" t="n"/>
      <c r="D1912" s="36" t="n"/>
      <c r="E1912" s="36" t="n"/>
    </row>
    <row r="1913" ht="30" customHeight="1">
      <c r="A1913" s="47" t="inlineStr">
        <is>
          <t>Dữ liệu biến thể</t>
        </is>
      </c>
      <c r="B1913" s="56" t="inlineStr">
        <is>
          <t>Chia 0</t>
        </is>
      </c>
      <c r="C1913" s="57" t="n"/>
      <c r="D1913" s="57" t="n"/>
      <c r="E1913" s="57" t="n"/>
    </row>
    <row r="1914" ht="30" customHeight="1">
      <c r="A1914" s="47" t="inlineStr">
        <is>
          <t>Trạng thái</t>
        </is>
      </c>
      <c r="B1914" s="61" t="inlineStr">
        <is>
          <t>Chưa thực hiện</t>
        </is>
      </c>
      <c r="C1914" s="57" t="n"/>
      <c r="D1914" s="57" t="n"/>
      <c r="E1914" s="57" t="n"/>
    </row>
    <row r="1915" ht="30" customHeight="1">
      <c r="A1915" s="62" t="inlineStr">
        <is>
          <t>Kết quả thực tế</t>
        </is>
      </c>
    </row>
    <row r="1916" ht="64" customHeight="1">
      <c r="A1916" s="63" t="inlineStr"/>
      <c r="B1916" s="64" t="n"/>
      <c r="C1916" s="64" t="n"/>
      <c r="D1916" s="64" t="n"/>
      <c r="E1916" s="65" t="n"/>
    </row>
    <row r="1917" ht="30" customHeight="1">
      <c r="A1917" s="62" t="inlineStr">
        <is>
          <t>Ảnh minh chứng</t>
        </is>
      </c>
    </row>
    <row r="1918" ht="90" customHeight="1">
      <c r="A1918" s="63" t="inlineStr"/>
      <c r="B1918" s="64" t="n"/>
      <c r="C1918" s="64" t="n"/>
      <c r="D1918" s="64" t="n"/>
      <c r="E1918" s="65" t="n"/>
    </row>
    <row r="1919" ht="12" customHeight="1">
      <c r="A1919" s="66" t="inlineStr"/>
    </row>
    <row r="1920" ht="30" customHeight="1">
      <c r="A1920" s="60" t="inlineStr">
        <is>
          <t>TC-RS-VAL-009 / decimal-zero</t>
        </is>
      </c>
      <c r="B1920" s="36" t="n"/>
      <c r="C1920" s="36" t="n"/>
      <c r="D1920" s="36" t="n"/>
      <c r="E1920" s="36" t="n"/>
    </row>
    <row r="1921" ht="30" customHeight="1">
      <c r="A1921" s="47" t="inlineStr">
        <is>
          <t>Dữ liệu biến thể</t>
        </is>
      </c>
      <c r="B1921" s="56" t="inlineStr">
        <is>
          <t>Chia 0.0</t>
        </is>
      </c>
      <c r="C1921" s="57" t="n"/>
      <c r="D1921" s="57" t="n"/>
      <c r="E1921" s="57" t="n"/>
    </row>
    <row r="1922" ht="30" customHeight="1">
      <c r="A1922" s="47" t="inlineStr">
        <is>
          <t>Trạng thái</t>
        </is>
      </c>
      <c r="B1922" s="61" t="inlineStr">
        <is>
          <t>Chưa thực hiện</t>
        </is>
      </c>
      <c r="C1922" s="57" t="n"/>
      <c r="D1922" s="57" t="n"/>
      <c r="E1922" s="57" t="n"/>
    </row>
    <row r="1923" ht="30" customHeight="1">
      <c r="A1923" s="62" t="inlineStr">
        <is>
          <t>Kết quả thực tế</t>
        </is>
      </c>
    </row>
    <row r="1924" ht="64" customHeight="1">
      <c r="A1924" s="63" t="inlineStr"/>
      <c r="B1924" s="64" t="n"/>
      <c r="C1924" s="64" t="n"/>
      <c r="D1924" s="64" t="n"/>
      <c r="E1924" s="65" t="n"/>
    </row>
    <row r="1925" ht="30" customHeight="1">
      <c r="A1925" s="62" t="inlineStr">
        <is>
          <t>Ảnh minh chứng</t>
        </is>
      </c>
    </row>
    <row r="1926" ht="90" customHeight="1">
      <c r="A1926" s="63" t="inlineStr"/>
      <c r="B1926" s="64" t="n"/>
      <c r="C1926" s="64" t="n"/>
      <c r="D1926" s="64" t="n"/>
      <c r="E1926" s="65" t="n"/>
    </row>
    <row r="1927" ht="12" customHeight="1">
      <c r="A1927" s="66" t="inlineStr"/>
    </row>
    <row r="1928" ht="20" customHeight="1">
      <c r="A1928" s="66" t="inlineStr"/>
    </row>
    <row r="1929" ht="30" customHeight="1">
      <c r="A1929" s="46" t="inlineStr">
        <is>
          <t>TC-RS-VAL-010 — Toán hạng trống hoặc không phải số</t>
        </is>
      </c>
      <c r="B1929" s="23" t="n"/>
      <c r="C1929" s="23" t="n"/>
      <c r="D1929" s="23" t="n"/>
      <c r="E1929" s="23" t="n"/>
    </row>
    <row r="1930" ht="30" customHeight="1">
      <c r="A1930" s="47" t="inlineStr">
        <is>
          <t>Trạng thái</t>
        </is>
      </c>
      <c r="B1930" s="56">
        <f>IF(0&gt;0,"Không đạt",IF(0=3,"Đạt",IF(SUMPRODUCT(--EXACT('Testcases'!B1948:B1964,"Không thực hiện"))=3,"Không thực hiện",IF(SUMPRODUCT(--EXACT('Testcases'!B1948:B1964,"Bị chặn"))&gt;0,"Bị chặn",IF(SUMPRODUCT(--EXACT('Testcases'!B1948:B1964,"Chưa thực hiện"))=3,"Chưa thực hiện","Chưa đủ kết luận")))))</f>
        <v/>
      </c>
      <c r="C1930" s="57" t="n"/>
      <c r="D1930" s="57" t="n"/>
      <c r="E1930" s="57" t="n"/>
    </row>
    <row r="1931" ht="30" customHeight="1">
      <c r="A1931" s="47" t="inlineStr">
        <is>
          <t>Màn hình / chức năng</t>
        </is>
      </c>
      <c r="B1931" s="47" t="inlineStr">
        <is>
          <t>Thiết lập ngưỡng（基準設定）</t>
        </is>
      </c>
      <c r="C1931" s="57" t="n"/>
      <c r="D1931" s="47" t="inlineStr">
        <is>
          <t>Đường dẫn</t>
        </is>
      </c>
      <c r="E1931" s="56" t="inlineStr">
        <is>
          <t>Chưa xác minh</t>
        </is>
      </c>
    </row>
    <row r="1932" ht="30" customHeight="1">
      <c r="A1932" s="58" t="inlineStr">
        <is>
          <t>Điều kiện kiểm thử</t>
        </is>
      </c>
      <c r="B1932" s="59" t="n"/>
      <c r="C1932" s="59" t="n"/>
      <c r="D1932" s="59" t="n"/>
      <c r="E1932" s="59" t="n"/>
    </row>
    <row r="1933" ht="30" customHeight="1">
      <c r="A1933" s="47" t="inlineStr">
        <is>
          <t>Cấu hình</t>
        </is>
      </c>
      <c r="B1933" s="56" t="inlineStr">
        <is>
          <t>• Loại Công thức tính（計算式）.</t>
        </is>
      </c>
      <c r="C1933" s="57" t="n"/>
      <c r="D1933" s="57" t="n"/>
      <c r="E1933" s="57" t="n"/>
    </row>
    <row r="1934" ht="61" customHeight="1">
      <c r="A1934" s="47" t="inlineStr">
        <is>
          <t>Vai trò / quyền</t>
        </is>
      </c>
      <c r="B193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934" s="57" t="n"/>
      <c r="D1934" s="57" t="n"/>
      <c r="E1934" s="57" t="n"/>
    </row>
    <row r="1935" ht="44" customHeight="1">
      <c r="A1935" s="47" t="inlineStr">
        <is>
          <t>Dữ liệu test</t>
        </is>
      </c>
      <c r="B1935" s="56" t="inlineStr">
        <is>
          <t>• Vế phải Số cố định（固定値）: trống, [abc];
• Toán tử: chưa chọn</t>
        </is>
      </c>
      <c r="C1935" s="57" t="n"/>
      <c r="D1935" s="57" t="n"/>
      <c r="E1935" s="57" t="n"/>
    </row>
    <row r="1936" ht="30" customHeight="1">
      <c r="A1936" s="47" t="inlineStr">
        <is>
          <t>Trigger</t>
        </is>
      </c>
      <c r="B1936" s="56" t="inlineStr">
        <is>
          <t>• Chỉ xem/xuất không tự chạy xét.</t>
        </is>
      </c>
      <c r="C1936" s="57" t="n"/>
      <c r="D1936" s="57" t="n"/>
      <c r="E1936" s="57" t="n"/>
    </row>
    <row r="1937" ht="44" customHeight="1">
      <c r="A1937" s="47" t="inlineStr">
        <is>
          <t>Blocker</t>
        </is>
      </c>
      <c r="B1937" s="56" t="inlineStr">
        <is>
          <t>• G-PREP-UNASSESSED: Chưa có xác minh fixture, đường thực hiện và phép quan sát trên build của từng case chưa đánh giá.</t>
        </is>
      </c>
      <c r="C1937" s="57" t="n"/>
      <c r="D1937" s="57" t="n"/>
      <c r="E1937" s="57" t="n"/>
    </row>
    <row r="1938" ht="30" customHeight="1">
      <c r="A1938" s="58" t="inlineStr">
        <is>
          <t>Thao tác</t>
        </is>
      </c>
      <c r="B1938" s="59" t="n"/>
      <c r="C1938" s="59" t="n"/>
      <c r="D1938" s="59" t="n"/>
      <c r="E1938" s="59" t="n"/>
    </row>
    <row r="1939" ht="30" customHeight="1">
      <c r="A1939" s="47" t="inlineStr">
        <is>
          <t>•</t>
        </is>
      </c>
      <c r="B1939" s="56" t="inlineStr">
        <is>
          <t>Nhập từng biến thể, Lưu.</t>
        </is>
      </c>
      <c r="C1939" s="57" t="n"/>
      <c r="D1939" s="57" t="n"/>
      <c r="E1939" s="57" t="n"/>
    </row>
    <row r="1940" ht="44" customHeight="1">
      <c r="A1940" s="47" t="inlineStr">
        <is>
          <t>Reset</t>
        </is>
      </c>
      <c r="B1940" s="56" t="inlineStr">
        <is>
          <t>Trước mỗi biến thể, dựng lại điều kiện/dữ liệu đầu của case bằng đường được phép; giữ các reset/fixture độc lập đã nêu trong thủ tục.</t>
        </is>
      </c>
      <c r="C1940" s="57" t="n"/>
      <c r="D1940" s="57" t="n"/>
      <c r="E1940" s="57" t="n"/>
    </row>
    <row r="1941" ht="30" customHeight="1">
      <c r="A1941" s="58" t="inlineStr">
        <is>
          <t>Kết quả mong đợi</t>
        </is>
      </c>
      <c r="B1941" s="59" t="n"/>
      <c r="C1941" s="59" t="n"/>
      <c r="D1941" s="59" t="n"/>
      <c r="E1941" s="59" t="n"/>
    </row>
    <row r="1942" ht="30" customHeight="1">
      <c r="A1942" s="47" t="inlineStr">
        <is>
          <t>•</t>
        </is>
      </c>
      <c r="B1942" s="56" t="inlineStr">
        <is>
          <t>Không lưu được; lỗi chỉ ra dòng thiếu.</t>
        </is>
      </c>
      <c r="C1942" s="57" t="n"/>
      <c r="D1942" s="57" t="n"/>
      <c r="E1942" s="57" t="n"/>
    </row>
    <row r="1943" ht="44" customHeight="1">
      <c r="A1943" s="47" t="inlineStr">
        <is>
          <t>Giữ nguyên</t>
        </is>
      </c>
      <c r="B1943" s="56" t="inlineStr">
        <is>
          <t>• Giữ điểm, cấu hình và đối tượng không đích theo expected;
• Chỉ thay phần thủ tục yêu cầu, không tự đổi oracle hoặc mở rộng phạm vi.</t>
        </is>
      </c>
      <c r="C1943" s="57" t="n"/>
      <c r="D1943" s="57" t="n"/>
      <c r="E1943" s="57" t="n"/>
    </row>
    <row r="1944" ht="61" customHeight="1">
      <c r="A1944" s="47" t="inlineStr">
        <is>
          <t>Quan sát tại</t>
        </is>
      </c>
      <c r="B1944" s="56" t="inlineStr">
        <is>
          <t>• Dùng trích xuất không lọc để thấy cả ô đối chứng. Trạng thái không có dấu đỏ cần đọc thêm trạng thái lưu;
• Output Excel/PDF dùng file thật.</t>
        </is>
      </c>
      <c r="C1944" s="57" t="n"/>
      <c r="D1944" s="57" t="n"/>
      <c r="E1944" s="57" t="n"/>
    </row>
    <row r="1945" ht="30" customHeight="1">
      <c r="A1945" s="58" t="inlineStr">
        <is>
          <t>Kết quả thực tế</t>
        </is>
      </c>
      <c r="B1945" s="59" t="n"/>
      <c r="C1945" s="59" t="n"/>
      <c r="D1945" s="59" t="n"/>
      <c r="E1945" s="59" t="n"/>
    </row>
    <row r="1946" ht="30" customHeight="1">
      <c r="A1946" s="60" t="inlineStr">
        <is>
          <t>TC-RS-VAL-010 / empty</t>
        </is>
      </c>
      <c r="B1946" s="36" t="n"/>
      <c r="C1946" s="36" t="n"/>
      <c r="D1946" s="36" t="n"/>
      <c r="E1946" s="36" t="n"/>
    </row>
    <row r="1947" ht="30" customHeight="1">
      <c r="A1947" s="47" t="inlineStr">
        <is>
          <t>Dữ liệu biến thể</t>
        </is>
      </c>
      <c r="B1947" s="56" t="inlineStr">
        <is>
          <t>Trống toán hạng</t>
        </is>
      </c>
      <c r="C1947" s="57" t="n"/>
      <c r="D1947" s="57" t="n"/>
      <c r="E1947" s="57" t="n"/>
    </row>
    <row r="1948" ht="30" customHeight="1">
      <c r="A1948" s="47" t="inlineStr">
        <is>
          <t>Trạng thái</t>
        </is>
      </c>
      <c r="B1948" s="61" t="inlineStr">
        <is>
          <t>Chưa thực hiện</t>
        </is>
      </c>
      <c r="C1948" s="57" t="n"/>
      <c r="D1948" s="57" t="n"/>
      <c r="E1948" s="57" t="n"/>
    </row>
    <row r="1949" ht="30" customHeight="1">
      <c r="A1949" s="62" t="inlineStr">
        <is>
          <t>Kết quả thực tế</t>
        </is>
      </c>
    </row>
    <row r="1950" ht="64" customHeight="1">
      <c r="A1950" s="63" t="inlineStr"/>
      <c r="B1950" s="64" t="n"/>
      <c r="C1950" s="64" t="n"/>
      <c r="D1950" s="64" t="n"/>
      <c r="E1950" s="65" t="n"/>
    </row>
    <row r="1951" ht="30" customHeight="1">
      <c r="A1951" s="62" t="inlineStr">
        <is>
          <t>Ảnh minh chứng</t>
        </is>
      </c>
    </row>
    <row r="1952" ht="90" customHeight="1">
      <c r="A1952" s="63" t="inlineStr"/>
      <c r="B1952" s="64" t="n"/>
      <c r="C1952" s="64" t="n"/>
      <c r="D1952" s="64" t="n"/>
      <c r="E1952" s="65" t="n"/>
    </row>
    <row r="1953" ht="12" customHeight="1">
      <c r="A1953" s="66" t="inlineStr"/>
    </row>
    <row r="1954" ht="30" customHeight="1">
      <c r="A1954" s="60" t="inlineStr">
        <is>
          <t>TC-RS-VAL-010 / text</t>
        </is>
      </c>
      <c r="B1954" s="36" t="n"/>
      <c r="C1954" s="36" t="n"/>
      <c r="D1954" s="36" t="n"/>
      <c r="E1954" s="36" t="n"/>
    </row>
    <row r="1955" ht="30" customHeight="1">
      <c r="A1955" s="47" t="inlineStr">
        <is>
          <t>Dữ liệu biến thể</t>
        </is>
      </c>
      <c r="B1955" s="56" t="inlineStr">
        <is>
          <t>Toán hạng không phải số</t>
        </is>
      </c>
      <c r="C1955" s="57" t="n"/>
      <c r="D1955" s="57" t="n"/>
      <c r="E1955" s="57" t="n"/>
    </row>
    <row r="1956" ht="30" customHeight="1">
      <c r="A1956" s="47" t="inlineStr">
        <is>
          <t>Trạng thái</t>
        </is>
      </c>
      <c r="B1956" s="61" t="inlineStr">
        <is>
          <t>Chưa thực hiện</t>
        </is>
      </c>
      <c r="C1956" s="57" t="n"/>
      <c r="D1956" s="57" t="n"/>
      <c r="E1956" s="57" t="n"/>
    </row>
    <row r="1957" ht="30" customHeight="1">
      <c r="A1957" s="62" t="inlineStr">
        <is>
          <t>Kết quả thực tế</t>
        </is>
      </c>
    </row>
    <row r="1958" ht="64" customHeight="1">
      <c r="A1958" s="63" t="inlineStr"/>
      <c r="B1958" s="64" t="n"/>
      <c r="C1958" s="64" t="n"/>
      <c r="D1958" s="64" t="n"/>
      <c r="E1958" s="65" t="n"/>
    </row>
    <row r="1959" ht="30" customHeight="1">
      <c r="A1959" s="62" t="inlineStr">
        <is>
          <t>Ảnh minh chứng</t>
        </is>
      </c>
    </row>
    <row r="1960" ht="90" customHeight="1">
      <c r="A1960" s="63" t="inlineStr"/>
      <c r="B1960" s="64" t="n"/>
      <c r="C1960" s="64" t="n"/>
      <c r="D1960" s="64" t="n"/>
      <c r="E1960" s="65" t="n"/>
    </row>
    <row r="1961" ht="12" customHeight="1">
      <c r="A1961" s="66" t="inlineStr"/>
    </row>
    <row r="1962" ht="30" customHeight="1">
      <c r="A1962" s="60" t="inlineStr">
        <is>
          <t>TC-RS-VAL-010 / operator</t>
        </is>
      </c>
      <c r="B1962" s="36" t="n"/>
      <c r="C1962" s="36" t="n"/>
      <c r="D1962" s="36" t="n"/>
      <c r="E1962" s="36" t="n"/>
    </row>
    <row r="1963" ht="30" customHeight="1">
      <c r="A1963" s="47" t="inlineStr">
        <is>
          <t>Dữ liệu biến thể</t>
        </is>
      </c>
      <c r="B1963" s="56" t="inlineStr">
        <is>
          <t>Thiếu phép toán</t>
        </is>
      </c>
      <c r="C1963" s="57" t="n"/>
      <c r="D1963" s="57" t="n"/>
      <c r="E1963" s="57" t="n"/>
    </row>
    <row r="1964" ht="30" customHeight="1">
      <c r="A1964" s="47" t="inlineStr">
        <is>
          <t>Trạng thái</t>
        </is>
      </c>
      <c r="B1964" s="61" t="inlineStr">
        <is>
          <t>Chưa thực hiện</t>
        </is>
      </c>
      <c r="C1964" s="57" t="n"/>
      <c r="D1964" s="57" t="n"/>
      <c r="E1964" s="57" t="n"/>
    </row>
    <row r="1965" ht="30" customHeight="1">
      <c r="A1965" s="62" t="inlineStr">
        <is>
          <t>Kết quả thực tế</t>
        </is>
      </c>
    </row>
    <row r="1966" ht="64" customHeight="1">
      <c r="A1966" s="63" t="inlineStr"/>
      <c r="B1966" s="64" t="n"/>
      <c r="C1966" s="64" t="n"/>
      <c r="D1966" s="64" t="n"/>
      <c r="E1966" s="65" t="n"/>
    </row>
    <row r="1967" ht="30" customHeight="1">
      <c r="A1967" s="62" t="inlineStr">
        <is>
          <t>Ảnh minh chứng</t>
        </is>
      </c>
    </row>
    <row r="1968" ht="90" customHeight="1">
      <c r="A1968" s="63" t="inlineStr"/>
      <c r="B1968" s="64" t="n"/>
      <c r="C1968" s="64" t="n"/>
      <c r="D1968" s="64" t="n"/>
      <c r="E1968" s="65" t="n"/>
    </row>
    <row r="1969" ht="12" customHeight="1">
      <c r="A1969" s="66" t="inlineStr"/>
    </row>
    <row r="1970" ht="20" customHeight="1">
      <c r="A1970" s="66" t="inlineStr"/>
    </row>
    <row r="1971" ht="30" customHeight="1">
      <c r="A1971" s="46" t="inlineStr">
        <is>
          <t>TC-RS-VAL-011 — Kết quả phép tính（式の結果） chỉ tham chiếu dòng phía trước</t>
        </is>
      </c>
      <c r="B1971" s="23" t="n"/>
      <c r="C1971" s="23" t="n"/>
      <c r="D1971" s="23" t="n"/>
      <c r="E1971" s="23" t="n"/>
    </row>
    <row r="1972" ht="30" customHeight="1">
      <c r="A1972" s="47" t="inlineStr">
        <is>
          <t>Trạng thái</t>
        </is>
      </c>
      <c r="B1972" s="56">
        <f>IF(0&gt;0,"Không đạt",IF(0=4,"Đạt",IF(SUMPRODUCT(--EXACT('Testcases'!B1991:B2015,"Không thực hiện"))=4,"Không thực hiện",IF(SUMPRODUCT(--EXACT('Testcases'!B1991:B2015,"Bị chặn"))&gt;0,"Bị chặn",IF(SUMPRODUCT(--EXACT('Testcases'!B1991:B2015,"Chưa thực hiện"))=4,"Chưa thực hiện","Chưa đủ kết luận")))))</f>
        <v/>
      </c>
      <c r="C1972" s="57" t="n"/>
      <c r="D1972" s="57" t="n"/>
      <c r="E1972" s="57" t="n"/>
    </row>
    <row r="1973" ht="30" customHeight="1">
      <c r="A1973" s="47" t="inlineStr">
        <is>
          <t>Màn hình / chức năng</t>
        </is>
      </c>
      <c r="B1973" s="47" t="inlineStr">
        <is>
          <t>Thiết lập ngưỡng（基準設定）</t>
        </is>
      </c>
      <c r="C1973" s="57" t="n"/>
      <c r="D1973" s="47" t="inlineStr">
        <is>
          <t>Đường dẫn</t>
        </is>
      </c>
      <c r="E1973" s="56" t="inlineStr">
        <is>
          <t>Chưa xác minh</t>
        </is>
      </c>
    </row>
    <row r="1974" ht="30" customHeight="1">
      <c r="A1974" s="58" t="inlineStr">
        <is>
          <t>Điều kiện kiểm thử</t>
        </is>
      </c>
      <c r="B1974" s="59" t="n"/>
      <c r="C1974" s="59" t="n"/>
      <c r="D1974" s="59" t="n"/>
      <c r="E1974" s="59" t="n"/>
    </row>
    <row r="1975" ht="30" customHeight="1">
      <c r="A1975" s="47" t="inlineStr">
        <is>
          <t>Cấu hình</t>
        </is>
      </c>
      <c r="B1975" s="56" t="inlineStr">
        <is>
          <t>• Công thức 3 dòng.</t>
        </is>
      </c>
      <c r="C1975" s="57" t="n"/>
      <c r="D1975" s="57" t="n"/>
      <c r="E1975" s="57" t="n"/>
    </row>
    <row r="1976" ht="61" customHeight="1">
      <c r="A1976" s="47" t="inlineStr">
        <is>
          <t>Vai trò / quyền</t>
        </is>
      </c>
      <c r="B197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1976" s="57" t="n"/>
      <c r="D1976" s="57" t="n"/>
      <c r="E1976" s="57" t="n"/>
    </row>
    <row r="1977" ht="78" customHeight="1">
      <c r="A1977" s="47" t="inlineStr">
        <is>
          <t>Dữ liệu test</t>
        </is>
      </c>
      <c r="B1977" s="56" t="inlineStr">
        <is>
          <t>• (A) Dòng 1 dùng Kết quả phép tính;
• (B) dòng 2 tham chiếu chính dòng 2;
• (C) dòng 2 tham chiếu dòng 3;
• (D) dòng 3 tham chiếu dòng 1</t>
        </is>
      </c>
      <c r="C1977" s="57" t="n"/>
      <c r="D1977" s="57" t="n"/>
      <c r="E1977" s="57" t="n"/>
    </row>
    <row r="1978" ht="30" customHeight="1">
      <c r="A1978" s="47" t="inlineStr">
        <is>
          <t>Trigger</t>
        </is>
      </c>
      <c r="B1978" s="56" t="inlineStr">
        <is>
          <t>• Chỉ xem/xuất không tự chạy xét.</t>
        </is>
      </c>
      <c r="C1978" s="57" t="n"/>
      <c r="D1978" s="57" t="n"/>
      <c r="E1978" s="57" t="n"/>
    </row>
    <row r="1979" ht="44" customHeight="1">
      <c r="A1979" s="47" t="inlineStr">
        <is>
          <t>Blocker</t>
        </is>
      </c>
      <c r="B1979" s="56" t="inlineStr">
        <is>
          <t>• G-PREP-UNASSESSED: Chưa có xác minh fixture, đường thực hiện và phép quan sát trên build của từng case chưa đánh giá.</t>
        </is>
      </c>
      <c r="C1979" s="57" t="n"/>
      <c r="D1979" s="57" t="n"/>
      <c r="E1979" s="57" t="n"/>
    </row>
    <row r="1980" ht="30" customHeight="1">
      <c r="A1980" s="58" t="inlineStr">
        <is>
          <t>Thao tác</t>
        </is>
      </c>
      <c r="B1980" s="59" t="n"/>
      <c r="C1980" s="59" t="n"/>
      <c r="D1980" s="59" t="n"/>
      <c r="E1980" s="59" t="n"/>
    </row>
    <row r="1981" ht="30" customHeight="1">
      <c r="A1981" s="47" t="inlineStr">
        <is>
          <t>•</t>
        </is>
      </c>
      <c r="B1981" s="56" t="inlineStr">
        <is>
          <t>Thử từng biến thể, bấm Lưu.</t>
        </is>
      </c>
      <c r="C1981" s="57" t="n"/>
      <c r="D1981" s="57" t="n"/>
      <c r="E1981" s="57" t="n"/>
    </row>
    <row r="1982" ht="44" customHeight="1">
      <c r="A1982" s="47" t="inlineStr">
        <is>
          <t>Reset</t>
        </is>
      </c>
      <c r="B1982" s="56" t="inlineStr">
        <is>
          <t>Trước mỗi biến thể, dựng lại điều kiện/dữ liệu đầu của case bằng đường được phép; giữ các reset/fixture độc lập đã nêu trong thủ tục.</t>
        </is>
      </c>
      <c r="C1982" s="57" t="n"/>
      <c r="D1982" s="57" t="n"/>
      <c r="E1982" s="57" t="n"/>
    </row>
    <row r="1983" ht="30" customHeight="1">
      <c r="A1983" s="58" t="inlineStr">
        <is>
          <t>Kết quả mong đợi</t>
        </is>
      </c>
      <c r="B1983" s="59" t="n"/>
      <c r="C1983" s="59" t="n"/>
      <c r="D1983" s="59" t="n"/>
      <c r="E1983" s="59" t="n"/>
    </row>
    <row r="1984" ht="30" customHeight="1">
      <c r="A1984" s="47" t="inlineStr">
        <is>
          <t>•</t>
        </is>
      </c>
      <c r="B1984" s="56" t="inlineStr">
        <is>
          <t>(A), (b), (c): không chọn được hoặc không lưu được.</t>
        </is>
      </c>
      <c r="C1984" s="57" t="n"/>
      <c r="D1984" s="57" t="n"/>
      <c r="E1984" s="57" t="n"/>
    </row>
    <row r="1985" ht="30" customHeight="1">
      <c r="A1985" s="47" t="inlineStr">
        <is>
          <t>•</t>
        </is>
      </c>
      <c r="B1985" s="56" t="inlineStr">
        <is>
          <t>(D): lưu được.</t>
        </is>
      </c>
      <c r="C1985" s="57" t="n"/>
      <c r="D1985" s="57" t="n"/>
      <c r="E1985" s="57" t="n"/>
    </row>
    <row r="1986" ht="44" customHeight="1">
      <c r="A1986" s="47" t="inlineStr">
        <is>
          <t>Giữ nguyên</t>
        </is>
      </c>
      <c r="B1986" s="56" t="inlineStr">
        <is>
          <t>• Giữ điểm, cấu hình và đối tượng không đích theo expected;
• Chỉ thay phần thủ tục yêu cầu, không tự đổi oracle hoặc mở rộng phạm vi.</t>
        </is>
      </c>
      <c r="C1986" s="57" t="n"/>
      <c r="D1986" s="57" t="n"/>
      <c r="E1986" s="57" t="n"/>
    </row>
    <row r="1987" ht="61" customHeight="1">
      <c r="A1987" s="47" t="inlineStr">
        <is>
          <t>Quan sát tại</t>
        </is>
      </c>
      <c r="B1987" s="56" t="inlineStr">
        <is>
          <t>• Dùng trích xuất không lọc để thấy cả ô đối chứng. Trạng thái không có dấu đỏ cần đọc thêm trạng thái lưu;
• Output Excel/PDF dùng file thật.</t>
        </is>
      </c>
      <c r="C1987" s="57" t="n"/>
      <c r="D1987" s="57" t="n"/>
      <c r="E1987" s="57" t="n"/>
    </row>
    <row r="1988" ht="30" customHeight="1">
      <c r="A1988" s="58" t="inlineStr">
        <is>
          <t>Kết quả thực tế</t>
        </is>
      </c>
      <c r="B1988" s="59" t="n"/>
      <c r="C1988" s="59" t="n"/>
      <c r="D1988" s="59" t="n"/>
      <c r="E1988" s="59" t="n"/>
    </row>
    <row r="1989" ht="30" customHeight="1">
      <c r="A1989" s="60" t="inlineStr">
        <is>
          <t>TC-RS-VAL-011 / first</t>
        </is>
      </c>
      <c r="B1989" s="36" t="n"/>
      <c r="C1989" s="36" t="n"/>
      <c r="D1989" s="36" t="n"/>
      <c r="E1989" s="36" t="n"/>
    </row>
    <row r="1990" ht="30" customHeight="1">
      <c r="A1990" s="47" t="inlineStr">
        <is>
          <t>Dữ liệu biến thể</t>
        </is>
      </c>
      <c r="B1990" s="56" t="inlineStr">
        <is>
          <t>Tham chiếu dòng đầu</t>
        </is>
      </c>
      <c r="C1990" s="57" t="n"/>
      <c r="D1990" s="57" t="n"/>
      <c r="E1990" s="57" t="n"/>
    </row>
    <row r="1991" ht="30" customHeight="1">
      <c r="A1991" s="47" t="inlineStr">
        <is>
          <t>Trạng thái</t>
        </is>
      </c>
      <c r="B1991" s="61" t="inlineStr">
        <is>
          <t>Chưa thực hiện</t>
        </is>
      </c>
      <c r="C1991" s="57" t="n"/>
      <c r="D1991" s="57" t="n"/>
      <c r="E1991" s="57" t="n"/>
    </row>
    <row r="1992" ht="30" customHeight="1">
      <c r="A1992" s="62" t="inlineStr">
        <is>
          <t>Kết quả thực tế</t>
        </is>
      </c>
    </row>
    <row r="1993" ht="64" customHeight="1">
      <c r="A1993" s="63" t="inlineStr"/>
      <c r="B1993" s="64" t="n"/>
      <c r="C1993" s="64" t="n"/>
      <c r="D1993" s="64" t="n"/>
      <c r="E1993" s="65" t="n"/>
    </row>
    <row r="1994" ht="30" customHeight="1">
      <c r="A1994" s="62" t="inlineStr">
        <is>
          <t>Ảnh minh chứng</t>
        </is>
      </c>
    </row>
    <row r="1995" ht="90" customHeight="1">
      <c r="A1995" s="63" t="inlineStr"/>
      <c r="B1995" s="64" t="n"/>
      <c r="C1995" s="64" t="n"/>
      <c r="D1995" s="64" t="n"/>
      <c r="E1995" s="65" t="n"/>
    </row>
    <row r="1996" ht="12" customHeight="1">
      <c r="A1996" s="66" t="inlineStr"/>
    </row>
    <row r="1997" ht="30" customHeight="1">
      <c r="A1997" s="60" t="inlineStr">
        <is>
          <t>TC-RS-VAL-011 / self</t>
        </is>
      </c>
      <c r="B1997" s="36" t="n"/>
      <c r="C1997" s="36" t="n"/>
      <c r="D1997" s="36" t="n"/>
      <c r="E1997" s="36" t="n"/>
    </row>
    <row r="1998" ht="30" customHeight="1">
      <c r="A1998" s="47" t="inlineStr">
        <is>
          <t>Dữ liệu biến thể</t>
        </is>
      </c>
      <c r="B1998" s="56" t="inlineStr">
        <is>
          <t>Tham chiếu chính dòng</t>
        </is>
      </c>
      <c r="C1998" s="57" t="n"/>
      <c r="D1998" s="57" t="n"/>
      <c r="E1998" s="57" t="n"/>
    </row>
    <row r="1999" ht="30" customHeight="1">
      <c r="A1999" s="47" t="inlineStr">
        <is>
          <t>Trạng thái</t>
        </is>
      </c>
      <c r="B1999" s="61" t="inlineStr">
        <is>
          <t>Chưa thực hiện</t>
        </is>
      </c>
      <c r="C1999" s="57" t="n"/>
      <c r="D1999" s="57" t="n"/>
      <c r="E1999" s="57" t="n"/>
    </row>
    <row r="2000" ht="30" customHeight="1">
      <c r="A2000" s="62" t="inlineStr">
        <is>
          <t>Kết quả thực tế</t>
        </is>
      </c>
    </row>
    <row r="2001" ht="64" customHeight="1">
      <c r="A2001" s="63" t="inlineStr"/>
      <c r="B2001" s="64" t="n"/>
      <c r="C2001" s="64" t="n"/>
      <c r="D2001" s="64" t="n"/>
      <c r="E2001" s="65" t="n"/>
    </row>
    <row r="2002" ht="30" customHeight="1">
      <c r="A2002" s="62" t="inlineStr">
        <is>
          <t>Ảnh minh chứng</t>
        </is>
      </c>
    </row>
    <row r="2003" ht="90" customHeight="1">
      <c r="A2003" s="63" t="inlineStr"/>
      <c r="B2003" s="64" t="n"/>
      <c r="C2003" s="64" t="n"/>
      <c r="D2003" s="64" t="n"/>
      <c r="E2003" s="65" t="n"/>
    </row>
    <row r="2004" ht="12" customHeight="1">
      <c r="A2004" s="66" t="inlineStr"/>
    </row>
    <row r="2005" ht="30" customHeight="1">
      <c r="A2005" s="60" t="inlineStr">
        <is>
          <t>TC-RS-VAL-011 / forward</t>
        </is>
      </c>
      <c r="B2005" s="36" t="n"/>
      <c r="C2005" s="36" t="n"/>
      <c r="D2005" s="36" t="n"/>
      <c r="E2005" s="36" t="n"/>
    </row>
    <row r="2006" ht="30" customHeight="1">
      <c r="A2006" s="47" t="inlineStr">
        <is>
          <t>Dữ liệu biến thể</t>
        </is>
      </c>
      <c r="B2006" s="56" t="inlineStr">
        <is>
          <t>Tham chiếu dòng sau</t>
        </is>
      </c>
      <c r="C2006" s="57" t="n"/>
      <c r="D2006" s="57" t="n"/>
      <c r="E2006" s="57" t="n"/>
    </row>
    <row r="2007" ht="30" customHeight="1">
      <c r="A2007" s="47" t="inlineStr">
        <is>
          <t>Trạng thái</t>
        </is>
      </c>
      <c r="B2007" s="61" t="inlineStr">
        <is>
          <t>Chưa thực hiện</t>
        </is>
      </c>
      <c r="C2007" s="57" t="n"/>
      <c r="D2007" s="57" t="n"/>
      <c r="E2007" s="57" t="n"/>
    </row>
    <row r="2008" ht="30" customHeight="1">
      <c r="A2008" s="62" t="inlineStr">
        <is>
          <t>Kết quả thực tế</t>
        </is>
      </c>
    </row>
    <row r="2009" ht="64" customHeight="1">
      <c r="A2009" s="63" t="inlineStr"/>
      <c r="B2009" s="64" t="n"/>
      <c r="C2009" s="64" t="n"/>
      <c r="D2009" s="64" t="n"/>
      <c r="E2009" s="65" t="n"/>
    </row>
    <row r="2010" ht="30" customHeight="1">
      <c r="A2010" s="62" t="inlineStr">
        <is>
          <t>Ảnh minh chứng</t>
        </is>
      </c>
    </row>
    <row r="2011" ht="90" customHeight="1">
      <c r="A2011" s="63" t="inlineStr"/>
      <c r="B2011" s="64" t="n"/>
      <c r="C2011" s="64" t="n"/>
      <c r="D2011" s="64" t="n"/>
      <c r="E2011" s="65" t="n"/>
    </row>
    <row r="2012" ht="12" customHeight="1">
      <c r="A2012" s="66" t="inlineStr"/>
    </row>
    <row r="2013" ht="30" customHeight="1">
      <c r="A2013" s="60" t="inlineStr">
        <is>
          <t>TC-RS-VAL-011 / backward</t>
        </is>
      </c>
      <c r="B2013" s="36" t="n"/>
      <c r="C2013" s="36" t="n"/>
      <c r="D2013" s="36" t="n"/>
      <c r="E2013" s="36" t="n"/>
    </row>
    <row r="2014" ht="30" customHeight="1">
      <c r="A2014" s="47" t="inlineStr">
        <is>
          <t>Dữ liệu biến thể</t>
        </is>
      </c>
      <c r="B2014" s="56" t="inlineStr">
        <is>
          <t>Tham chiếu dòng trước</t>
        </is>
      </c>
      <c r="C2014" s="57" t="n"/>
      <c r="D2014" s="57" t="n"/>
      <c r="E2014" s="57" t="n"/>
    </row>
    <row r="2015" ht="30" customHeight="1">
      <c r="A2015" s="47" t="inlineStr">
        <is>
          <t>Trạng thái</t>
        </is>
      </c>
      <c r="B2015" s="61" t="inlineStr">
        <is>
          <t>Chưa thực hiện</t>
        </is>
      </c>
      <c r="C2015" s="57" t="n"/>
      <c r="D2015" s="57" t="n"/>
      <c r="E2015" s="57" t="n"/>
    </row>
    <row r="2016" ht="30" customHeight="1">
      <c r="A2016" s="62" t="inlineStr">
        <is>
          <t>Kết quả thực tế</t>
        </is>
      </c>
    </row>
    <row r="2017" ht="64" customHeight="1">
      <c r="A2017" s="63" t="inlineStr"/>
      <c r="B2017" s="64" t="n"/>
      <c r="C2017" s="64" t="n"/>
      <c r="D2017" s="64" t="n"/>
      <c r="E2017" s="65" t="n"/>
    </row>
    <row r="2018" ht="30" customHeight="1">
      <c r="A2018" s="62" t="inlineStr">
        <is>
          <t>Ảnh minh chứng</t>
        </is>
      </c>
    </row>
    <row r="2019" ht="90" customHeight="1">
      <c r="A2019" s="63" t="inlineStr"/>
      <c r="B2019" s="64" t="n"/>
      <c r="C2019" s="64" t="n"/>
      <c r="D2019" s="64" t="n"/>
      <c r="E2019" s="65" t="n"/>
    </row>
    <row r="2020" ht="12" customHeight="1">
      <c r="A2020" s="66" t="inlineStr"/>
    </row>
    <row r="2021" ht="20" customHeight="1">
      <c r="A2021" s="66" t="inlineStr"/>
    </row>
    <row r="2022" ht="30" customHeight="1">
      <c r="A2022" s="46" t="inlineStr">
        <is>
          <t>TC-RS-VAL-012 — Xóa/đổi thứ tự dòng không tự nối lại tham chiếu</t>
        </is>
      </c>
      <c r="B2022" s="23" t="n"/>
      <c r="C2022" s="23" t="n"/>
      <c r="D2022" s="23" t="n"/>
      <c r="E2022" s="23" t="n"/>
    </row>
    <row r="2023" ht="30" customHeight="1">
      <c r="A2023" s="47" t="inlineStr">
        <is>
          <t>Trạng thái</t>
        </is>
      </c>
      <c r="B2023" s="56">
        <f>IF(0&gt;0,"Không đạt",IF(0=2,"Đạt",IF(SUMPRODUCT(--EXACT('Testcases'!B2043:B2051,"Không thực hiện"))=2,"Không thực hiện",IF(SUMPRODUCT(--EXACT('Testcases'!B2043:B2051,"Bị chặn"))&gt;0,"Bị chặn",IF(SUMPRODUCT(--EXACT('Testcases'!B2043:B2051,"Chưa thực hiện"))=2,"Chưa thực hiện","Chưa đủ kết luận")))))</f>
        <v/>
      </c>
      <c r="C2023" s="57" t="n"/>
      <c r="D2023" s="57" t="n"/>
      <c r="E2023" s="57" t="n"/>
    </row>
    <row r="2024" ht="30" customHeight="1">
      <c r="A2024" s="47" t="inlineStr">
        <is>
          <t>Màn hình / chức năng</t>
        </is>
      </c>
      <c r="B2024" s="47" t="inlineStr">
        <is>
          <t>Thiết lập ngưỡng（基準設定）</t>
        </is>
      </c>
      <c r="C2024" s="57" t="n"/>
      <c r="D2024" s="47" t="inlineStr">
        <is>
          <t>Đường dẫn</t>
        </is>
      </c>
      <c r="E2024" s="56" t="inlineStr">
        <is>
          <t>Chưa xác minh</t>
        </is>
      </c>
    </row>
    <row r="2025" ht="30" customHeight="1">
      <c r="A2025" s="58" t="inlineStr">
        <is>
          <t>Điều kiện kiểm thử</t>
        </is>
      </c>
      <c r="B2025" s="59" t="n"/>
      <c r="C2025" s="59" t="n"/>
      <c r="D2025" s="59" t="n"/>
      <c r="E2025" s="59" t="n"/>
    </row>
    <row r="2026" ht="30" customHeight="1">
      <c r="A2026" s="47" t="inlineStr">
        <is>
          <t>Cấu hình</t>
        </is>
      </c>
      <c r="B2026" s="56" t="inlineStr">
        <is>
          <t>• Công thức 3 dòng: dòng 2 dùng kết quả dòng 1, dòng 3 dùng kết quả dòng 2.</t>
        </is>
      </c>
      <c r="C2026" s="57" t="n"/>
      <c r="D2026" s="57" t="n"/>
      <c r="E2026" s="57" t="n"/>
    </row>
    <row r="2027" ht="61" customHeight="1">
      <c r="A2027" s="47" t="inlineStr">
        <is>
          <t>Vai trò / quyền</t>
        </is>
      </c>
      <c r="B202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027" s="57" t="n"/>
      <c r="D2027" s="57" t="n"/>
      <c r="E2027" s="57" t="n"/>
    </row>
    <row r="2028" ht="30" customHeight="1">
      <c r="A2028" s="47" t="inlineStr">
        <is>
          <t>Dữ liệu test</t>
        </is>
      </c>
      <c r="B2028" s="56" t="inlineStr">
        <is>
          <t>• —</t>
        </is>
      </c>
      <c r="C2028" s="57" t="n"/>
      <c r="D2028" s="57" t="n"/>
      <c r="E2028" s="57" t="n"/>
    </row>
    <row r="2029" ht="30" customHeight="1">
      <c r="A2029" s="47" t="inlineStr">
        <is>
          <t>Trigger</t>
        </is>
      </c>
      <c r="B2029" s="56" t="inlineStr">
        <is>
          <t>• Chỉ xem/xuất không tự chạy xét.</t>
        </is>
      </c>
      <c r="C2029" s="57" t="n"/>
      <c r="D2029" s="57" t="n"/>
      <c r="E2029" s="57" t="n"/>
    </row>
    <row r="2030" ht="44" customHeight="1">
      <c r="A2030" s="47" t="inlineStr">
        <is>
          <t>Blocker</t>
        </is>
      </c>
      <c r="B2030" s="56" t="inlineStr">
        <is>
          <t>• G-PREP-UNASSESSED: Chưa có xác minh fixture, đường thực hiện và phép quan sát trên build của từng case chưa đánh giá.</t>
        </is>
      </c>
      <c r="C2030" s="57" t="n"/>
      <c r="D2030" s="57" t="n"/>
      <c r="E2030" s="57" t="n"/>
    </row>
    <row r="2031" ht="30" customHeight="1">
      <c r="A2031" s="58" t="inlineStr">
        <is>
          <t>Thao tác</t>
        </is>
      </c>
      <c r="B2031" s="59" t="n"/>
      <c r="C2031" s="59" t="n"/>
      <c r="D2031" s="59" t="n"/>
      <c r="E2031" s="59" t="n"/>
    </row>
    <row r="2032" ht="30" customHeight="1">
      <c r="A2032" s="47" t="inlineStr">
        <is>
          <t>Step 1</t>
        </is>
      </c>
      <c r="B2032" s="56" t="inlineStr">
        <is>
          <t>Xóa dòng 2, bấm Lưu.</t>
        </is>
      </c>
      <c r="C2032" s="57" t="n"/>
      <c r="D2032" s="57" t="n"/>
      <c r="E2032" s="57" t="n"/>
    </row>
    <row r="2033" ht="30" customHeight="1">
      <c r="A2033" s="47" t="inlineStr">
        <is>
          <t>Step 2</t>
        </is>
      </c>
      <c r="B2033" s="56" t="inlineStr">
        <is>
          <t>Tạo lại công thức 3 dòng như điều kiện đầu; đổi thứ tự để dòng 3 lên vị trí 2, bấm Lưu.</t>
        </is>
      </c>
      <c r="C2033" s="57" t="n"/>
      <c r="D2033" s="57" t="n"/>
      <c r="E2033" s="57" t="n"/>
    </row>
    <row r="2034" ht="44" customHeight="1">
      <c r="A2034" s="47" t="inlineStr">
        <is>
          <t>Reset</t>
        </is>
      </c>
      <c r="B2034" s="56" t="inlineStr">
        <is>
          <t>Trước mỗi biến thể, dựng lại điều kiện/dữ liệu đầu của case bằng đường được phép; giữ các reset/fixture độc lập đã nêu trong thủ tục.</t>
        </is>
      </c>
      <c r="C2034" s="57" t="n"/>
      <c r="D2034" s="57" t="n"/>
      <c r="E2034" s="57" t="n"/>
    </row>
    <row r="2035" ht="30" customHeight="1">
      <c r="A2035" s="58" t="inlineStr">
        <is>
          <t>Kết quả mong đợi</t>
        </is>
      </c>
      <c r="B2035" s="59" t="n"/>
      <c r="C2035" s="59" t="n"/>
      <c r="D2035" s="59" t="n"/>
      <c r="E2035" s="59" t="n"/>
    </row>
    <row r="2036" ht="30" customHeight="1">
      <c r="A2036" s="47" t="inlineStr">
        <is>
          <t>1.</t>
        </is>
      </c>
      <c r="B2036" s="56" t="inlineStr">
        <is>
          <t>Dòng 3 báo tham chiếu không hợp lệ hoặc buộc chọn lại; không âm thầm trỏ sang dòng 1.</t>
        </is>
      </c>
      <c r="C2036" s="57" t="n"/>
      <c r="D2036" s="57" t="n"/>
      <c r="E2036" s="57" t="n"/>
    </row>
    <row r="2037" ht="44" customHeight="1">
      <c r="A2037" s="47" t="inlineStr">
        <is>
          <t>2.</t>
        </is>
      </c>
      <c r="B2037" s="56" t="inlineStr">
        <is>
          <t>Dòng vừa chuyển lên (đang tham chiếu dòng mới nằm phía sau nó) bị báo tham chiếu không hợp lệ hoặc buộc chọn lại; không tự đổi sang dòng khác chỉ vì cùng số thứ tự.</t>
        </is>
      </c>
      <c r="C2037" s="57" t="n"/>
      <c r="D2037" s="57" t="n"/>
      <c r="E2037" s="57" t="n"/>
    </row>
    <row r="2038" ht="44" customHeight="1">
      <c r="A2038" s="47" t="inlineStr">
        <is>
          <t>Giữ nguyên</t>
        </is>
      </c>
      <c r="B2038" s="56" t="inlineStr">
        <is>
          <t>• Giữ điểm, cấu hình và đối tượng không đích theo expected;
• Chỉ thay phần thủ tục yêu cầu, không tự đổi oracle hoặc mở rộng phạm vi.</t>
        </is>
      </c>
      <c r="C2038" s="57" t="n"/>
      <c r="D2038" s="57" t="n"/>
      <c r="E2038" s="57" t="n"/>
    </row>
    <row r="2039" ht="61" customHeight="1">
      <c r="A2039" s="47" t="inlineStr">
        <is>
          <t>Quan sát tại</t>
        </is>
      </c>
      <c r="B2039" s="56" t="inlineStr">
        <is>
          <t>• Dùng trích xuất không lọc để thấy cả ô đối chứng. Trạng thái không có dấu đỏ cần đọc thêm trạng thái lưu;
• Output Excel/PDF dùng file thật.</t>
        </is>
      </c>
      <c r="C2039" s="57" t="n"/>
      <c r="D2039" s="57" t="n"/>
      <c r="E2039" s="57" t="n"/>
    </row>
    <row r="2040" ht="30" customHeight="1">
      <c r="A2040" s="58" t="inlineStr">
        <is>
          <t>Kết quả thực tế</t>
        </is>
      </c>
      <c r="B2040" s="59" t="n"/>
      <c r="C2040" s="59" t="n"/>
      <c r="D2040" s="59" t="n"/>
      <c r="E2040" s="59" t="n"/>
    </row>
    <row r="2041" ht="30" customHeight="1">
      <c r="A2041" s="60" t="inlineStr">
        <is>
          <t>TC-RS-VAL-012 / delete</t>
        </is>
      </c>
      <c r="B2041" s="36" t="n"/>
      <c r="C2041" s="36" t="n"/>
      <c r="D2041" s="36" t="n"/>
      <c r="E2041" s="36" t="n"/>
    </row>
    <row r="2042" ht="30" customHeight="1">
      <c r="A2042" s="47" t="inlineStr">
        <is>
          <t>Dữ liệu biến thể</t>
        </is>
      </c>
      <c r="B2042" s="56" t="inlineStr">
        <is>
          <t>Xóa dòng được tham chiếu</t>
        </is>
      </c>
      <c r="C2042" s="57" t="n"/>
      <c r="D2042" s="57" t="n"/>
      <c r="E2042" s="57" t="n"/>
    </row>
    <row r="2043" ht="30" customHeight="1">
      <c r="A2043" s="47" t="inlineStr">
        <is>
          <t>Trạng thái</t>
        </is>
      </c>
      <c r="B2043" s="61" t="inlineStr">
        <is>
          <t>Chưa thực hiện</t>
        </is>
      </c>
      <c r="C2043" s="57" t="n"/>
      <c r="D2043" s="57" t="n"/>
      <c r="E2043" s="57" t="n"/>
    </row>
    <row r="2044" ht="30" customHeight="1">
      <c r="A2044" s="62" t="inlineStr">
        <is>
          <t>Kết quả thực tế</t>
        </is>
      </c>
    </row>
    <row r="2045" ht="64" customHeight="1">
      <c r="A2045" s="63" t="inlineStr"/>
      <c r="B2045" s="64" t="n"/>
      <c r="C2045" s="64" t="n"/>
      <c r="D2045" s="64" t="n"/>
      <c r="E2045" s="65" t="n"/>
    </row>
    <row r="2046" ht="30" customHeight="1">
      <c r="A2046" s="62" t="inlineStr">
        <is>
          <t>Ảnh minh chứng</t>
        </is>
      </c>
    </row>
    <row r="2047" ht="90" customHeight="1">
      <c r="A2047" s="63" t="inlineStr"/>
      <c r="B2047" s="64" t="n"/>
      <c r="C2047" s="64" t="n"/>
      <c r="D2047" s="64" t="n"/>
      <c r="E2047" s="65" t="n"/>
    </row>
    <row r="2048" ht="12" customHeight="1">
      <c r="A2048" s="66" t="inlineStr"/>
    </row>
    <row r="2049" ht="30" customHeight="1">
      <c r="A2049" s="60" t="inlineStr">
        <is>
          <t>TC-RS-VAL-012 / reorder</t>
        </is>
      </c>
      <c r="B2049" s="36" t="n"/>
      <c r="C2049" s="36" t="n"/>
      <c r="D2049" s="36" t="n"/>
      <c r="E2049" s="36" t="n"/>
    </row>
    <row r="2050" ht="30" customHeight="1">
      <c r="A2050" s="47" t="inlineStr">
        <is>
          <t>Dữ liệu biến thể</t>
        </is>
      </c>
      <c r="B2050" s="56" t="inlineStr">
        <is>
          <t>Đổi thứ tự dòng được tham chiếu</t>
        </is>
      </c>
      <c r="C2050" s="57" t="n"/>
      <c r="D2050" s="57" t="n"/>
      <c r="E2050" s="57" t="n"/>
    </row>
    <row r="2051" ht="30" customHeight="1">
      <c r="A2051" s="47" t="inlineStr">
        <is>
          <t>Trạng thái</t>
        </is>
      </c>
      <c r="B2051" s="61" t="inlineStr">
        <is>
          <t>Chưa thực hiện</t>
        </is>
      </c>
      <c r="C2051" s="57" t="n"/>
      <c r="D2051" s="57" t="n"/>
      <c r="E2051" s="57" t="n"/>
    </row>
    <row r="2052" ht="30" customHeight="1">
      <c r="A2052" s="62" t="inlineStr">
        <is>
          <t>Kết quả thực tế</t>
        </is>
      </c>
    </row>
    <row r="2053" ht="64" customHeight="1">
      <c r="A2053" s="63" t="inlineStr"/>
      <c r="B2053" s="64" t="n"/>
      <c r="C2053" s="64" t="n"/>
      <c r="D2053" s="64" t="n"/>
      <c r="E2053" s="65" t="n"/>
    </row>
    <row r="2054" ht="30" customHeight="1">
      <c r="A2054" s="62" t="inlineStr">
        <is>
          <t>Ảnh minh chứng</t>
        </is>
      </c>
    </row>
    <row r="2055" ht="90" customHeight="1">
      <c r="A2055" s="63" t="inlineStr"/>
      <c r="B2055" s="64" t="n"/>
      <c r="C2055" s="64" t="n"/>
      <c r="D2055" s="64" t="n"/>
      <c r="E2055" s="65" t="n"/>
    </row>
    <row r="2056" ht="12" customHeight="1">
      <c r="A2056" s="66" t="inlineStr"/>
    </row>
    <row r="2057" ht="20" customHeight="1">
      <c r="A2057" s="66" t="inlineStr"/>
    </row>
    <row r="2058" ht="30" customHeight="1">
      <c r="A2058" s="46" t="inlineStr">
        <is>
          <t>TC-RS-VAL-013 — Số cố định trong công thức không bị giới hạn 0–100</t>
        </is>
      </c>
      <c r="B2058" s="23" t="n"/>
      <c r="C2058" s="23" t="n"/>
      <c r="D2058" s="23" t="n"/>
      <c r="E2058" s="23" t="n"/>
    </row>
    <row r="2059" ht="30" customHeight="1">
      <c r="A2059" s="47" t="inlineStr">
        <is>
          <t>Trạng thái</t>
        </is>
      </c>
      <c r="B2059" s="56">
        <f>IF(0&gt;0,"Không đạt",IF(0=3,"Đạt",IF(SUMPRODUCT(--EXACT('Testcases'!B2077:B2093,"Không thực hiện"))=3,"Không thực hiện",IF(SUMPRODUCT(--EXACT('Testcases'!B2077:B2093,"Bị chặn"))&gt;0,"Bị chặn",IF(SUMPRODUCT(--EXACT('Testcases'!B2077:B2093,"Chưa thực hiện"))=3,"Chưa thực hiện","Chưa đủ kết luận")))))</f>
        <v/>
      </c>
      <c r="C2059" s="57" t="n"/>
      <c r="D2059" s="57" t="n"/>
      <c r="E2059" s="57" t="n"/>
    </row>
    <row r="2060" ht="30" customHeight="1">
      <c r="A2060" s="47" t="inlineStr">
        <is>
          <t>Màn hình / chức năng</t>
        </is>
      </c>
      <c r="B2060" s="47" t="inlineStr">
        <is>
          <t>Thiết lập ngưỡng（基準設定）</t>
        </is>
      </c>
      <c r="C2060" s="57" t="n"/>
      <c r="D2060" s="47" t="inlineStr">
        <is>
          <t>Đường dẫn</t>
        </is>
      </c>
      <c r="E2060" s="56" t="inlineStr">
        <is>
          <t>Chưa xác minh</t>
        </is>
      </c>
    </row>
    <row r="2061" ht="30" customHeight="1">
      <c r="A2061" s="58" t="inlineStr">
        <is>
          <t>Điều kiện kiểm thử</t>
        </is>
      </c>
      <c r="B2061" s="59" t="n"/>
      <c r="C2061" s="59" t="n"/>
      <c r="D2061" s="59" t="n"/>
      <c r="E2061" s="59" t="n"/>
    </row>
    <row r="2062" ht="30" customHeight="1">
      <c r="A2062" s="47" t="inlineStr">
        <is>
          <t>Cấu hình</t>
        </is>
      </c>
      <c r="B2062" s="56" t="inlineStr">
        <is>
          <t>• Loại Công thức tính（計算式）.</t>
        </is>
      </c>
      <c r="C2062" s="57" t="n"/>
      <c r="D2062" s="57" t="n"/>
      <c r="E2062" s="57" t="n"/>
    </row>
    <row r="2063" ht="61" customHeight="1">
      <c r="A2063" s="47" t="inlineStr">
        <is>
          <t>Vai trò / quyền</t>
        </is>
      </c>
      <c r="B206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063" s="57" t="n"/>
      <c r="D2063" s="57" t="n"/>
      <c r="E2063" s="57" t="n"/>
    </row>
    <row r="2064" ht="30" customHeight="1">
      <c r="A2064" s="47" t="inlineStr">
        <is>
          <t>Dữ liệu test</t>
        </is>
      </c>
      <c r="B2064" s="56" t="inlineStr">
        <is>
          <t>• [A × 150], [A × 0.5], [A − 150]</t>
        </is>
      </c>
      <c r="C2064" s="57" t="n"/>
      <c r="D2064" s="57" t="n"/>
      <c r="E2064" s="57" t="n"/>
    </row>
    <row r="2065" ht="30" customHeight="1">
      <c r="A2065" s="47" t="inlineStr">
        <is>
          <t>Trigger</t>
        </is>
      </c>
      <c r="B2065" s="56" t="inlineStr">
        <is>
          <t>• Chỉ xem/xuất không tự chạy xét.</t>
        </is>
      </c>
      <c r="C2065" s="57" t="n"/>
      <c r="D2065" s="57" t="n"/>
      <c r="E2065" s="57" t="n"/>
    </row>
    <row r="2066" ht="44" customHeight="1">
      <c r="A2066" s="47" t="inlineStr">
        <is>
          <t>Blocker</t>
        </is>
      </c>
      <c r="B2066" s="56" t="inlineStr">
        <is>
          <t>• G-PREP-UNASSESSED: Chưa có xác minh fixture, đường thực hiện và phép quan sát trên build của từng case chưa đánh giá.</t>
        </is>
      </c>
      <c r="C2066" s="57" t="n"/>
      <c r="D2066" s="57" t="n"/>
      <c r="E2066" s="57" t="n"/>
    </row>
    <row r="2067" ht="30" customHeight="1">
      <c r="A2067" s="58" t="inlineStr">
        <is>
          <t>Thao tác</t>
        </is>
      </c>
      <c r="B2067" s="59" t="n"/>
      <c r="C2067" s="59" t="n"/>
      <c r="D2067" s="59" t="n"/>
      <c r="E2067" s="59" t="n"/>
    </row>
    <row r="2068" ht="30" customHeight="1">
      <c r="A2068" s="47" t="inlineStr">
        <is>
          <t>•</t>
        </is>
      </c>
      <c r="B2068" s="56" t="inlineStr">
        <is>
          <t>Nhập từng công thức, Lưu.</t>
        </is>
      </c>
      <c r="C2068" s="57" t="n"/>
      <c r="D2068" s="57" t="n"/>
      <c r="E2068" s="57" t="n"/>
    </row>
    <row r="2069" ht="44" customHeight="1">
      <c r="A2069" s="47" t="inlineStr">
        <is>
          <t>Reset</t>
        </is>
      </c>
      <c r="B2069" s="56" t="inlineStr">
        <is>
          <t>Trước mỗi biến thể, dựng lại điều kiện/dữ liệu đầu của case bằng đường được phép; giữ các reset/fixture độc lập đã nêu trong thủ tục.</t>
        </is>
      </c>
      <c r="C2069" s="57" t="n"/>
      <c r="D2069" s="57" t="n"/>
      <c r="E2069" s="57" t="n"/>
    </row>
    <row r="2070" ht="30" customHeight="1">
      <c r="A2070" s="58" t="inlineStr">
        <is>
          <t>Kết quả mong đợi</t>
        </is>
      </c>
      <c r="B2070" s="59" t="n"/>
      <c r="C2070" s="59" t="n"/>
      <c r="D2070" s="59" t="n"/>
      <c r="E2070" s="59" t="n"/>
    </row>
    <row r="2071" ht="30" customHeight="1">
      <c r="A2071" s="47" t="inlineStr">
        <is>
          <t>•</t>
        </is>
      </c>
      <c r="B2071" s="56" t="inlineStr">
        <is>
          <t>Lưu được (không áp giới hạn 0–100 hay 0–M cho toán hạng).</t>
        </is>
      </c>
      <c r="C2071" s="57" t="n"/>
      <c r="D2071" s="57" t="n"/>
      <c r="E2071" s="57" t="n"/>
    </row>
    <row r="2072" ht="44" customHeight="1">
      <c r="A2072" s="47" t="inlineStr">
        <is>
          <t>Giữ nguyên</t>
        </is>
      </c>
      <c r="B2072" s="56" t="inlineStr">
        <is>
          <t>• Giữ điểm, cấu hình và đối tượng không đích theo expected;
• Chỉ thay phần thủ tục yêu cầu, không tự đổi oracle hoặc mở rộng phạm vi.</t>
        </is>
      </c>
      <c r="C2072" s="57" t="n"/>
      <c r="D2072" s="57" t="n"/>
      <c r="E2072" s="57" t="n"/>
    </row>
    <row r="2073" ht="61" customHeight="1">
      <c r="A2073" s="47" t="inlineStr">
        <is>
          <t>Quan sát tại</t>
        </is>
      </c>
      <c r="B2073" s="56" t="inlineStr">
        <is>
          <t>• Dùng trích xuất không lọc để thấy cả ô đối chứng. Trạng thái không có dấu đỏ cần đọc thêm trạng thái lưu;
• Output Excel/PDF dùng file thật.</t>
        </is>
      </c>
      <c r="C2073" s="57" t="n"/>
      <c r="D2073" s="57" t="n"/>
      <c r="E2073" s="57" t="n"/>
    </row>
    <row r="2074" ht="30" customHeight="1">
      <c r="A2074" s="58" t="inlineStr">
        <is>
          <t>Kết quả thực tế</t>
        </is>
      </c>
      <c r="B2074" s="59" t="n"/>
      <c r="C2074" s="59" t="n"/>
      <c r="D2074" s="59" t="n"/>
      <c r="E2074" s="59" t="n"/>
    </row>
    <row r="2075" ht="30" customHeight="1">
      <c r="A2075" s="60" t="inlineStr">
        <is>
          <t>TC-RS-VAL-013 / times150</t>
        </is>
      </c>
      <c r="B2075" s="36" t="n"/>
      <c r="C2075" s="36" t="n"/>
      <c r="D2075" s="36" t="n"/>
      <c r="E2075" s="36" t="n"/>
    </row>
    <row r="2076" ht="30" customHeight="1">
      <c r="A2076" s="47" t="inlineStr">
        <is>
          <t>Dữ liệu biến thể</t>
        </is>
      </c>
      <c r="B2076" s="56" t="inlineStr">
        <is>
          <t>Nhân 150</t>
        </is>
      </c>
      <c r="C2076" s="57" t="n"/>
      <c r="D2076" s="57" t="n"/>
      <c r="E2076" s="57" t="n"/>
    </row>
    <row r="2077" ht="30" customHeight="1">
      <c r="A2077" s="47" t="inlineStr">
        <is>
          <t>Trạng thái</t>
        </is>
      </c>
      <c r="B2077" s="61" t="inlineStr">
        <is>
          <t>Chưa thực hiện</t>
        </is>
      </c>
      <c r="C2077" s="57" t="n"/>
      <c r="D2077" s="57" t="n"/>
      <c r="E2077" s="57" t="n"/>
    </row>
    <row r="2078" ht="30" customHeight="1">
      <c r="A2078" s="62" t="inlineStr">
        <is>
          <t>Kết quả thực tế</t>
        </is>
      </c>
    </row>
    <row r="2079" ht="64" customHeight="1">
      <c r="A2079" s="63" t="inlineStr"/>
      <c r="B2079" s="64" t="n"/>
      <c r="C2079" s="64" t="n"/>
      <c r="D2079" s="64" t="n"/>
      <c r="E2079" s="65" t="n"/>
    </row>
    <row r="2080" ht="30" customHeight="1">
      <c r="A2080" s="62" t="inlineStr">
        <is>
          <t>Ảnh minh chứng</t>
        </is>
      </c>
    </row>
    <row r="2081" ht="90" customHeight="1">
      <c r="A2081" s="63" t="inlineStr"/>
      <c r="B2081" s="64" t="n"/>
      <c r="C2081" s="64" t="n"/>
      <c r="D2081" s="64" t="n"/>
      <c r="E2081" s="65" t="n"/>
    </row>
    <row r="2082" ht="12" customHeight="1">
      <c r="A2082" s="66" t="inlineStr"/>
    </row>
    <row r="2083" ht="30" customHeight="1">
      <c r="A2083" s="60" t="inlineStr">
        <is>
          <t>TC-RS-VAL-013 / times05</t>
        </is>
      </c>
      <c r="B2083" s="36" t="n"/>
      <c r="C2083" s="36" t="n"/>
      <c r="D2083" s="36" t="n"/>
      <c r="E2083" s="36" t="n"/>
    </row>
    <row r="2084" ht="30" customHeight="1">
      <c r="A2084" s="47" t="inlineStr">
        <is>
          <t>Dữ liệu biến thể</t>
        </is>
      </c>
      <c r="B2084" s="56" t="inlineStr">
        <is>
          <t>Nhân 0.5</t>
        </is>
      </c>
      <c r="C2084" s="57" t="n"/>
      <c r="D2084" s="57" t="n"/>
      <c r="E2084" s="57" t="n"/>
    </row>
    <row r="2085" ht="30" customHeight="1">
      <c r="A2085" s="47" t="inlineStr">
        <is>
          <t>Trạng thái</t>
        </is>
      </c>
      <c r="B2085" s="61" t="inlineStr">
        <is>
          <t>Chưa thực hiện</t>
        </is>
      </c>
      <c r="C2085" s="57" t="n"/>
      <c r="D2085" s="57" t="n"/>
      <c r="E2085" s="57" t="n"/>
    </row>
    <row r="2086" ht="30" customHeight="1">
      <c r="A2086" s="62" t="inlineStr">
        <is>
          <t>Kết quả thực tế</t>
        </is>
      </c>
    </row>
    <row r="2087" ht="64" customHeight="1">
      <c r="A2087" s="63" t="inlineStr"/>
      <c r="B2087" s="64" t="n"/>
      <c r="C2087" s="64" t="n"/>
      <c r="D2087" s="64" t="n"/>
      <c r="E2087" s="65" t="n"/>
    </row>
    <row r="2088" ht="30" customHeight="1">
      <c r="A2088" s="62" t="inlineStr">
        <is>
          <t>Ảnh minh chứng</t>
        </is>
      </c>
    </row>
    <row r="2089" ht="90" customHeight="1">
      <c r="A2089" s="63" t="inlineStr"/>
      <c r="B2089" s="64" t="n"/>
      <c r="C2089" s="64" t="n"/>
      <c r="D2089" s="64" t="n"/>
      <c r="E2089" s="65" t="n"/>
    </row>
    <row r="2090" ht="12" customHeight="1">
      <c r="A2090" s="66" t="inlineStr"/>
    </row>
    <row r="2091" ht="30" customHeight="1">
      <c r="A2091" s="60" t="inlineStr">
        <is>
          <t>TC-RS-VAL-013 / minus150</t>
        </is>
      </c>
      <c r="B2091" s="36" t="n"/>
      <c r="C2091" s="36" t="n"/>
      <c r="D2091" s="36" t="n"/>
      <c r="E2091" s="36" t="n"/>
    </row>
    <row r="2092" ht="30" customHeight="1">
      <c r="A2092" s="47" t="inlineStr">
        <is>
          <t>Dữ liệu biến thể</t>
        </is>
      </c>
      <c r="B2092" s="56" t="inlineStr">
        <is>
          <t>Trừ 150</t>
        </is>
      </c>
      <c r="C2092" s="57" t="n"/>
      <c r="D2092" s="57" t="n"/>
      <c r="E2092" s="57" t="n"/>
    </row>
    <row r="2093" ht="30" customHeight="1">
      <c r="A2093" s="47" t="inlineStr">
        <is>
          <t>Trạng thái</t>
        </is>
      </c>
      <c r="B2093" s="61" t="inlineStr">
        <is>
          <t>Chưa thực hiện</t>
        </is>
      </c>
      <c r="C2093" s="57" t="n"/>
      <c r="D2093" s="57" t="n"/>
      <c r="E2093" s="57" t="n"/>
    </row>
    <row r="2094" ht="30" customHeight="1">
      <c r="A2094" s="62" t="inlineStr">
        <is>
          <t>Kết quả thực tế</t>
        </is>
      </c>
    </row>
    <row r="2095" ht="64" customHeight="1">
      <c r="A2095" s="63" t="inlineStr"/>
      <c r="B2095" s="64" t="n"/>
      <c r="C2095" s="64" t="n"/>
      <c r="D2095" s="64" t="n"/>
      <c r="E2095" s="65" t="n"/>
    </row>
    <row r="2096" ht="30" customHeight="1">
      <c r="A2096" s="62" t="inlineStr">
        <is>
          <t>Ảnh minh chứng</t>
        </is>
      </c>
    </row>
    <row r="2097" ht="90" customHeight="1">
      <c r="A2097" s="63" t="inlineStr"/>
      <c r="B2097" s="64" t="n"/>
      <c r="C2097" s="64" t="n"/>
      <c r="D2097" s="64" t="n"/>
      <c r="E2097" s="65" t="n"/>
    </row>
    <row r="2098" ht="12" customHeight="1">
      <c r="A2098" s="66" t="inlineStr"/>
    </row>
    <row r="2099" ht="20" customHeight="1">
      <c r="A2099" s="66" t="inlineStr"/>
    </row>
    <row r="2100" ht="30" customHeight="1">
      <c r="A2100" s="46" t="inlineStr">
        <is>
          <t>TC-RS-VAL-019 — Cảnh báo ngưỡng biên không chặn lưu</t>
        </is>
      </c>
      <c r="B2100" s="23" t="n"/>
      <c r="C2100" s="23" t="n"/>
      <c r="D2100" s="23" t="n"/>
      <c r="E2100" s="23" t="n"/>
    </row>
    <row r="2101" ht="30" customHeight="1">
      <c r="A2101" s="47" t="inlineStr">
        <is>
          <t>Trạng thái</t>
        </is>
      </c>
      <c r="B2101" s="56">
        <f>IF(0&gt;0,"Không đạt",IF(0=7,"Đạt",IF(SUMPRODUCT(--EXACT('Testcases'!B2121:B2169,"Không thực hiện"))=7,"Không thực hiện",IF(SUMPRODUCT(--EXACT('Testcases'!B2121:B2169,"Bị chặn"))&gt;0,"Bị chặn",IF(SUMPRODUCT(--EXACT('Testcases'!B2121:B2169,"Chưa thực hiện"))=7,"Chưa thực hiện","Chưa đủ kết luận")))))</f>
        <v/>
      </c>
      <c r="C2101" s="57" t="n"/>
      <c r="D2101" s="57" t="n"/>
      <c r="E2101" s="57" t="n"/>
    </row>
    <row r="2102" ht="30" customHeight="1">
      <c r="A2102" s="47" t="inlineStr">
        <is>
          <t>Màn hình / chức năng</t>
        </is>
      </c>
      <c r="B2102" s="47" t="inlineStr">
        <is>
          <t>Thiết lập ngưỡng（基準設定）</t>
        </is>
      </c>
      <c r="C2102" s="57" t="n"/>
      <c r="D2102" s="47" t="inlineStr">
        <is>
          <t>Đường dẫn</t>
        </is>
      </c>
      <c r="E2102" s="56" t="inlineStr">
        <is>
          <t>Chưa xác minh</t>
        </is>
      </c>
    </row>
    <row r="2103" ht="30" customHeight="1">
      <c r="A2103" s="58" t="inlineStr">
        <is>
          <t>Điều kiện kiểm thử</t>
        </is>
      </c>
      <c r="B2103" s="59" t="n"/>
      <c r="C2103" s="59" t="n"/>
      <c r="D2103" s="59" t="n"/>
      <c r="E2103" s="59" t="n"/>
    </row>
    <row r="2104" ht="30" customHeight="1">
      <c r="A2104" s="47" t="inlineStr">
        <is>
          <t>Cấu hình</t>
        </is>
      </c>
      <c r="B2104" s="56" t="inlineStr">
        <is>
          <t>• Mục số nguyên (M=100).</t>
        </is>
      </c>
      <c r="C2104" s="57" t="n"/>
      <c r="D2104" s="57" t="n"/>
      <c r="E2104" s="57" t="n"/>
    </row>
    <row r="2105" ht="61" customHeight="1">
      <c r="A2105" s="47" t="inlineStr">
        <is>
          <t>Vai trò / quyền</t>
        </is>
      </c>
      <c r="B210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105" s="57" t="n"/>
      <c r="D2105" s="57" t="n"/>
      <c r="E2105" s="57" t="n"/>
    </row>
    <row r="2106" ht="78" customHeight="1">
      <c r="A2106" s="47" t="inlineStr">
        <is>
          <t>Dữ liệu test</t>
        </is>
      </c>
      <c r="B2106" s="56" t="inlineStr">
        <is>
          <t>• Mục số nguyên (M=100);
• Cố định N=0 và N=100, mỗi giá trị với [&lt;] và [≤];
• Tỷ lệ N=0, N=100;
• Tỷ lệ N=0.4 với Làm tròn（四捨五入） (ra [T=0])</t>
        </is>
      </c>
      <c r="C2106" s="57" t="n"/>
      <c r="D2106" s="57" t="n"/>
      <c r="E2106" s="57" t="n"/>
    </row>
    <row r="2107" ht="30" customHeight="1">
      <c r="A2107" s="47" t="inlineStr">
        <is>
          <t>Trigger</t>
        </is>
      </c>
      <c r="B2107" s="56" t="inlineStr">
        <is>
          <t>• Chỉ xem/xuất không tự chạy xét.</t>
        </is>
      </c>
      <c r="C2107" s="57" t="n"/>
      <c r="D2107" s="57" t="n"/>
      <c r="E2107" s="57" t="n"/>
    </row>
    <row r="2108" ht="44" customHeight="1">
      <c r="A2108" s="47" t="inlineStr">
        <is>
          <t>Blocker</t>
        </is>
      </c>
      <c r="B2108" s="56" t="inlineStr">
        <is>
          <t>• G-PREP-UNASSESSED: Chưa có xác minh fixture, đường thực hiện và phép quan sát trên build của từng case chưa đánh giá.</t>
        </is>
      </c>
      <c r="C2108" s="57" t="n"/>
      <c r="D2108" s="57" t="n"/>
      <c r="E2108" s="57" t="n"/>
    </row>
    <row r="2109" ht="30" customHeight="1">
      <c r="A2109" s="58" t="inlineStr">
        <is>
          <t>Thao tác</t>
        </is>
      </c>
      <c r="B2109" s="59" t="n"/>
      <c r="C2109" s="59" t="n"/>
      <c r="D2109" s="59" t="n"/>
      <c r="E2109" s="59" t="n"/>
    </row>
    <row r="2110" ht="30" customHeight="1">
      <c r="A2110" s="47" t="inlineStr">
        <is>
          <t>•</t>
        </is>
      </c>
      <c r="B2110" s="56" t="inlineStr">
        <is>
          <t>Nhập từng giá trị, Lưu, mở lại.</t>
        </is>
      </c>
      <c r="C2110" s="57" t="n"/>
      <c r="D2110" s="57" t="n"/>
      <c r="E2110" s="57" t="n"/>
    </row>
    <row r="2111" ht="44" customHeight="1">
      <c r="A2111" s="47" t="inlineStr">
        <is>
          <t>Reset</t>
        </is>
      </c>
      <c r="B2111" s="56" t="inlineStr">
        <is>
          <t>Trước mỗi biến thể, dựng lại điều kiện/dữ liệu đầu của case bằng đường được phép; giữ các reset/fixture độc lập đã nêu trong thủ tục.</t>
        </is>
      </c>
      <c r="C2111" s="57" t="n"/>
      <c r="D2111" s="57" t="n"/>
      <c r="E2111" s="57" t="n"/>
    </row>
    <row r="2112" ht="30" customHeight="1">
      <c r="A2112" s="58" t="inlineStr">
        <is>
          <t>Kết quả mong đợi</t>
        </is>
      </c>
      <c r="B2112" s="59" t="n"/>
      <c r="C2112" s="59" t="n"/>
      <c r="D2112" s="59" t="n"/>
      <c r="E2112" s="59" t="n"/>
    </row>
    <row r="2113" ht="44" customHeight="1">
      <c r="A2113" s="47" t="inlineStr">
        <is>
          <t>1.</t>
        </is>
      </c>
      <c r="B2113" s="56" t="inlineStr">
        <is>
          <t>Cảnh báo theo [T] cuối và dấu: [&lt;0] (không ai đỏ) và [≤100] (mọi điểm hợp lệ đỏ) phải có cảnh báo; các tổ hợp biên khác theo thiết kế.</t>
        </is>
      </c>
      <c r="C2113" s="57" t="n"/>
      <c r="D2113" s="57" t="n"/>
      <c r="E2113" s="57" t="n"/>
    </row>
    <row r="2114" ht="30" customHeight="1">
      <c r="A2114" s="47" t="inlineStr">
        <is>
          <t>2.</t>
        </is>
      </c>
      <c r="B2114" s="56" t="inlineStr">
        <is>
          <t>Tỷ lệ 0.4 làm tròn ra [T=0]: cảnh báo xét theo [T=0], không theo giá trị nhập 0.4.</t>
        </is>
      </c>
      <c r="C2114" s="57" t="n"/>
      <c r="D2114" s="57" t="n"/>
      <c r="E2114" s="57" t="n"/>
    </row>
    <row r="2115" ht="30" customHeight="1">
      <c r="A2115" s="47" t="inlineStr">
        <is>
          <t>3.</t>
        </is>
      </c>
      <c r="B2115" s="56" t="inlineStr">
        <is>
          <t>Cảnh báo không chặn lưu; mở lại, giá trị đã lưu giữ nguyên (không tự đổi thành giá trị khác).</t>
        </is>
      </c>
      <c r="C2115" s="57" t="n"/>
      <c r="D2115" s="57" t="n"/>
      <c r="E2115" s="57" t="n"/>
    </row>
    <row r="2116" ht="44" customHeight="1">
      <c r="A2116" s="47" t="inlineStr">
        <is>
          <t>Giữ nguyên</t>
        </is>
      </c>
      <c r="B2116" s="56" t="inlineStr">
        <is>
          <t>• Giữ điểm, cấu hình và đối tượng không đích theo expected;
• Chỉ thay phần thủ tục yêu cầu, không tự đổi oracle hoặc mở rộng phạm vi.</t>
        </is>
      </c>
      <c r="C2116" s="57" t="n"/>
      <c r="D2116" s="57" t="n"/>
      <c r="E2116" s="57" t="n"/>
    </row>
    <row r="2117" ht="61" customHeight="1">
      <c r="A2117" s="47" t="inlineStr">
        <is>
          <t>Quan sát tại</t>
        </is>
      </c>
      <c r="B2117" s="56" t="inlineStr">
        <is>
          <t>• Dùng trích xuất không lọc để thấy cả ô đối chứng. Trạng thái không có dấu đỏ cần đọc thêm trạng thái lưu;
• Output Excel/PDF dùng file thật.</t>
        </is>
      </c>
      <c r="C2117" s="57" t="n"/>
      <c r="D2117" s="57" t="n"/>
      <c r="E2117" s="57" t="n"/>
    </row>
    <row r="2118" ht="30" customHeight="1">
      <c r="A2118" s="58" t="inlineStr">
        <is>
          <t>Kết quả thực tế</t>
        </is>
      </c>
      <c r="B2118" s="59" t="n"/>
      <c r="C2118" s="59" t="n"/>
      <c r="D2118" s="59" t="n"/>
      <c r="E2118" s="59" t="n"/>
    </row>
    <row r="2119" ht="30" customHeight="1">
      <c r="A2119" s="60" t="inlineStr">
        <is>
          <t>TC-RS-VAL-019 / fixed0-lt</t>
        </is>
      </c>
      <c r="B2119" s="36" t="n"/>
      <c r="C2119" s="36" t="n"/>
      <c r="D2119" s="36" t="n"/>
      <c r="E2119" s="36" t="n"/>
    </row>
    <row r="2120" ht="30" customHeight="1">
      <c r="A2120" s="47" t="inlineStr">
        <is>
          <t>Dữ liệu biến thể</t>
        </is>
      </c>
      <c r="B2120" s="56" t="inlineStr">
        <is>
          <t>Cố định 0 nhỏ hơn</t>
        </is>
      </c>
      <c r="C2120" s="57" t="n"/>
      <c r="D2120" s="57" t="n"/>
      <c r="E2120" s="57" t="n"/>
    </row>
    <row r="2121" ht="30" customHeight="1">
      <c r="A2121" s="47" t="inlineStr">
        <is>
          <t>Trạng thái</t>
        </is>
      </c>
      <c r="B2121" s="61" t="inlineStr">
        <is>
          <t>Chưa thực hiện</t>
        </is>
      </c>
      <c r="C2121" s="57" t="n"/>
      <c r="D2121" s="57" t="n"/>
      <c r="E2121" s="57" t="n"/>
    </row>
    <row r="2122" ht="30" customHeight="1">
      <c r="A2122" s="62" t="inlineStr">
        <is>
          <t>Kết quả thực tế</t>
        </is>
      </c>
    </row>
    <row r="2123" ht="64" customHeight="1">
      <c r="A2123" s="63" t="inlineStr"/>
      <c r="B2123" s="64" t="n"/>
      <c r="C2123" s="64" t="n"/>
      <c r="D2123" s="64" t="n"/>
      <c r="E2123" s="65" t="n"/>
    </row>
    <row r="2124" ht="30" customHeight="1">
      <c r="A2124" s="62" t="inlineStr">
        <is>
          <t>Ảnh minh chứng</t>
        </is>
      </c>
    </row>
    <row r="2125" ht="90" customHeight="1">
      <c r="A2125" s="63" t="inlineStr"/>
      <c r="B2125" s="64" t="n"/>
      <c r="C2125" s="64" t="n"/>
      <c r="D2125" s="64" t="n"/>
      <c r="E2125" s="65" t="n"/>
    </row>
    <row r="2126" ht="12" customHeight="1">
      <c r="A2126" s="66" t="inlineStr"/>
    </row>
    <row r="2127" ht="30" customHeight="1">
      <c r="A2127" s="60" t="inlineStr">
        <is>
          <t>TC-RS-VAL-019 / fixed0-le</t>
        </is>
      </c>
      <c r="B2127" s="36" t="n"/>
      <c r="C2127" s="36" t="n"/>
      <c r="D2127" s="36" t="n"/>
      <c r="E2127" s="36" t="n"/>
    </row>
    <row r="2128" ht="30" customHeight="1">
      <c r="A2128" s="47" t="inlineStr">
        <is>
          <t>Dữ liệu biến thể</t>
        </is>
      </c>
      <c r="B2128" s="56" t="inlineStr">
        <is>
          <t>Cố định 0 nhỏ hơn hoặc bằng</t>
        </is>
      </c>
      <c r="C2128" s="57" t="n"/>
      <c r="D2128" s="57" t="n"/>
      <c r="E2128" s="57" t="n"/>
    </row>
    <row r="2129" ht="30" customHeight="1">
      <c r="A2129" s="47" t="inlineStr">
        <is>
          <t>Trạng thái</t>
        </is>
      </c>
      <c r="B2129" s="61" t="inlineStr">
        <is>
          <t>Chưa thực hiện</t>
        </is>
      </c>
      <c r="C2129" s="57" t="n"/>
      <c r="D2129" s="57" t="n"/>
      <c r="E2129" s="57" t="n"/>
    </row>
    <row r="2130" ht="30" customHeight="1">
      <c r="A2130" s="62" t="inlineStr">
        <is>
          <t>Kết quả thực tế</t>
        </is>
      </c>
    </row>
    <row r="2131" ht="64" customHeight="1">
      <c r="A2131" s="63" t="inlineStr"/>
      <c r="B2131" s="64" t="n"/>
      <c r="C2131" s="64" t="n"/>
      <c r="D2131" s="64" t="n"/>
      <c r="E2131" s="65" t="n"/>
    </row>
    <row r="2132" ht="30" customHeight="1">
      <c r="A2132" s="62" t="inlineStr">
        <is>
          <t>Ảnh minh chứng</t>
        </is>
      </c>
    </row>
    <row r="2133" ht="90" customHeight="1">
      <c r="A2133" s="63" t="inlineStr"/>
      <c r="B2133" s="64" t="n"/>
      <c r="C2133" s="64" t="n"/>
      <c r="D2133" s="64" t="n"/>
      <c r="E2133" s="65" t="n"/>
    </row>
    <row r="2134" ht="12" customHeight="1">
      <c r="A2134" s="66" t="inlineStr"/>
    </row>
    <row r="2135" ht="30" customHeight="1">
      <c r="A2135" s="60" t="inlineStr">
        <is>
          <t>TC-RS-VAL-019 / fixed100-lt</t>
        </is>
      </c>
      <c r="B2135" s="36" t="n"/>
      <c r="C2135" s="36" t="n"/>
      <c r="D2135" s="36" t="n"/>
      <c r="E2135" s="36" t="n"/>
    </row>
    <row r="2136" ht="30" customHeight="1">
      <c r="A2136" s="47" t="inlineStr">
        <is>
          <t>Dữ liệu biến thể</t>
        </is>
      </c>
      <c r="B2136" s="56" t="inlineStr">
        <is>
          <t>Cố định 100 nhỏ hơn</t>
        </is>
      </c>
      <c r="C2136" s="57" t="n"/>
      <c r="D2136" s="57" t="n"/>
      <c r="E2136" s="57" t="n"/>
    </row>
    <row r="2137" ht="30" customHeight="1">
      <c r="A2137" s="47" t="inlineStr">
        <is>
          <t>Trạng thái</t>
        </is>
      </c>
      <c r="B2137" s="61" t="inlineStr">
        <is>
          <t>Chưa thực hiện</t>
        </is>
      </c>
      <c r="C2137" s="57" t="n"/>
      <c r="D2137" s="57" t="n"/>
      <c r="E2137" s="57" t="n"/>
    </row>
    <row r="2138" ht="30" customHeight="1">
      <c r="A2138" s="62" t="inlineStr">
        <is>
          <t>Kết quả thực tế</t>
        </is>
      </c>
    </row>
    <row r="2139" ht="64" customHeight="1">
      <c r="A2139" s="63" t="inlineStr"/>
      <c r="B2139" s="64" t="n"/>
      <c r="C2139" s="64" t="n"/>
      <c r="D2139" s="64" t="n"/>
      <c r="E2139" s="65" t="n"/>
    </row>
    <row r="2140" ht="30" customHeight="1">
      <c r="A2140" s="62" t="inlineStr">
        <is>
          <t>Ảnh minh chứng</t>
        </is>
      </c>
    </row>
    <row r="2141" ht="90" customHeight="1">
      <c r="A2141" s="63" t="inlineStr"/>
      <c r="B2141" s="64" t="n"/>
      <c r="C2141" s="64" t="n"/>
      <c r="D2141" s="64" t="n"/>
      <c r="E2141" s="65" t="n"/>
    </row>
    <row r="2142" ht="12" customHeight="1">
      <c r="A2142" s="66" t="inlineStr"/>
    </row>
    <row r="2143" ht="30" customHeight="1">
      <c r="A2143" s="60" t="inlineStr">
        <is>
          <t>TC-RS-VAL-019 / fixed100-le</t>
        </is>
      </c>
      <c r="B2143" s="36" t="n"/>
      <c r="C2143" s="36" t="n"/>
      <c r="D2143" s="36" t="n"/>
      <c r="E2143" s="36" t="n"/>
    </row>
    <row r="2144" ht="30" customHeight="1">
      <c r="A2144" s="47" t="inlineStr">
        <is>
          <t>Dữ liệu biến thể</t>
        </is>
      </c>
      <c r="B2144" s="56" t="inlineStr">
        <is>
          <t>Cố định 100 nhỏ hơn hoặc bằng</t>
        </is>
      </c>
      <c r="C2144" s="57" t="n"/>
      <c r="D2144" s="57" t="n"/>
      <c r="E2144" s="57" t="n"/>
    </row>
    <row r="2145" ht="30" customHeight="1">
      <c r="A2145" s="47" t="inlineStr">
        <is>
          <t>Trạng thái</t>
        </is>
      </c>
      <c r="B2145" s="61" t="inlineStr">
        <is>
          <t>Chưa thực hiện</t>
        </is>
      </c>
      <c r="C2145" s="57" t="n"/>
      <c r="D2145" s="57" t="n"/>
      <c r="E2145" s="57" t="n"/>
    </row>
    <row r="2146" ht="30" customHeight="1">
      <c r="A2146" s="62" t="inlineStr">
        <is>
          <t>Kết quả thực tế</t>
        </is>
      </c>
    </row>
    <row r="2147" ht="64" customHeight="1">
      <c r="A2147" s="63" t="inlineStr"/>
      <c r="B2147" s="64" t="n"/>
      <c r="C2147" s="64" t="n"/>
      <c r="D2147" s="64" t="n"/>
      <c r="E2147" s="65" t="n"/>
    </row>
    <row r="2148" ht="30" customHeight="1">
      <c r="A2148" s="62" t="inlineStr">
        <is>
          <t>Ảnh minh chứng</t>
        </is>
      </c>
    </row>
    <row r="2149" ht="90" customHeight="1">
      <c r="A2149" s="63" t="inlineStr"/>
      <c r="B2149" s="64" t="n"/>
      <c r="C2149" s="64" t="n"/>
      <c r="D2149" s="64" t="n"/>
      <c r="E2149" s="65" t="n"/>
    </row>
    <row r="2150" ht="12" customHeight="1">
      <c r="A2150" s="66" t="inlineStr"/>
    </row>
    <row r="2151" ht="30" customHeight="1">
      <c r="A2151" s="60" t="inlineStr">
        <is>
          <t>TC-RS-VAL-019 / ratio0</t>
        </is>
      </c>
      <c r="B2151" s="36" t="n"/>
      <c r="C2151" s="36" t="n"/>
      <c r="D2151" s="36" t="n"/>
      <c r="E2151" s="36" t="n"/>
    </row>
    <row r="2152" ht="30" customHeight="1">
      <c r="A2152" s="47" t="inlineStr">
        <is>
          <t>Dữ liệu biến thể</t>
        </is>
      </c>
      <c r="B2152" s="56" t="inlineStr">
        <is>
          <t>Tỷ lệ 0, dấu nhỏ hơn, không xử lý phần lẻ: T=0, có cảnh báo</t>
        </is>
      </c>
      <c r="C2152" s="57" t="n"/>
      <c r="D2152" s="57" t="n"/>
      <c r="E2152" s="57" t="n"/>
    </row>
    <row r="2153" ht="30" customHeight="1">
      <c r="A2153" s="47" t="inlineStr">
        <is>
          <t>Trạng thái</t>
        </is>
      </c>
      <c r="B2153" s="61" t="inlineStr">
        <is>
          <t>Chưa thực hiện</t>
        </is>
      </c>
      <c r="C2153" s="57" t="n"/>
      <c r="D2153" s="57" t="n"/>
      <c r="E2153" s="57" t="n"/>
    </row>
    <row r="2154" ht="30" customHeight="1">
      <c r="A2154" s="62" t="inlineStr">
        <is>
          <t>Kết quả thực tế</t>
        </is>
      </c>
    </row>
    <row r="2155" ht="64" customHeight="1">
      <c r="A2155" s="63" t="inlineStr"/>
      <c r="B2155" s="64" t="n"/>
      <c r="C2155" s="64" t="n"/>
      <c r="D2155" s="64" t="n"/>
      <c r="E2155" s="65" t="n"/>
    </row>
    <row r="2156" ht="30" customHeight="1">
      <c r="A2156" s="62" t="inlineStr">
        <is>
          <t>Ảnh minh chứng</t>
        </is>
      </c>
    </row>
    <row r="2157" ht="90" customHeight="1">
      <c r="A2157" s="63" t="inlineStr"/>
      <c r="B2157" s="64" t="n"/>
      <c r="C2157" s="64" t="n"/>
      <c r="D2157" s="64" t="n"/>
      <c r="E2157" s="65" t="n"/>
    </row>
    <row r="2158" ht="12" customHeight="1">
      <c r="A2158" s="66" t="inlineStr"/>
    </row>
    <row r="2159" ht="30" customHeight="1">
      <c r="A2159" s="60" t="inlineStr">
        <is>
          <t>TC-RS-VAL-019 / ratio100</t>
        </is>
      </c>
      <c r="B2159" s="36" t="n"/>
      <c r="C2159" s="36" t="n"/>
      <c r="D2159" s="36" t="n"/>
      <c r="E2159" s="36" t="n"/>
    </row>
    <row r="2160" ht="30" customHeight="1">
      <c r="A2160" s="47" t="inlineStr">
        <is>
          <t>Dữ liệu biến thể</t>
        </is>
      </c>
      <c r="B2160" s="56" t="inlineStr">
        <is>
          <t>Tỷ lệ 100, dấu nhỏ hơn hoặc bằng, không xử lý phần lẻ: T=100, có cảnh báo</t>
        </is>
      </c>
      <c r="C2160" s="57" t="n"/>
      <c r="D2160" s="57" t="n"/>
      <c r="E2160" s="57" t="n"/>
    </row>
    <row r="2161" ht="30" customHeight="1">
      <c r="A2161" s="47" t="inlineStr">
        <is>
          <t>Trạng thái</t>
        </is>
      </c>
      <c r="B2161" s="61" t="inlineStr">
        <is>
          <t>Chưa thực hiện</t>
        </is>
      </c>
      <c r="C2161" s="57" t="n"/>
      <c r="D2161" s="57" t="n"/>
      <c r="E2161" s="57" t="n"/>
    </row>
    <row r="2162" ht="30" customHeight="1">
      <c r="A2162" s="62" t="inlineStr">
        <is>
          <t>Kết quả thực tế</t>
        </is>
      </c>
    </row>
    <row r="2163" ht="64" customHeight="1">
      <c r="A2163" s="63" t="inlineStr"/>
      <c r="B2163" s="64" t="n"/>
      <c r="C2163" s="64" t="n"/>
      <c r="D2163" s="64" t="n"/>
      <c r="E2163" s="65" t="n"/>
    </row>
    <row r="2164" ht="30" customHeight="1">
      <c r="A2164" s="62" t="inlineStr">
        <is>
          <t>Ảnh minh chứng</t>
        </is>
      </c>
    </row>
    <row r="2165" ht="90" customHeight="1">
      <c r="A2165" s="63" t="inlineStr"/>
      <c r="B2165" s="64" t="n"/>
      <c r="C2165" s="64" t="n"/>
      <c r="D2165" s="64" t="n"/>
      <c r="E2165" s="65" t="n"/>
    </row>
    <row r="2166" ht="12" customHeight="1">
      <c r="A2166" s="66" t="inlineStr"/>
    </row>
    <row r="2167" ht="30" customHeight="1">
      <c r="A2167" s="60" t="inlineStr">
        <is>
          <t>TC-RS-VAL-019 / ratio04</t>
        </is>
      </c>
      <c r="B2167" s="36" t="n"/>
      <c r="C2167" s="36" t="n"/>
      <c r="D2167" s="36" t="n"/>
      <c r="E2167" s="36" t="n"/>
    </row>
    <row r="2168" ht="30" customHeight="1">
      <c r="A2168" s="47" t="inlineStr">
        <is>
          <t>Dữ liệu biến thể</t>
        </is>
      </c>
      <c r="B2168" s="56" t="inlineStr">
        <is>
          <t>Tỷ lệ 0.4, dấu nhỏ hơn, làm tròn gần nhất p=1: T=0, có cảnh báo</t>
        </is>
      </c>
      <c r="C2168" s="57" t="n"/>
      <c r="D2168" s="57" t="n"/>
      <c r="E2168" s="57" t="n"/>
    </row>
    <row r="2169" ht="30" customHeight="1">
      <c r="A2169" s="47" t="inlineStr">
        <is>
          <t>Trạng thái</t>
        </is>
      </c>
      <c r="B2169" s="61" t="inlineStr">
        <is>
          <t>Chưa thực hiện</t>
        </is>
      </c>
      <c r="C2169" s="57" t="n"/>
      <c r="D2169" s="57" t="n"/>
      <c r="E2169" s="57" t="n"/>
    </row>
    <row r="2170" ht="30" customHeight="1">
      <c r="A2170" s="62" t="inlineStr">
        <is>
          <t>Kết quả thực tế</t>
        </is>
      </c>
    </row>
    <row r="2171" ht="64" customHeight="1">
      <c r="A2171" s="63" t="inlineStr"/>
      <c r="B2171" s="64" t="n"/>
      <c r="C2171" s="64" t="n"/>
      <c r="D2171" s="64" t="n"/>
      <c r="E2171" s="65" t="n"/>
    </row>
    <row r="2172" ht="30" customHeight="1">
      <c r="A2172" s="62" t="inlineStr">
        <is>
          <t>Ảnh minh chứng</t>
        </is>
      </c>
    </row>
    <row r="2173" ht="90" customHeight="1">
      <c r="A2173" s="63" t="inlineStr"/>
      <c r="B2173" s="64" t="n"/>
      <c r="C2173" s="64" t="n"/>
      <c r="D2173" s="64" t="n"/>
      <c r="E2173" s="65" t="n"/>
    </row>
    <row r="2174" ht="12" customHeight="1">
      <c r="A2174" s="66" t="inlineStr"/>
    </row>
    <row r="2175" ht="20" customHeight="1">
      <c r="A2175" s="66" t="inlineStr"/>
    </row>
    <row r="2176" ht="30" customHeight="1">
      <c r="A2176" s="46" t="inlineStr">
        <is>
          <t>TC-RS-VAL-020 — Kết quả công thức âm hoặc vượt M không phải lỗi lưu</t>
        </is>
      </c>
      <c r="B2176" s="23" t="n"/>
      <c r="C2176" s="23" t="n"/>
      <c r="D2176" s="23" t="n"/>
      <c r="E2176" s="23" t="n"/>
    </row>
    <row r="2177" ht="30" customHeight="1">
      <c r="A2177" s="47" t="inlineStr">
        <is>
          <t>Trạng thái</t>
        </is>
      </c>
      <c r="B2177" s="56">
        <f>IF(0&gt;0,"Không đạt",IF(0=2,"Đạt",IF(SUMPRODUCT(--EXACT('Testcases'!B2195:B2203,"Không thực hiện"))=2,"Không thực hiện",IF(SUMPRODUCT(--EXACT('Testcases'!B2195:B2203,"Bị chặn"))&gt;0,"Bị chặn",IF(SUMPRODUCT(--EXACT('Testcases'!B2195:B2203,"Chưa thực hiện"))=2,"Chưa thực hiện","Chưa đủ kết luận")))))</f>
        <v/>
      </c>
      <c r="C2177" s="57" t="n"/>
      <c r="D2177" s="57" t="n"/>
      <c r="E2177" s="57" t="n"/>
    </row>
    <row r="2178" ht="30" customHeight="1">
      <c r="A2178" s="47" t="inlineStr">
        <is>
          <t>Màn hình / chức năng</t>
        </is>
      </c>
      <c r="B2178" s="47" t="inlineStr">
        <is>
          <t>Thiết lập ngưỡng（基準設定）</t>
        </is>
      </c>
      <c r="C2178" s="57" t="n"/>
      <c r="D2178" s="47" t="inlineStr">
        <is>
          <t>Đường dẫn</t>
        </is>
      </c>
      <c r="E2178" s="56" t="inlineStr">
        <is>
          <t>Chưa xác minh</t>
        </is>
      </c>
    </row>
    <row r="2179" ht="30" customHeight="1">
      <c r="A2179" s="58" t="inlineStr">
        <is>
          <t>Điều kiện kiểm thử</t>
        </is>
      </c>
      <c r="B2179" s="59" t="n"/>
      <c r="C2179" s="59" t="n"/>
      <c r="D2179" s="59" t="n"/>
      <c r="E2179" s="59" t="n"/>
    </row>
    <row r="2180" ht="30" customHeight="1">
      <c r="A2180" s="47" t="inlineStr">
        <is>
          <t>Cấu hình</t>
        </is>
      </c>
      <c r="B2180" s="56" t="inlineStr">
        <is>
          <t>• Loại Công thức tính（計算式）.</t>
        </is>
      </c>
      <c r="C2180" s="57" t="n"/>
      <c r="D2180" s="57" t="n"/>
      <c r="E2180" s="57" t="n"/>
    </row>
    <row r="2181" ht="61" customHeight="1">
      <c r="A2181" s="47" t="inlineStr">
        <is>
          <t>Vai trò / quyền</t>
        </is>
      </c>
      <c r="B218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181" s="57" t="n"/>
      <c r="D2181" s="57" t="n"/>
      <c r="E2181" s="57" t="n"/>
    </row>
    <row r="2182" ht="44" customHeight="1">
      <c r="A2182" s="47" t="inlineStr">
        <is>
          <t>Dữ liệu test</t>
        </is>
      </c>
      <c r="B2182" s="56" t="inlineStr">
        <is>
          <t>• Quy tắc công thức trung bình − 20 ([A−20]);
• Công thức [A × 3]</t>
        </is>
      </c>
      <c r="C2182" s="57" t="n"/>
      <c r="D2182" s="57" t="n"/>
      <c r="E2182" s="57" t="n"/>
    </row>
    <row r="2183" ht="30" customHeight="1">
      <c r="A2183" s="47" t="inlineStr">
        <is>
          <t>Trigger</t>
        </is>
      </c>
      <c r="B2183" s="56" t="inlineStr">
        <is>
          <t>• Chỉ xem/xuất không tự chạy xét.</t>
        </is>
      </c>
      <c r="C2183" s="57" t="n"/>
      <c r="D2183" s="57" t="n"/>
      <c r="E2183" s="57" t="n"/>
    </row>
    <row r="2184" ht="44" customHeight="1">
      <c r="A2184" s="47" t="inlineStr">
        <is>
          <t>Blocker</t>
        </is>
      </c>
      <c r="B2184" s="56" t="inlineStr">
        <is>
          <t>• G-PREP-UNASSESSED: Chưa có xác minh fixture, đường thực hiện và phép quan sát trên build của từng case chưa đánh giá.</t>
        </is>
      </c>
      <c r="C2184" s="57" t="n"/>
      <c r="D2184" s="57" t="n"/>
      <c r="E2184" s="57" t="n"/>
    </row>
    <row r="2185" ht="30" customHeight="1">
      <c r="A2185" s="58" t="inlineStr">
        <is>
          <t>Thao tác</t>
        </is>
      </c>
      <c r="B2185" s="59" t="n"/>
      <c r="C2185" s="59" t="n"/>
      <c r="D2185" s="59" t="n"/>
      <c r="E2185" s="59" t="n"/>
    </row>
    <row r="2186" ht="30" customHeight="1">
      <c r="A2186" s="47" t="inlineStr">
        <is>
          <t>•</t>
        </is>
      </c>
      <c r="B2186" s="56" t="inlineStr">
        <is>
          <t>Lưu từng công thức.</t>
        </is>
      </c>
      <c r="C2186" s="57" t="n"/>
      <c r="D2186" s="57" t="n"/>
      <c r="E2186" s="57" t="n"/>
    </row>
    <row r="2187" ht="44" customHeight="1">
      <c r="A2187" s="47" t="inlineStr">
        <is>
          <t>Reset</t>
        </is>
      </c>
      <c r="B2187" s="56" t="inlineStr">
        <is>
          <t>Trước mỗi biến thể, dựng lại điều kiện/dữ liệu đầu của case bằng đường được phép; giữ các reset/fixture độc lập đã nêu trong thủ tục.</t>
        </is>
      </c>
      <c r="C2187" s="57" t="n"/>
      <c r="D2187" s="57" t="n"/>
      <c r="E2187" s="57" t="n"/>
    </row>
    <row r="2188" ht="30" customHeight="1">
      <c r="A2188" s="58" t="inlineStr">
        <is>
          <t>Kết quả mong đợi</t>
        </is>
      </c>
      <c r="B2188" s="59" t="n"/>
      <c r="C2188" s="59" t="n"/>
      <c r="D2188" s="59" t="n"/>
      <c r="E2188" s="59" t="n"/>
    </row>
    <row r="2189" ht="30" customHeight="1">
      <c r="A2189" s="47" t="inlineStr">
        <is>
          <t>•</t>
        </is>
      </c>
      <c r="B2189" s="56" t="inlineStr">
        <is>
          <t>Lưu được; không kiểm [0≤T≤M] tại lúc lưu cho công thức.</t>
        </is>
      </c>
      <c r="C2189" s="57" t="n"/>
      <c r="D2189" s="57" t="n"/>
      <c r="E2189" s="57" t="n"/>
    </row>
    <row r="2190" ht="44" customHeight="1">
      <c r="A2190" s="47" t="inlineStr">
        <is>
          <t>Giữ nguyên</t>
        </is>
      </c>
      <c r="B2190" s="56" t="inlineStr">
        <is>
          <t>• Giữ điểm, cấu hình và đối tượng không đích theo expected;
• Chỉ thay phần thủ tục yêu cầu, không tự đổi oracle hoặc mở rộng phạm vi.</t>
        </is>
      </c>
      <c r="C2190" s="57" t="n"/>
      <c r="D2190" s="57" t="n"/>
      <c r="E2190" s="57" t="n"/>
    </row>
    <row r="2191" ht="61" customHeight="1">
      <c r="A2191" s="47" t="inlineStr">
        <is>
          <t>Quan sát tại</t>
        </is>
      </c>
      <c r="B2191" s="56" t="inlineStr">
        <is>
          <t>• Dùng trích xuất không lọc để thấy cả ô đối chứng. Trạng thái không có dấu đỏ cần đọc thêm trạng thái lưu;
• Output Excel/PDF dùng file thật.</t>
        </is>
      </c>
      <c r="C2191" s="57" t="n"/>
      <c r="D2191" s="57" t="n"/>
      <c r="E2191" s="57" t="n"/>
    </row>
    <row r="2192" ht="30" customHeight="1">
      <c r="A2192" s="58" t="inlineStr">
        <is>
          <t>Kết quả thực tế</t>
        </is>
      </c>
      <c r="B2192" s="59" t="n"/>
      <c r="C2192" s="59" t="n"/>
      <c r="D2192" s="59" t="n"/>
      <c r="E2192" s="59" t="n"/>
    </row>
    <row r="2193" ht="30" customHeight="1">
      <c r="A2193" s="60" t="inlineStr">
        <is>
          <t>TC-RS-VAL-020 / minus20</t>
        </is>
      </c>
      <c r="B2193" s="36" t="n"/>
      <c r="C2193" s="36" t="n"/>
      <c r="D2193" s="36" t="n"/>
      <c r="E2193" s="36" t="n"/>
    </row>
    <row r="2194" ht="30" customHeight="1">
      <c r="A2194" s="47" t="inlineStr">
        <is>
          <t>Dữ liệu biến thể</t>
        </is>
      </c>
      <c r="B2194" s="56" t="inlineStr">
        <is>
          <t>Trừ 20</t>
        </is>
      </c>
      <c r="C2194" s="57" t="n"/>
      <c r="D2194" s="57" t="n"/>
      <c r="E2194" s="57" t="n"/>
    </row>
    <row r="2195" ht="30" customHeight="1">
      <c r="A2195" s="47" t="inlineStr">
        <is>
          <t>Trạng thái</t>
        </is>
      </c>
      <c r="B2195" s="61" t="inlineStr">
        <is>
          <t>Chưa thực hiện</t>
        </is>
      </c>
      <c r="C2195" s="57" t="n"/>
      <c r="D2195" s="57" t="n"/>
      <c r="E2195" s="57" t="n"/>
    </row>
    <row r="2196" ht="30" customHeight="1">
      <c r="A2196" s="62" t="inlineStr">
        <is>
          <t>Kết quả thực tế</t>
        </is>
      </c>
    </row>
    <row r="2197" ht="64" customHeight="1">
      <c r="A2197" s="63" t="inlineStr"/>
      <c r="B2197" s="64" t="n"/>
      <c r="C2197" s="64" t="n"/>
      <c r="D2197" s="64" t="n"/>
      <c r="E2197" s="65" t="n"/>
    </row>
    <row r="2198" ht="30" customHeight="1">
      <c r="A2198" s="62" t="inlineStr">
        <is>
          <t>Ảnh minh chứng</t>
        </is>
      </c>
    </row>
    <row r="2199" ht="90" customHeight="1">
      <c r="A2199" s="63" t="inlineStr"/>
      <c r="B2199" s="64" t="n"/>
      <c r="C2199" s="64" t="n"/>
      <c r="D2199" s="64" t="n"/>
      <c r="E2199" s="65" t="n"/>
    </row>
    <row r="2200" ht="12" customHeight="1">
      <c r="A2200" s="66" t="inlineStr"/>
    </row>
    <row r="2201" ht="30" customHeight="1">
      <c r="A2201" s="60" t="inlineStr">
        <is>
          <t>TC-RS-VAL-020 / times3</t>
        </is>
      </c>
      <c r="B2201" s="36" t="n"/>
      <c r="C2201" s="36" t="n"/>
      <c r="D2201" s="36" t="n"/>
      <c r="E2201" s="36" t="n"/>
    </row>
    <row r="2202" ht="30" customHeight="1">
      <c r="A2202" s="47" t="inlineStr">
        <is>
          <t>Dữ liệu biến thể</t>
        </is>
      </c>
      <c r="B2202" s="56" t="inlineStr">
        <is>
          <t>Nhân 3</t>
        </is>
      </c>
      <c r="C2202" s="57" t="n"/>
      <c r="D2202" s="57" t="n"/>
      <c r="E2202" s="57" t="n"/>
    </row>
    <row r="2203" ht="30" customHeight="1">
      <c r="A2203" s="47" t="inlineStr">
        <is>
          <t>Trạng thái</t>
        </is>
      </c>
      <c r="B2203" s="61" t="inlineStr">
        <is>
          <t>Chưa thực hiện</t>
        </is>
      </c>
      <c r="C2203" s="57" t="n"/>
      <c r="D2203" s="57" t="n"/>
      <c r="E2203" s="57" t="n"/>
    </row>
    <row r="2204" ht="30" customHeight="1">
      <c r="A2204" s="62" t="inlineStr">
        <is>
          <t>Kết quả thực tế</t>
        </is>
      </c>
    </row>
    <row r="2205" ht="64" customHeight="1">
      <c r="A2205" s="63" t="inlineStr"/>
      <c r="B2205" s="64" t="n"/>
      <c r="C2205" s="64" t="n"/>
      <c r="D2205" s="64" t="n"/>
      <c r="E2205" s="65" t="n"/>
    </row>
    <row r="2206" ht="30" customHeight="1">
      <c r="A2206" s="62" t="inlineStr">
        <is>
          <t>Ảnh minh chứng</t>
        </is>
      </c>
    </row>
    <row r="2207" ht="90" customHeight="1">
      <c r="A2207" s="63" t="inlineStr"/>
      <c r="B2207" s="64" t="n"/>
      <c r="C2207" s="64" t="n"/>
      <c r="D2207" s="64" t="n"/>
      <c r="E2207" s="65" t="n"/>
    </row>
    <row r="2208" ht="12" customHeight="1">
      <c r="A2208" s="66" t="inlineStr"/>
    </row>
    <row r="2209" ht="20" customHeight="1">
      <c r="A2209" s="66" t="inlineStr"/>
    </row>
    <row r="2210" ht="30" customHeight="1">
      <c r="A2210" s="46" t="inlineStr">
        <is>
          <t>TC-RS-VAL-021 — Đổi loại ngưỡng trong cùng phiên sửa</t>
        </is>
      </c>
      <c r="B2210" s="23" t="n"/>
      <c r="C2210" s="23" t="n"/>
      <c r="D2210" s="23" t="n"/>
      <c r="E2210" s="23" t="n"/>
    </row>
    <row r="2211" ht="30" customHeight="1">
      <c r="A2211" s="47" t="inlineStr">
        <is>
          <t>Trạng thái</t>
        </is>
      </c>
      <c r="B2211" s="61" t="inlineStr">
        <is>
          <t>Chưa thực hiện</t>
        </is>
      </c>
      <c r="C2211" s="57" t="n"/>
      <c r="D2211" s="57" t="n"/>
      <c r="E2211" s="57" t="n"/>
    </row>
    <row r="2212" ht="30" customHeight="1">
      <c r="A2212" s="47" t="inlineStr">
        <is>
          <t>Màn hình / chức năng</t>
        </is>
      </c>
      <c r="B2212" s="47" t="inlineStr">
        <is>
          <t>Thiết lập ngưỡng（基準設定）</t>
        </is>
      </c>
      <c r="C2212" s="57" t="n"/>
      <c r="D2212" s="47" t="inlineStr">
        <is>
          <t>Đường dẫn</t>
        </is>
      </c>
      <c r="E2212" s="56" t="inlineStr">
        <is>
          <t>Chưa xác minh</t>
        </is>
      </c>
    </row>
    <row r="2213" ht="30" customHeight="1">
      <c r="A2213" s="58" t="inlineStr">
        <is>
          <t>Điều kiện kiểm thử</t>
        </is>
      </c>
      <c r="B2213" s="59" t="n"/>
      <c r="C2213" s="59" t="n"/>
      <c r="D2213" s="59" t="n"/>
      <c r="E2213" s="59" t="n"/>
    </row>
    <row r="2214" ht="30" customHeight="1">
      <c r="A2214" s="47" t="inlineStr">
        <is>
          <t>Cấu hình</t>
        </is>
      </c>
      <c r="B2214" s="56" t="inlineStr">
        <is>
          <t>• Quy tắc “Cố định 30” (dưới 30) (cố định 30) đã lưu.</t>
        </is>
      </c>
      <c r="C2214" s="57" t="n"/>
      <c r="D2214" s="57" t="n"/>
      <c r="E2214" s="57" t="n"/>
    </row>
    <row r="2215" ht="61" customHeight="1">
      <c r="A2215" s="47" t="inlineStr">
        <is>
          <t>Vai trò / quyền</t>
        </is>
      </c>
      <c r="B221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215" s="57" t="n"/>
      <c r="D2215" s="57" t="n"/>
      <c r="E2215" s="57" t="n"/>
    </row>
    <row r="2216" ht="30" customHeight="1">
      <c r="A2216" s="47" t="inlineStr">
        <is>
          <t>Dữ liệu test</t>
        </is>
      </c>
      <c r="B2216" s="56" t="inlineStr">
        <is>
          <t>• Quy tắc “Cố định 30” (dưới 30)</t>
        </is>
      </c>
      <c r="C2216" s="57" t="n"/>
      <c r="D2216" s="57" t="n"/>
      <c r="E2216" s="57" t="n"/>
    </row>
    <row r="2217" ht="30" customHeight="1">
      <c r="A2217" s="47" t="inlineStr">
        <is>
          <t>Trigger</t>
        </is>
      </c>
      <c r="B2217" s="56" t="inlineStr">
        <is>
          <t>• Chỉ xem/xuất không tự chạy xét.</t>
        </is>
      </c>
      <c r="C2217" s="57" t="n"/>
      <c r="D2217" s="57" t="n"/>
      <c r="E2217" s="57" t="n"/>
    </row>
    <row r="2218" ht="44" customHeight="1">
      <c r="A2218" s="47" t="inlineStr">
        <is>
          <t>Blocker</t>
        </is>
      </c>
      <c r="B2218" s="56" t="inlineStr">
        <is>
          <t>• G-PREP-UNASSESSED: Chưa có xác minh fixture, đường thực hiện và phép quan sát trên build của từng case chưa đánh giá.</t>
        </is>
      </c>
      <c r="C2218" s="57" t="n"/>
      <c r="D2218" s="57" t="n"/>
      <c r="E2218" s="57" t="n"/>
    </row>
    <row r="2219" ht="30" customHeight="1">
      <c r="A2219" s="58" t="inlineStr">
        <is>
          <t>Thao tác</t>
        </is>
      </c>
      <c r="B2219" s="59" t="n"/>
      <c r="C2219" s="59" t="n"/>
      <c r="D2219" s="59" t="n"/>
      <c r="E2219" s="59" t="n"/>
    </row>
    <row r="2220" ht="30" customHeight="1">
      <c r="A2220" s="47" t="inlineStr">
        <is>
          <t>Step 1</t>
        </is>
      </c>
      <c r="B2220" s="56" t="inlineStr">
        <is>
          <t>Đổi sang Tỷ lệ, nhập 40, đổi lại Cố định; xem ô Cố định; đổi sang Tỷ lệ lần nữa, xem ô Tỷ lệ.</t>
        </is>
      </c>
      <c r="C2220" s="57" t="n"/>
      <c r="D2220" s="57" t="n"/>
      <c r="E2220" s="57" t="n"/>
    </row>
    <row r="2221" ht="30" customHeight="1">
      <c r="A2221" s="47" t="inlineStr">
        <is>
          <t>Step 2</t>
        </is>
      </c>
      <c r="B2221" s="56" t="inlineStr">
        <is>
          <t>Đổi lại Cố định, Lưu.</t>
        </is>
      </c>
      <c r="C2221" s="57" t="n"/>
      <c r="D2221" s="57" t="n"/>
      <c r="E2221" s="57" t="n"/>
    </row>
    <row r="2222" ht="30" customHeight="1">
      <c r="A2222" s="47" t="inlineStr">
        <is>
          <t>Step 3</t>
        </is>
      </c>
      <c r="B2222" s="56" t="inlineStr">
        <is>
          <t>Mở lại quy tắc.</t>
        </is>
      </c>
      <c r="C2222" s="57" t="n"/>
      <c r="D2222" s="57" t="n"/>
      <c r="E2222" s="57" t="n"/>
    </row>
    <row r="2223" ht="30" customHeight="1">
      <c r="A2223" s="47" t="inlineStr">
        <is>
          <t>Step 4</t>
        </is>
      </c>
      <c r="B2223" s="56" t="inlineStr">
        <is>
          <t>Đổi sang Tỷ lệ, nhập 50, bấm Hủy; mở lại.</t>
        </is>
      </c>
      <c r="C2223" s="57" t="n"/>
      <c r="D2223" s="57" t="n"/>
      <c r="E2223" s="57" t="n"/>
    </row>
    <row r="2224" ht="44" customHeight="1">
      <c r="A2224" s="47" t="inlineStr">
        <is>
          <t>Step 5</t>
        </is>
      </c>
      <c r="B2224" s="56" t="inlineStr">
        <is>
          <t>(Khi có schema) Lưu quy tắc Tỷ lệ 40 có bật xử lý phần lẻ; đổi sang Cố định 30, Lưu, SELECT; đổi sang Công thức [A×0.5], Lưu, SELECT.</t>
        </is>
      </c>
      <c r="C2224" s="57" t="n"/>
      <c r="D2224" s="57" t="n"/>
      <c r="E2224" s="57" t="n"/>
    </row>
    <row r="2225" ht="44" customHeight="1">
      <c r="A2225" s="47" t="inlineStr">
        <is>
          <t>Reset</t>
        </is>
      </c>
      <c r="B2225" s="56" t="inlineStr">
        <is>
          <t>Trước mỗi biến thể, dựng lại điều kiện/dữ liệu đầu của case bằng đường được phép; giữ các reset/fixture độc lập đã nêu trong thủ tục.</t>
        </is>
      </c>
      <c r="C2225" s="57" t="n"/>
      <c r="D2225" s="57" t="n"/>
      <c r="E2225" s="57" t="n"/>
    </row>
    <row r="2226" ht="30" customHeight="1">
      <c r="A2226" s="58" t="inlineStr">
        <is>
          <t>Kết quả mong đợi</t>
        </is>
      </c>
      <c r="B2226" s="59" t="n"/>
      <c r="C2226" s="59" t="n"/>
      <c r="D2226" s="59" t="n"/>
      <c r="E2226" s="59" t="n"/>
    </row>
    <row r="2227" ht="30" customHeight="1">
      <c r="A2227" s="47" t="inlineStr">
        <is>
          <t>1.</t>
        </is>
      </c>
      <c r="B2227" s="56" t="inlineStr">
        <is>
          <t>(PROPOSED) Trong phiên: ô Cố định vẫn 30; quay lại Tỷ lệ vẫn thấy 40.</t>
        </is>
      </c>
      <c r="C2227" s="57" t="n"/>
      <c r="D2227" s="57" t="n"/>
      <c r="E2227" s="57" t="n"/>
    </row>
    <row r="2228" ht="30" customHeight="1">
      <c r="A2228" s="47" t="inlineStr">
        <is>
          <t>2.</t>
        </is>
      </c>
      <c r="B2228" s="56" t="inlineStr">
        <is>
          <t>Chỉ giá trị loại cuối cùng (Cố định 30) được kiểm và lưu; không lưu lẫn dữ liệu của loại khác.</t>
        </is>
      </c>
      <c r="C2228" s="57" t="n"/>
      <c r="D2228" s="57" t="n"/>
      <c r="E2228" s="57" t="n"/>
    </row>
    <row r="2229" ht="30" customHeight="1">
      <c r="A2229" s="47" t="inlineStr">
        <is>
          <t>3.</t>
        </is>
      </c>
      <c r="B2229" s="56" t="inlineStr">
        <is>
          <t>Mở lại: Cố định 30; không bắt buộc còn giá trị Tỷ lệ 40.</t>
        </is>
      </c>
      <c r="C2229" s="57" t="n"/>
      <c r="D2229" s="57" t="n"/>
      <c r="E2229" s="57" t="n"/>
    </row>
    <row r="2230" ht="30" customHeight="1">
      <c r="A2230" s="47" t="inlineStr">
        <is>
          <t>4.</t>
        </is>
      </c>
      <c r="B2230" s="56" t="inlineStr">
        <is>
          <t>Vẫn Cố định 30 (cấu hình đã lưu gần nhất).</t>
        </is>
      </c>
      <c r="C2230" s="57" t="n"/>
      <c r="D2230" s="57" t="n"/>
      <c r="E2230" s="57" t="n"/>
    </row>
    <row r="2231" ht="44" customHeight="1">
      <c r="A2231" s="47" t="inlineStr">
        <is>
          <t>5.</t>
        </is>
      </c>
      <c r="B2231" s="56" t="inlineStr">
        <is>
          <t>(PROPOSED theo thiết kế DB v2) Sau mỗi lần lưu, các cột không dùng cho loại hiện tại ([round_*], [threshold_value], cột công thức/nguồn) là SQL NULL.</t>
        </is>
      </c>
      <c r="C2231" s="57" t="n"/>
      <c r="D2231" s="57" t="n"/>
      <c r="E2231" s="57" t="n"/>
    </row>
    <row r="2232" ht="44" customHeight="1">
      <c r="A2232" s="47" t="inlineStr">
        <is>
          <t>Giữ nguyên</t>
        </is>
      </c>
      <c r="B2232" s="56" t="inlineStr">
        <is>
          <t>• Giữ điểm, cấu hình và đối tượng không đích theo expected;
• Chỉ thay phần thủ tục yêu cầu, không tự đổi oracle hoặc mở rộng phạm vi.</t>
        </is>
      </c>
      <c r="C2232" s="57" t="n"/>
      <c r="D2232" s="57" t="n"/>
      <c r="E2232" s="57" t="n"/>
    </row>
    <row r="2233" ht="61" customHeight="1">
      <c r="A2233" s="47" t="inlineStr">
        <is>
          <t>Quan sát tại</t>
        </is>
      </c>
      <c r="B2233" s="56" t="inlineStr">
        <is>
          <t>• Dùng trích xuất không lọc để thấy cả ô đối chứng. Trạng thái không có dấu đỏ cần đọc thêm trạng thái lưu;
• Output Excel/PDF dùng file thật.</t>
        </is>
      </c>
      <c r="C2233" s="57" t="n"/>
      <c r="D2233" s="57" t="n"/>
      <c r="E2233" s="57" t="n"/>
    </row>
    <row r="2234" ht="30" customHeight="1">
      <c r="A2234" s="58" t="inlineStr">
        <is>
          <t>Kết quả thực tế</t>
        </is>
      </c>
      <c r="B2234" s="59" t="n"/>
      <c r="C2234" s="59" t="n"/>
      <c r="D2234" s="59" t="n"/>
      <c r="E2234" s="59" t="n"/>
    </row>
    <row r="2235" ht="30" customHeight="1">
      <c r="A2235" s="47" t="inlineStr">
        <is>
          <t>Dữ liệu biến thể</t>
        </is>
      </c>
      <c r="B2235" s="56" t="inlineStr">
        <is>
          <t>Toàn bộ thủ tục theo đúng thứ tự; các đối chứng cùng fixture được kiểm trong cùng lượt, không bỏ bước</t>
        </is>
      </c>
      <c r="C2235" s="57" t="n"/>
      <c r="D2235" s="57" t="n"/>
      <c r="E2235" s="57" t="n"/>
    </row>
    <row r="2236" ht="30" customHeight="1">
      <c r="A2236" s="62" t="inlineStr">
        <is>
          <t>Kết quả thực tế</t>
        </is>
      </c>
    </row>
    <row r="2237" ht="64" customHeight="1">
      <c r="A2237" s="63" t="inlineStr"/>
      <c r="B2237" s="64" t="n"/>
      <c r="C2237" s="64" t="n"/>
      <c r="D2237" s="64" t="n"/>
      <c r="E2237" s="65" t="n"/>
    </row>
    <row r="2238" ht="30" customHeight="1">
      <c r="A2238" s="62" t="inlineStr">
        <is>
          <t>Ảnh minh chứng</t>
        </is>
      </c>
    </row>
    <row r="2239" ht="90" customHeight="1">
      <c r="A2239" s="63" t="inlineStr"/>
      <c r="B2239" s="64" t="n"/>
      <c r="C2239" s="64" t="n"/>
      <c r="D2239" s="64" t="n"/>
      <c r="E2239" s="65" t="n"/>
    </row>
    <row r="2240" ht="12" customHeight="1">
      <c r="A2240" s="66" t="inlineStr"/>
    </row>
    <row r="2241" ht="20" customHeight="1">
      <c r="A2241" s="66" t="inlineStr"/>
    </row>
    <row r="2242" ht="30" customHeight="1">
      <c r="A2242" s="46" t="inlineStr">
        <is>
          <t>TC-RS-VAL-023 — Giới hạn công thức: 20/21 dòng và số chữ số của số cố định</t>
        </is>
      </c>
      <c r="B2242" s="23" t="n"/>
      <c r="C2242" s="23" t="n"/>
      <c r="D2242" s="23" t="n"/>
      <c r="E2242" s="23" t="n"/>
    </row>
    <row r="2243" ht="30" customHeight="1">
      <c r="A2243" s="47" t="inlineStr">
        <is>
          <t>Trạng thái</t>
        </is>
      </c>
      <c r="B2243" s="56">
        <f>IF(0&gt;0,"Không đạt",IF(0=5,"Đạt",IF(SUMPRODUCT(--EXACT('Testcases'!B2265:B2297,"Không thực hiện"))=5,"Không thực hiện",IF(SUMPRODUCT(--EXACT('Testcases'!B2265:B2297,"Bị chặn"))&gt;0,"Bị chặn",IF(SUMPRODUCT(--EXACT('Testcases'!B2265:B2297,"Chưa thực hiện"))=5,"Chưa thực hiện","Chưa đủ kết luận")))))</f>
        <v/>
      </c>
      <c r="C2243" s="57" t="n"/>
      <c r="D2243" s="57" t="n"/>
      <c r="E2243" s="57" t="n"/>
    </row>
    <row r="2244" ht="30" customHeight="1">
      <c r="A2244" s="47" t="inlineStr">
        <is>
          <t>Màn hình / chức năng</t>
        </is>
      </c>
      <c r="B2244" s="47" t="inlineStr">
        <is>
          <t>Thiết lập ngưỡng（基準設定）</t>
        </is>
      </c>
      <c r="C2244" s="57" t="n"/>
      <c r="D2244" s="47" t="inlineStr">
        <is>
          <t>Đường dẫn</t>
        </is>
      </c>
      <c r="E2244" s="56" t="inlineStr">
        <is>
          <t>Chưa xác minh</t>
        </is>
      </c>
    </row>
    <row r="2245" ht="30" customHeight="1">
      <c r="A2245" s="58" t="inlineStr">
        <is>
          <t>Điều kiện kiểm thử</t>
        </is>
      </c>
      <c r="B2245" s="59" t="n"/>
      <c r="C2245" s="59" t="n"/>
      <c r="D2245" s="59" t="n"/>
      <c r="E2245" s="59" t="n"/>
    </row>
    <row r="2246" ht="30" customHeight="1">
      <c r="A2246" s="47" t="inlineStr">
        <is>
          <t>Cấu hình</t>
        </is>
      </c>
      <c r="B2246" s="56" t="inlineStr">
        <is>
          <t>• Màn Công thức（計算式）, nguồn mặc định.</t>
        </is>
      </c>
      <c r="C2246" s="57" t="n"/>
      <c r="D2246" s="57" t="n"/>
      <c r="E2246" s="57" t="n"/>
    </row>
    <row r="2247" ht="61" customHeight="1">
      <c r="A2247" s="47" t="inlineStr">
        <is>
          <t>Vai trò / quyền</t>
        </is>
      </c>
      <c r="B224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247" s="57" t="n"/>
      <c r="D2247" s="57" t="n"/>
      <c r="E2247" s="57" t="n"/>
    </row>
    <row r="2248" ht="95" customHeight="1">
      <c r="A2248" s="47" t="inlineStr">
        <is>
          <t>Dữ liệu test</t>
        </is>
      </c>
      <c r="B2248" s="56" t="inlineStr">
        <is>
          <t>• (A) 20 dòng: dòng 1 [A × 1], các dòng sau [kết quả dòng trước × 1];
• (B) 21 dòng như (a);
• (C) [A × 999999999.99999999];
• (D) [A × 1000000000];
• (E) [A × 0.123456789]</t>
        </is>
      </c>
      <c r="C2248" s="57" t="n"/>
      <c r="D2248" s="57" t="n"/>
      <c r="E2248" s="57" t="n"/>
    </row>
    <row r="2249" ht="30" customHeight="1">
      <c r="A2249" s="47" t="inlineStr">
        <is>
          <t>Trigger</t>
        </is>
      </c>
      <c r="B2249" s="56" t="inlineStr">
        <is>
          <t>• Chỉ xem/xuất không tự chạy xét.</t>
        </is>
      </c>
      <c r="C2249" s="57" t="n"/>
      <c r="D2249" s="57" t="n"/>
      <c r="E2249" s="57" t="n"/>
    </row>
    <row r="2250" ht="44" customHeight="1">
      <c r="A2250" s="47" t="inlineStr">
        <is>
          <t>Blocker</t>
        </is>
      </c>
      <c r="B2250" s="56" t="inlineStr">
        <is>
          <t>• G-PREP-UNASSESSED: Chưa có xác minh fixture, đường thực hiện và phép quan sát trên build của từng case chưa đánh giá.</t>
        </is>
      </c>
      <c r="C2250" s="57" t="n"/>
      <c r="D2250" s="57" t="n"/>
      <c r="E2250" s="57" t="n"/>
    </row>
    <row r="2251" ht="30" customHeight="1">
      <c r="A2251" s="58" t="inlineStr">
        <is>
          <t>Thao tác</t>
        </is>
      </c>
      <c r="B2251" s="59" t="n"/>
      <c r="C2251" s="59" t="n"/>
      <c r="D2251" s="59" t="n"/>
      <c r="E2251" s="59" t="n"/>
    </row>
    <row r="2252" ht="30" customHeight="1">
      <c r="A2252" s="47" t="inlineStr">
        <is>
          <t>•</t>
        </is>
      </c>
      <c r="B2252" s="56" t="inlineStr">
        <is>
          <t>Nhập từng cấu hình, Lưu, mở lại.</t>
        </is>
      </c>
      <c r="C2252" s="57" t="n"/>
      <c r="D2252" s="57" t="n"/>
      <c r="E2252" s="57" t="n"/>
    </row>
    <row r="2253" ht="44" customHeight="1">
      <c r="A2253" s="47" t="inlineStr">
        <is>
          <t>Reset</t>
        </is>
      </c>
      <c r="B2253" s="56" t="inlineStr">
        <is>
          <t>Trước mỗi biến thể, dựng lại điều kiện/dữ liệu đầu của case bằng đường được phép; giữ các reset/fixture độc lập đã nêu trong thủ tục.</t>
        </is>
      </c>
      <c r="C2253" s="57" t="n"/>
      <c r="D2253" s="57" t="n"/>
      <c r="E2253" s="57" t="n"/>
    </row>
    <row r="2254" ht="30" customHeight="1">
      <c r="A2254" s="58" t="inlineStr">
        <is>
          <t>Kết quả mong đợi</t>
        </is>
      </c>
      <c r="B2254" s="59" t="n"/>
      <c r="C2254" s="59" t="n"/>
      <c r="D2254" s="59" t="n"/>
      <c r="E2254" s="59" t="n"/>
    </row>
    <row r="2255" ht="30" customHeight="1">
      <c r="A2255" s="47" t="inlineStr">
        <is>
          <t>•</t>
        </is>
      </c>
      <c r="B2255" s="56" t="inlineStr">
        <is>
          <t>(A) Lưu được, mở lại đủ 20 dòng.</t>
        </is>
      </c>
      <c r="C2255" s="57" t="n"/>
      <c r="D2255" s="57" t="n"/>
      <c r="E2255" s="57" t="n"/>
    </row>
    <row r="2256" ht="30" customHeight="1">
      <c r="A2256" s="47" t="inlineStr">
        <is>
          <t>•</t>
        </is>
      </c>
      <c r="B2256" s="56" t="inlineStr">
        <is>
          <t>(B) Không thêm được dòng 21 hoặc bị từ chối khi lưu.</t>
        </is>
      </c>
      <c r="C2256" s="57" t="n"/>
      <c r="D2256" s="57" t="n"/>
      <c r="E2256" s="57" t="n"/>
    </row>
    <row r="2257" ht="30" customHeight="1">
      <c r="A2257" s="47" t="inlineStr">
        <is>
          <t>•</t>
        </is>
      </c>
      <c r="B2257" s="56" t="inlineStr">
        <is>
          <t>(C) Lưu được, giá trị giữ nguyên.</t>
        </is>
      </c>
      <c r="C2257" s="57" t="n"/>
      <c r="D2257" s="57" t="n"/>
      <c r="E2257" s="57" t="n"/>
    </row>
    <row r="2258" ht="30" customHeight="1">
      <c r="A2258" s="47" t="inlineStr">
        <is>
          <t>•</t>
        </is>
      </c>
      <c r="B2258" s="56" t="inlineStr">
        <is>
          <t>(D), (e) Bị từ chối, không tự cắt/làm tròn.</t>
        </is>
      </c>
      <c r="C2258" s="57" t="n"/>
      <c r="D2258" s="57" t="n"/>
      <c r="E2258" s="57" t="n"/>
    </row>
    <row r="2259" ht="44" customHeight="1">
      <c r="A2259" s="47" t="inlineStr">
        <is>
          <t>•</t>
        </is>
      </c>
      <c r="B2259" s="56" t="inlineStr">
        <is>
          <t>Gửi trực tiếp request vượt giới hạn cũng bị server từ chối (case “Server kiểm miền giá trị khi bỏ qua kiểm tra phía trình duyệt”).</t>
        </is>
      </c>
      <c r="C2259" s="57" t="n"/>
      <c r="D2259" s="57" t="n"/>
      <c r="E2259" s="57" t="n"/>
    </row>
    <row r="2260" ht="44" customHeight="1">
      <c r="A2260" s="47" t="inlineStr">
        <is>
          <t>Giữ nguyên</t>
        </is>
      </c>
      <c r="B2260" s="56" t="inlineStr">
        <is>
          <t>• Giữ điểm, cấu hình và đối tượng không đích theo expected;
• Chỉ thay phần thủ tục yêu cầu, không tự đổi oracle hoặc mở rộng phạm vi.</t>
        </is>
      </c>
      <c r="C2260" s="57" t="n"/>
      <c r="D2260" s="57" t="n"/>
      <c r="E2260" s="57" t="n"/>
    </row>
    <row r="2261" ht="61" customHeight="1">
      <c r="A2261" s="47" t="inlineStr">
        <is>
          <t>Quan sát tại</t>
        </is>
      </c>
      <c r="B2261" s="56" t="inlineStr">
        <is>
          <t>• Dùng trích xuất không lọc để thấy cả ô đối chứng. Trạng thái không có dấu đỏ cần đọc thêm trạng thái lưu;
• Output Excel/PDF dùng file thật.</t>
        </is>
      </c>
      <c r="C2261" s="57" t="n"/>
      <c r="D2261" s="57" t="n"/>
      <c r="E2261" s="57" t="n"/>
    </row>
    <row r="2262" ht="30" customHeight="1">
      <c r="A2262" s="58" t="inlineStr">
        <is>
          <t>Kết quả thực tế</t>
        </is>
      </c>
      <c r="B2262" s="59" t="n"/>
      <c r="C2262" s="59" t="n"/>
      <c r="D2262" s="59" t="n"/>
      <c r="E2262" s="59" t="n"/>
    </row>
    <row r="2263" ht="30" customHeight="1">
      <c r="A2263" s="60" t="inlineStr">
        <is>
          <t>TC-RS-VAL-023 / lines20</t>
        </is>
      </c>
      <c r="B2263" s="36" t="n"/>
      <c r="C2263" s="36" t="n"/>
      <c r="D2263" s="36" t="n"/>
      <c r="E2263" s="36" t="n"/>
    </row>
    <row r="2264" ht="30" customHeight="1">
      <c r="A2264" s="47" t="inlineStr">
        <is>
          <t>Dữ liệu biến thể</t>
        </is>
      </c>
      <c r="B2264" s="56" t="inlineStr">
        <is>
          <t>20 Dòng</t>
        </is>
      </c>
      <c r="C2264" s="57" t="n"/>
      <c r="D2264" s="57" t="n"/>
      <c r="E2264" s="57" t="n"/>
    </row>
    <row r="2265" ht="30" customHeight="1">
      <c r="A2265" s="47" t="inlineStr">
        <is>
          <t>Trạng thái</t>
        </is>
      </c>
      <c r="B2265" s="61" t="inlineStr">
        <is>
          <t>Chưa thực hiện</t>
        </is>
      </c>
      <c r="C2265" s="57" t="n"/>
      <c r="D2265" s="57" t="n"/>
      <c r="E2265" s="57" t="n"/>
    </row>
    <row r="2266" ht="30" customHeight="1">
      <c r="A2266" s="62" t="inlineStr">
        <is>
          <t>Kết quả thực tế</t>
        </is>
      </c>
    </row>
    <row r="2267" ht="64" customHeight="1">
      <c r="A2267" s="63" t="inlineStr"/>
      <c r="B2267" s="64" t="n"/>
      <c r="C2267" s="64" t="n"/>
      <c r="D2267" s="64" t="n"/>
      <c r="E2267" s="65" t="n"/>
    </row>
    <row r="2268" ht="30" customHeight="1">
      <c r="A2268" s="62" t="inlineStr">
        <is>
          <t>Ảnh minh chứng</t>
        </is>
      </c>
    </row>
    <row r="2269" ht="90" customHeight="1">
      <c r="A2269" s="63" t="inlineStr"/>
      <c r="B2269" s="64" t="n"/>
      <c r="C2269" s="64" t="n"/>
      <c r="D2269" s="64" t="n"/>
      <c r="E2269" s="65" t="n"/>
    </row>
    <row r="2270" ht="12" customHeight="1">
      <c r="A2270" s="66" t="inlineStr"/>
    </row>
    <row r="2271" ht="30" customHeight="1">
      <c r="A2271" s="60" t="inlineStr">
        <is>
          <t>TC-RS-VAL-023 / lines21</t>
        </is>
      </c>
      <c r="B2271" s="36" t="n"/>
      <c r="C2271" s="36" t="n"/>
      <c r="D2271" s="36" t="n"/>
      <c r="E2271" s="36" t="n"/>
    </row>
    <row r="2272" ht="30" customHeight="1">
      <c r="A2272" s="47" t="inlineStr">
        <is>
          <t>Dữ liệu biến thể</t>
        </is>
      </c>
      <c r="B2272" s="56" t="inlineStr">
        <is>
          <t>21 Dòng</t>
        </is>
      </c>
      <c r="C2272" s="57" t="n"/>
      <c r="D2272" s="57" t="n"/>
      <c r="E2272" s="57" t="n"/>
    </row>
    <row r="2273" ht="30" customHeight="1">
      <c r="A2273" s="47" t="inlineStr">
        <is>
          <t>Trạng thái</t>
        </is>
      </c>
      <c r="B2273" s="61" t="inlineStr">
        <is>
          <t>Chưa thực hiện</t>
        </is>
      </c>
      <c r="C2273" s="57" t="n"/>
      <c r="D2273" s="57" t="n"/>
      <c r="E2273" s="57" t="n"/>
    </row>
    <row r="2274" ht="30" customHeight="1">
      <c r="A2274" s="62" t="inlineStr">
        <is>
          <t>Kết quả thực tế</t>
        </is>
      </c>
    </row>
    <row r="2275" ht="64" customHeight="1">
      <c r="A2275" s="63" t="inlineStr"/>
      <c r="B2275" s="64" t="n"/>
      <c r="C2275" s="64" t="n"/>
      <c r="D2275" s="64" t="n"/>
      <c r="E2275" s="65" t="n"/>
    </row>
    <row r="2276" ht="30" customHeight="1">
      <c r="A2276" s="62" t="inlineStr">
        <is>
          <t>Ảnh minh chứng</t>
        </is>
      </c>
    </row>
    <row r="2277" ht="90" customHeight="1">
      <c r="A2277" s="63" t="inlineStr"/>
      <c r="B2277" s="64" t="n"/>
      <c r="C2277" s="64" t="n"/>
      <c r="D2277" s="64" t="n"/>
      <c r="E2277" s="65" t="n"/>
    </row>
    <row r="2278" ht="12" customHeight="1">
      <c r="A2278" s="66" t="inlineStr"/>
    </row>
    <row r="2279" ht="30" customHeight="1">
      <c r="A2279" s="60" t="inlineStr">
        <is>
          <t>TC-RS-VAL-023 / constant</t>
        </is>
      </c>
      <c r="B2279" s="36" t="n"/>
      <c r="C2279" s="36" t="n"/>
      <c r="D2279" s="36" t="n"/>
      <c r="E2279" s="36" t="n"/>
    </row>
    <row r="2280" ht="30" customHeight="1">
      <c r="A2280" s="47" t="inlineStr">
        <is>
          <t>Dữ liệu biến thể</t>
        </is>
      </c>
      <c r="B2280" s="56" t="inlineStr">
        <is>
          <t>Hằng số cực lớn</t>
        </is>
      </c>
      <c r="C2280" s="57" t="n"/>
      <c r="D2280" s="57" t="n"/>
      <c r="E2280" s="57" t="n"/>
    </row>
    <row r="2281" ht="30" customHeight="1">
      <c r="A2281" s="47" t="inlineStr">
        <is>
          <t>Trạng thái</t>
        </is>
      </c>
      <c r="B2281" s="61" t="inlineStr">
        <is>
          <t>Chưa thực hiện</t>
        </is>
      </c>
      <c r="C2281" s="57" t="n"/>
      <c r="D2281" s="57" t="n"/>
      <c r="E2281" s="57" t="n"/>
    </row>
    <row r="2282" ht="30" customHeight="1">
      <c r="A2282" s="62" t="inlineStr">
        <is>
          <t>Kết quả thực tế</t>
        </is>
      </c>
    </row>
    <row r="2283" ht="64" customHeight="1">
      <c r="A2283" s="63" t="inlineStr"/>
      <c r="B2283" s="64" t="n"/>
      <c r="C2283" s="64" t="n"/>
      <c r="D2283" s="64" t="n"/>
      <c r="E2283" s="65" t="n"/>
    </row>
    <row r="2284" ht="30" customHeight="1">
      <c r="A2284" s="62" t="inlineStr">
        <is>
          <t>Ảnh minh chứng</t>
        </is>
      </c>
    </row>
    <row r="2285" ht="90" customHeight="1">
      <c r="A2285" s="63" t="inlineStr"/>
      <c r="B2285" s="64" t="n"/>
      <c r="C2285" s="64" t="n"/>
      <c r="D2285" s="64" t="n"/>
      <c r="E2285" s="65" t="n"/>
    </row>
    <row r="2286" ht="12" customHeight="1">
      <c r="A2286" s="66" t="inlineStr"/>
    </row>
    <row r="2287" ht="30" customHeight="1">
      <c r="A2287" s="60" t="inlineStr">
        <is>
          <t>TC-RS-VAL-023 / integer-overflow</t>
        </is>
      </c>
      <c r="B2287" s="36" t="n"/>
      <c r="C2287" s="36" t="n"/>
      <c r="D2287" s="36" t="n"/>
      <c r="E2287" s="36" t="n"/>
    </row>
    <row r="2288" ht="30" customHeight="1">
      <c r="A2288" s="47" t="inlineStr">
        <is>
          <t>Dữ liệu biến thể</t>
        </is>
      </c>
      <c r="B2288" s="56" t="inlineStr">
        <is>
          <t>Vượt phần nguyên</t>
        </is>
      </c>
      <c r="C2288" s="57" t="n"/>
      <c r="D2288" s="57" t="n"/>
      <c r="E2288" s="57" t="n"/>
    </row>
    <row r="2289" ht="30" customHeight="1">
      <c r="A2289" s="47" t="inlineStr">
        <is>
          <t>Trạng thái</t>
        </is>
      </c>
      <c r="B2289" s="61" t="inlineStr">
        <is>
          <t>Chưa thực hiện</t>
        </is>
      </c>
      <c r="C2289" s="57" t="n"/>
      <c r="D2289" s="57" t="n"/>
      <c r="E2289" s="57" t="n"/>
    </row>
    <row r="2290" ht="30" customHeight="1">
      <c r="A2290" s="62" t="inlineStr">
        <is>
          <t>Kết quả thực tế</t>
        </is>
      </c>
    </row>
    <row r="2291" ht="64" customHeight="1">
      <c r="A2291" s="63" t="inlineStr"/>
      <c r="B2291" s="64" t="n"/>
      <c r="C2291" s="64" t="n"/>
      <c r="D2291" s="64" t="n"/>
      <c r="E2291" s="65" t="n"/>
    </row>
    <row r="2292" ht="30" customHeight="1">
      <c r="A2292" s="62" t="inlineStr">
        <is>
          <t>Ảnh minh chứng</t>
        </is>
      </c>
    </row>
    <row r="2293" ht="90" customHeight="1">
      <c r="A2293" s="63" t="inlineStr"/>
      <c r="B2293" s="64" t="n"/>
      <c r="C2293" s="64" t="n"/>
      <c r="D2293" s="64" t="n"/>
      <c r="E2293" s="65" t="n"/>
    </row>
    <row r="2294" ht="12" customHeight="1">
      <c r="A2294" s="66" t="inlineStr"/>
    </row>
    <row r="2295" ht="30" customHeight="1">
      <c r="A2295" s="60" t="inlineStr">
        <is>
          <t>TC-RS-VAL-023 / fraction-overflow</t>
        </is>
      </c>
      <c r="B2295" s="36" t="n"/>
      <c r="C2295" s="36" t="n"/>
      <c r="D2295" s="36" t="n"/>
      <c r="E2295" s="36" t="n"/>
    </row>
    <row r="2296" ht="30" customHeight="1">
      <c r="A2296" s="47" t="inlineStr">
        <is>
          <t>Dữ liệu biến thể</t>
        </is>
      </c>
      <c r="B2296" s="56" t="inlineStr">
        <is>
          <t>Vượt phần thập phân</t>
        </is>
      </c>
      <c r="C2296" s="57" t="n"/>
      <c r="D2296" s="57" t="n"/>
      <c r="E2296" s="57" t="n"/>
    </row>
    <row r="2297" ht="30" customHeight="1">
      <c r="A2297" s="47" t="inlineStr">
        <is>
          <t>Trạng thái</t>
        </is>
      </c>
      <c r="B2297" s="61" t="inlineStr">
        <is>
          <t>Chưa thực hiện</t>
        </is>
      </c>
      <c r="C2297" s="57" t="n"/>
      <c r="D2297" s="57" t="n"/>
      <c r="E2297" s="57" t="n"/>
    </row>
    <row r="2298" ht="30" customHeight="1">
      <c r="A2298" s="62" t="inlineStr">
        <is>
          <t>Kết quả thực tế</t>
        </is>
      </c>
    </row>
    <row r="2299" ht="64" customHeight="1">
      <c r="A2299" s="63" t="inlineStr"/>
      <c r="B2299" s="64" t="n"/>
      <c r="C2299" s="64" t="n"/>
      <c r="D2299" s="64" t="n"/>
      <c r="E2299" s="65" t="n"/>
    </row>
    <row r="2300" ht="30" customHeight="1">
      <c r="A2300" s="62" t="inlineStr">
        <is>
          <t>Ảnh minh chứng</t>
        </is>
      </c>
    </row>
    <row r="2301" ht="90" customHeight="1">
      <c r="A2301" s="63" t="inlineStr"/>
      <c r="B2301" s="64" t="n"/>
      <c r="C2301" s="64" t="n"/>
      <c r="D2301" s="64" t="n"/>
      <c r="E2301" s="65" t="n"/>
    </row>
    <row r="2302" ht="12" customHeight="1">
      <c r="A2302" s="66" t="inlineStr"/>
    </row>
    <row r="2303" ht="20" customHeight="1">
      <c r="A2303" s="66" t="inlineStr"/>
    </row>
    <row r="2304" ht="30" customHeight="1">
      <c r="A2304" s="46" t="inlineStr">
        <is>
          <t>TC-RS-CALC-013 — Công thức một dòng với A=50</t>
        </is>
      </c>
      <c r="B2304" s="23" t="n"/>
      <c r="C2304" s="23" t="n"/>
      <c r="D2304" s="23" t="n"/>
      <c r="E2304" s="23" t="n"/>
    </row>
    <row r="2305" ht="30" customHeight="1">
      <c r="A2305" s="47" t="inlineStr">
        <is>
          <t>Trạng thái</t>
        </is>
      </c>
      <c r="B2305" s="56">
        <f>IF(0&gt;0,"Không đạt",IF(0=3,"Đạt",IF(SUMPRODUCT(--EXACT('Testcases'!B2325:B2341,"Không thực hiện"))=3,"Không thực hiện",IF(SUMPRODUCT(--EXACT('Testcases'!B2325:B2341,"Bị chặn"))&gt;0,"Bị chặn",IF(SUMPRODUCT(--EXACT('Testcases'!B2325:B2341,"Chưa thực hiện"))=3,"Chưa thực hiện","Chưa đủ kết luận")))))</f>
        <v/>
      </c>
      <c r="C2305" s="57" t="n"/>
      <c r="D2305" s="57" t="n"/>
      <c r="E2305" s="57" t="n"/>
    </row>
    <row r="2306" ht="30" customHeight="1">
      <c r="A2306" s="47" t="inlineStr">
        <is>
          <t>Màn hình / chức năng</t>
        </is>
      </c>
      <c r="B2306" s="47" t="inlineStr">
        <is>
          <t>Thiết lập ngưỡng（基準設定）</t>
        </is>
      </c>
      <c r="C2306" s="57" t="n"/>
      <c r="D2306" s="47" t="inlineStr">
        <is>
          <t>Đường dẫn</t>
        </is>
      </c>
      <c r="E2306" s="56" t="inlineStr">
        <is>
          <t>Chưa xác minh</t>
        </is>
      </c>
    </row>
    <row r="2307" ht="30" customHeight="1">
      <c r="A2307" s="58" t="inlineStr">
        <is>
          <t>Điều kiện kiểm thử</t>
        </is>
      </c>
      <c r="B2307" s="59" t="n"/>
      <c r="C2307" s="59" t="n"/>
      <c r="D2307" s="59" t="n"/>
      <c r="E2307" s="59" t="n"/>
    </row>
    <row r="2308" ht="44" customHeight="1">
      <c r="A2308" s="47" t="inlineStr">
        <is>
          <t>Cấu hình</t>
        </is>
      </c>
      <c r="B2308" s="56" t="inlineStr">
        <is>
          <t>• Nguồn có [A=50];
• Dấu [&lt;].</t>
        </is>
      </c>
      <c r="C2308" s="57" t="n"/>
      <c r="D2308" s="57" t="n"/>
      <c r="E2308" s="57" t="n"/>
    </row>
    <row r="2309" ht="61" customHeight="1">
      <c r="A2309" s="47" t="inlineStr">
        <is>
          <t>Vai trò / quyền</t>
        </is>
      </c>
      <c r="B230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309" s="57" t="n"/>
      <c r="D2309" s="57" t="n"/>
      <c r="E2309" s="57" t="n"/>
    </row>
    <row r="2310" ht="78" customHeight="1">
      <c r="A2310" s="47" t="inlineStr">
        <is>
          <t>Dữ liệu test</t>
        </is>
      </c>
      <c r="B2310" s="56" t="inlineStr">
        <is>
          <t>• Công thức: (a) [A×0.5];
• (B) [A−20];
• (C) [A+5];
• S = 24, 25, 29, 30, 54, 55</t>
        </is>
      </c>
      <c r="C2310" s="57" t="n"/>
      <c r="D2310" s="57" t="n"/>
      <c r="E2310" s="57" t="n"/>
    </row>
    <row r="2311" ht="30" customHeight="1">
      <c r="A2311" s="47" t="inlineStr">
        <is>
          <t>Trigger</t>
        </is>
      </c>
      <c r="B2311" s="56" t="inlineStr">
        <is>
          <t>• Chỉ xem/xuất không tự chạy xét.</t>
        </is>
      </c>
      <c r="C2311" s="57" t="n"/>
      <c r="D2311" s="57" t="n"/>
      <c r="E2311" s="57" t="n"/>
    </row>
    <row r="2312" ht="44" customHeight="1">
      <c r="A2312" s="47" t="inlineStr">
        <is>
          <t>Blocker</t>
        </is>
      </c>
      <c r="B2312" s="56" t="inlineStr">
        <is>
          <t>• G-PREP-UNASSESSED: Chưa có xác minh fixture, đường thực hiện và phép quan sát trên build của từng case chưa đánh giá.</t>
        </is>
      </c>
      <c r="C2312" s="57" t="n"/>
      <c r="D2312" s="57" t="n"/>
      <c r="E2312" s="57" t="n"/>
    </row>
    <row r="2313" ht="30" customHeight="1">
      <c r="A2313" s="58" t="inlineStr">
        <is>
          <t>Thao tác</t>
        </is>
      </c>
      <c r="B2313" s="59" t="n"/>
      <c r="C2313" s="59" t="n"/>
      <c r="D2313" s="59" t="n"/>
      <c r="E2313" s="59" t="n"/>
    </row>
    <row r="2314" ht="30" customHeight="1">
      <c r="A2314" s="47" t="inlineStr">
        <is>
          <t>•</t>
        </is>
      </c>
      <c r="B2314" s="56" t="inlineStr">
        <is>
          <t>Với từng công thức, chạy nút cam, xem kết quả.</t>
        </is>
      </c>
      <c r="C2314" s="57" t="n"/>
      <c r="D2314" s="57" t="n"/>
      <c r="E2314" s="57" t="n"/>
    </row>
    <row r="2315" ht="44" customHeight="1">
      <c r="A2315" s="47" t="inlineStr">
        <is>
          <t>Reset</t>
        </is>
      </c>
      <c r="B2315" s="56" t="inlineStr">
        <is>
          <t>Trước mỗi biến thể, dựng lại điều kiện/dữ liệu đầu của case bằng đường được phép; giữ các reset/fixture độc lập đã nêu trong thủ tục.</t>
        </is>
      </c>
      <c r="C2315" s="57" t="n"/>
      <c r="D2315" s="57" t="n"/>
      <c r="E2315" s="57" t="n"/>
    </row>
    <row r="2316" ht="30" customHeight="1">
      <c r="A2316" s="58" t="inlineStr">
        <is>
          <t>Kết quả mong đợi</t>
        </is>
      </c>
      <c r="B2316" s="59" t="n"/>
      <c r="C2316" s="59" t="n"/>
      <c r="D2316" s="59" t="n"/>
      <c r="E2316" s="59" t="n"/>
    </row>
    <row r="2317" ht="30" customHeight="1">
      <c r="A2317" s="47" t="inlineStr">
        <is>
          <t>•</t>
        </is>
      </c>
      <c r="B2317" s="56" t="inlineStr">
        <is>
          <t>(A) [T=25]: 24 Đỏ; 25 Không đỏ.</t>
        </is>
      </c>
      <c r="C2317" s="57" t="n"/>
      <c r="D2317" s="57" t="n"/>
      <c r="E2317" s="57" t="n"/>
    </row>
    <row r="2318" ht="30" customHeight="1">
      <c r="A2318" s="47" t="inlineStr">
        <is>
          <t>•</t>
        </is>
      </c>
      <c r="B2318" s="56" t="inlineStr">
        <is>
          <t>(B) [T=30]: 29 Đỏ; 30 Không đỏ.</t>
        </is>
      </c>
      <c r="C2318" s="57" t="n"/>
      <c r="D2318" s="57" t="n"/>
      <c r="E2318" s="57" t="n"/>
    </row>
    <row r="2319" ht="30" customHeight="1">
      <c r="A2319" s="47" t="inlineStr">
        <is>
          <t>•</t>
        </is>
      </c>
      <c r="B2319" s="56" t="inlineStr">
        <is>
          <t>(C) [T=55]: 54 Đỏ; 55 Không đỏ.</t>
        </is>
      </c>
      <c r="C2319" s="57" t="n"/>
      <c r="D2319" s="57" t="n"/>
      <c r="E2319" s="57" t="n"/>
    </row>
    <row r="2320" ht="44" customHeight="1">
      <c r="A2320" s="47" t="inlineStr">
        <is>
          <t>Giữ nguyên</t>
        </is>
      </c>
      <c r="B2320" s="56" t="inlineStr">
        <is>
          <t>• Giữ điểm, cấu hình và đối tượng không đích theo expected;
• Chỉ thay phần thủ tục yêu cầu, không tự đổi oracle hoặc mở rộng phạm vi.</t>
        </is>
      </c>
      <c r="C2320" s="57" t="n"/>
      <c r="D2320" s="57" t="n"/>
      <c r="E2320" s="57" t="n"/>
    </row>
    <row r="2321" ht="61" customHeight="1">
      <c r="A2321" s="47" t="inlineStr">
        <is>
          <t>Quan sát tại</t>
        </is>
      </c>
      <c r="B2321" s="56" t="inlineStr">
        <is>
          <t>• Dùng trích xuất không lọc để thấy cả ô đối chứng. Trạng thái không có dấu đỏ cần đọc thêm trạng thái lưu;
• Output Excel/PDF dùng file thật.</t>
        </is>
      </c>
      <c r="C2321" s="57" t="n"/>
      <c r="D2321" s="57" t="n"/>
      <c r="E2321" s="57" t="n"/>
    </row>
    <row r="2322" ht="30" customHeight="1">
      <c r="A2322" s="58" t="inlineStr">
        <is>
          <t>Kết quả thực tế</t>
        </is>
      </c>
      <c r="B2322" s="59" t="n"/>
      <c r="C2322" s="59" t="n"/>
      <c r="D2322" s="59" t="n"/>
      <c r="E2322" s="59" t="n"/>
    </row>
    <row r="2323" ht="30" customHeight="1">
      <c r="A2323" s="60" t="inlineStr">
        <is>
          <t>TC-RS-CALC-013 / multiply</t>
        </is>
      </c>
      <c r="B2323" s="36" t="n"/>
      <c r="C2323" s="36" t="n"/>
      <c r="D2323" s="36" t="n"/>
      <c r="E2323" s="36" t="n"/>
    </row>
    <row r="2324" ht="30" customHeight="1">
      <c r="A2324" s="47" t="inlineStr">
        <is>
          <t>Dữ liệu biến thể</t>
        </is>
      </c>
      <c r="B2324" s="56" t="inlineStr">
        <is>
          <t>Nhân 0.5</t>
        </is>
      </c>
      <c r="C2324" s="57" t="n"/>
      <c r="D2324" s="57" t="n"/>
      <c r="E2324" s="57" t="n"/>
    </row>
    <row r="2325" ht="30" customHeight="1">
      <c r="A2325" s="47" t="inlineStr">
        <is>
          <t>Trạng thái</t>
        </is>
      </c>
      <c r="B2325" s="61" t="inlineStr">
        <is>
          <t>Chưa thực hiện</t>
        </is>
      </c>
      <c r="C2325" s="57" t="n"/>
      <c r="D2325" s="57" t="n"/>
      <c r="E2325" s="57" t="n"/>
    </row>
    <row r="2326" ht="30" customHeight="1">
      <c r="A2326" s="62" t="inlineStr">
        <is>
          <t>Kết quả thực tế</t>
        </is>
      </c>
    </row>
    <row r="2327" ht="64" customHeight="1">
      <c r="A2327" s="63" t="inlineStr"/>
      <c r="B2327" s="64" t="n"/>
      <c r="C2327" s="64" t="n"/>
      <c r="D2327" s="64" t="n"/>
      <c r="E2327" s="65" t="n"/>
    </row>
    <row r="2328" ht="30" customHeight="1">
      <c r="A2328" s="62" t="inlineStr">
        <is>
          <t>Ảnh minh chứng</t>
        </is>
      </c>
    </row>
    <row r="2329" ht="90" customHeight="1">
      <c r="A2329" s="63" t="inlineStr"/>
      <c r="B2329" s="64" t="n"/>
      <c r="C2329" s="64" t="n"/>
      <c r="D2329" s="64" t="n"/>
      <c r="E2329" s="65" t="n"/>
    </row>
    <row r="2330" ht="12" customHeight="1">
      <c r="A2330" s="66" t="inlineStr"/>
    </row>
    <row r="2331" ht="30" customHeight="1">
      <c r="A2331" s="60" t="inlineStr">
        <is>
          <t>TC-RS-CALC-013 / subtract</t>
        </is>
      </c>
      <c r="B2331" s="36" t="n"/>
      <c r="C2331" s="36" t="n"/>
      <c r="D2331" s="36" t="n"/>
      <c r="E2331" s="36" t="n"/>
    </row>
    <row r="2332" ht="30" customHeight="1">
      <c r="A2332" s="47" t="inlineStr">
        <is>
          <t>Dữ liệu biến thể</t>
        </is>
      </c>
      <c r="B2332" s="56" t="inlineStr">
        <is>
          <t>Trừ 20</t>
        </is>
      </c>
      <c r="C2332" s="57" t="n"/>
      <c r="D2332" s="57" t="n"/>
      <c r="E2332" s="57" t="n"/>
    </row>
    <row r="2333" ht="30" customHeight="1">
      <c r="A2333" s="47" t="inlineStr">
        <is>
          <t>Trạng thái</t>
        </is>
      </c>
      <c r="B2333" s="61" t="inlineStr">
        <is>
          <t>Chưa thực hiện</t>
        </is>
      </c>
      <c r="C2333" s="57" t="n"/>
      <c r="D2333" s="57" t="n"/>
      <c r="E2333" s="57" t="n"/>
    </row>
    <row r="2334" ht="30" customHeight="1">
      <c r="A2334" s="62" t="inlineStr">
        <is>
          <t>Kết quả thực tế</t>
        </is>
      </c>
    </row>
    <row r="2335" ht="64" customHeight="1">
      <c r="A2335" s="63" t="inlineStr"/>
      <c r="B2335" s="64" t="n"/>
      <c r="C2335" s="64" t="n"/>
      <c r="D2335" s="64" t="n"/>
      <c r="E2335" s="65" t="n"/>
    </row>
    <row r="2336" ht="30" customHeight="1">
      <c r="A2336" s="62" t="inlineStr">
        <is>
          <t>Ảnh minh chứng</t>
        </is>
      </c>
    </row>
    <row r="2337" ht="90" customHeight="1">
      <c r="A2337" s="63" t="inlineStr"/>
      <c r="B2337" s="64" t="n"/>
      <c r="C2337" s="64" t="n"/>
      <c r="D2337" s="64" t="n"/>
      <c r="E2337" s="65" t="n"/>
    </row>
    <row r="2338" ht="12" customHeight="1">
      <c r="A2338" s="66" t="inlineStr"/>
    </row>
    <row r="2339" ht="30" customHeight="1">
      <c r="A2339" s="60" t="inlineStr">
        <is>
          <t>TC-RS-CALC-013 / add</t>
        </is>
      </c>
      <c r="B2339" s="36" t="n"/>
      <c r="C2339" s="36" t="n"/>
      <c r="D2339" s="36" t="n"/>
      <c r="E2339" s="36" t="n"/>
    </row>
    <row r="2340" ht="30" customHeight="1">
      <c r="A2340" s="47" t="inlineStr">
        <is>
          <t>Dữ liệu biến thể</t>
        </is>
      </c>
      <c r="B2340" s="56" t="inlineStr">
        <is>
          <t>Cộng 5</t>
        </is>
      </c>
      <c r="C2340" s="57" t="n"/>
      <c r="D2340" s="57" t="n"/>
      <c r="E2340" s="57" t="n"/>
    </row>
    <row r="2341" ht="30" customHeight="1">
      <c r="A2341" s="47" t="inlineStr">
        <is>
          <t>Trạng thái</t>
        </is>
      </c>
      <c r="B2341" s="61" t="inlineStr">
        <is>
          <t>Chưa thực hiện</t>
        </is>
      </c>
      <c r="C2341" s="57" t="n"/>
      <c r="D2341" s="57" t="n"/>
      <c r="E2341" s="57" t="n"/>
    </row>
    <row r="2342" ht="30" customHeight="1">
      <c r="A2342" s="62" t="inlineStr">
        <is>
          <t>Kết quả thực tế</t>
        </is>
      </c>
    </row>
    <row r="2343" ht="64" customHeight="1">
      <c r="A2343" s="63" t="inlineStr"/>
      <c r="B2343" s="64" t="n"/>
      <c r="C2343" s="64" t="n"/>
      <c r="D2343" s="64" t="n"/>
      <c r="E2343" s="65" t="n"/>
    </row>
    <row r="2344" ht="30" customHeight="1">
      <c r="A2344" s="62" t="inlineStr">
        <is>
          <t>Ảnh minh chứng</t>
        </is>
      </c>
    </row>
    <row r="2345" ht="90" customHeight="1">
      <c r="A2345" s="63" t="inlineStr"/>
      <c r="B2345" s="64" t="n"/>
      <c r="C2345" s="64" t="n"/>
      <c r="D2345" s="64" t="n"/>
      <c r="E2345" s="65" t="n"/>
    </row>
    <row r="2346" ht="12" customHeight="1">
      <c r="A2346" s="66" t="inlineStr"/>
    </row>
    <row r="2347" ht="20" customHeight="1">
      <c r="A2347" s="66" t="inlineStr"/>
    </row>
    <row r="2348" ht="30" customHeight="1">
      <c r="A2348" s="46" t="inlineStr">
        <is>
          <t>TC-RS-CALC-014 — Làm tròn theo từng dòng: A=49.7</t>
        </is>
      </c>
      <c r="B2348" s="23" t="n"/>
      <c r="C2348" s="23" t="n"/>
      <c r="D2348" s="23" t="n"/>
      <c r="E2348" s="23" t="n"/>
    </row>
    <row r="2349" ht="30" customHeight="1">
      <c r="A2349" s="47" t="inlineStr">
        <is>
          <t>Trạng thái</t>
        </is>
      </c>
      <c r="B2349" s="61" t="inlineStr">
        <is>
          <t>Chưa thực hiện</t>
        </is>
      </c>
      <c r="C2349" s="57" t="n"/>
      <c r="D2349" s="57" t="n"/>
      <c r="E2349" s="57" t="n"/>
    </row>
    <row r="2350" ht="30" customHeight="1">
      <c r="A2350" s="47" t="inlineStr">
        <is>
          <t>Màn hình / chức năng</t>
        </is>
      </c>
      <c r="B2350" s="47" t="inlineStr">
        <is>
          <t>Thiết lập ngưỡng（基準設定）</t>
        </is>
      </c>
      <c r="C2350" s="57" t="n"/>
      <c r="D2350" s="47" t="inlineStr">
        <is>
          <t>Đường dẫn</t>
        </is>
      </c>
      <c r="E2350" s="56" t="inlineStr">
        <is>
          <t>Chưa xác minh</t>
        </is>
      </c>
    </row>
    <row r="2351" ht="30" customHeight="1">
      <c r="A2351" s="58" t="inlineStr">
        <is>
          <t>Điều kiện kiểm thử</t>
        </is>
      </c>
      <c r="B2351" s="59" t="n"/>
      <c r="C2351" s="59" t="n"/>
      <c r="D2351" s="59" t="n"/>
      <c r="E2351" s="59" t="n"/>
    </row>
    <row r="2352" ht="78" customHeight="1">
      <c r="A2352" s="47" t="inlineStr">
        <is>
          <t>Cấu hình</t>
        </is>
      </c>
      <c r="B2352" s="56" t="inlineStr">
        <is>
          <t>• Nguồn [A=49.7];
• Dòng 1 [A÷2];
• Dòng 2 [Kết quả dòng 1 × 0.8];
• [&lt;].</t>
        </is>
      </c>
      <c r="C2352" s="57" t="n"/>
      <c r="D2352" s="57" t="n"/>
      <c r="E2352" s="57" t="n"/>
    </row>
    <row r="2353" ht="61" customHeight="1">
      <c r="A2353" s="47" t="inlineStr">
        <is>
          <t>Vai trò / quyền</t>
        </is>
      </c>
      <c r="B235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353" s="57" t="n"/>
      <c r="D2353" s="57" t="n"/>
      <c r="E2353" s="57" t="n"/>
    </row>
    <row r="2354" ht="30" customHeight="1">
      <c r="A2354" s="47" t="inlineStr">
        <is>
          <t>Dữ liệu test</t>
        </is>
      </c>
      <c r="B2354" s="56" t="inlineStr">
        <is>
          <t>• S = 19.1 và S = 19.2</t>
        </is>
      </c>
      <c r="C2354" s="57" t="n"/>
      <c r="D2354" s="57" t="n"/>
      <c r="E2354" s="57" t="n"/>
    </row>
    <row r="2355" ht="30" customHeight="1">
      <c r="A2355" s="47" t="inlineStr">
        <is>
          <t>Trigger</t>
        </is>
      </c>
      <c r="B2355" s="56" t="inlineStr">
        <is>
          <t>• Chỉ xem/xuất không tự chạy xét.</t>
        </is>
      </c>
      <c r="C2355" s="57" t="n"/>
      <c r="D2355" s="57" t="n"/>
      <c r="E2355" s="57" t="n"/>
    </row>
    <row r="2356" ht="44" customHeight="1">
      <c r="A2356" s="47" t="inlineStr">
        <is>
          <t>Blocker</t>
        </is>
      </c>
      <c r="B2356" s="56" t="inlineStr">
        <is>
          <t>• G-PREP-UNASSESSED: Chưa có xác minh fixture, đường thực hiện và phép quan sát trên build của từng case chưa đánh giá.</t>
        </is>
      </c>
      <c r="C2356" s="57" t="n"/>
      <c r="D2356" s="57" t="n"/>
      <c r="E2356" s="57" t="n"/>
    </row>
    <row r="2357" ht="30" customHeight="1">
      <c r="A2357" s="58" t="inlineStr">
        <is>
          <t>Thao tác</t>
        </is>
      </c>
      <c r="B2357" s="59" t="n"/>
      <c r="C2357" s="59" t="n"/>
      <c r="D2357" s="59" t="n"/>
      <c r="E2357" s="59" t="n"/>
    </row>
    <row r="2358" ht="30" customHeight="1">
      <c r="A2358" s="47" t="inlineStr">
        <is>
          <t>Step 1</t>
        </is>
      </c>
      <c r="B2358" s="56" t="inlineStr">
        <is>
          <t>Lưu đúng cấu hình: dòng 1 bật xử lý phần lẻ, vị trí 1, làm tròn xuống; dòng 2 không xử lý.</t>
        </is>
      </c>
      <c r="C2358" s="57" t="n"/>
      <c r="D2358" s="57" t="n"/>
      <c r="E2358" s="57" t="n"/>
    </row>
    <row r="2359" ht="30" customHeight="1">
      <c r="A2359" s="47" t="inlineStr">
        <is>
          <t>Step 2</t>
        </is>
      </c>
      <c r="B2359" s="56" t="inlineStr">
        <is>
          <t>Chạy xét với [S=19.1] và [S=19.2].</t>
        </is>
      </c>
      <c r="C2359" s="57" t="n"/>
      <c r="D2359" s="57" t="n"/>
      <c r="E2359" s="57" t="n"/>
    </row>
    <row r="2360" ht="44" customHeight="1">
      <c r="A2360" s="47" t="inlineStr">
        <is>
          <t>Reset</t>
        </is>
      </c>
      <c r="B2360" s="56" t="inlineStr">
        <is>
          <t>Trước mỗi biến thể, dựng lại điều kiện/dữ liệu đầu của case bằng đường được phép; giữ các reset/fixture độc lập đã nêu trong thủ tục.</t>
        </is>
      </c>
      <c r="C2360" s="57" t="n"/>
      <c r="D2360" s="57" t="n"/>
      <c r="E2360" s="57" t="n"/>
    </row>
    <row r="2361" ht="30" customHeight="1">
      <c r="A2361" s="58" t="inlineStr">
        <is>
          <t>Kết quả mong đợi</t>
        </is>
      </c>
      <c r="B2361" s="59" t="n"/>
      <c r="C2361" s="59" t="n"/>
      <c r="D2361" s="59" t="n"/>
      <c r="E2361" s="59" t="n"/>
    </row>
    <row r="2362" ht="30" customHeight="1">
      <c r="A2362" s="47" t="inlineStr">
        <is>
          <t>1.</t>
        </is>
      </c>
      <c r="B2362" s="56" t="inlineStr">
        <is>
          <t>[24.85→24]; [T=24×0.8=19.2].</t>
        </is>
      </c>
      <c r="C2362" s="57" t="n"/>
      <c r="D2362" s="57" t="n"/>
      <c r="E2362" s="57" t="n"/>
    </row>
    <row r="2363" ht="30" customHeight="1">
      <c r="A2363" s="47" t="inlineStr">
        <is>
          <t>2.</t>
        </is>
      </c>
      <c r="B2363" s="56" t="inlineStr">
        <is>
          <t>Với dấu [&lt;]: [S=19.1] Đỏ và [S=19.2] Không đỏ.</t>
        </is>
      </c>
      <c r="C2363" s="57" t="n"/>
      <c r="D2363" s="57" t="n"/>
      <c r="E2363" s="57" t="n"/>
    </row>
    <row r="2364" ht="30" customHeight="1">
      <c r="A2364" s="47" t="inlineStr">
        <is>
          <t>3.</t>
        </is>
      </c>
      <c r="B2364" s="56" t="inlineStr">
        <is>
          <t>Không làm tròn dòng 2 thành [19].</t>
        </is>
      </c>
      <c r="C2364" s="57" t="n"/>
      <c r="D2364" s="57" t="n"/>
      <c r="E2364" s="57" t="n"/>
    </row>
    <row r="2365" ht="44" customHeight="1">
      <c r="A2365" s="47" t="inlineStr">
        <is>
          <t>Giữ nguyên</t>
        </is>
      </c>
      <c r="B2365" s="56" t="inlineStr">
        <is>
          <t>• Giữ điểm, cấu hình và đối tượng không đích theo expected;
• Chỉ thay phần thủ tục yêu cầu, không tự đổi oracle hoặc mở rộng phạm vi.</t>
        </is>
      </c>
      <c r="C2365" s="57" t="n"/>
      <c r="D2365" s="57" t="n"/>
      <c r="E2365" s="57" t="n"/>
    </row>
    <row r="2366" ht="61" customHeight="1">
      <c r="A2366" s="47" t="inlineStr">
        <is>
          <t>Quan sát tại</t>
        </is>
      </c>
      <c r="B2366" s="56" t="inlineStr">
        <is>
          <t>• Dùng trích xuất không lọc để thấy cả ô đối chứng. Trạng thái không có dấu đỏ cần đọc thêm trạng thái lưu;
• Output Excel/PDF dùng file thật.</t>
        </is>
      </c>
      <c r="C2366" s="57" t="n"/>
      <c r="D2366" s="57" t="n"/>
      <c r="E2366" s="57" t="n"/>
    </row>
    <row r="2367" ht="30" customHeight="1">
      <c r="A2367" s="58" t="inlineStr">
        <is>
          <t>Kết quả thực tế</t>
        </is>
      </c>
      <c r="B2367" s="59" t="n"/>
      <c r="C2367" s="59" t="n"/>
      <c r="D2367" s="59" t="n"/>
      <c r="E2367" s="59" t="n"/>
    </row>
    <row r="2368" ht="30" customHeight="1">
      <c r="A2368" s="47" t="inlineStr">
        <is>
          <t>Dữ liệu biến thể</t>
        </is>
      </c>
      <c r="B2368" s="56" t="inlineStr">
        <is>
          <t>Toàn bộ thủ tục theo đúng thứ tự; các đối chứng cùng fixture được kiểm trong cùng lượt, không bỏ bước</t>
        </is>
      </c>
      <c r="C2368" s="57" t="n"/>
      <c r="D2368" s="57" t="n"/>
      <c r="E2368" s="57" t="n"/>
    </row>
    <row r="2369" ht="30" customHeight="1">
      <c r="A2369" s="62" t="inlineStr">
        <is>
          <t>Kết quả thực tế</t>
        </is>
      </c>
    </row>
    <row r="2370" ht="64" customHeight="1">
      <c r="A2370" s="63" t="inlineStr"/>
      <c r="B2370" s="64" t="n"/>
      <c r="C2370" s="64" t="n"/>
      <c r="D2370" s="64" t="n"/>
      <c r="E2370" s="65" t="n"/>
    </row>
    <row r="2371" ht="30" customHeight="1">
      <c r="A2371" s="62" t="inlineStr">
        <is>
          <t>Ảnh minh chứng</t>
        </is>
      </c>
    </row>
    <row r="2372" ht="90" customHeight="1">
      <c r="A2372" s="63" t="inlineStr"/>
      <c r="B2372" s="64" t="n"/>
      <c r="C2372" s="64" t="n"/>
      <c r="D2372" s="64" t="n"/>
      <c r="E2372" s="65" t="n"/>
    </row>
    <row r="2373" ht="12" customHeight="1">
      <c r="A2373" s="66" t="inlineStr"/>
    </row>
    <row r="2374" ht="20" customHeight="1">
      <c r="A2374" s="66" t="inlineStr"/>
    </row>
    <row r="2375" ht="30" customHeight="1">
      <c r="A2375" s="46" t="inlineStr">
        <is>
          <t>TC-RS-CALC-015 — Công thức hai dòng theo Figma: (A÷2)×0.8, dòng 1 làm tròn xuống</t>
        </is>
      </c>
      <c r="B2375" s="23" t="n"/>
      <c r="C2375" s="23" t="n"/>
      <c r="D2375" s="23" t="n"/>
      <c r="E2375" s="23" t="n"/>
    </row>
    <row r="2376" ht="30" customHeight="1">
      <c r="A2376" s="47" t="inlineStr">
        <is>
          <t>Trạng thái</t>
        </is>
      </c>
      <c r="B2376" s="56">
        <f>IF(0&gt;0,"Không đạt",IF(0=3,"Đạt",IF(SUMPRODUCT(--EXACT('Testcases'!B2399:B2415,"Không thực hiện"))=3,"Không thực hiện",IF(SUMPRODUCT(--EXACT('Testcases'!B2399:B2415,"Bị chặn"))&gt;0,"Bị chặn",IF(SUMPRODUCT(--EXACT('Testcases'!B2399:B2415,"Chưa thực hiện"))=3,"Chưa thực hiện","Chưa đủ kết luận")))))</f>
        <v/>
      </c>
      <c r="C2376" s="57" t="n"/>
      <c r="D2376" s="57" t="n"/>
      <c r="E2376" s="57" t="n"/>
    </row>
    <row r="2377" ht="30" customHeight="1">
      <c r="A2377" s="47" t="inlineStr">
        <is>
          <t>Màn hình / chức năng</t>
        </is>
      </c>
      <c r="B2377" s="47" t="inlineStr">
        <is>
          <t>Thiết lập ngưỡng（基準設定）</t>
        </is>
      </c>
      <c r="C2377" s="57" t="n"/>
      <c r="D2377" s="47" t="inlineStr">
        <is>
          <t>Đường dẫn</t>
        </is>
      </c>
      <c r="E2377" s="56" t="inlineStr">
        <is>
          <t>Chưa xác minh</t>
        </is>
      </c>
    </row>
    <row r="2378" ht="30" customHeight="1">
      <c r="A2378" s="58" t="inlineStr">
        <is>
          <t>Điều kiện kiểm thử</t>
        </is>
      </c>
      <c r="B2378" s="59" t="n"/>
      <c r="C2378" s="59" t="n"/>
      <c r="D2378" s="59" t="n"/>
      <c r="E2378" s="59" t="n"/>
    </row>
    <row r="2379" ht="78" customHeight="1">
      <c r="A2379" s="47" t="inlineStr">
        <is>
          <t>Cấu hình</t>
        </is>
      </c>
      <c r="B2379" s="56" t="inlineStr">
        <is>
          <t>• Giáo viên có quyền sửa thiết lập;
• Dùng mục số thập phân TD-ITEM-02 ([M=100]) trong lớp fixture duy nhất TD-GRP-05;
• Ba học sinh C15-P1/P2/P3 cùng thuộc phạm vi rule và nguồn trung bình TD-SRC-25;
• Chưa có kết quả đỏ cũ.</t>
        </is>
      </c>
      <c r="C2379" s="57" t="n"/>
      <c r="D2379" s="57" t="n"/>
      <c r="E2379" s="57" t="n"/>
    </row>
    <row r="2380" ht="61" customHeight="1">
      <c r="A2380" s="47" t="inlineStr">
        <is>
          <t>Vai trò / quyền</t>
        </is>
      </c>
      <c r="B238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380" s="57" t="n"/>
      <c r="D2380" s="57" t="n"/>
      <c r="E2380" s="57" t="n"/>
    </row>
    <row r="2381" ht="61" customHeight="1">
      <c r="A2381" s="47" t="inlineStr">
        <is>
          <t>Dữ liệu test</t>
        </is>
      </c>
      <c r="B2381" s="56" t="inlineStr">
        <is>
          <t>• C15-P1 có [S=23.9], C15-P2 có [S=24], C15-P3 có [S=24.4];
• Nguồn reader phải trả [A=61];
• Quy tắc hai dòng [(A÷2)×0.8].</t>
        </is>
      </c>
      <c r="C2381" s="57" t="n"/>
      <c r="D2381" s="57" t="n"/>
      <c r="E2381" s="57" t="n"/>
    </row>
    <row r="2382" ht="30" customHeight="1">
      <c r="A2382" s="47" t="inlineStr">
        <is>
          <t>Trigger</t>
        </is>
      </c>
      <c r="B2382" s="56" t="inlineStr">
        <is>
          <t>• Chỉ xem/xuất không tự chạy xét.</t>
        </is>
      </c>
      <c r="C2382" s="57" t="n"/>
      <c r="D2382" s="57" t="n"/>
      <c r="E2382" s="57" t="n"/>
    </row>
    <row r="2383" ht="44" customHeight="1">
      <c r="A2383" s="47" t="inlineStr">
        <is>
          <t>Blocker</t>
        </is>
      </c>
      <c r="B2383" s="56" t="inlineStr">
        <is>
          <t>• G-PREP-TC-RS-CALC-015: BLOCKED — cần provision TD-GRP-05/TD-SRC-25 và xác nhận reader trả A=61;
• Oracle đã cố định, không đổi theo kết quả chạy.</t>
        </is>
      </c>
      <c r="C2383" s="57" t="n"/>
      <c r="D2383" s="57" t="n"/>
      <c r="E2383" s="57" t="n"/>
    </row>
    <row r="2384" ht="30" customHeight="1">
      <c r="A2384" s="58" t="inlineStr">
        <is>
          <t>Thao tác</t>
        </is>
      </c>
      <c r="B2384" s="59" t="n"/>
      <c r="C2384" s="59" t="n"/>
      <c r="D2384" s="59" t="n"/>
      <c r="E2384" s="59" t="n"/>
    </row>
    <row r="2385" ht="44" customHeight="1">
      <c r="A2385" s="47" t="inlineStr">
        <is>
          <t>Step 1</t>
        </is>
      </c>
      <c r="B2385" s="56" t="inlineStr">
        <is>
          <t>Tạo dòng 1 [A÷2]; chọn chữ số thập phân thứ 1（小数第1位） và Làm tròn xuống（切り捨て）, tức kết quả dòng 1 được đưa về số nguyên. Tạo dòng 2 [kết quả dòng trước×0.8] và chọn không xử lý phần lẻ（しない）.</t>
        </is>
      </c>
      <c r="C2385" s="57" t="n"/>
      <c r="D2385" s="57" t="n"/>
      <c r="E2385" s="57" t="n"/>
    </row>
    <row r="2386" ht="44" customHeight="1">
      <c r="A2386" s="47" t="inlineStr">
        <is>
          <t>Step 2</t>
        </is>
      </c>
      <c r="B2386" s="56" t="inlineStr">
        <is>
          <t>Xác nhận TD-SRC-25/reader trả [A=61]; chạy trong đúng lớp TD-GRP-05 với C15-P1/P2/P3 cho hai biến thể dấu [&lt;] và [≤], không đổi nguồn hoặc cách làm tròn.</t>
        </is>
      </c>
      <c r="C2386" s="57" t="n"/>
      <c r="D2386" s="57" t="n"/>
      <c r="E2386" s="57" t="n"/>
    </row>
    <row r="2387" ht="30" customHeight="1">
      <c r="A2387" s="47" t="inlineStr">
        <is>
          <t>Step 3</t>
        </is>
      </c>
      <c r="B2387" s="56" t="inlineStr">
        <is>
          <t>Mở lại cấu hình và đối chiếu kết quả của C15-P1/P2/P3.</t>
        </is>
      </c>
      <c r="C2387" s="57" t="n"/>
      <c r="D2387" s="57" t="n"/>
      <c r="E2387" s="57" t="n"/>
    </row>
    <row r="2388" ht="44" customHeight="1">
      <c r="A2388" s="47" t="inlineStr">
        <is>
          <t>Reset</t>
        </is>
      </c>
      <c r="B2388" s="56" t="inlineStr">
        <is>
          <t>Trước mỗi biến thể, dựng lại điều kiện/dữ liệu đầu của case bằng đường được phép; giữ các reset/fixture độc lập đã nêu trong thủ tục.</t>
        </is>
      </c>
      <c r="C2388" s="57" t="n"/>
      <c r="D2388" s="57" t="n"/>
      <c r="E2388" s="57" t="n"/>
    </row>
    <row r="2389" ht="30" customHeight="1">
      <c r="A2389" s="58" t="inlineStr">
        <is>
          <t>Kết quả mong đợi</t>
        </is>
      </c>
      <c r="B2389" s="59" t="n"/>
      <c r="C2389" s="59" t="n"/>
      <c r="D2389" s="59" t="n"/>
      <c r="E2389" s="59" t="n"/>
    </row>
    <row r="2390" ht="30" customHeight="1">
      <c r="A2390" s="47" t="inlineStr">
        <is>
          <t>•</t>
        </is>
      </c>
      <c r="B2390" s="56" t="inlineStr">
        <is>
          <t>Dòng 1 [61÷2=30.5] làm tròn xuống thành [30]; dòng 2 [30×0.8=24], nên oracle cố định là [T=24].</t>
        </is>
      </c>
      <c r="C2390" s="57" t="n"/>
      <c r="D2390" s="57" t="n"/>
      <c r="E2390" s="57" t="n"/>
    </row>
    <row r="2391" ht="30" customHeight="1">
      <c r="A2391" s="47" t="inlineStr">
        <is>
          <t>•</t>
        </is>
      </c>
      <c r="B2391" s="56" t="inlineStr">
        <is>
          <t>Với dấu [&lt;]: C15-P1=[23.9] Đỏ; C15-P2=[24] Không đỏ; C15-P3=[24.4] Không đỏ.</t>
        </is>
      </c>
      <c r="C2391" s="57" t="n"/>
      <c r="D2391" s="57" t="n"/>
      <c r="E2391" s="57" t="n"/>
    </row>
    <row r="2392" ht="30" customHeight="1">
      <c r="A2392" s="47" t="inlineStr">
        <is>
          <t>•</t>
        </is>
      </c>
      <c r="B2392" s="56" t="inlineStr">
        <is>
          <t>Với dấu [≤]: C15-P1=[23.9] Đỏ; C15-P2=[24] Đỏ; C15-P3=[24.4] Không đỏ.</t>
        </is>
      </c>
      <c r="C2392" s="57" t="n"/>
      <c r="D2392" s="57" t="n"/>
      <c r="E2392" s="57" t="n"/>
    </row>
    <row r="2393" ht="61" customHeight="1">
      <c r="A2393" s="47" t="inlineStr">
        <is>
          <t>•</t>
        </is>
      </c>
      <c r="B2393" s="56" t="inlineStr">
        <is>
          <t>Mở lại cấu hình và phần tóm tắt phải giữ đúng vị trí làm tròn xuống ở dòng 1, không được thay expected theo kết quả thực tế hoặc ghi đè oracle trong evidence. Phương thức không làm tròn dòng 1 là biến thể riêng, không thuộc case này.</t>
        </is>
      </c>
      <c r="C2393" s="57" t="n"/>
      <c r="D2393" s="57" t="n"/>
      <c r="E2393" s="57" t="n"/>
    </row>
    <row r="2394" ht="44" customHeight="1">
      <c r="A2394" s="47" t="inlineStr">
        <is>
          <t>Giữ nguyên</t>
        </is>
      </c>
      <c r="B2394" s="56" t="inlineStr">
        <is>
          <t>• Giữ điểm, cấu hình và đối tượng không đích theo expected;
• Chỉ thay phần thủ tục yêu cầu, không tự đổi oracle hoặc mở rộng phạm vi.</t>
        </is>
      </c>
      <c r="C2394" s="57" t="n"/>
      <c r="D2394" s="57" t="n"/>
      <c r="E2394" s="57" t="n"/>
    </row>
    <row r="2395" ht="61" customHeight="1">
      <c r="A2395" s="47" t="inlineStr">
        <is>
          <t>Quan sát tại</t>
        </is>
      </c>
      <c r="B2395" s="56" t="inlineStr">
        <is>
          <t>• Dùng trích xuất không lọc để thấy cả ô đối chứng. Trạng thái không có dấu đỏ cần đọc thêm trạng thái lưu;
• Output Excel/PDF dùng file thật.</t>
        </is>
      </c>
      <c r="C2395" s="57" t="n"/>
      <c r="D2395" s="57" t="n"/>
      <c r="E2395" s="57" t="n"/>
    </row>
    <row r="2396" ht="30" customHeight="1">
      <c r="A2396" s="58" t="inlineStr">
        <is>
          <t>Kết quả thực tế</t>
        </is>
      </c>
      <c r="B2396" s="59" t="n"/>
      <c r="C2396" s="59" t="n"/>
      <c r="D2396" s="59" t="n"/>
      <c r="E2396" s="59" t="n"/>
    </row>
    <row r="2397" ht="30" customHeight="1">
      <c r="A2397" s="60" t="inlineStr">
        <is>
          <t>TC-RS-CALC-015 / less-than</t>
        </is>
      </c>
      <c r="B2397" s="36" t="n"/>
      <c r="C2397" s="36" t="n"/>
      <c r="D2397" s="36" t="n"/>
      <c r="E2397" s="36" t="n"/>
    </row>
    <row r="2398" ht="30" customHeight="1">
      <c r="A2398" s="47" t="inlineStr">
        <is>
          <t>Dữ liệu biến thể</t>
        </is>
      </c>
      <c r="B2398" s="56" t="inlineStr">
        <is>
          <t>Nhánh less-than trong thủ tục và Expected của case; thực hiện các bước chuẩn bị chung trước nhánh</t>
        </is>
      </c>
      <c r="C2398" s="57" t="n"/>
      <c r="D2398" s="57" t="n"/>
      <c r="E2398" s="57" t="n"/>
    </row>
    <row r="2399" ht="30" customHeight="1">
      <c r="A2399" s="47" t="inlineStr">
        <is>
          <t>Trạng thái</t>
        </is>
      </c>
      <c r="B2399" s="61" t="inlineStr">
        <is>
          <t>Chưa thực hiện</t>
        </is>
      </c>
      <c r="C2399" s="57" t="n"/>
      <c r="D2399" s="57" t="n"/>
      <c r="E2399" s="57" t="n"/>
    </row>
    <row r="2400" ht="30" customHeight="1">
      <c r="A2400" s="62" t="inlineStr">
        <is>
          <t>Kết quả thực tế</t>
        </is>
      </c>
    </row>
    <row r="2401" ht="64" customHeight="1">
      <c r="A2401" s="63" t="inlineStr"/>
      <c r="B2401" s="64" t="n"/>
      <c r="C2401" s="64" t="n"/>
      <c r="D2401" s="64" t="n"/>
      <c r="E2401" s="65" t="n"/>
    </row>
    <row r="2402" ht="30" customHeight="1">
      <c r="A2402" s="62" t="inlineStr">
        <is>
          <t>Ảnh minh chứng</t>
        </is>
      </c>
    </row>
    <row r="2403" ht="90" customHeight="1">
      <c r="A2403" s="63" t="inlineStr"/>
      <c r="B2403" s="64" t="n"/>
      <c r="C2403" s="64" t="n"/>
      <c r="D2403" s="64" t="n"/>
      <c r="E2403" s="65" t="n"/>
    </row>
    <row r="2404" ht="12" customHeight="1">
      <c r="A2404" s="66" t="inlineStr"/>
    </row>
    <row r="2405" ht="30" customHeight="1">
      <c r="A2405" s="60" t="inlineStr">
        <is>
          <t>TC-RS-CALC-015 / less-or-equal</t>
        </is>
      </c>
      <c r="B2405" s="36" t="n"/>
      <c r="C2405" s="36" t="n"/>
      <c r="D2405" s="36" t="n"/>
      <c r="E2405" s="36" t="n"/>
    </row>
    <row r="2406" ht="30" customHeight="1">
      <c r="A2406" s="47" t="inlineStr">
        <is>
          <t>Dữ liệu biến thể</t>
        </is>
      </c>
      <c r="B2406" s="56" t="inlineStr">
        <is>
          <t>Nhánh less-or-equal trong thủ tục và Expected của case; thực hiện các bước chuẩn bị chung trước nhánh</t>
        </is>
      </c>
      <c r="C2406" s="57" t="n"/>
      <c r="D2406" s="57" t="n"/>
      <c r="E2406" s="57" t="n"/>
    </row>
    <row r="2407" ht="30" customHeight="1">
      <c r="A2407" s="47" t="inlineStr">
        <is>
          <t>Trạng thái</t>
        </is>
      </c>
      <c r="B2407" s="61" t="inlineStr">
        <is>
          <t>Chưa thực hiện</t>
        </is>
      </c>
      <c r="C2407" s="57" t="n"/>
      <c r="D2407" s="57" t="n"/>
      <c r="E2407" s="57" t="n"/>
    </row>
    <row r="2408" ht="30" customHeight="1">
      <c r="A2408" s="62" t="inlineStr">
        <is>
          <t>Kết quả thực tế</t>
        </is>
      </c>
    </row>
    <row r="2409" ht="64" customHeight="1">
      <c r="A2409" s="63" t="inlineStr"/>
      <c r="B2409" s="64" t="n"/>
      <c r="C2409" s="64" t="n"/>
      <c r="D2409" s="64" t="n"/>
      <c r="E2409" s="65" t="n"/>
    </row>
    <row r="2410" ht="30" customHeight="1">
      <c r="A2410" s="62" t="inlineStr">
        <is>
          <t>Ảnh minh chứng</t>
        </is>
      </c>
    </row>
    <row r="2411" ht="90" customHeight="1">
      <c r="A2411" s="63" t="inlineStr"/>
      <c r="B2411" s="64" t="n"/>
      <c r="C2411" s="64" t="n"/>
      <c r="D2411" s="64" t="n"/>
      <c r="E2411" s="65" t="n"/>
    </row>
    <row r="2412" ht="12" customHeight="1">
      <c r="A2412" s="66" t="inlineStr"/>
    </row>
    <row r="2413" ht="30" customHeight="1">
      <c r="A2413" s="60" t="inlineStr">
        <is>
          <t>TC-RS-CALC-015 / reopen-summary</t>
        </is>
      </c>
      <c r="B2413" s="36" t="n"/>
      <c r="C2413" s="36" t="n"/>
      <c r="D2413" s="36" t="n"/>
      <c r="E2413" s="36" t="n"/>
    </row>
    <row r="2414" ht="30" customHeight="1">
      <c r="A2414" s="47" t="inlineStr">
        <is>
          <t>Dữ liệu biến thể</t>
        </is>
      </c>
      <c r="B2414" s="56" t="inlineStr">
        <is>
          <t>Nhánh reopen-summary trong thủ tục và Expected của case; thực hiện các bước chuẩn bị chung trước nhánh</t>
        </is>
      </c>
      <c r="C2414" s="57" t="n"/>
      <c r="D2414" s="57" t="n"/>
      <c r="E2414" s="57" t="n"/>
    </row>
    <row r="2415" ht="30" customHeight="1">
      <c r="A2415" s="47" t="inlineStr">
        <is>
          <t>Trạng thái</t>
        </is>
      </c>
      <c r="B2415" s="61" t="inlineStr">
        <is>
          <t>Chưa thực hiện</t>
        </is>
      </c>
      <c r="C2415" s="57" t="n"/>
      <c r="D2415" s="57" t="n"/>
      <c r="E2415" s="57" t="n"/>
    </row>
    <row r="2416" ht="30" customHeight="1">
      <c r="A2416" s="62" t="inlineStr">
        <is>
          <t>Kết quả thực tế</t>
        </is>
      </c>
    </row>
    <row r="2417" ht="64" customHeight="1">
      <c r="A2417" s="63" t="inlineStr"/>
      <c r="B2417" s="64" t="n"/>
      <c r="C2417" s="64" t="n"/>
      <c r="D2417" s="64" t="n"/>
      <c r="E2417" s="65" t="n"/>
    </row>
    <row r="2418" ht="30" customHeight="1">
      <c r="A2418" s="62" t="inlineStr">
        <is>
          <t>Ảnh minh chứng</t>
        </is>
      </c>
    </row>
    <row r="2419" ht="90" customHeight="1">
      <c r="A2419" s="63" t="inlineStr"/>
      <c r="B2419" s="64" t="n"/>
      <c r="C2419" s="64" t="n"/>
      <c r="D2419" s="64" t="n"/>
      <c r="E2419" s="65" t="n"/>
    </row>
    <row r="2420" ht="12" customHeight="1">
      <c r="A2420" s="66" t="inlineStr"/>
    </row>
    <row r="2421" ht="20" customHeight="1">
      <c r="A2421" s="66" t="inlineStr"/>
    </row>
    <row r="2422" ht="30" customHeight="1">
      <c r="A2422" s="46" t="inlineStr">
        <is>
          <t>TC-RS-CALC-016 — Ngưỡng âm: A=15, A−20 → T=−5</t>
        </is>
      </c>
      <c r="B2422" s="23" t="n"/>
      <c r="C2422" s="23" t="n"/>
      <c r="D2422" s="23" t="n"/>
      <c r="E2422" s="23" t="n"/>
    </row>
    <row r="2423" ht="30" customHeight="1">
      <c r="A2423" s="47" t="inlineStr">
        <is>
          <t>Trạng thái</t>
        </is>
      </c>
      <c r="B2423" s="56">
        <f>IF(0&gt;0,"Không đạt",IF(0=4,"Đạt",IF(SUMPRODUCT(--EXACT('Testcases'!B2443:B2467,"Không thực hiện"))=4,"Không thực hiện",IF(SUMPRODUCT(--EXACT('Testcases'!B2443:B2467,"Bị chặn"))&gt;0,"Bị chặn",IF(SUMPRODUCT(--EXACT('Testcases'!B2443:B2467,"Chưa thực hiện"))=4,"Chưa thực hiện","Chưa đủ kết luận")))))</f>
        <v/>
      </c>
      <c r="C2423" s="57" t="n"/>
      <c r="D2423" s="57" t="n"/>
      <c r="E2423" s="57" t="n"/>
    </row>
    <row r="2424" ht="30" customHeight="1">
      <c r="A2424" s="47" t="inlineStr">
        <is>
          <t>Màn hình / chức năng</t>
        </is>
      </c>
      <c r="B2424" s="47" t="inlineStr">
        <is>
          <t>Thiết lập ngưỡng（基準設定）</t>
        </is>
      </c>
      <c r="C2424" s="57" t="n"/>
      <c r="D2424" s="47" t="inlineStr">
        <is>
          <t>Đường dẫn</t>
        </is>
      </c>
      <c r="E2424" s="56" t="inlineStr">
        <is>
          <t>Chưa xác minh</t>
        </is>
      </c>
    </row>
    <row r="2425" ht="30" customHeight="1">
      <c r="A2425" s="58" t="inlineStr">
        <is>
          <t>Điều kiện kiểm thử</t>
        </is>
      </c>
      <c r="B2425" s="59" t="n"/>
      <c r="C2425" s="59" t="n"/>
      <c r="D2425" s="59" t="n"/>
      <c r="E2425" s="59" t="n"/>
    </row>
    <row r="2426" ht="44" customHeight="1">
      <c r="A2426" s="47" t="inlineStr">
        <is>
          <t>Cấu hình</t>
        </is>
      </c>
      <c r="B2426" s="56" t="inlineStr">
        <is>
          <t>• Quy tắc công thức trung bình − 20;
• Nguồn [A=15]. Biến thể (b) cần mục cho phép điểm âm.</t>
        </is>
      </c>
      <c r="C2426" s="57" t="n"/>
      <c r="D2426" s="57" t="n"/>
      <c r="E2426" s="57" t="n"/>
    </row>
    <row r="2427" ht="61" customHeight="1">
      <c r="A2427" s="47" t="inlineStr">
        <is>
          <t>Vai trò / quyền</t>
        </is>
      </c>
      <c r="B242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427" s="57" t="n"/>
      <c r="D2427" s="57" t="n"/>
      <c r="E2427" s="57" t="n"/>
    </row>
    <row r="2428" ht="61" customHeight="1">
      <c r="A2428" s="47" t="inlineStr">
        <is>
          <t>Dữ liệu test</t>
        </is>
      </c>
      <c r="B2428" s="56" t="inlineStr">
        <is>
          <t>• Quy tắc công thức trung bình − 20;
• (A) Mục thường: S = 0;
• (B) mục cho phép điểm âm: S = −6, −5</t>
        </is>
      </c>
      <c r="C2428" s="57" t="n"/>
      <c r="D2428" s="57" t="n"/>
      <c r="E2428" s="57" t="n"/>
    </row>
    <row r="2429" ht="30" customHeight="1">
      <c r="A2429" s="47" t="inlineStr">
        <is>
          <t>Trigger</t>
        </is>
      </c>
      <c r="B2429" s="56" t="inlineStr">
        <is>
          <t>• Chỉ xem/xuất không tự chạy xét.</t>
        </is>
      </c>
      <c r="C2429" s="57" t="n"/>
      <c r="D2429" s="57" t="n"/>
      <c r="E2429" s="57" t="n"/>
    </row>
    <row r="2430" ht="44" customHeight="1">
      <c r="A2430" s="47" t="inlineStr">
        <is>
          <t>Blocker</t>
        </is>
      </c>
      <c r="B2430" s="56" t="inlineStr">
        <is>
          <t>• G-PREP-UNASSESSED: Chưa có xác minh fixture, đường thực hiện và phép quan sát trên build của từng case chưa đánh giá.</t>
        </is>
      </c>
      <c r="C2430" s="57" t="n"/>
      <c r="D2430" s="57" t="n"/>
      <c r="E2430" s="57" t="n"/>
    </row>
    <row r="2431" ht="30" customHeight="1">
      <c r="A2431" s="58" t="inlineStr">
        <is>
          <t>Thao tác</t>
        </is>
      </c>
      <c r="B2431" s="59" t="n"/>
      <c r="C2431" s="59" t="n"/>
      <c r="D2431" s="59" t="n"/>
      <c r="E2431" s="59" t="n"/>
    </row>
    <row r="2432" ht="30" customHeight="1">
      <c r="A2432" s="47" t="inlineStr">
        <is>
          <t>•</t>
        </is>
      </c>
      <c r="B2432" s="56" t="inlineStr">
        <is>
          <t>(A) Xét S=0 với [&lt;] và [≤].</t>
        </is>
      </c>
      <c r="C2432" s="57" t="n"/>
      <c r="D2432" s="57" t="n"/>
      <c r="E2432" s="57" t="n"/>
    </row>
    <row r="2433" ht="30" customHeight="1">
      <c r="A2433" s="47" t="inlineStr">
        <is>
          <t>•</t>
        </is>
      </c>
      <c r="B2433" s="56" t="inlineStr">
        <is>
          <t>(B) Xét −6, −5 với [&lt;] và [≤].</t>
        </is>
      </c>
      <c r="C2433" s="57" t="n"/>
      <c r="D2433" s="57" t="n"/>
      <c r="E2433" s="57" t="n"/>
    </row>
    <row r="2434" ht="44" customHeight="1">
      <c r="A2434" s="47" t="inlineStr">
        <is>
          <t>Reset</t>
        </is>
      </c>
      <c r="B2434" s="56" t="inlineStr">
        <is>
          <t>Trước mỗi biến thể, dựng lại điều kiện/dữ liệu đầu của case bằng đường được phép; giữ các reset/fixture độc lập đã nêu trong thủ tục.</t>
        </is>
      </c>
      <c r="C2434" s="57" t="n"/>
      <c r="D2434" s="57" t="n"/>
      <c r="E2434" s="57" t="n"/>
    </row>
    <row r="2435" ht="30" customHeight="1">
      <c r="A2435" s="58" t="inlineStr">
        <is>
          <t>Kết quả mong đợi</t>
        </is>
      </c>
      <c r="B2435" s="59" t="n"/>
      <c r="C2435" s="59" t="n"/>
      <c r="D2435" s="59" t="n"/>
      <c r="E2435" s="59" t="n"/>
    </row>
    <row r="2436" ht="30" customHeight="1">
      <c r="A2436" s="47" t="inlineStr">
        <is>
          <t>•</t>
        </is>
      </c>
      <c r="B2436" s="56" t="inlineStr">
        <is>
          <t>(A) [T=−5]: [&lt;] Không đỏ; [≤] Không đỏ (nếu hệ thống ép [T] về 0 thì [≤] sẽ Đỏ — sai).</t>
        </is>
      </c>
      <c r="C2436" s="57" t="n"/>
      <c r="D2436" s="57" t="n"/>
      <c r="E2436" s="57" t="n"/>
    </row>
    <row r="2437" ht="30" customHeight="1">
      <c r="A2437" s="47" t="inlineStr">
        <is>
          <t>•</t>
        </is>
      </c>
      <c r="B2437" s="56" t="inlineStr">
        <is>
          <t>(B) [&lt;]: −6 Đỏ; −5 Không đỏ. [≤]: −6 Đỏ; −5 Đỏ.</t>
        </is>
      </c>
      <c r="C2437" s="57" t="n"/>
      <c r="D2437" s="57" t="n"/>
      <c r="E2437" s="57" t="n"/>
    </row>
    <row r="2438" ht="44" customHeight="1">
      <c r="A2438" s="47" t="inlineStr">
        <is>
          <t>Giữ nguyên</t>
        </is>
      </c>
      <c r="B2438" s="56" t="inlineStr">
        <is>
          <t>• Giữ điểm, cấu hình và đối tượng không đích theo expected;
• Chỉ thay phần thủ tục yêu cầu, không tự đổi oracle hoặc mở rộng phạm vi.</t>
        </is>
      </c>
      <c r="C2438" s="57" t="n"/>
      <c r="D2438" s="57" t="n"/>
      <c r="E2438" s="57" t="n"/>
    </row>
    <row r="2439" ht="61" customHeight="1">
      <c r="A2439" s="47" t="inlineStr">
        <is>
          <t>Quan sát tại</t>
        </is>
      </c>
      <c r="B2439" s="56" t="inlineStr">
        <is>
          <t>• Dùng trích xuất không lọc để thấy cả ô đối chứng. Trạng thái không có dấu đỏ cần đọc thêm trạng thái lưu;
• Output Excel/PDF dùng file thật.</t>
        </is>
      </c>
      <c r="C2439" s="57" t="n"/>
      <c r="D2439" s="57" t="n"/>
      <c r="E2439" s="57" t="n"/>
    </row>
    <row r="2440" ht="30" customHeight="1">
      <c r="A2440" s="58" t="inlineStr">
        <is>
          <t>Kết quả thực tế</t>
        </is>
      </c>
      <c r="B2440" s="59" t="n"/>
      <c r="C2440" s="59" t="n"/>
      <c r="D2440" s="59" t="n"/>
      <c r="E2440" s="59" t="n"/>
    </row>
    <row r="2441" ht="30" customHeight="1">
      <c r="A2441" s="60" t="inlineStr">
        <is>
          <t>TC-RS-CALC-016 / zero-lt</t>
        </is>
      </c>
      <c r="B2441" s="36" t="n"/>
      <c r="C2441" s="36" t="n"/>
      <c r="D2441" s="36" t="n"/>
      <c r="E2441" s="36" t="n"/>
    </row>
    <row r="2442" ht="30" customHeight="1">
      <c r="A2442" s="47" t="inlineStr">
        <is>
          <t>Dữ liệu biến thể</t>
        </is>
      </c>
      <c r="B2442" s="56" t="inlineStr">
        <is>
          <t>Ngưỡng 0 nhỏ hơn</t>
        </is>
      </c>
      <c r="C2442" s="57" t="n"/>
      <c r="D2442" s="57" t="n"/>
      <c r="E2442" s="57" t="n"/>
    </row>
    <row r="2443" ht="30" customHeight="1">
      <c r="A2443" s="47" t="inlineStr">
        <is>
          <t>Trạng thái</t>
        </is>
      </c>
      <c r="B2443" s="61" t="inlineStr">
        <is>
          <t>Chưa thực hiện</t>
        </is>
      </c>
      <c r="C2443" s="57" t="n"/>
      <c r="D2443" s="57" t="n"/>
      <c r="E2443" s="57" t="n"/>
    </row>
    <row r="2444" ht="30" customHeight="1">
      <c r="A2444" s="62" t="inlineStr">
        <is>
          <t>Kết quả thực tế</t>
        </is>
      </c>
    </row>
    <row r="2445" ht="64" customHeight="1">
      <c r="A2445" s="63" t="inlineStr"/>
      <c r="B2445" s="64" t="n"/>
      <c r="C2445" s="64" t="n"/>
      <c r="D2445" s="64" t="n"/>
      <c r="E2445" s="65" t="n"/>
    </row>
    <row r="2446" ht="30" customHeight="1">
      <c r="A2446" s="62" t="inlineStr">
        <is>
          <t>Ảnh minh chứng</t>
        </is>
      </c>
    </row>
    <row r="2447" ht="90" customHeight="1">
      <c r="A2447" s="63" t="inlineStr"/>
      <c r="B2447" s="64" t="n"/>
      <c r="C2447" s="64" t="n"/>
      <c r="D2447" s="64" t="n"/>
      <c r="E2447" s="65" t="n"/>
    </row>
    <row r="2448" ht="12" customHeight="1">
      <c r="A2448" s="66" t="inlineStr"/>
    </row>
    <row r="2449" ht="30" customHeight="1">
      <c r="A2449" s="60" t="inlineStr">
        <is>
          <t>TC-RS-CALC-016 / zero-le</t>
        </is>
      </c>
      <c r="B2449" s="36" t="n"/>
      <c r="C2449" s="36" t="n"/>
      <c r="D2449" s="36" t="n"/>
      <c r="E2449" s="36" t="n"/>
    </row>
    <row r="2450" ht="30" customHeight="1">
      <c r="A2450" s="47" t="inlineStr">
        <is>
          <t>Dữ liệu biến thể</t>
        </is>
      </c>
      <c r="B2450" s="56" t="inlineStr">
        <is>
          <t>Ngưỡng 0 nhỏ hơn hoặc bằng</t>
        </is>
      </c>
      <c r="C2450" s="57" t="n"/>
      <c r="D2450" s="57" t="n"/>
      <c r="E2450" s="57" t="n"/>
    </row>
    <row r="2451" ht="30" customHeight="1">
      <c r="A2451" s="47" t="inlineStr">
        <is>
          <t>Trạng thái</t>
        </is>
      </c>
      <c r="B2451" s="61" t="inlineStr">
        <is>
          <t>Chưa thực hiện</t>
        </is>
      </c>
      <c r="C2451" s="57" t="n"/>
      <c r="D2451" s="57" t="n"/>
      <c r="E2451" s="57" t="n"/>
    </row>
    <row r="2452" ht="30" customHeight="1">
      <c r="A2452" s="62" t="inlineStr">
        <is>
          <t>Kết quả thực tế</t>
        </is>
      </c>
    </row>
    <row r="2453" ht="64" customHeight="1">
      <c r="A2453" s="63" t="inlineStr"/>
      <c r="B2453" s="64" t="n"/>
      <c r="C2453" s="64" t="n"/>
      <c r="D2453" s="64" t="n"/>
      <c r="E2453" s="65" t="n"/>
    </row>
    <row r="2454" ht="30" customHeight="1">
      <c r="A2454" s="62" t="inlineStr">
        <is>
          <t>Ảnh minh chứng</t>
        </is>
      </c>
    </row>
    <row r="2455" ht="90" customHeight="1">
      <c r="A2455" s="63" t="inlineStr"/>
      <c r="B2455" s="64" t="n"/>
      <c r="C2455" s="64" t="n"/>
      <c r="D2455" s="64" t="n"/>
      <c r="E2455" s="65" t="n"/>
    </row>
    <row r="2456" ht="12" customHeight="1">
      <c r="A2456" s="66" t="inlineStr"/>
    </row>
    <row r="2457" ht="30" customHeight="1">
      <c r="A2457" s="60" t="inlineStr">
        <is>
          <t>TC-RS-CALC-016 / negative-lt</t>
        </is>
      </c>
      <c r="B2457" s="36" t="n"/>
      <c r="C2457" s="36" t="n"/>
      <c r="D2457" s="36" t="n"/>
      <c r="E2457" s="36" t="n"/>
    </row>
    <row r="2458" ht="30" customHeight="1">
      <c r="A2458" s="47" t="inlineStr">
        <is>
          <t>Dữ liệu biến thể</t>
        </is>
      </c>
      <c r="B2458" s="56" t="inlineStr">
        <is>
          <t>Ngưỡng âm nhỏ hơn</t>
        </is>
      </c>
      <c r="C2458" s="57" t="n"/>
      <c r="D2458" s="57" t="n"/>
      <c r="E2458" s="57" t="n"/>
    </row>
    <row r="2459" ht="30" customHeight="1">
      <c r="A2459" s="47" t="inlineStr">
        <is>
          <t>Trạng thái</t>
        </is>
      </c>
      <c r="B2459" s="61" t="inlineStr">
        <is>
          <t>Chưa thực hiện</t>
        </is>
      </c>
      <c r="C2459" s="57" t="n"/>
      <c r="D2459" s="57" t="n"/>
      <c r="E2459" s="57" t="n"/>
    </row>
    <row r="2460" ht="30" customHeight="1">
      <c r="A2460" s="62" t="inlineStr">
        <is>
          <t>Kết quả thực tế</t>
        </is>
      </c>
    </row>
    <row r="2461" ht="64" customHeight="1">
      <c r="A2461" s="63" t="inlineStr"/>
      <c r="B2461" s="64" t="n"/>
      <c r="C2461" s="64" t="n"/>
      <c r="D2461" s="64" t="n"/>
      <c r="E2461" s="65" t="n"/>
    </row>
    <row r="2462" ht="30" customHeight="1">
      <c r="A2462" s="62" t="inlineStr">
        <is>
          <t>Ảnh minh chứng</t>
        </is>
      </c>
    </row>
    <row r="2463" ht="90" customHeight="1">
      <c r="A2463" s="63" t="inlineStr"/>
      <c r="B2463" s="64" t="n"/>
      <c r="C2463" s="64" t="n"/>
      <c r="D2463" s="64" t="n"/>
      <c r="E2463" s="65" t="n"/>
    </row>
    <row r="2464" ht="12" customHeight="1">
      <c r="A2464" s="66" t="inlineStr"/>
    </row>
    <row r="2465" ht="30" customHeight="1">
      <c r="A2465" s="60" t="inlineStr">
        <is>
          <t>TC-RS-CALC-016 / negative-le</t>
        </is>
      </c>
      <c r="B2465" s="36" t="n"/>
      <c r="C2465" s="36" t="n"/>
      <c r="D2465" s="36" t="n"/>
      <c r="E2465" s="36" t="n"/>
    </row>
    <row r="2466" ht="30" customHeight="1">
      <c r="A2466" s="47" t="inlineStr">
        <is>
          <t>Dữ liệu biến thể</t>
        </is>
      </c>
      <c r="B2466" s="56" t="inlineStr">
        <is>
          <t>Ngưỡng âm nhỏ hơn hoặc bằng</t>
        </is>
      </c>
      <c r="C2466" s="57" t="n"/>
      <c r="D2466" s="57" t="n"/>
      <c r="E2466" s="57" t="n"/>
    </row>
    <row r="2467" ht="30" customHeight="1">
      <c r="A2467" s="47" t="inlineStr">
        <is>
          <t>Trạng thái</t>
        </is>
      </c>
      <c r="B2467" s="61" t="inlineStr">
        <is>
          <t>Chưa thực hiện</t>
        </is>
      </c>
      <c r="C2467" s="57" t="n"/>
      <c r="D2467" s="57" t="n"/>
      <c r="E2467" s="57" t="n"/>
    </row>
    <row r="2468" ht="30" customHeight="1">
      <c r="A2468" s="62" t="inlineStr">
        <is>
          <t>Kết quả thực tế</t>
        </is>
      </c>
    </row>
    <row r="2469" ht="64" customHeight="1">
      <c r="A2469" s="63" t="inlineStr"/>
      <c r="B2469" s="64" t="n"/>
      <c r="C2469" s="64" t="n"/>
      <c r="D2469" s="64" t="n"/>
      <c r="E2469" s="65" t="n"/>
    </row>
    <row r="2470" ht="30" customHeight="1">
      <c r="A2470" s="62" t="inlineStr">
        <is>
          <t>Ảnh minh chứng</t>
        </is>
      </c>
    </row>
    <row r="2471" ht="90" customHeight="1">
      <c r="A2471" s="63" t="inlineStr"/>
      <c r="B2471" s="64" t="n"/>
      <c r="C2471" s="64" t="n"/>
      <c r="D2471" s="64" t="n"/>
      <c r="E2471" s="65" t="n"/>
    </row>
    <row r="2472" ht="12" customHeight="1">
      <c r="A2472" s="66" t="inlineStr"/>
    </row>
    <row r="2473" ht="20" customHeight="1">
      <c r="A2473" s="66" t="inlineStr"/>
    </row>
    <row r="2474" ht="30" customHeight="1">
      <c r="A2474" s="46" t="inlineStr">
        <is>
          <t>TC-RS-CALC-017 — Ngưỡng công thức vượt M vẫn hợp lệ</t>
        </is>
      </c>
      <c r="B2474" s="23" t="n"/>
      <c r="C2474" s="23" t="n"/>
      <c r="D2474" s="23" t="n"/>
      <c r="E2474" s="23" t="n"/>
    </row>
    <row r="2475" ht="30" customHeight="1">
      <c r="A2475" s="47" t="inlineStr">
        <is>
          <t>Trạng thái</t>
        </is>
      </c>
      <c r="B2475" s="61" t="inlineStr">
        <is>
          <t>Chưa thực hiện</t>
        </is>
      </c>
      <c r="C2475" s="57" t="n"/>
      <c r="D2475" s="57" t="n"/>
      <c r="E2475" s="57" t="n"/>
    </row>
    <row r="2476" ht="30" customHeight="1">
      <c r="A2476" s="47" t="inlineStr">
        <is>
          <t>Màn hình / chức năng</t>
        </is>
      </c>
      <c r="B2476" s="47" t="inlineStr">
        <is>
          <t>Thiết lập ngưỡng（基準設定）</t>
        </is>
      </c>
      <c r="C2476" s="57" t="n"/>
      <c r="D2476" s="47" t="inlineStr">
        <is>
          <t>Đường dẫn</t>
        </is>
      </c>
      <c r="E2476" s="56" t="inlineStr">
        <is>
          <t>Chưa xác minh</t>
        </is>
      </c>
    </row>
    <row r="2477" ht="30" customHeight="1">
      <c r="A2477" s="58" t="inlineStr">
        <is>
          <t>Điều kiện kiểm thử</t>
        </is>
      </c>
      <c r="B2477" s="59" t="n"/>
      <c r="C2477" s="59" t="n"/>
      <c r="D2477" s="59" t="n"/>
      <c r="E2477" s="59" t="n"/>
    </row>
    <row r="2478" ht="61" customHeight="1">
      <c r="A2478" s="47" t="inlineStr">
        <is>
          <t>Cấu hình</t>
        </is>
      </c>
      <c r="B2478" s="56" t="inlineStr">
        <is>
          <t>• Nguồn [A=80];
• Công thức [A×1.5];
• Mục số nguyên (M=100) (M=100).</t>
        </is>
      </c>
      <c r="C2478" s="57" t="n"/>
      <c r="D2478" s="57" t="n"/>
      <c r="E2478" s="57" t="n"/>
    </row>
    <row r="2479" ht="61" customHeight="1">
      <c r="A2479" s="47" t="inlineStr">
        <is>
          <t>Vai trò / quyền</t>
        </is>
      </c>
      <c r="B247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479" s="57" t="n"/>
      <c r="D2479" s="57" t="n"/>
      <c r="E2479" s="57" t="n"/>
    </row>
    <row r="2480" ht="44" customHeight="1">
      <c r="A2480" s="47" t="inlineStr">
        <is>
          <t>Dữ liệu test</t>
        </is>
      </c>
      <c r="B2480" s="56" t="inlineStr">
        <is>
          <t>• Mục số nguyên (M=100);
• S = 100</t>
        </is>
      </c>
      <c r="C2480" s="57" t="n"/>
      <c r="D2480" s="57" t="n"/>
      <c r="E2480" s="57" t="n"/>
    </row>
    <row r="2481" ht="30" customHeight="1">
      <c r="A2481" s="47" t="inlineStr">
        <is>
          <t>Trigger</t>
        </is>
      </c>
      <c r="B2481" s="56" t="inlineStr">
        <is>
          <t>• Chỉ xem/xuất không tự chạy xét.</t>
        </is>
      </c>
      <c r="C2481" s="57" t="n"/>
      <c r="D2481" s="57" t="n"/>
      <c r="E2481" s="57" t="n"/>
    </row>
    <row r="2482" ht="44" customHeight="1">
      <c r="A2482" s="47" t="inlineStr">
        <is>
          <t>Blocker</t>
        </is>
      </c>
      <c r="B2482" s="56" t="inlineStr">
        <is>
          <t>• G-PREP-UNASSESSED: Chưa có xác minh fixture, đường thực hiện và phép quan sát trên build của từng case chưa đánh giá.</t>
        </is>
      </c>
      <c r="C2482" s="57" t="n"/>
      <c r="D2482" s="57" t="n"/>
      <c r="E2482" s="57" t="n"/>
    </row>
    <row r="2483" ht="30" customHeight="1">
      <c r="A2483" s="58" t="inlineStr">
        <is>
          <t>Thao tác</t>
        </is>
      </c>
      <c r="B2483" s="59" t="n"/>
      <c r="C2483" s="59" t="n"/>
      <c r="D2483" s="59" t="n"/>
      <c r="E2483" s="59" t="n"/>
    </row>
    <row r="2484" ht="30" customHeight="1">
      <c r="A2484" s="47" t="inlineStr">
        <is>
          <t>•</t>
        </is>
      </c>
      <c r="B2484" s="56" t="inlineStr">
        <is>
          <t>Chạy nút cam; xem kết quả.</t>
        </is>
      </c>
      <c r="C2484" s="57" t="n"/>
      <c r="D2484" s="57" t="n"/>
      <c r="E2484" s="57" t="n"/>
    </row>
    <row r="2485" ht="44" customHeight="1">
      <c r="A2485" s="47" t="inlineStr">
        <is>
          <t>Reset</t>
        </is>
      </c>
      <c r="B2485" s="56" t="inlineStr">
        <is>
          <t>Trước mỗi biến thể, dựng lại điều kiện/dữ liệu đầu của case bằng đường được phép; giữ các reset/fixture độc lập đã nêu trong thủ tục.</t>
        </is>
      </c>
      <c r="C2485" s="57" t="n"/>
      <c r="D2485" s="57" t="n"/>
      <c r="E2485" s="57" t="n"/>
    </row>
    <row r="2486" ht="30" customHeight="1">
      <c r="A2486" s="58" t="inlineStr">
        <is>
          <t>Kết quả mong đợi</t>
        </is>
      </c>
      <c r="B2486" s="59" t="n"/>
      <c r="C2486" s="59" t="n"/>
      <c r="D2486" s="59" t="n"/>
      <c r="E2486" s="59" t="n"/>
    </row>
    <row r="2487" ht="30" customHeight="1">
      <c r="A2487" s="47" t="inlineStr">
        <is>
          <t>•</t>
        </is>
      </c>
      <c r="B2487" s="56" t="inlineStr">
        <is>
          <t>[T=120]; [100&lt;120] → Đỏ. Không bị Chưa xét được, không ép [T] về 100.</t>
        </is>
      </c>
      <c r="C2487" s="57" t="n"/>
      <c r="D2487" s="57" t="n"/>
      <c r="E2487" s="57" t="n"/>
    </row>
    <row r="2488" ht="44" customHeight="1">
      <c r="A2488" s="47" t="inlineStr">
        <is>
          <t>Giữ nguyên</t>
        </is>
      </c>
      <c r="B2488" s="56" t="inlineStr">
        <is>
          <t>• Giữ điểm, cấu hình và đối tượng không đích theo expected;
• Chỉ thay phần thủ tục yêu cầu, không tự đổi oracle hoặc mở rộng phạm vi.</t>
        </is>
      </c>
      <c r="C2488" s="57" t="n"/>
      <c r="D2488" s="57" t="n"/>
      <c r="E2488" s="57" t="n"/>
    </row>
    <row r="2489" ht="61" customHeight="1">
      <c r="A2489" s="47" t="inlineStr">
        <is>
          <t>Quan sát tại</t>
        </is>
      </c>
      <c r="B2489" s="56" t="inlineStr">
        <is>
          <t>• Dùng trích xuất không lọc để thấy cả ô đối chứng. Trạng thái không có dấu đỏ cần đọc thêm trạng thái lưu;
• Output Excel/PDF dùng file thật.</t>
        </is>
      </c>
      <c r="C2489" s="57" t="n"/>
      <c r="D2489" s="57" t="n"/>
      <c r="E2489" s="57" t="n"/>
    </row>
    <row r="2490" ht="30" customHeight="1">
      <c r="A2490" s="58" t="inlineStr">
        <is>
          <t>Kết quả thực tế</t>
        </is>
      </c>
      <c r="B2490" s="59" t="n"/>
      <c r="C2490" s="59" t="n"/>
      <c r="D2490" s="59" t="n"/>
      <c r="E2490" s="59" t="n"/>
    </row>
    <row r="2491" ht="30" customHeight="1">
      <c r="A2491" s="47" t="inlineStr">
        <is>
          <t>Dữ liệu biến thể</t>
        </is>
      </c>
      <c r="B2491" s="56" t="inlineStr">
        <is>
          <t>Toàn bộ thủ tục theo đúng thứ tự; các đối chứng cùng fixture được kiểm trong cùng lượt, không bỏ bước</t>
        </is>
      </c>
      <c r="C2491" s="57" t="n"/>
      <c r="D2491" s="57" t="n"/>
      <c r="E2491" s="57" t="n"/>
    </row>
    <row r="2492" ht="30" customHeight="1">
      <c r="A2492" s="62" t="inlineStr">
        <is>
          <t>Kết quả thực tế</t>
        </is>
      </c>
    </row>
    <row r="2493" ht="64" customHeight="1">
      <c r="A2493" s="63" t="inlineStr"/>
      <c r="B2493" s="64" t="n"/>
      <c r="C2493" s="64" t="n"/>
      <c r="D2493" s="64" t="n"/>
      <c r="E2493" s="65" t="n"/>
    </row>
    <row r="2494" ht="30" customHeight="1">
      <c r="A2494" s="62" t="inlineStr">
        <is>
          <t>Ảnh minh chứng</t>
        </is>
      </c>
    </row>
    <row r="2495" ht="90" customHeight="1">
      <c r="A2495" s="63" t="inlineStr"/>
      <c r="B2495" s="64" t="n"/>
      <c r="C2495" s="64" t="n"/>
      <c r="D2495" s="64" t="n"/>
      <c r="E2495" s="65" t="n"/>
    </row>
    <row r="2496" ht="12" customHeight="1">
      <c r="A2496" s="66" t="inlineStr"/>
    </row>
    <row r="2497" ht="20" customHeight="1">
      <c r="A2497" s="66" t="inlineStr"/>
    </row>
    <row r="2498" ht="30" customHeight="1">
      <c r="A2498" s="46" t="inlineStr">
        <is>
          <t>TC-RS-CALC-018 — Công thức A−0 cho ngưỡng bằng A</t>
        </is>
      </c>
      <c r="B2498" s="23" t="n"/>
      <c r="C2498" s="23" t="n"/>
      <c r="D2498" s="23" t="n"/>
      <c r="E2498" s="23" t="n"/>
    </row>
    <row r="2499" ht="30" customHeight="1">
      <c r="A2499" s="47" t="inlineStr">
        <is>
          <t>Trạng thái</t>
        </is>
      </c>
      <c r="B2499" s="61" t="inlineStr">
        <is>
          <t>Chưa thực hiện</t>
        </is>
      </c>
      <c r="C2499" s="57" t="n"/>
      <c r="D2499" s="57" t="n"/>
      <c r="E2499" s="57" t="n"/>
    </row>
    <row r="2500" ht="30" customHeight="1">
      <c r="A2500" s="47" t="inlineStr">
        <is>
          <t>Màn hình / chức năng</t>
        </is>
      </c>
      <c r="B2500" s="47" t="inlineStr">
        <is>
          <t>Thiết lập ngưỡng（基準設定）</t>
        </is>
      </c>
      <c r="C2500" s="57" t="n"/>
      <c r="D2500" s="47" t="inlineStr">
        <is>
          <t>Đường dẫn</t>
        </is>
      </c>
      <c r="E2500" s="56" t="inlineStr">
        <is>
          <t>Chưa xác minh</t>
        </is>
      </c>
    </row>
    <row r="2501" ht="30" customHeight="1">
      <c r="A2501" s="58" t="inlineStr">
        <is>
          <t>Điều kiện kiểm thử</t>
        </is>
      </c>
      <c r="B2501" s="59" t="n"/>
      <c r="C2501" s="59" t="n"/>
      <c r="D2501" s="59" t="n"/>
      <c r="E2501" s="59" t="n"/>
    </row>
    <row r="2502" ht="44" customHeight="1">
      <c r="A2502" s="47" t="inlineStr">
        <is>
          <t>Cấu hình</t>
        </is>
      </c>
      <c r="B2502" s="56" t="inlineStr">
        <is>
          <t>• Nguồn [A=50];
• Công thức [A−0], [&lt;].</t>
        </is>
      </c>
      <c r="C2502" s="57" t="n"/>
      <c r="D2502" s="57" t="n"/>
      <c r="E2502" s="57" t="n"/>
    </row>
    <row r="2503" ht="61" customHeight="1">
      <c r="A2503" s="47" t="inlineStr">
        <is>
          <t>Vai trò / quyền</t>
        </is>
      </c>
      <c r="B250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503" s="57" t="n"/>
      <c r="D2503" s="57" t="n"/>
      <c r="E2503" s="57" t="n"/>
    </row>
    <row r="2504" ht="30" customHeight="1">
      <c r="A2504" s="47" t="inlineStr">
        <is>
          <t>Dữ liệu test</t>
        </is>
      </c>
      <c r="B2504" s="56" t="inlineStr">
        <is>
          <t>• S = 49, 50</t>
        </is>
      </c>
      <c r="C2504" s="57" t="n"/>
      <c r="D2504" s="57" t="n"/>
      <c r="E2504" s="57" t="n"/>
    </row>
    <row r="2505" ht="30" customHeight="1">
      <c r="A2505" s="47" t="inlineStr">
        <is>
          <t>Trigger</t>
        </is>
      </c>
      <c r="B2505" s="56" t="inlineStr">
        <is>
          <t>• Chỉ xem/xuất không tự chạy xét.</t>
        </is>
      </c>
      <c r="C2505" s="57" t="n"/>
      <c r="D2505" s="57" t="n"/>
      <c r="E2505" s="57" t="n"/>
    </row>
    <row r="2506" ht="44" customHeight="1">
      <c r="A2506" s="47" t="inlineStr">
        <is>
          <t>Blocker</t>
        </is>
      </c>
      <c r="B2506" s="56" t="inlineStr">
        <is>
          <t>• G-PREP-UNASSESSED: Chưa có xác minh fixture, đường thực hiện và phép quan sát trên build của từng case chưa đánh giá.</t>
        </is>
      </c>
      <c r="C2506" s="57" t="n"/>
      <c r="D2506" s="57" t="n"/>
      <c r="E2506" s="57" t="n"/>
    </row>
    <row r="2507" ht="30" customHeight="1">
      <c r="A2507" s="58" t="inlineStr">
        <is>
          <t>Thao tác</t>
        </is>
      </c>
      <c r="B2507" s="59" t="n"/>
      <c r="C2507" s="59" t="n"/>
      <c r="D2507" s="59" t="n"/>
      <c r="E2507" s="59" t="n"/>
    </row>
    <row r="2508" ht="30" customHeight="1">
      <c r="A2508" s="47" t="inlineStr">
        <is>
          <t>Step 1</t>
        </is>
      </c>
      <c r="B2508" s="56" t="inlineStr">
        <is>
          <t>Lưu công thức (quan sát cảnh báo).</t>
        </is>
      </c>
      <c r="C2508" s="57" t="n"/>
      <c r="D2508" s="57" t="n"/>
      <c r="E2508" s="57" t="n"/>
    </row>
    <row r="2509" ht="30" customHeight="1">
      <c r="A2509" s="47" t="inlineStr">
        <is>
          <t>Step 2</t>
        </is>
      </c>
      <c r="B2509" s="56" t="inlineStr">
        <is>
          <t>Chạy nút cam.</t>
        </is>
      </c>
      <c r="C2509" s="57" t="n"/>
      <c r="D2509" s="57" t="n"/>
      <c r="E2509" s="57" t="n"/>
    </row>
    <row r="2510" ht="44" customHeight="1">
      <c r="A2510" s="47" t="inlineStr">
        <is>
          <t>Reset</t>
        </is>
      </c>
      <c r="B2510" s="56" t="inlineStr">
        <is>
          <t>Trước mỗi biến thể, dựng lại điều kiện/dữ liệu đầu của case bằng đường được phép; giữ các reset/fixture độc lập đã nêu trong thủ tục.</t>
        </is>
      </c>
      <c r="C2510" s="57" t="n"/>
      <c r="D2510" s="57" t="n"/>
      <c r="E2510" s="57" t="n"/>
    </row>
    <row r="2511" ht="30" customHeight="1">
      <c r="A2511" s="58" t="inlineStr">
        <is>
          <t>Kết quả mong đợi</t>
        </is>
      </c>
      <c r="B2511" s="59" t="n"/>
      <c r="C2511" s="59" t="n"/>
      <c r="D2511" s="59" t="n"/>
      <c r="E2511" s="59" t="n"/>
    </row>
    <row r="2512" ht="30" customHeight="1">
      <c r="A2512" s="47" t="inlineStr">
        <is>
          <t>1.</t>
        </is>
      </c>
      <c r="B2512" s="56" t="inlineStr">
        <is>
          <t>Có cảnh báo giúp hiểu ngưỡng là A (câu chữ TBD), vẫn lưu được.</t>
        </is>
      </c>
      <c r="C2512" s="57" t="n"/>
      <c r="D2512" s="57" t="n"/>
      <c r="E2512" s="57" t="n"/>
    </row>
    <row r="2513" ht="30" customHeight="1">
      <c r="A2513" s="47" t="inlineStr">
        <is>
          <t>2.</t>
        </is>
      </c>
      <c r="B2513" s="56" t="inlineStr">
        <is>
          <t>[T=50]: 49 Đỏ; 50 Không đỏ.</t>
        </is>
      </c>
      <c r="C2513" s="57" t="n"/>
      <c r="D2513" s="57" t="n"/>
      <c r="E2513" s="57" t="n"/>
    </row>
    <row r="2514" ht="44" customHeight="1">
      <c r="A2514" s="47" t="inlineStr">
        <is>
          <t>Giữ nguyên</t>
        </is>
      </c>
      <c r="B2514" s="56" t="inlineStr">
        <is>
          <t>• Giữ điểm, cấu hình và đối tượng không đích theo expected;
• Chỉ thay phần thủ tục yêu cầu, không tự đổi oracle hoặc mở rộng phạm vi.</t>
        </is>
      </c>
      <c r="C2514" s="57" t="n"/>
      <c r="D2514" s="57" t="n"/>
      <c r="E2514" s="57" t="n"/>
    </row>
    <row r="2515" ht="61" customHeight="1">
      <c r="A2515" s="47" t="inlineStr">
        <is>
          <t>Quan sát tại</t>
        </is>
      </c>
      <c r="B2515" s="56" t="inlineStr">
        <is>
          <t>• Dùng trích xuất không lọc để thấy cả ô đối chứng. Trạng thái không có dấu đỏ cần đọc thêm trạng thái lưu;
• Output Excel/PDF dùng file thật.</t>
        </is>
      </c>
      <c r="C2515" s="57" t="n"/>
      <c r="D2515" s="57" t="n"/>
      <c r="E2515" s="57" t="n"/>
    </row>
    <row r="2516" ht="30" customHeight="1">
      <c r="A2516" s="58" t="inlineStr">
        <is>
          <t>Kết quả thực tế</t>
        </is>
      </c>
      <c r="B2516" s="59" t="n"/>
      <c r="C2516" s="59" t="n"/>
      <c r="D2516" s="59" t="n"/>
      <c r="E2516" s="59" t="n"/>
    </row>
    <row r="2517" ht="30" customHeight="1">
      <c r="A2517" s="47" t="inlineStr">
        <is>
          <t>Dữ liệu biến thể</t>
        </is>
      </c>
      <c r="B2517" s="56" t="inlineStr">
        <is>
          <t>Toàn bộ thủ tục theo đúng thứ tự; các đối chứng cùng fixture được kiểm trong cùng lượt, không bỏ bước</t>
        </is>
      </c>
      <c r="C2517" s="57" t="n"/>
      <c r="D2517" s="57" t="n"/>
      <c r="E2517" s="57" t="n"/>
    </row>
    <row r="2518" ht="30" customHeight="1">
      <c r="A2518" s="62" t="inlineStr">
        <is>
          <t>Kết quả thực tế</t>
        </is>
      </c>
    </row>
    <row r="2519" ht="64" customHeight="1">
      <c r="A2519" s="63" t="inlineStr"/>
      <c r="B2519" s="64" t="n"/>
      <c r="C2519" s="64" t="n"/>
      <c r="D2519" s="64" t="n"/>
      <c r="E2519" s="65" t="n"/>
    </row>
    <row r="2520" ht="30" customHeight="1">
      <c r="A2520" s="62" t="inlineStr">
        <is>
          <t>Ảnh minh chứng</t>
        </is>
      </c>
    </row>
    <row r="2521" ht="90" customHeight="1">
      <c r="A2521" s="63" t="inlineStr"/>
      <c r="B2521" s="64" t="n"/>
      <c r="C2521" s="64" t="n"/>
      <c r="D2521" s="64" t="n"/>
      <c r="E2521" s="65" t="n"/>
    </row>
    <row r="2522" ht="12" customHeight="1">
      <c r="A2522" s="66" t="inlineStr"/>
    </row>
    <row r="2523" ht="20" customHeight="1">
      <c r="A2523" s="66" t="inlineStr"/>
    </row>
    <row r="2524" ht="30" customHeight="1">
      <c r="A2524" s="46" t="inlineStr">
        <is>
          <t>TC-RS-CALC-019 — Định nghĩa phương thức làm tròn, số âm và p=9</t>
        </is>
      </c>
      <c r="B2524" s="23" t="n"/>
      <c r="C2524" s="23" t="n"/>
      <c r="D2524" s="23" t="n"/>
      <c r="E2524" s="23" t="n"/>
    </row>
    <row r="2525" ht="30" customHeight="1">
      <c r="A2525" s="47" t="inlineStr">
        <is>
          <t>Trạng thái</t>
        </is>
      </c>
      <c r="B2525" s="56">
        <f>IF(0&gt;0,"Không đạt",IF(0=15,"Đạt",IF(SUMPRODUCT(--EXACT('Testcases'!B2555:B2667,"Không thực hiện"))=15,"Không thực hiện",IF(SUMPRODUCT(--EXACT('Testcases'!B2555:B2667,"Bị chặn"))&gt;0,"Bị chặn",IF(SUMPRODUCT(--EXACT('Testcases'!B2555:B2667,"Chưa thực hiện"))=15,"Chưa thực hiện","Chưa đủ kết luận")))))</f>
        <v/>
      </c>
      <c r="C2525" s="57" t="n"/>
      <c r="D2525" s="57" t="n"/>
      <c r="E2525" s="57" t="n"/>
    </row>
    <row r="2526" ht="30" customHeight="1">
      <c r="A2526" s="47" t="inlineStr">
        <is>
          <t>Màn hình / chức năng</t>
        </is>
      </c>
      <c r="B2526" s="47" t="inlineStr">
        <is>
          <t>Thiết lập ngưỡng（基準設定）</t>
        </is>
      </c>
      <c r="C2526" s="57" t="n"/>
      <c r="D2526" s="47" t="inlineStr">
        <is>
          <t>Đường dẫn</t>
        </is>
      </c>
      <c r="E2526" s="56" t="inlineStr">
        <is>
          <t>Chưa xác minh</t>
        </is>
      </c>
    </row>
    <row r="2527" ht="30" customHeight="1">
      <c r="A2527" s="58" t="inlineStr">
        <is>
          <t>Điều kiện kiểm thử</t>
        </is>
      </c>
      <c r="B2527" s="59" t="n"/>
      <c r="C2527" s="59" t="n"/>
      <c r="D2527" s="59" t="n"/>
      <c r="E2527" s="59" t="n"/>
    </row>
    <row r="2528" ht="44" customHeight="1">
      <c r="A2528" s="47" t="inlineStr">
        <is>
          <t>Cấu hình</t>
        </is>
      </c>
      <c r="B2528" s="56" t="inlineStr">
        <is>
          <t>• Dùng công thức một dòng [A+0] hoặc [A×1] để đưa giá trị vào bước làm tròn (nguồn dummy có [A] bằng giá trị cần thử).</t>
        </is>
      </c>
      <c r="C2528" s="57" t="n"/>
      <c r="D2528" s="57" t="n"/>
      <c r="E2528" s="57" t="n"/>
    </row>
    <row r="2529" ht="61" customHeight="1">
      <c r="A2529" s="47" t="inlineStr">
        <is>
          <t>Vai trò / quyền</t>
        </is>
      </c>
      <c r="B252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529" s="57" t="n"/>
      <c r="D2529" s="57" t="n"/>
      <c r="E2529" s="57" t="n"/>
    </row>
    <row r="2530" ht="30" customHeight="1">
      <c r="A2530" s="47" t="inlineStr">
        <is>
          <t>Dữ liệu test</t>
        </is>
      </c>
      <c r="B2530" s="56" t="inlineStr">
        <is>
          <t>• Bảng ở Expected Result</t>
        </is>
      </c>
      <c r="C2530" s="57" t="n"/>
      <c r="D2530" s="57" t="n"/>
      <c r="E2530" s="57" t="n"/>
    </row>
    <row r="2531" ht="30" customHeight="1">
      <c r="A2531" s="47" t="inlineStr">
        <is>
          <t>Trigger</t>
        </is>
      </c>
      <c r="B2531" s="56" t="inlineStr">
        <is>
          <t>• Chỉ xem/xuất không tự chạy xét.</t>
        </is>
      </c>
      <c r="C2531" s="57" t="n"/>
      <c r="D2531" s="57" t="n"/>
      <c r="E2531" s="57" t="n"/>
    </row>
    <row r="2532" ht="367" customHeight="1">
      <c r="A2532" s="47" t="inlineStr">
        <is>
          <t>Blocker</t>
        </is>
      </c>
      <c r="B2532" s="56" t="inlineStr">
        <is>
          <t>• G-ORACLE-TC-RS-CALC-019: Phần kỳ vọng chưa chốt trong bản nguồn: Các phép thử có fixture/source được quan sát dùng expected dưới đây. Giới hạn [p=9], miền âm và quy tắc làm tròn âm là PROPOSED/TBD nếu đợt phát hành chưa chốt;
• Thiếu seam thì BLOCKED, không đánh PASS/FAIL.
• 29.7 Không xử lý → 29.7.
• 29.7 Xuống p1 → 29.
• 29.75 Gần nhất p2 → 29.8.
• −5.2 Lên p1 → −5.
• −5.2 Xuống p1 → −6.
• −5.5 Gần nhất p1 → −6.
• 12.5 Gần nhất p1 → 13;
• −12.5 Gần nhất p1 → −13;
• −12.5 Lên p1 → −12;
• −12.5 Xuống p1 → −13.
• 12.345 Gần nhất p2 → 12.3;
• Lên p2 → 12.4.
• 2.675 Gần nhất p3 → 2.68.
• 1.123456789 Gần nhất p9 → 1.12345679;
• Xuống p9 → 1.12345678.
• G-PREP-TC-RS-CALC-019: BLOCKED — p=9 và miền số âm còn là phạm vi đề xuất;
• Chỉ chạy khi phạm vi được xác nhận.</t>
        </is>
      </c>
      <c r="C2532" s="57" t="n"/>
      <c r="D2532" s="57" t="n"/>
      <c r="E2532" s="57" t="n"/>
    </row>
    <row r="2533" ht="30" customHeight="1">
      <c r="A2533" s="58" t="inlineStr">
        <is>
          <t>Thao tác</t>
        </is>
      </c>
      <c r="B2533" s="59" t="n"/>
      <c r="C2533" s="59" t="n"/>
      <c r="D2533" s="59" t="n"/>
      <c r="E2533" s="59" t="n"/>
    </row>
    <row r="2534" ht="44" customHeight="1">
      <c r="A2534" s="47" t="inlineStr">
        <is>
          <t>Step 1</t>
        </is>
      </c>
      <c r="B2534" s="56" t="inlineStr">
        <is>
          <t>Với từng dòng của Expected Result: đặt [A] (nguồn dummy, dữ liệu giả cho bản tổng hợp đã chốt), chọn xử lý phần lẻ.</t>
        </is>
      </c>
      <c r="C2534" s="57" t="n"/>
      <c r="D2534" s="57" t="n"/>
      <c r="E2534" s="57" t="n"/>
    </row>
    <row r="2535" ht="30" customHeight="1">
      <c r="A2535" s="47" t="inlineStr">
        <is>
          <t>Step 2</t>
        </is>
      </c>
      <c r="B2535" s="56" t="inlineStr">
        <is>
          <t>Chạy lại (nút cam).</t>
        </is>
      </c>
      <c r="C2535" s="57" t="n"/>
      <c r="D2535" s="57" t="n"/>
      <c r="E2535" s="57" t="n"/>
    </row>
    <row r="2536" ht="44" customHeight="1">
      <c r="A2536" s="47" t="inlineStr">
        <is>
          <t>Step 3</t>
        </is>
      </c>
      <c r="B2536" s="56" t="inlineStr">
        <is>
          <t>Đọc [T] qua thông tin giải thích (case “Lưu thông tin giải thích kết quả”) hoặc qua kết quả xét với S sát ngưỡng.</t>
        </is>
      </c>
      <c r="C2536" s="57" t="n"/>
      <c r="D2536" s="57" t="n"/>
      <c r="E2536" s="57" t="n"/>
    </row>
    <row r="2537" ht="44" customHeight="1">
      <c r="A2537" s="47" t="inlineStr">
        <is>
          <t>Reset</t>
        </is>
      </c>
      <c r="B2537" s="56" t="inlineStr">
        <is>
          <t>Trước mỗi biến thể, dựng lại điều kiện/dữ liệu đầu của case bằng đường được phép; giữ các reset/fixture độc lập đã nêu trong thủ tục.</t>
        </is>
      </c>
      <c r="C2537" s="57" t="n"/>
      <c r="D2537" s="57" t="n"/>
      <c r="E2537" s="57" t="n"/>
    </row>
    <row r="2538" ht="30" customHeight="1">
      <c r="A2538" s="58" t="inlineStr">
        <is>
          <t>Kết quả mong đợi</t>
        </is>
      </c>
      <c r="B2538" s="59" t="n"/>
      <c r="C2538" s="59" t="n"/>
      <c r="D2538" s="59" t="n"/>
      <c r="E2538" s="59" t="n"/>
    </row>
    <row r="2539" ht="44" customHeight="1">
      <c r="A2539" s="47" t="inlineStr">
        <is>
          <t>•</t>
        </is>
      </c>
      <c r="B2539" s="56" t="inlineStr">
        <is>
          <t>Các phép thử có fixture/source được quan sát dùng expected dưới đây. Giới hạn [p=9], miền âm và quy tắc làm tròn âm là PROPOSED/TBD nếu đợt phát hành chưa chốt; thiếu seam thì BLOCKED, không đánh PASS/FAIL.</t>
        </is>
      </c>
      <c r="C2539" s="57" t="n"/>
      <c r="D2539" s="57" t="n"/>
      <c r="E2539" s="57" t="n"/>
    </row>
    <row r="2540" ht="30" customHeight="1">
      <c r="A2540" s="47" t="inlineStr">
        <is>
          <t>29.</t>
        </is>
      </c>
      <c r="B2540" s="56" t="inlineStr">
        <is>
          <t>7 Không xử lý → 29.7.</t>
        </is>
      </c>
      <c r="C2540" s="57" t="n"/>
      <c r="D2540" s="57" t="n"/>
      <c r="E2540" s="57" t="n"/>
    </row>
    <row r="2541" ht="30" customHeight="1">
      <c r="A2541" s="47" t="inlineStr">
        <is>
          <t>29.</t>
        </is>
      </c>
      <c r="B2541" s="56" t="inlineStr">
        <is>
          <t>7 Xuống p1 → 29.</t>
        </is>
      </c>
      <c r="C2541" s="57" t="n"/>
      <c r="D2541" s="57" t="n"/>
      <c r="E2541" s="57" t="n"/>
    </row>
    <row r="2542" ht="30" customHeight="1">
      <c r="A2542" s="47" t="inlineStr">
        <is>
          <t>29.</t>
        </is>
      </c>
      <c r="B2542" s="56" t="inlineStr">
        <is>
          <t>75 Gần nhất p2 → 29.8.</t>
        </is>
      </c>
      <c r="C2542" s="57" t="n"/>
      <c r="D2542" s="57" t="n"/>
      <c r="E2542" s="57" t="n"/>
    </row>
    <row r="2543" ht="30" customHeight="1">
      <c r="A2543" s="47" t="inlineStr">
        <is>
          <t>•</t>
        </is>
      </c>
      <c r="B2543" s="56" t="inlineStr">
        <is>
          <t>−5.2 Lên p1 → −5.</t>
        </is>
      </c>
      <c r="C2543" s="57" t="n"/>
      <c r="D2543" s="57" t="n"/>
      <c r="E2543" s="57" t="n"/>
    </row>
    <row r="2544" ht="30" customHeight="1">
      <c r="A2544" s="47" t="inlineStr">
        <is>
          <t>•</t>
        </is>
      </c>
      <c r="B2544" s="56" t="inlineStr">
        <is>
          <t>−5.2 Xuống p1 → −6.</t>
        </is>
      </c>
      <c r="C2544" s="57" t="n"/>
      <c r="D2544" s="57" t="n"/>
      <c r="E2544" s="57" t="n"/>
    </row>
    <row r="2545" ht="30" customHeight="1">
      <c r="A2545" s="47" t="inlineStr">
        <is>
          <t>•</t>
        </is>
      </c>
      <c r="B2545" s="56" t="inlineStr">
        <is>
          <t>−5.5 Gần nhất p1 → −6.</t>
        </is>
      </c>
      <c r="C2545" s="57" t="n"/>
      <c r="D2545" s="57" t="n"/>
      <c r="E2545" s="57" t="n"/>
    </row>
    <row r="2546" ht="30" customHeight="1">
      <c r="A2546" s="47" t="inlineStr">
        <is>
          <t>12.</t>
        </is>
      </c>
      <c r="B2546" s="56" t="inlineStr">
        <is>
          <t>5 Gần nhất p1 → 13; −12.5 gần nhất p1 → −13; −12.5 lên p1 → −12; −12.5 xuống p1 → −13.</t>
        </is>
      </c>
      <c r="C2546" s="57" t="n"/>
      <c r="D2546" s="57" t="n"/>
      <c r="E2546" s="57" t="n"/>
    </row>
    <row r="2547" ht="30" customHeight="1">
      <c r="A2547" s="47" t="inlineStr">
        <is>
          <t>12.</t>
        </is>
      </c>
      <c r="B2547" s="56" t="inlineStr">
        <is>
          <t>345 Gần nhất p2 → 12.3; lên p2 → 12.4.</t>
        </is>
      </c>
      <c r="C2547" s="57" t="n"/>
      <c r="D2547" s="57" t="n"/>
      <c r="E2547" s="57" t="n"/>
    </row>
    <row r="2548" ht="30" customHeight="1">
      <c r="A2548" s="47" t="inlineStr">
        <is>
          <t>2.</t>
        </is>
      </c>
      <c r="B2548" s="56" t="inlineStr">
        <is>
          <t>675 Gần nhất p3 → 2.68.</t>
        </is>
      </c>
      <c r="C2548" s="57" t="n"/>
      <c r="D2548" s="57" t="n"/>
      <c r="E2548" s="57" t="n"/>
    </row>
    <row r="2549" ht="30" customHeight="1">
      <c r="A2549" s="47" t="inlineStr">
        <is>
          <t>1.</t>
        </is>
      </c>
      <c r="B2549" s="56" t="inlineStr">
        <is>
          <t>123456789 Gần nhất p9 → 1.12345679; xuống p9 → 1.12345678.</t>
        </is>
      </c>
      <c r="C2549" s="57" t="n"/>
      <c r="D2549" s="57" t="n"/>
      <c r="E2549" s="57" t="n"/>
    </row>
    <row r="2550" ht="44" customHeight="1">
      <c r="A2550" s="47" t="inlineStr">
        <is>
          <t>Giữ nguyên</t>
        </is>
      </c>
      <c r="B2550" s="56" t="inlineStr">
        <is>
          <t>• Giữ điểm, cấu hình và đối tượng không đích theo expected;
• Chỉ thay phần thủ tục yêu cầu, không tự đổi oracle hoặc mở rộng phạm vi.</t>
        </is>
      </c>
      <c r="C2550" s="57" t="n"/>
      <c r="D2550" s="57" t="n"/>
      <c r="E2550" s="57" t="n"/>
    </row>
    <row r="2551" ht="61" customHeight="1">
      <c r="A2551" s="47" t="inlineStr">
        <is>
          <t>Quan sát tại</t>
        </is>
      </c>
      <c r="B2551" s="56" t="inlineStr">
        <is>
          <t>• Dùng trích xuất không lọc để thấy cả ô đối chứng. Trạng thái không có dấu đỏ cần đọc thêm trạng thái lưu;
• Output Excel/PDF dùng file thật.</t>
        </is>
      </c>
      <c r="C2551" s="57" t="n"/>
      <c r="D2551" s="57" t="n"/>
      <c r="E2551" s="57" t="n"/>
    </row>
    <row r="2552" ht="30" customHeight="1">
      <c r="A2552" s="58" t="inlineStr">
        <is>
          <t>Kết quả thực tế</t>
        </is>
      </c>
      <c r="B2552" s="59" t="n"/>
      <c r="C2552" s="59" t="n"/>
      <c r="D2552" s="59" t="n"/>
      <c r="E2552" s="59" t="n"/>
    </row>
    <row r="2553" ht="30" customHeight="1">
      <c r="A2553" s="60" t="inlineStr">
        <is>
          <t>TC-RS-CALC-019 / positive-none</t>
        </is>
      </c>
      <c r="B2553" s="36" t="n"/>
      <c r="C2553" s="36" t="n"/>
      <c r="D2553" s="36" t="n"/>
      <c r="E2553" s="36" t="n"/>
    </row>
    <row r="2554" ht="30" customHeight="1">
      <c r="A2554" s="47" t="inlineStr">
        <is>
          <t>Dữ liệu biến thể</t>
        </is>
      </c>
      <c r="B2554" s="56" t="inlineStr">
        <is>
          <t>29.7 Không xử lý</t>
        </is>
      </c>
      <c r="C2554" s="57" t="n"/>
      <c r="D2554" s="57" t="n"/>
      <c r="E2554" s="57" t="n"/>
    </row>
    <row r="2555" ht="30" customHeight="1">
      <c r="A2555" s="47" t="inlineStr">
        <is>
          <t>Trạng thái</t>
        </is>
      </c>
      <c r="B2555" s="61" t="inlineStr">
        <is>
          <t>Chưa thực hiện</t>
        </is>
      </c>
      <c r="C2555" s="57" t="n"/>
      <c r="D2555" s="57" t="n"/>
      <c r="E2555" s="57" t="n"/>
    </row>
    <row r="2556" ht="30" customHeight="1">
      <c r="A2556" s="62" t="inlineStr">
        <is>
          <t>Kết quả thực tế</t>
        </is>
      </c>
    </row>
    <row r="2557" ht="64" customHeight="1">
      <c r="A2557" s="63" t="inlineStr"/>
      <c r="B2557" s="64" t="n"/>
      <c r="C2557" s="64" t="n"/>
      <c r="D2557" s="64" t="n"/>
      <c r="E2557" s="65" t="n"/>
    </row>
    <row r="2558" ht="30" customHeight="1">
      <c r="A2558" s="62" t="inlineStr">
        <is>
          <t>Ảnh minh chứng</t>
        </is>
      </c>
    </row>
    <row r="2559" ht="90" customHeight="1">
      <c r="A2559" s="63" t="inlineStr"/>
      <c r="B2559" s="64" t="n"/>
      <c r="C2559" s="64" t="n"/>
      <c r="D2559" s="64" t="n"/>
      <c r="E2559" s="65" t="n"/>
    </row>
    <row r="2560" ht="12" customHeight="1">
      <c r="A2560" s="66" t="inlineStr"/>
    </row>
    <row r="2561" ht="30" customHeight="1">
      <c r="A2561" s="60" t="inlineStr">
        <is>
          <t>TC-RS-CALC-019 / positive-down</t>
        </is>
      </c>
      <c r="B2561" s="36" t="n"/>
      <c r="C2561" s="36" t="n"/>
      <c r="D2561" s="36" t="n"/>
      <c r="E2561" s="36" t="n"/>
    </row>
    <row r="2562" ht="30" customHeight="1">
      <c r="A2562" s="47" t="inlineStr">
        <is>
          <t>Dữ liệu biến thể</t>
        </is>
      </c>
      <c r="B2562" s="56" t="inlineStr">
        <is>
          <t>29.7 Xuống p1</t>
        </is>
      </c>
      <c r="C2562" s="57" t="n"/>
      <c r="D2562" s="57" t="n"/>
      <c r="E2562" s="57" t="n"/>
    </row>
    <row r="2563" ht="30" customHeight="1">
      <c r="A2563" s="47" t="inlineStr">
        <is>
          <t>Trạng thái</t>
        </is>
      </c>
      <c r="B2563" s="61" t="inlineStr">
        <is>
          <t>Chưa thực hiện</t>
        </is>
      </c>
      <c r="C2563" s="57" t="n"/>
      <c r="D2563" s="57" t="n"/>
      <c r="E2563" s="57" t="n"/>
    </row>
    <row r="2564" ht="30" customHeight="1">
      <c r="A2564" s="62" t="inlineStr">
        <is>
          <t>Kết quả thực tế</t>
        </is>
      </c>
    </row>
    <row r="2565" ht="64" customHeight="1">
      <c r="A2565" s="63" t="inlineStr"/>
      <c r="B2565" s="64" t="n"/>
      <c r="C2565" s="64" t="n"/>
      <c r="D2565" s="64" t="n"/>
      <c r="E2565" s="65" t="n"/>
    </row>
    <row r="2566" ht="30" customHeight="1">
      <c r="A2566" s="62" t="inlineStr">
        <is>
          <t>Ảnh minh chứng</t>
        </is>
      </c>
    </row>
    <row r="2567" ht="90" customHeight="1">
      <c r="A2567" s="63" t="inlineStr"/>
      <c r="B2567" s="64" t="n"/>
      <c r="C2567" s="64" t="n"/>
      <c r="D2567" s="64" t="n"/>
      <c r="E2567" s="65" t="n"/>
    </row>
    <row r="2568" ht="12" customHeight="1">
      <c r="A2568" s="66" t="inlineStr"/>
    </row>
    <row r="2569" ht="30" customHeight="1">
      <c r="A2569" s="60" t="inlineStr">
        <is>
          <t>TC-RS-CALC-019 / positive-nearest</t>
        </is>
      </c>
      <c r="B2569" s="36" t="n"/>
      <c r="C2569" s="36" t="n"/>
      <c r="D2569" s="36" t="n"/>
      <c r="E2569" s="36" t="n"/>
    </row>
    <row r="2570" ht="30" customHeight="1">
      <c r="A2570" s="47" t="inlineStr">
        <is>
          <t>Dữ liệu biến thể</t>
        </is>
      </c>
      <c r="B2570" s="56" t="inlineStr">
        <is>
          <t>29.75 Gần nhất p2</t>
        </is>
      </c>
      <c r="C2570" s="57" t="n"/>
      <c r="D2570" s="57" t="n"/>
      <c r="E2570" s="57" t="n"/>
    </row>
    <row r="2571" ht="30" customHeight="1">
      <c r="A2571" s="47" t="inlineStr">
        <is>
          <t>Trạng thái</t>
        </is>
      </c>
      <c r="B2571" s="61" t="inlineStr">
        <is>
          <t>Chưa thực hiện</t>
        </is>
      </c>
      <c r="C2571" s="57" t="n"/>
      <c r="D2571" s="57" t="n"/>
      <c r="E2571" s="57" t="n"/>
    </row>
    <row r="2572" ht="30" customHeight="1">
      <c r="A2572" s="62" t="inlineStr">
        <is>
          <t>Kết quả thực tế</t>
        </is>
      </c>
    </row>
    <row r="2573" ht="64" customHeight="1">
      <c r="A2573" s="63" t="inlineStr"/>
      <c r="B2573" s="64" t="n"/>
      <c r="C2573" s="64" t="n"/>
      <c r="D2573" s="64" t="n"/>
      <c r="E2573" s="65" t="n"/>
    </row>
    <row r="2574" ht="30" customHeight="1">
      <c r="A2574" s="62" t="inlineStr">
        <is>
          <t>Ảnh minh chứng</t>
        </is>
      </c>
    </row>
    <row r="2575" ht="90" customHeight="1">
      <c r="A2575" s="63" t="inlineStr"/>
      <c r="B2575" s="64" t="n"/>
      <c r="C2575" s="64" t="n"/>
      <c r="D2575" s="64" t="n"/>
      <c r="E2575" s="65" t="n"/>
    </row>
    <row r="2576" ht="12" customHeight="1">
      <c r="A2576" s="66" t="inlineStr"/>
    </row>
    <row r="2577" ht="30" customHeight="1">
      <c r="A2577" s="60" t="inlineStr">
        <is>
          <t>TC-RS-CALC-019 / negative-up</t>
        </is>
      </c>
      <c r="B2577" s="36" t="n"/>
      <c r="C2577" s="36" t="n"/>
      <c r="D2577" s="36" t="n"/>
      <c r="E2577" s="36" t="n"/>
    </row>
    <row r="2578" ht="30" customHeight="1">
      <c r="A2578" s="47" t="inlineStr">
        <is>
          <t>Dữ liệu biến thể</t>
        </is>
      </c>
      <c r="B2578" s="56" t="inlineStr">
        <is>
          <t>-5.2 Lên p1</t>
        </is>
      </c>
      <c r="C2578" s="57" t="n"/>
      <c r="D2578" s="57" t="n"/>
      <c r="E2578" s="57" t="n"/>
    </row>
    <row r="2579" ht="30" customHeight="1">
      <c r="A2579" s="47" t="inlineStr">
        <is>
          <t>Trạng thái</t>
        </is>
      </c>
      <c r="B2579" s="61" t="inlineStr">
        <is>
          <t>Chưa thực hiện</t>
        </is>
      </c>
      <c r="C2579" s="57" t="n"/>
      <c r="D2579" s="57" t="n"/>
      <c r="E2579" s="57" t="n"/>
    </row>
    <row r="2580" ht="30" customHeight="1">
      <c r="A2580" s="62" t="inlineStr">
        <is>
          <t>Kết quả thực tế</t>
        </is>
      </c>
    </row>
    <row r="2581" ht="64" customHeight="1">
      <c r="A2581" s="63" t="inlineStr"/>
      <c r="B2581" s="64" t="n"/>
      <c r="C2581" s="64" t="n"/>
      <c r="D2581" s="64" t="n"/>
      <c r="E2581" s="65" t="n"/>
    </row>
    <row r="2582" ht="30" customHeight="1">
      <c r="A2582" s="62" t="inlineStr">
        <is>
          <t>Ảnh minh chứng</t>
        </is>
      </c>
    </row>
    <row r="2583" ht="90" customHeight="1">
      <c r="A2583" s="63" t="inlineStr"/>
      <c r="B2583" s="64" t="n"/>
      <c r="C2583" s="64" t="n"/>
      <c r="D2583" s="64" t="n"/>
      <c r="E2583" s="65" t="n"/>
    </row>
    <row r="2584" ht="12" customHeight="1">
      <c r="A2584" s="66" t="inlineStr"/>
    </row>
    <row r="2585" ht="30" customHeight="1">
      <c r="A2585" s="60" t="inlineStr">
        <is>
          <t>TC-RS-CALC-019 / negative-down</t>
        </is>
      </c>
      <c r="B2585" s="36" t="n"/>
      <c r="C2585" s="36" t="n"/>
      <c r="D2585" s="36" t="n"/>
      <c r="E2585" s="36" t="n"/>
    </row>
    <row r="2586" ht="30" customHeight="1">
      <c r="A2586" s="47" t="inlineStr">
        <is>
          <t>Dữ liệu biến thể</t>
        </is>
      </c>
      <c r="B2586" s="56" t="inlineStr">
        <is>
          <t>-5.2 Xuống p1</t>
        </is>
      </c>
      <c r="C2586" s="57" t="n"/>
      <c r="D2586" s="57" t="n"/>
      <c r="E2586" s="57" t="n"/>
    </row>
    <row r="2587" ht="30" customHeight="1">
      <c r="A2587" s="47" t="inlineStr">
        <is>
          <t>Trạng thái</t>
        </is>
      </c>
      <c r="B2587" s="61" t="inlineStr">
        <is>
          <t>Chưa thực hiện</t>
        </is>
      </c>
      <c r="C2587" s="57" t="n"/>
      <c r="D2587" s="57" t="n"/>
      <c r="E2587" s="57" t="n"/>
    </row>
    <row r="2588" ht="30" customHeight="1">
      <c r="A2588" s="62" t="inlineStr">
        <is>
          <t>Kết quả thực tế</t>
        </is>
      </c>
    </row>
    <row r="2589" ht="64" customHeight="1">
      <c r="A2589" s="63" t="inlineStr"/>
      <c r="B2589" s="64" t="n"/>
      <c r="C2589" s="64" t="n"/>
      <c r="D2589" s="64" t="n"/>
      <c r="E2589" s="65" t="n"/>
    </row>
    <row r="2590" ht="30" customHeight="1">
      <c r="A2590" s="62" t="inlineStr">
        <is>
          <t>Ảnh minh chứng</t>
        </is>
      </c>
    </row>
    <row r="2591" ht="90" customHeight="1">
      <c r="A2591" s="63" t="inlineStr"/>
      <c r="B2591" s="64" t="n"/>
      <c r="C2591" s="64" t="n"/>
      <c r="D2591" s="64" t="n"/>
      <c r="E2591" s="65" t="n"/>
    </row>
    <row r="2592" ht="12" customHeight="1">
      <c r="A2592" s="66" t="inlineStr"/>
    </row>
    <row r="2593" ht="30" customHeight="1">
      <c r="A2593" s="60" t="inlineStr">
        <is>
          <t>TC-RS-CALC-019 / negative-nearest</t>
        </is>
      </c>
      <c r="B2593" s="36" t="n"/>
      <c r="C2593" s="36" t="n"/>
      <c r="D2593" s="36" t="n"/>
      <c r="E2593" s="36" t="n"/>
    </row>
    <row r="2594" ht="30" customHeight="1">
      <c r="A2594" s="47" t="inlineStr">
        <is>
          <t>Dữ liệu biến thể</t>
        </is>
      </c>
      <c r="B2594" s="56" t="inlineStr">
        <is>
          <t>-5.5 Gần nhất p1</t>
        </is>
      </c>
      <c r="C2594" s="57" t="n"/>
      <c r="D2594" s="57" t="n"/>
      <c r="E2594" s="57" t="n"/>
    </row>
    <row r="2595" ht="30" customHeight="1">
      <c r="A2595" s="47" t="inlineStr">
        <is>
          <t>Trạng thái</t>
        </is>
      </c>
      <c r="B2595" s="61" t="inlineStr">
        <is>
          <t>Chưa thực hiện</t>
        </is>
      </c>
      <c r="C2595" s="57" t="n"/>
      <c r="D2595" s="57" t="n"/>
      <c r="E2595" s="57" t="n"/>
    </row>
    <row r="2596" ht="30" customHeight="1">
      <c r="A2596" s="62" t="inlineStr">
        <is>
          <t>Kết quả thực tế</t>
        </is>
      </c>
    </row>
    <row r="2597" ht="64" customHeight="1">
      <c r="A2597" s="63" t="inlineStr"/>
      <c r="B2597" s="64" t="n"/>
      <c r="C2597" s="64" t="n"/>
      <c r="D2597" s="64" t="n"/>
      <c r="E2597" s="65" t="n"/>
    </row>
    <row r="2598" ht="30" customHeight="1">
      <c r="A2598" s="62" t="inlineStr">
        <is>
          <t>Ảnh minh chứng</t>
        </is>
      </c>
    </row>
    <row r="2599" ht="90" customHeight="1">
      <c r="A2599" s="63" t="inlineStr"/>
      <c r="B2599" s="64" t="n"/>
      <c r="C2599" s="64" t="n"/>
      <c r="D2599" s="64" t="n"/>
      <c r="E2599" s="65" t="n"/>
    </row>
    <row r="2600" ht="12" customHeight="1">
      <c r="A2600" s="66" t="inlineStr"/>
    </row>
    <row r="2601" ht="30" customHeight="1">
      <c r="A2601" s="60" t="inlineStr">
        <is>
          <t>TC-RS-CALC-019 / half-positive</t>
        </is>
      </c>
      <c r="B2601" s="36" t="n"/>
      <c r="C2601" s="36" t="n"/>
      <c r="D2601" s="36" t="n"/>
      <c r="E2601" s="36" t="n"/>
    </row>
    <row r="2602" ht="30" customHeight="1">
      <c r="A2602" s="47" t="inlineStr">
        <is>
          <t>Dữ liệu biến thể</t>
        </is>
      </c>
      <c r="B2602" s="56" t="inlineStr">
        <is>
          <t>12.5 Gần nhất p1</t>
        </is>
      </c>
      <c r="C2602" s="57" t="n"/>
      <c r="D2602" s="57" t="n"/>
      <c r="E2602" s="57" t="n"/>
    </row>
    <row r="2603" ht="30" customHeight="1">
      <c r="A2603" s="47" t="inlineStr">
        <is>
          <t>Trạng thái</t>
        </is>
      </c>
      <c r="B2603" s="61" t="inlineStr">
        <is>
          <t>Chưa thực hiện</t>
        </is>
      </c>
      <c r="C2603" s="57" t="n"/>
      <c r="D2603" s="57" t="n"/>
      <c r="E2603" s="57" t="n"/>
    </row>
    <row r="2604" ht="30" customHeight="1">
      <c r="A2604" s="62" t="inlineStr">
        <is>
          <t>Kết quả thực tế</t>
        </is>
      </c>
    </row>
    <row r="2605" ht="64" customHeight="1">
      <c r="A2605" s="63" t="inlineStr"/>
      <c r="B2605" s="64" t="n"/>
      <c r="C2605" s="64" t="n"/>
      <c r="D2605" s="64" t="n"/>
      <c r="E2605" s="65" t="n"/>
    </row>
    <row r="2606" ht="30" customHeight="1">
      <c r="A2606" s="62" t="inlineStr">
        <is>
          <t>Ảnh minh chứng</t>
        </is>
      </c>
    </row>
    <row r="2607" ht="90" customHeight="1">
      <c r="A2607" s="63" t="inlineStr"/>
      <c r="B2607" s="64" t="n"/>
      <c r="C2607" s="64" t="n"/>
      <c r="D2607" s="64" t="n"/>
      <c r="E2607" s="65" t="n"/>
    </row>
    <row r="2608" ht="12" customHeight="1">
      <c r="A2608" s="66" t="inlineStr"/>
    </row>
    <row r="2609" ht="30" customHeight="1">
      <c r="A2609" s="60" t="inlineStr">
        <is>
          <t>TC-RS-CALC-019 / half-negative</t>
        </is>
      </c>
      <c r="B2609" s="36" t="n"/>
      <c r="C2609" s="36" t="n"/>
      <c r="D2609" s="36" t="n"/>
      <c r="E2609" s="36" t="n"/>
    </row>
    <row r="2610" ht="30" customHeight="1">
      <c r="A2610" s="47" t="inlineStr">
        <is>
          <t>Dữ liệu biến thể</t>
        </is>
      </c>
      <c r="B2610" s="56" t="inlineStr">
        <is>
          <t>-12.5 Gần nhất p1</t>
        </is>
      </c>
      <c r="C2610" s="57" t="n"/>
      <c r="D2610" s="57" t="n"/>
      <c r="E2610" s="57" t="n"/>
    </row>
    <row r="2611" ht="30" customHeight="1">
      <c r="A2611" s="47" t="inlineStr">
        <is>
          <t>Trạng thái</t>
        </is>
      </c>
      <c r="B2611" s="61" t="inlineStr">
        <is>
          <t>Chưa thực hiện</t>
        </is>
      </c>
      <c r="C2611" s="57" t="n"/>
      <c r="D2611" s="57" t="n"/>
      <c r="E2611" s="57" t="n"/>
    </row>
    <row r="2612" ht="30" customHeight="1">
      <c r="A2612" s="62" t="inlineStr">
        <is>
          <t>Kết quả thực tế</t>
        </is>
      </c>
    </row>
    <row r="2613" ht="64" customHeight="1">
      <c r="A2613" s="63" t="inlineStr"/>
      <c r="B2613" s="64" t="n"/>
      <c r="C2613" s="64" t="n"/>
      <c r="D2613" s="64" t="n"/>
      <c r="E2613" s="65" t="n"/>
    </row>
    <row r="2614" ht="30" customHeight="1">
      <c r="A2614" s="62" t="inlineStr">
        <is>
          <t>Ảnh minh chứng</t>
        </is>
      </c>
    </row>
    <row r="2615" ht="90" customHeight="1">
      <c r="A2615" s="63" t="inlineStr"/>
      <c r="B2615" s="64" t="n"/>
      <c r="C2615" s="64" t="n"/>
      <c r="D2615" s="64" t="n"/>
      <c r="E2615" s="65" t="n"/>
    </row>
    <row r="2616" ht="12" customHeight="1">
      <c r="A2616" s="66" t="inlineStr"/>
    </row>
    <row r="2617" ht="30" customHeight="1">
      <c r="A2617" s="60" t="inlineStr">
        <is>
          <t>TC-RS-CALC-019 / half-up</t>
        </is>
      </c>
      <c r="B2617" s="36" t="n"/>
      <c r="C2617" s="36" t="n"/>
      <c r="D2617" s="36" t="n"/>
      <c r="E2617" s="36" t="n"/>
    </row>
    <row r="2618" ht="30" customHeight="1">
      <c r="A2618" s="47" t="inlineStr">
        <is>
          <t>Dữ liệu biến thể</t>
        </is>
      </c>
      <c r="B2618" s="56" t="inlineStr">
        <is>
          <t>-12.5 Lên p1</t>
        </is>
      </c>
      <c r="C2618" s="57" t="n"/>
      <c r="D2618" s="57" t="n"/>
      <c r="E2618" s="57" t="n"/>
    </row>
    <row r="2619" ht="30" customHeight="1">
      <c r="A2619" s="47" t="inlineStr">
        <is>
          <t>Trạng thái</t>
        </is>
      </c>
      <c r="B2619" s="61" t="inlineStr">
        <is>
          <t>Chưa thực hiện</t>
        </is>
      </c>
      <c r="C2619" s="57" t="n"/>
      <c r="D2619" s="57" t="n"/>
      <c r="E2619" s="57" t="n"/>
    </row>
    <row r="2620" ht="30" customHeight="1">
      <c r="A2620" s="62" t="inlineStr">
        <is>
          <t>Kết quả thực tế</t>
        </is>
      </c>
    </row>
    <row r="2621" ht="64" customHeight="1">
      <c r="A2621" s="63" t="inlineStr"/>
      <c r="B2621" s="64" t="n"/>
      <c r="C2621" s="64" t="n"/>
      <c r="D2621" s="64" t="n"/>
      <c r="E2621" s="65" t="n"/>
    </row>
    <row r="2622" ht="30" customHeight="1">
      <c r="A2622" s="62" t="inlineStr">
        <is>
          <t>Ảnh minh chứng</t>
        </is>
      </c>
    </row>
    <row r="2623" ht="90" customHeight="1">
      <c r="A2623" s="63" t="inlineStr"/>
      <c r="B2623" s="64" t="n"/>
      <c r="C2623" s="64" t="n"/>
      <c r="D2623" s="64" t="n"/>
      <c r="E2623" s="65" t="n"/>
    </row>
    <row r="2624" ht="12" customHeight="1">
      <c r="A2624" s="66" t="inlineStr"/>
    </row>
    <row r="2625" ht="30" customHeight="1">
      <c r="A2625" s="60" t="inlineStr">
        <is>
          <t>TC-RS-CALC-019 / half-down</t>
        </is>
      </c>
      <c r="B2625" s="36" t="n"/>
      <c r="C2625" s="36" t="n"/>
      <c r="D2625" s="36" t="n"/>
      <c r="E2625" s="36" t="n"/>
    </row>
    <row r="2626" ht="30" customHeight="1">
      <c r="A2626" s="47" t="inlineStr">
        <is>
          <t>Dữ liệu biến thể</t>
        </is>
      </c>
      <c r="B2626" s="56" t="inlineStr">
        <is>
          <t>-12.5 Xuống p1</t>
        </is>
      </c>
      <c r="C2626" s="57" t="n"/>
      <c r="D2626" s="57" t="n"/>
      <c r="E2626" s="57" t="n"/>
    </row>
    <row r="2627" ht="30" customHeight="1">
      <c r="A2627" s="47" t="inlineStr">
        <is>
          <t>Trạng thái</t>
        </is>
      </c>
      <c r="B2627" s="61" t="inlineStr">
        <is>
          <t>Chưa thực hiện</t>
        </is>
      </c>
      <c r="C2627" s="57" t="n"/>
      <c r="D2627" s="57" t="n"/>
      <c r="E2627" s="57" t="n"/>
    </row>
    <row r="2628" ht="30" customHeight="1">
      <c r="A2628" s="62" t="inlineStr">
        <is>
          <t>Kết quả thực tế</t>
        </is>
      </c>
    </row>
    <row r="2629" ht="64" customHeight="1">
      <c r="A2629" s="63" t="inlineStr"/>
      <c r="B2629" s="64" t="n"/>
      <c r="C2629" s="64" t="n"/>
      <c r="D2629" s="64" t="n"/>
      <c r="E2629" s="65" t="n"/>
    </row>
    <row r="2630" ht="30" customHeight="1">
      <c r="A2630" s="62" t="inlineStr">
        <is>
          <t>Ảnh minh chứng</t>
        </is>
      </c>
    </row>
    <row r="2631" ht="90" customHeight="1">
      <c r="A2631" s="63" t="inlineStr"/>
      <c r="B2631" s="64" t="n"/>
      <c r="C2631" s="64" t="n"/>
      <c r="D2631" s="64" t="n"/>
      <c r="E2631" s="65" t="n"/>
    </row>
    <row r="2632" ht="12" customHeight="1">
      <c r="A2632" s="66" t="inlineStr"/>
    </row>
    <row r="2633" ht="30" customHeight="1">
      <c r="A2633" s="60" t="inlineStr">
        <is>
          <t>TC-RS-CALC-019 / decimal-nearest</t>
        </is>
      </c>
      <c r="B2633" s="36" t="n"/>
      <c r="C2633" s="36" t="n"/>
      <c r="D2633" s="36" t="n"/>
      <c r="E2633" s="36" t="n"/>
    </row>
    <row r="2634" ht="30" customHeight="1">
      <c r="A2634" s="47" t="inlineStr">
        <is>
          <t>Dữ liệu biến thể</t>
        </is>
      </c>
      <c r="B2634" s="56" t="inlineStr">
        <is>
          <t>12.345 Gần nhất p2</t>
        </is>
      </c>
      <c r="C2634" s="57" t="n"/>
      <c r="D2634" s="57" t="n"/>
      <c r="E2634" s="57" t="n"/>
    </row>
    <row r="2635" ht="30" customHeight="1">
      <c r="A2635" s="47" t="inlineStr">
        <is>
          <t>Trạng thái</t>
        </is>
      </c>
      <c r="B2635" s="61" t="inlineStr">
        <is>
          <t>Chưa thực hiện</t>
        </is>
      </c>
      <c r="C2635" s="57" t="n"/>
      <c r="D2635" s="57" t="n"/>
      <c r="E2635" s="57" t="n"/>
    </row>
    <row r="2636" ht="30" customHeight="1">
      <c r="A2636" s="62" t="inlineStr">
        <is>
          <t>Kết quả thực tế</t>
        </is>
      </c>
    </row>
    <row r="2637" ht="64" customHeight="1">
      <c r="A2637" s="63" t="inlineStr"/>
      <c r="B2637" s="64" t="n"/>
      <c r="C2637" s="64" t="n"/>
      <c r="D2637" s="64" t="n"/>
      <c r="E2637" s="65" t="n"/>
    </row>
    <row r="2638" ht="30" customHeight="1">
      <c r="A2638" s="62" t="inlineStr">
        <is>
          <t>Ảnh minh chứng</t>
        </is>
      </c>
    </row>
    <row r="2639" ht="90" customHeight="1">
      <c r="A2639" s="63" t="inlineStr"/>
      <c r="B2639" s="64" t="n"/>
      <c r="C2639" s="64" t="n"/>
      <c r="D2639" s="64" t="n"/>
      <c r="E2639" s="65" t="n"/>
    </row>
    <row r="2640" ht="12" customHeight="1">
      <c r="A2640" s="66" t="inlineStr"/>
    </row>
    <row r="2641" ht="30" customHeight="1">
      <c r="A2641" s="60" t="inlineStr">
        <is>
          <t>TC-RS-CALC-019 / decimal-up</t>
        </is>
      </c>
      <c r="B2641" s="36" t="n"/>
      <c r="C2641" s="36" t="n"/>
      <c r="D2641" s="36" t="n"/>
      <c r="E2641" s="36" t="n"/>
    </row>
    <row r="2642" ht="30" customHeight="1">
      <c r="A2642" s="47" t="inlineStr">
        <is>
          <t>Dữ liệu biến thể</t>
        </is>
      </c>
      <c r="B2642" s="56" t="inlineStr">
        <is>
          <t>12.345 Lên p2</t>
        </is>
      </c>
      <c r="C2642" s="57" t="n"/>
      <c r="D2642" s="57" t="n"/>
      <c r="E2642" s="57" t="n"/>
    </row>
    <row r="2643" ht="30" customHeight="1">
      <c r="A2643" s="47" t="inlineStr">
        <is>
          <t>Trạng thái</t>
        </is>
      </c>
      <c r="B2643" s="61" t="inlineStr">
        <is>
          <t>Chưa thực hiện</t>
        </is>
      </c>
      <c r="C2643" s="57" t="n"/>
      <c r="D2643" s="57" t="n"/>
      <c r="E2643" s="57" t="n"/>
    </row>
    <row r="2644" ht="30" customHeight="1">
      <c r="A2644" s="62" t="inlineStr">
        <is>
          <t>Kết quả thực tế</t>
        </is>
      </c>
    </row>
    <row r="2645" ht="64" customHeight="1">
      <c r="A2645" s="63" t="inlineStr"/>
      <c r="B2645" s="64" t="n"/>
      <c r="C2645" s="64" t="n"/>
      <c r="D2645" s="64" t="n"/>
      <c r="E2645" s="65" t="n"/>
    </row>
    <row r="2646" ht="30" customHeight="1">
      <c r="A2646" s="62" t="inlineStr">
        <is>
          <t>Ảnh minh chứng</t>
        </is>
      </c>
    </row>
    <row r="2647" ht="90" customHeight="1">
      <c r="A2647" s="63" t="inlineStr"/>
      <c r="B2647" s="64" t="n"/>
      <c r="C2647" s="64" t="n"/>
      <c r="D2647" s="64" t="n"/>
      <c r="E2647" s="65" t="n"/>
    </row>
    <row r="2648" ht="12" customHeight="1">
      <c r="A2648" s="66" t="inlineStr"/>
    </row>
    <row r="2649" ht="30" customHeight="1">
      <c r="A2649" s="60" t="inlineStr">
        <is>
          <t>TC-RS-CALC-019 / p3</t>
        </is>
      </c>
      <c r="B2649" s="36" t="n"/>
      <c r="C2649" s="36" t="n"/>
      <c r="D2649" s="36" t="n"/>
      <c r="E2649" s="36" t="n"/>
    </row>
    <row r="2650" ht="30" customHeight="1">
      <c r="A2650" s="47" t="inlineStr">
        <is>
          <t>Dữ liệu biến thể</t>
        </is>
      </c>
      <c r="B2650" s="56" t="inlineStr">
        <is>
          <t>2.675 Gần nhất p3</t>
        </is>
      </c>
      <c r="C2650" s="57" t="n"/>
      <c r="D2650" s="57" t="n"/>
      <c r="E2650" s="57" t="n"/>
    </row>
    <row r="2651" ht="30" customHeight="1">
      <c r="A2651" s="47" t="inlineStr">
        <is>
          <t>Trạng thái</t>
        </is>
      </c>
      <c r="B2651" s="61" t="inlineStr">
        <is>
          <t>Chưa thực hiện</t>
        </is>
      </c>
      <c r="C2651" s="57" t="n"/>
      <c r="D2651" s="57" t="n"/>
      <c r="E2651" s="57" t="n"/>
    </row>
    <row r="2652" ht="30" customHeight="1">
      <c r="A2652" s="62" t="inlineStr">
        <is>
          <t>Kết quả thực tế</t>
        </is>
      </c>
    </row>
    <row r="2653" ht="64" customHeight="1">
      <c r="A2653" s="63" t="inlineStr"/>
      <c r="B2653" s="64" t="n"/>
      <c r="C2653" s="64" t="n"/>
      <c r="D2653" s="64" t="n"/>
      <c r="E2653" s="65" t="n"/>
    </row>
    <row r="2654" ht="30" customHeight="1">
      <c r="A2654" s="62" t="inlineStr">
        <is>
          <t>Ảnh minh chứng</t>
        </is>
      </c>
    </row>
    <row r="2655" ht="90" customHeight="1">
      <c r="A2655" s="63" t="inlineStr"/>
      <c r="B2655" s="64" t="n"/>
      <c r="C2655" s="64" t="n"/>
      <c r="D2655" s="64" t="n"/>
      <c r="E2655" s="65" t="n"/>
    </row>
    <row r="2656" ht="12" customHeight="1">
      <c r="A2656" s="66" t="inlineStr"/>
    </row>
    <row r="2657" ht="30" customHeight="1">
      <c r="A2657" s="60" t="inlineStr">
        <is>
          <t>TC-RS-CALC-019 / p9-nearest</t>
        </is>
      </c>
      <c r="B2657" s="36" t="n"/>
      <c r="C2657" s="36" t="n"/>
      <c r="D2657" s="36" t="n"/>
      <c r="E2657" s="36" t="n"/>
    </row>
    <row r="2658" ht="30" customHeight="1">
      <c r="A2658" s="47" t="inlineStr">
        <is>
          <t>Dữ liệu biến thể</t>
        </is>
      </c>
      <c r="B2658" s="56" t="inlineStr">
        <is>
          <t>1.123456789 Gần nhất p9</t>
        </is>
      </c>
      <c r="C2658" s="57" t="n"/>
      <c r="D2658" s="57" t="n"/>
      <c r="E2658" s="57" t="n"/>
    </row>
    <row r="2659" ht="30" customHeight="1">
      <c r="A2659" s="47" t="inlineStr">
        <is>
          <t>Trạng thái</t>
        </is>
      </c>
      <c r="B2659" s="61" t="inlineStr">
        <is>
          <t>Chưa thực hiện</t>
        </is>
      </c>
      <c r="C2659" s="57" t="n"/>
      <c r="D2659" s="57" t="n"/>
      <c r="E2659" s="57" t="n"/>
    </row>
    <row r="2660" ht="30" customHeight="1">
      <c r="A2660" s="62" t="inlineStr">
        <is>
          <t>Kết quả thực tế</t>
        </is>
      </c>
    </row>
    <row r="2661" ht="64" customHeight="1">
      <c r="A2661" s="63" t="inlineStr"/>
      <c r="B2661" s="64" t="n"/>
      <c r="C2661" s="64" t="n"/>
      <c r="D2661" s="64" t="n"/>
      <c r="E2661" s="65" t="n"/>
    </row>
    <row r="2662" ht="30" customHeight="1">
      <c r="A2662" s="62" t="inlineStr">
        <is>
          <t>Ảnh minh chứng</t>
        </is>
      </c>
    </row>
    <row r="2663" ht="90" customHeight="1">
      <c r="A2663" s="63" t="inlineStr"/>
      <c r="B2663" s="64" t="n"/>
      <c r="C2663" s="64" t="n"/>
      <c r="D2663" s="64" t="n"/>
      <c r="E2663" s="65" t="n"/>
    </row>
    <row r="2664" ht="12" customHeight="1">
      <c r="A2664" s="66" t="inlineStr"/>
    </row>
    <row r="2665" ht="30" customHeight="1">
      <c r="A2665" s="60" t="inlineStr">
        <is>
          <t>TC-RS-CALC-019 / p9-down</t>
        </is>
      </c>
      <c r="B2665" s="36" t="n"/>
      <c r="C2665" s="36" t="n"/>
      <c r="D2665" s="36" t="n"/>
      <c r="E2665" s="36" t="n"/>
    </row>
    <row r="2666" ht="30" customHeight="1">
      <c r="A2666" s="47" t="inlineStr">
        <is>
          <t>Dữ liệu biến thể</t>
        </is>
      </c>
      <c r="B2666" s="56" t="inlineStr">
        <is>
          <t>1.123456789 Xuống p9</t>
        </is>
      </c>
      <c r="C2666" s="57" t="n"/>
      <c r="D2666" s="57" t="n"/>
      <c r="E2666" s="57" t="n"/>
    </row>
    <row r="2667" ht="30" customHeight="1">
      <c r="A2667" s="47" t="inlineStr">
        <is>
          <t>Trạng thái</t>
        </is>
      </c>
      <c r="B2667" s="61" t="inlineStr">
        <is>
          <t>Chưa thực hiện</t>
        </is>
      </c>
      <c r="C2667" s="57" t="n"/>
      <c r="D2667" s="57" t="n"/>
      <c r="E2667" s="57" t="n"/>
    </row>
    <row r="2668" ht="30" customHeight="1">
      <c r="A2668" s="62" t="inlineStr">
        <is>
          <t>Kết quả thực tế</t>
        </is>
      </c>
    </row>
    <row r="2669" ht="64" customHeight="1">
      <c r="A2669" s="63" t="inlineStr"/>
      <c r="B2669" s="64" t="n"/>
      <c r="C2669" s="64" t="n"/>
      <c r="D2669" s="64" t="n"/>
      <c r="E2669" s="65" t="n"/>
    </row>
    <row r="2670" ht="30" customHeight="1">
      <c r="A2670" s="62" t="inlineStr">
        <is>
          <t>Ảnh minh chứng</t>
        </is>
      </c>
    </row>
    <row r="2671" ht="90" customHeight="1">
      <c r="A2671" s="63" t="inlineStr"/>
      <c r="B2671" s="64" t="n"/>
      <c r="C2671" s="64" t="n"/>
      <c r="D2671" s="64" t="n"/>
      <c r="E2671" s="65" t="n"/>
    </row>
    <row r="2672" ht="12" customHeight="1">
      <c r="A2672" s="66" t="inlineStr"/>
    </row>
    <row r="2673" ht="20" customHeight="1">
      <c r="A2673" s="66" t="inlineStr"/>
    </row>
    <row r="2674" ht="30" customHeight="1">
      <c r="A2674" s="46" t="inlineStr">
        <is>
          <t>TC-RS-CALC-020 — Làm tròn ngưỡng, không làm tròn điểm học sinh</t>
        </is>
      </c>
      <c r="B2674" s="23" t="n"/>
      <c r="C2674" s="23" t="n"/>
      <c r="D2674" s="23" t="n"/>
      <c r="E2674" s="23" t="n"/>
    </row>
    <row r="2675" ht="30" customHeight="1">
      <c r="A2675" s="47" t="inlineStr">
        <is>
          <t>Trạng thái</t>
        </is>
      </c>
      <c r="B2675" s="56">
        <f>IF(0&gt;0,"Không đạt",IF(0=2,"Đạt",IF(SUMPRODUCT(--EXACT('Testcases'!B2696:B2704,"Không thực hiện"))=2,"Không thực hiện",IF(SUMPRODUCT(--EXACT('Testcases'!B2696:B2704,"Bị chặn"))&gt;0,"Bị chặn",IF(SUMPRODUCT(--EXACT('Testcases'!B2696:B2704,"Chưa thực hiện"))=2,"Chưa thực hiện","Chưa đủ kết luận")))))</f>
        <v/>
      </c>
      <c r="C2675" s="57" t="n"/>
      <c r="D2675" s="57" t="n"/>
      <c r="E2675" s="57" t="n"/>
    </row>
    <row r="2676" ht="30" customHeight="1">
      <c r="A2676" s="47" t="inlineStr">
        <is>
          <t>Màn hình / chức năng</t>
        </is>
      </c>
      <c r="B2676" s="47" t="inlineStr">
        <is>
          <t>Thiết lập ngưỡng（基準設定）</t>
        </is>
      </c>
      <c r="C2676" s="57" t="n"/>
      <c r="D2676" s="47" t="inlineStr">
        <is>
          <t>Đường dẫn</t>
        </is>
      </c>
      <c r="E2676" s="56" t="inlineStr">
        <is>
          <t>Chưa xác minh</t>
        </is>
      </c>
    </row>
    <row r="2677" ht="30" customHeight="1">
      <c r="A2677" s="58" t="inlineStr">
        <is>
          <t>Điều kiện kiểm thử</t>
        </is>
      </c>
      <c r="B2677" s="59" t="n"/>
      <c r="C2677" s="59" t="n"/>
      <c r="D2677" s="59" t="n"/>
      <c r="E2677" s="59" t="n"/>
    </row>
    <row r="2678" ht="44" customHeight="1">
      <c r="A2678" s="47" t="inlineStr">
        <is>
          <t>Cấu hình</t>
        </is>
      </c>
      <c r="B2678" s="56" t="inlineStr">
        <is>
          <t>• Mục số thập phân (M=100) với M=99;
• Tỷ lệ 30% ([T_thô=29.7]), [&lt;].</t>
        </is>
      </c>
      <c r="C2678" s="57" t="n"/>
      <c r="D2678" s="57" t="n"/>
      <c r="E2678" s="57" t="n"/>
    </row>
    <row r="2679" ht="61" customHeight="1">
      <c r="A2679" s="47" t="inlineStr">
        <is>
          <t>Vai trò / quyền</t>
        </is>
      </c>
      <c r="B267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679" s="57" t="n"/>
      <c r="D2679" s="57" t="n"/>
      <c r="E2679" s="57" t="n"/>
    </row>
    <row r="2680" ht="44" customHeight="1">
      <c r="A2680" s="47" t="inlineStr">
        <is>
          <t>Dữ liệu test</t>
        </is>
      </c>
      <c r="B2680" s="56" t="inlineStr">
        <is>
          <t>• Mục số thập phân (M=100);
• S = 29.5</t>
        </is>
      </c>
      <c r="C2680" s="57" t="n"/>
      <c r="D2680" s="57" t="n"/>
      <c r="E2680" s="57" t="n"/>
    </row>
    <row r="2681" ht="30" customHeight="1">
      <c r="A2681" s="47" t="inlineStr">
        <is>
          <t>Trigger</t>
        </is>
      </c>
      <c r="B2681" s="56" t="inlineStr">
        <is>
          <t>• Chỉ xem/xuất không tự chạy xét.</t>
        </is>
      </c>
      <c r="C2681" s="57" t="n"/>
      <c r="D2681" s="57" t="n"/>
      <c r="E2681" s="57" t="n"/>
    </row>
    <row r="2682" ht="44" customHeight="1">
      <c r="A2682" s="47" t="inlineStr">
        <is>
          <t>Blocker</t>
        </is>
      </c>
      <c r="B2682" s="56" t="inlineStr">
        <is>
          <t>• G-PREP-UNASSESSED: Chưa có xác minh fixture, đường thực hiện và phép quan sát trên build của từng case chưa đánh giá.</t>
        </is>
      </c>
      <c r="C2682" s="57" t="n"/>
      <c r="D2682" s="57" t="n"/>
      <c r="E2682" s="57" t="n"/>
    </row>
    <row r="2683" ht="30" customHeight="1">
      <c r="A2683" s="58" t="inlineStr">
        <is>
          <t>Thao tác</t>
        </is>
      </c>
      <c r="B2683" s="59" t="n"/>
      <c r="C2683" s="59" t="n"/>
      <c r="D2683" s="59" t="n"/>
      <c r="E2683" s="59" t="n"/>
    </row>
    <row r="2684" ht="30" customHeight="1">
      <c r="A2684" s="47" t="inlineStr">
        <is>
          <t>•</t>
        </is>
      </c>
      <c r="B2684" s="56" t="inlineStr">
        <is>
          <t>(A) Xuống p1.</t>
        </is>
      </c>
      <c r="C2684" s="57" t="n"/>
      <c r="D2684" s="57" t="n"/>
      <c r="E2684" s="57" t="n"/>
    </row>
    <row r="2685" ht="30" customHeight="1">
      <c r="A2685" s="47" t="inlineStr">
        <is>
          <t>•</t>
        </is>
      </c>
      <c r="B2685" s="56" t="inlineStr">
        <is>
          <t>(B) Gần nhất p1.</t>
        </is>
      </c>
      <c r="C2685" s="57" t="n"/>
      <c r="D2685" s="57" t="n"/>
      <c r="E2685" s="57" t="n"/>
    </row>
    <row r="2686" ht="44" customHeight="1">
      <c r="A2686" s="47" t="inlineStr">
        <is>
          <t>Reset</t>
        </is>
      </c>
      <c r="B2686" s="56" t="inlineStr">
        <is>
          <t>Trước mỗi biến thể, dựng lại điều kiện/dữ liệu đầu của case bằng đường được phép; giữ các reset/fixture độc lập đã nêu trong thủ tục.</t>
        </is>
      </c>
      <c r="C2686" s="57" t="n"/>
      <c r="D2686" s="57" t="n"/>
      <c r="E2686" s="57" t="n"/>
    </row>
    <row r="2687" ht="30" customHeight="1">
      <c r="A2687" s="58" t="inlineStr">
        <is>
          <t>Kết quả mong đợi</t>
        </is>
      </c>
      <c r="B2687" s="59" t="n"/>
      <c r="C2687" s="59" t="n"/>
      <c r="D2687" s="59" t="n"/>
      <c r="E2687" s="59" t="n"/>
    </row>
    <row r="2688" ht="30" customHeight="1">
      <c r="A2688" s="47" t="inlineStr">
        <is>
          <t>•</t>
        </is>
      </c>
      <c r="B2688" s="56" t="inlineStr">
        <is>
          <t>(A) [T=29]; [29.5&lt;29] sai → Không đỏ. (Nếu làm tròn S thành 29 và giữ [T=29.7] → Đỏ — sai.)</t>
        </is>
      </c>
      <c r="C2688" s="57" t="n"/>
      <c r="D2688" s="57" t="n"/>
      <c r="E2688" s="57" t="n"/>
    </row>
    <row r="2689" ht="30" customHeight="1">
      <c r="A2689" s="47" t="inlineStr">
        <is>
          <t>•</t>
        </is>
      </c>
      <c r="B2689" s="56" t="inlineStr">
        <is>
          <t>(B) [T=30]; [29.5&lt;30] → Đỏ. (Nếu làm tròn S thành 30 → Không đỏ — sai.)</t>
        </is>
      </c>
      <c r="C2689" s="57" t="n"/>
      <c r="D2689" s="57" t="n"/>
      <c r="E2689" s="57" t="n"/>
    </row>
    <row r="2690" ht="30" customHeight="1">
      <c r="A2690" s="47" t="inlineStr">
        <is>
          <t>•</t>
        </is>
      </c>
      <c r="B2690" s="56" t="inlineStr">
        <is>
          <t>Điểm lưu vẫn 29.5.</t>
        </is>
      </c>
      <c r="C2690" s="57" t="n"/>
      <c r="D2690" s="57" t="n"/>
      <c r="E2690" s="57" t="n"/>
    </row>
    <row r="2691" ht="44" customHeight="1">
      <c r="A2691" s="47" t="inlineStr">
        <is>
          <t>Giữ nguyên</t>
        </is>
      </c>
      <c r="B2691" s="56" t="inlineStr">
        <is>
          <t>• Giữ điểm, cấu hình và đối tượng không đích theo expected;
• Chỉ thay phần thủ tục yêu cầu, không tự đổi oracle hoặc mở rộng phạm vi.</t>
        </is>
      </c>
      <c r="C2691" s="57" t="n"/>
      <c r="D2691" s="57" t="n"/>
      <c r="E2691" s="57" t="n"/>
    </row>
    <row r="2692" ht="61" customHeight="1">
      <c r="A2692" s="47" t="inlineStr">
        <is>
          <t>Quan sát tại</t>
        </is>
      </c>
      <c r="B2692" s="56" t="inlineStr">
        <is>
          <t>• Dùng trích xuất không lọc để thấy cả ô đối chứng. Trạng thái không có dấu đỏ cần đọc thêm trạng thái lưu;
• Output Excel/PDF dùng file thật.</t>
        </is>
      </c>
      <c r="C2692" s="57" t="n"/>
      <c r="D2692" s="57" t="n"/>
      <c r="E2692" s="57" t="n"/>
    </row>
    <row r="2693" ht="30" customHeight="1">
      <c r="A2693" s="58" t="inlineStr">
        <is>
          <t>Kết quả thực tế</t>
        </is>
      </c>
      <c r="B2693" s="59" t="n"/>
      <c r="C2693" s="59" t="n"/>
      <c r="D2693" s="59" t="n"/>
      <c r="E2693" s="59" t="n"/>
    </row>
    <row r="2694" ht="30" customHeight="1">
      <c r="A2694" s="60" t="inlineStr">
        <is>
          <t>TC-RS-CALC-020 / down</t>
        </is>
      </c>
      <c r="B2694" s="36" t="n"/>
      <c r="C2694" s="36" t="n"/>
      <c r="D2694" s="36" t="n"/>
      <c r="E2694" s="36" t="n"/>
    </row>
    <row r="2695" ht="30" customHeight="1">
      <c r="A2695" s="47" t="inlineStr">
        <is>
          <t>Dữ liệu biến thể</t>
        </is>
      </c>
      <c r="B2695" s="56" t="inlineStr">
        <is>
          <t>Cắt xuống</t>
        </is>
      </c>
      <c r="C2695" s="57" t="n"/>
      <c r="D2695" s="57" t="n"/>
      <c r="E2695" s="57" t="n"/>
    </row>
    <row r="2696" ht="30" customHeight="1">
      <c r="A2696" s="47" t="inlineStr">
        <is>
          <t>Trạng thái</t>
        </is>
      </c>
      <c r="B2696" s="61" t="inlineStr">
        <is>
          <t>Chưa thực hiện</t>
        </is>
      </c>
      <c r="C2696" s="57" t="n"/>
      <c r="D2696" s="57" t="n"/>
      <c r="E2696" s="57" t="n"/>
    </row>
    <row r="2697" ht="30" customHeight="1">
      <c r="A2697" s="62" t="inlineStr">
        <is>
          <t>Kết quả thực tế</t>
        </is>
      </c>
    </row>
    <row r="2698" ht="64" customHeight="1">
      <c r="A2698" s="63" t="inlineStr"/>
      <c r="B2698" s="64" t="n"/>
      <c r="C2698" s="64" t="n"/>
      <c r="D2698" s="64" t="n"/>
      <c r="E2698" s="65" t="n"/>
    </row>
    <row r="2699" ht="30" customHeight="1">
      <c r="A2699" s="62" t="inlineStr">
        <is>
          <t>Ảnh minh chứng</t>
        </is>
      </c>
    </row>
    <row r="2700" ht="90" customHeight="1">
      <c r="A2700" s="63" t="inlineStr"/>
      <c r="B2700" s="64" t="n"/>
      <c r="C2700" s="64" t="n"/>
      <c r="D2700" s="64" t="n"/>
      <c r="E2700" s="65" t="n"/>
    </row>
    <row r="2701" ht="12" customHeight="1">
      <c r="A2701" s="66" t="inlineStr"/>
    </row>
    <row r="2702" ht="30" customHeight="1">
      <c r="A2702" s="60" t="inlineStr">
        <is>
          <t>TC-RS-CALC-020 / nearest</t>
        </is>
      </c>
      <c r="B2702" s="36" t="n"/>
      <c r="C2702" s="36" t="n"/>
      <c r="D2702" s="36" t="n"/>
      <c r="E2702" s="36" t="n"/>
    </row>
    <row r="2703" ht="30" customHeight="1">
      <c r="A2703" s="47" t="inlineStr">
        <is>
          <t>Dữ liệu biến thể</t>
        </is>
      </c>
      <c r="B2703" s="56" t="inlineStr">
        <is>
          <t>Làm tròn gần nhất</t>
        </is>
      </c>
      <c r="C2703" s="57" t="n"/>
      <c r="D2703" s="57" t="n"/>
      <c r="E2703" s="57" t="n"/>
    </row>
    <row r="2704" ht="30" customHeight="1">
      <c r="A2704" s="47" t="inlineStr">
        <is>
          <t>Trạng thái</t>
        </is>
      </c>
      <c r="B2704" s="61" t="inlineStr">
        <is>
          <t>Chưa thực hiện</t>
        </is>
      </c>
      <c r="C2704" s="57" t="n"/>
      <c r="D2704" s="57" t="n"/>
      <c r="E2704" s="57" t="n"/>
    </row>
    <row r="2705" ht="30" customHeight="1">
      <c r="A2705" s="62" t="inlineStr">
        <is>
          <t>Kết quả thực tế</t>
        </is>
      </c>
    </row>
    <row r="2706" ht="64" customHeight="1">
      <c r="A2706" s="63" t="inlineStr"/>
      <c r="B2706" s="64" t="n"/>
      <c r="C2706" s="64" t="n"/>
      <c r="D2706" s="64" t="n"/>
      <c r="E2706" s="65" t="n"/>
    </row>
    <row r="2707" ht="30" customHeight="1">
      <c r="A2707" s="62" t="inlineStr">
        <is>
          <t>Ảnh minh chứng</t>
        </is>
      </c>
    </row>
    <row r="2708" ht="90" customHeight="1">
      <c r="A2708" s="63" t="inlineStr"/>
      <c r="B2708" s="64" t="n"/>
      <c r="C2708" s="64" t="n"/>
      <c r="D2708" s="64" t="n"/>
      <c r="E2708" s="65" t="n"/>
    </row>
    <row r="2709" ht="12" customHeight="1">
      <c r="A2709" s="66" t="inlineStr"/>
    </row>
    <row r="2710" ht="20" customHeight="1">
      <c r="A2710" s="66" t="inlineStr"/>
    </row>
    <row r="2711" ht="30" customHeight="1">
      <c r="A2711" s="46" t="inlineStr">
        <is>
          <t>TC-RS-CALC-021 — Chia 0 phát sinh khi chạy → Chưa xét được</t>
        </is>
      </c>
      <c r="B2711" s="23" t="n"/>
      <c r="C2711" s="23" t="n"/>
      <c r="D2711" s="23" t="n"/>
      <c r="E2711" s="23" t="n"/>
    </row>
    <row r="2712" ht="30" customHeight="1">
      <c r="A2712" s="47" t="inlineStr">
        <is>
          <t>Trạng thái</t>
        </is>
      </c>
      <c r="B2712" s="56">
        <f>IF(0&gt;0,"Không đạt",IF(0=3,"Đạt",IF(SUMPRODUCT(--EXACT('Testcases'!B2732:B2748,"Không thực hiện"))=3,"Không thực hiện",IF(SUMPRODUCT(--EXACT('Testcases'!B2732:B2748,"Bị chặn"))&gt;0,"Bị chặn",IF(SUMPRODUCT(--EXACT('Testcases'!B2732:B2748,"Chưa thực hiện"))=3,"Chưa thực hiện","Chưa đủ kết luận")))))</f>
        <v/>
      </c>
      <c r="C2712" s="57" t="n"/>
      <c r="D2712" s="57" t="n"/>
      <c r="E2712" s="57" t="n"/>
    </row>
    <row r="2713" ht="30" customHeight="1">
      <c r="A2713" s="47" t="inlineStr">
        <is>
          <t>Màn hình / chức năng</t>
        </is>
      </c>
      <c r="B2713" s="47" t="inlineStr">
        <is>
          <t>Thiết lập ngưỡng（基準設定）</t>
        </is>
      </c>
      <c r="C2713" s="57" t="n"/>
      <c r="D2713" s="47" t="inlineStr">
        <is>
          <t>Đường dẫn</t>
        </is>
      </c>
      <c r="E2713" s="56" t="inlineStr">
        <is>
          <t>Chưa xác minh</t>
        </is>
      </c>
    </row>
    <row r="2714" ht="30" customHeight="1">
      <c r="A2714" s="58" t="inlineStr">
        <is>
          <t>Điều kiện kiểm thử</t>
        </is>
      </c>
      <c r="B2714" s="59" t="n"/>
      <c r="C2714" s="59" t="n"/>
      <c r="D2714" s="59" t="n"/>
      <c r="E2714" s="59" t="n"/>
    </row>
    <row r="2715" ht="30" customHeight="1">
      <c r="A2715" s="47" t="inlineStr">
        <is>
          <t>Cấu hình</t>
        </is>
      </c>
      <c r="B2715" s="56" t="inlineStr">
        <is>
          <t>• Quy tắc công thức 100 ÷ trung bình ([100÷A]), [&lt;], mục số thập phân (M=100).</t>
        </is>
      </c>
      <c r="C2715" s="57" t="n"/>
      <c r="D2715" s="57" t="n"/>
      <c r="E2715" s="57" t="n"/>
    </row>
    <row r="2716" ht="61" customHeight="1">
      <c r="A2716" s="47" t="inlineStr">
        <is>
          <t>Vai trò / quyền</t>
        </is>
      </c>
      <c r="B271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716" s="57" t="n"/>
      <c r="D2716" s="57" t="n"/>
      <c r="E2716" s="57" t="n"/>
    </row>
    <row r="2717" ht="78" customHeight="1">
      <c r="A2717" s="47" t="inlineStr">
        <is>
          <t>Dữ liệu test</t>
        </is>
      </c>
      <c r="B2717" s="56" t="inlineStr">
        <is>
          <t>• Mục số thập phân (M=100), quy tắc công thức 100 ÷ trung bình;
• (A) nhóm có trung bình 0 [A=0];
• (B) [A=4], S = 24;
• (C) [A=3], S = 33.33, 33.34</t>
        </is>
      </c>
      <c r="C2717" s="57" t="n"/>
      <c r="D2717" s="57" t="n"/>
      <c r="E2717" s="57" t="n"/>
    </row>
    <row r="2718" ht="30" customHeight="1">
      <c r="A2718" s="47" t="inlineStr">
        <is>
          <t>Trigger</t>
        </is>
      </c>
      <c r="B2718" s="56" t="inlineStr">
        <is>
          <t>• Chỉ xem/xuất không tự chạy xét.</t>
        </is>
      </c>
      <c r="C2718" s="57" t="n"/>
      <c r="D2718" s="57" t="n"/>
      <c r="E2718" s="57" t="n"/>
    </row>
    <row r="2719" ht="44" customHeight="1">
      <c r="A2719" s="47" t="inlineStr">
        <is>
          <t>Blocker</t>
        </is>
      </c>
      <c r="B2719" s="56" t="inlineStr">
        <is>
          <t>• G-PREP-UNASSESSED: Chưa có xác minh fixture, đường thực hiện và phép quan sát trên build của từng case chưa đánh giá.</t>
        </is>
      </c>
      <c r="C2719" s="57" t="n"/>
      <c r="D2719" s="57" t="n"/>
      <c r="E2719" s="57" t="n"/>
    </row>
    <row r="2720" ht="30" customHeight="1">
      <c r="A2720" s="58" t="inlineStr">
        <is>
          <t>Thao tác</t>
        </is>
      </c>
      <c r="B2720" s="59" t="n"/>
      <c r="C2720" s="59" t="n"/>
      <c r="D2720" s="59" t="n"/>
      <c r="E2720" s="59" t="n"/>
    </row>
    <row r="2721" ht="30" customHeight="1">
      <c r="A2721" s="47" t="inlineStr">
        <is>
          <t>•</t>
        </is>
      </c>
      <c r="B2721" s="56" t="inlineStr">
        <is>
          <t>Chạy nút cam cho từng nguồn.</t>
        </is>
      </c>
      <c r="C2721" s="57" t="n"/>
      <c r="D2721" s="57" t="n"/>
      <c r="E2721" s="57" t="n"/>
    </row>
    <row r="2722" ht="44" customHeight="1">
      <c r="A2722" s="47" t="inlineStr">
        <is>
          <t>Reset</t>
        </is>
      </c>
      <c r="B2722" s="56" t="inlineStr">
        <is>
          <t>Trước mỗi biến thể, dựng lại điều kiện/dữ liệu đầu của case bằng đường được phép; giữ các reset/fixture độc lập đã nêu trong thủ tục.</t>
        </is>
      </c>
      <c r="C2722" s="57" t="n"/>
      <c r="D2722" s="57" t="n"/>
      <c r="E2722" s="57" t="n"/>
    </row>
    <row r="2723" ht="30" customHeight="1">
      <c r="A2723" s="58" t="inlineStr">
        <is>
          <t>Kết quả mong đợi</t>
        </is>
      </c>
      <c r="B2723" s="59" t="n"/>
      <c r="C2723" s="59" t="n"/>
      <c r="D2723" s="59" t="n"/>
      <c r="E2723" s="59" t="n"/>
    </row>
    <row r="2724" ht="30" customHeight="1">
      <c r="A2724" s="47" t="inlineStr">
        <is>
          <t>•</t>
        </is>
      </c>
      <c r="B2724" s="56" t="inlineStr">
        <is>
          <t>(A) Chưa xét được; không dùng ưu tiên thấp hơn.</t>
        </is>
      </c>
      <c r="C2724" s="57" t="n"/>
      <c r="D2724" s="57" t="n"/>
      <c r="E2724" s="57" t="n"/>
    </row>
    <row r="2725" ht="30" customHeight="1">
      <c r="A2725" s="47" t="inlineStr">
        <is>
          <t>•</t>
        </is>
      </c>
      <c r="B2725" s="56" t="inlineStr">
        <is>
          <t>(B) [T=25] → 24 Đỏ.</t>
        </is>
      </c>
      <c r="C2725" s="57" t="n"/>
      <c r="D2725" s="57" t="n"/>
      <c r="E2725" s="57" t="n"/>
    </row>
    <row r="2726" ht="30" customHeight="1">
      <c r="A2726" s="47" t="inlineStr">
        <is>
          <t>•</t>
        </is>
      </c>
      <c r="B2726" s="56" t="inlineStr">
        <is>
          <t>(C) [T=33.333…] → 33.33 Đỏ; 33.34 Không đỏ.</t>
        </is>
      </c>
      <c r="C2726" s="57" t="n"/>
      <c r="D2726" s="57" t="n"/>
      <c r="E2726" s="57" t="n"/>
    </row>
    <row r="2727" ht="44" customHeight="1">
      <c r="A2727" s="47" t="inlineStr">
        <is>
          <t>Giữ nguyên</t>
        </is>
      </c>
      <c r="B2727" s="56" t="inlineStr">
        <is>
          <t>• Giữ điểm, cấu hình và đối tượng không đích theo expected;
• Chỉ thay phần thủ tục yêu cầu, không tự đổi oracle hoặc mở rộng phạm vi.</t>
        </is>
      </c>
      <c r="C2727" s="57" t="n"/>
      <c r="D2727" s="57" t="n"/>
      <c r="E2727" s="57" t="n"/>
    </row>
    <row r="2728" ht="61" customHeight="1">
      <c r="A2728" s="47" t="inlineStr">
        <is>
          <t>Quan sát tại</t>
        </is>
      </c>
      <c r="B2728" s="56" t="inlineStr">
        <is>
          <t>• Dùng trích xuất không lọc để thấy cả ô đối chứng. Trạng thái không có dấu đỏ cần đọc thêm trạng thái lưu;
• Output Excel/PDF dùng file thật.</t>
        </is>
      </c>
      <c r="C2728" s="57" t="n"/>
      <c r="D2728" s="57" t="n"/>
      <c r="E2728" s="57" t="n"/>
    </row>
    <row r="2729" ht="30" customHeight="1">
      <c r="A2729" s="58" t="inlineStr">
        <is>
          <t>Kết quả thực tế</t>
        </is>
      </c>
      <c r="B2729" s="59" t="n"/>
      <c r="C2729" s="59" t="n"/>
      <c r="D2729" s="59" t="n"/>
      <c r="E2729" s="59" t="n"/>
    </row>
    <row r="2730" ht="30" customHeight="1">
      <c r="A2730" s="60" t="inlineStr">
        <is>
          <t>TC-RS-CALC-021 / a0</t>
        </is>
      </c>
      <c r="B2730" s="36" t="n"/>
      <c r="C2730" s="36" t="n"/>
      <c r="D2730" s="36" t="n"/>
      <c r="E2730" s="36" t="n"/>
    </row>
    <row r="2731" ht="30" customHeight="1">
      <c r="A2731" s="47" t="inlineStr">
        <is>
          <t>Dữ liệu biến thể</t>
        </is>
      </c>
      <c r="B2731" s="56" t="inlineStr">
        <is>
          <t>A0</t>
        </is>
      </c>
      <c r="C2731" s="57" t="n"/>
      <c r="D2731" s="57" t="n"/>
      <c r="E2731" s="57" t="n"/>
    </row>
    <row r="2732" ht="30" customHeight="1">
      <c r="A2732" s="47" t="inlineStr">
        <is>
          <t>Trạng thái</t>
        </is>
      </c>
      <c r="B2732" s="61" t="inlineStr">
        <is>
          <t>Chưa thực hiện</t>
        </is>
      </c>
      <c r="C2732" s="57" t="n"/>
      <c r="D2732" s="57" t="n"/>
      <c r="E2732" s="57" t="n"/>
    </row>
    <row r="2733" ht="30" customHeight="1">
      <c r="A2733" s="62" t="inlineStr">
        <is>
          <t>Kết quả thực tế</t>
        </is>
      </c>
    </row>
    <row r="2734" ht="64" customHeight="1">
      <c r="A2734" s="63" t="inlineStr"/>
      <c r="B2734" s="64" t="n"/>
      <c r="C2734" s="64" t="n"/>
      <c r="D2734" s="64" t="n"/>
      <c r="E2734" s="65" t="n"/>
    </row>
    <row r="2735" ht="30" customHeight="1">
      <c r="A2735" s="62" t="inlineStr">
        <is>
          <t>Ảnh minh chứng</t>
        </is>
      </c>
    </row>
    <row r="2736" ht="90" customHeight="1">
      <c r="A2736" s="63" t="inlineStr"/>
      <c r="B2736" s="64" t="n"/>
      <c r="C2736" s="64" t="n"/>
      <c r="D2736" s="64" t="n"/>
      <c r="E2736" s="65" t="n"/>
    </row>
    <row r="2737" ht="12" customHeight="1">
      <c r="A2737" s="66" t="inlineStr"/>
    </row>
    <row r="2738" ht="30" customHeight="1">
      <c r="A2738" s="60" t="inlineStr">
        <is>
          <t>TC-RS-CALC-021 / a4</t>
        </is>
      </c>
      <c r="B2738" s="36" t="n"/>
      <c r="C2738" s="36" t="n"/>
      <c r="D2738" s="36" t="n"/>
      <c r="E2738" s="36" t="n"/>
    </row>
    <row r="2739" ht="30" customHeight="1">
      <c r="A2739" s="47" t="inlineStr">
        <is>
          <t>Dữ liệu biến thể</t>
        </is>
      </c>
      <c r="B2739" s="56" t="inlineStr">
        <is>
          <t>A4</t>
        </is>
      </c>
      <c r="C2739" s="57" t="n"/>
      <c r="D2739" s="57" t="n"/>
      <c r="E2739" s="57" t="n"/>
    </row>
    <row r="2740" ht="30" customHeight="1">
      <c r="A2740" s="47" t="inlineStr">
        <is>
          <t>Trạng thái</t>
        </is>
      </c>
      <c r="B2740" s="61" t="inlineStr">
        <is>
          <t>Chưa thực hiện</t>
        </is>
      </c>
      <c r="C2740" s="57" t="n"/>
      <c r="D2740" s="57" t="n"/>
      <c r="E2740" s="57" t="n"/>
    </row>
    <row r="2741" ht="30" customHeight="1">
      <c r="A2741" s="62" t="inlineStr">
        <is>
          <t>Kết quả thực tế</t>
        </is>
      </c>
    </row>
    <row r="2742" ht="64" customHeight="1">
      <c r="A2742" s="63" t="inlineStr"/>
      <c r="B2742" s="64" t="n"/>
      <c r="C2742" s="64" t="n"/>
      <c r="D2742" s="64" t="n"/>
      <c r="E2742" s="65" t="n"/>
    </row>
    <row r="2743" ht="30" customHeight="1">
      <c r="A2743" s="62" t="inlineStr">
        <is>
          <t>Ảnh minh chứng</t>
        </is>
      </c>
    </row>
    <row r="2744" ht="90" customHeight="1">
      <c r="A2744" s="63" t="inlineStr"/>
      <c r="B2744" s="64" t="n"/>
      <c r="C2744" s="64" t="n"/>
      <c r="D2744" s="64" t="n"/>
      <c r="E2744" s="65" t="n"/>
    </row>
    <row r="2745" ht="12" customHeight="1">
      <c r="A2745" s="66" t="inlineStr"/>
    </row>
    <row r="2746" ht="30" customHeight="1">
      <c r="A2746" s="60" t="inlineStr">
        <is>
          <t>TC-RS-CALC-021 / a3</t>
        </is>
      </c>
      <c r="B2746" s="36" t="n"/>
      <c r="C2746" s="36" t="n"/>
      <c r="D2746" s="36" t="n"/>
      <c r="E2746" s="36" t="n"/>
    </row>
    <row r="2747" ht="30" customHeight="1">
      <c r="A2747" s="47" t="inlineStr">
        <is>
          <t>Dữ liệu biến thể</t>
        </is>
      </c>
      <c r="B2747" s="56" t="inlineStr">
        <is>
          <t>A3</t>
        </is>
      </c>
      <c r="C2747" s="57" t="n"/>
      <c r="D2747" s="57" t="n"/>
      <c r="E2747" s="57" t="n"/>
    </row>
    <row r="2748" ht="30" customHeight="1">
      <c r="A2748" s="47" t="inlineStr">
        <is>
          <t>Trạng thái</t>
        </is>
      </c>
      <c r="B2748" s="61" t="inlineStr">
        <is>
          <t>Chưa thực hiện</t>
        </is>
      </c>
      <c r="C2748" s="57" t="n"/>
      <c r="D2748" s="57" t="n"/>
      <c r="E2748" s="57" t="n"/>
    </row>
    <row r="2749" ht="30" customHeight="1">
      <c r="A2749" s="62" t="inlineStr">
        <is>
          <t>Kết quả thực tế</t>
        </is>
      </c>
    </row>
    <row r="2750" ht="64" customHeight="1">
      <c r="A2750" s="63" t="inlineStr"/>
      <c r="B2750" s="64" t="n"/>
      <c r="C2750" s="64" t="n"/>
      <c r="D2750" s="64" t="n"/>
      <c r="E2750" s="65" t="n"/>
    </row>
    <row r="2751" ht="30" customHeight="1">
      <c r="A2751" s="62" t="inlineStr">
        <is>
          <t>Ảnh minh chứng</t>
        </is>
      </c>
    </row>
    <row r="2752" ht="90" customHeight="1">
      <c r="A2752" s="63" t="inlineStr"/>
      <c r="B2752" s="64" t="n"/>
      <c r="C2752" s="64" t="n"/>
      <c r="D2752" s="64" t="n"/>
      <c r="E2752" s="65" t="n"/>
    </row>
    <row r="2753" ht="12" customHeight="1">
      <c r="A2753" s="66" t="inlineStr"/>
    </row>
    <row r="2754" ht="20" customHeight="1">
      <c r="A2754" s="66" t="inlineStr"/>
    </row>
    <row r="2755" ht="30" customHeight="1">
      <c r="A2755" s="46" t="inlineStr">
        <is>
          <t>TC-RS-CALC-028 — Không sai kết quả do sai số dấu phẩy động</t>
        </is>
      </c>
      <c r="B2755" s="23" t="n"/>
      <c r="C2755" s="23" t="n"/>
      <c r="D2755" s="23" t="n"/>
      <c r="E2755" s="23" t="n"/>
    </row>
    <row r="2756" ht="30" customHeight="1">
      <c r="A2756" s="47" t="inlineStr">
        <is>
          <t>Trạng thái</t>
        </is>
      </c>
      <c r="B2756" s="56">
        <f>IF(0&gt;0,"Không đạt",IF(0=4,"Đạt",IF(SUMPRODUCT(--EXACT('Testcases'!B2775:B2799,"Không thực hiện"))=4,"Không thực hiện",IF(SUMPRODUCT(--EXACT('Testcases'!B2775:B2799,"Bị chặn"))&gt;0,"Bị chặn",IF(SUMPRODUCT(--EXACT('Testcases'!B2775:B2799,"Chưa thực hiện"))=4,"Chưa thực hiện","Chưa đủ kết luận")))))</f>
        <v/>
      </c>
      <c r="C2756" s="57" t="n"/>
      <c r="D2756" s="57" t="n"/>
      <c r="E2756" s="57" t="n"/>
    </row>
    <row r="2757" ht="30" customHeight="1">
      <c r="A2757" s="47" t="inlineStr">
        <is>
          <t>Màn hình / chức năng</t>
        </is>
      </c>
      <c r="B2757" s="47" t="inlineStr">
        <is>
          <t>Thiết lập ngưỡng（基準設定）</t>
        </is>
      </c>
      <c r="C2757" s="57" t="n"/>
      <c r="D2757" s="47" t="inlineStr">
        <is>
          <t>Đường dẫn</t>
        </is>
      </c>
      <c r="E2757" s="56" t="inlineStr">
        <is>
          <t>Chưa xác minh</t>
        </is>
      </c>
    </row>
    <row r="2758" ht="30" customHeight="1">
      <c r="A2758" s="58" t="inlineStr">
        <is>
          <t>Điều kiện kiểm thử</t>
        </is>
      </c>
      <c r="B2758" s="59" t="n"/>
      <c r="C2758" s="59" t="n"/>
      <c r="D2758" s="59" t="n"/>
      <c r="E2758" s="59" t="n"/>
    </row>
    <row r="2759" ht="44" customHeight="1">
      <c r="A2759" s="47" t="inlineStr">
        <is>
          <t>Cấu hình</t>
        </is>
      </c>
      <c r="B2759" s="56" t="inlineStr">
        <is>
          <t>• Mục số thập phân (M=100);
• Nguồn dummy.</t>
        </is>
      </c>
      <c r="C2759" s="57" t="n"/>
      <c r="D2759" s="57" t="n"/>
      <c r="E2759" s="57" t="n"/>
    </row>
    <row r="2760" ht="61" customHeight="1">
      <c r="A2760" s="47" t="inlineStr">
        <is>
          <t>Vai trò / quyền</t>
        </is>
      </c>
      <c r="B276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760" s="57" t="n"/>
      <c r="D2760" s="57" t="n"/>
      <c r="E2760" s="57" t="n"/>
    </row>
    <row r="2761" ht="61" customHeight="1">
      <c r="A2761" s="47" t="inlineStr">
        <is>
          <t>Dữ liệu test</t>
        </is>
      </c>
      <c r="B2761" s="56" t="inlineStr">
        <is>
          <t>• Mục số thập phân (M=100);
• (A) [A=1.1], công thức [A×3], S = 3.3;
• (B) [A=0.1], công thức [A+0.2], S = 0.3</t>
        </is>
      </c>
      <c r="C2761" s="57" t="n"/>
      <c r="D2761" s="57" t="n"/>
      <c r="E2761" s="57" t="n"/>
    </row>
    <row r="2762" ht="30" customHeight="1">
      <c r="A2762" s="47" t="inlineStr">
        <is>
          <t>Trigger</t>
        </is>
      </c>
      <c r="B2762" s="56" t="inlineStr">
        <is>
          <t>• Chỉ xem/xuất không tự chạy xét.</t>
        </is>
      </c>
      <c r="C2762" s="57" t="n"/>
      <c r="D2762" s="57" t="n"/>
      <c r="E2762" s="57" t="n"/>
    </row>
    <row r="2763" ht="44" customHeight="1">
      <c r="A2763" s="47" t="inlineStr">
        <is>
          <t>Blocker</t>
        </is>
      </c>
      <c r="B2763" s="56" t="inlineStr">
        <is>
          <t>• G-PREP-UNASSESSED: Chưa có xác minh fixture, đường thực hiện và phép quan sát trên build của từng case chưa đánh giá.</t>
        </is>
      </c>
      <c r="C2763" s="57" t="n"/>
      <c r="D2763" s="57" t="n"/>
      <c r="E2763" s="57" t="n"/>
    </row>
    <row r="2764" ht="30" customHeight="1">
      <c r="A2764" s="58" t="inlineStr">
        <is>
          <t>Thao tác</t>
        </is>
      </c>
      <c r="B2764" s="59" t="n"/>
      <c r="C2764" s="59" t="n"/>
      <c r="D2764" s="59" t="n"/>
      <c r="E2764" s="59" t="n"/>
    </row>
    <row r="2765" ht="30" customHeight="1">
      <c r="A2765" s="47" t="inlineStr">
        <is>
          <t>•</t>
        </is>
      </c>
      <c r="B2765" s="56" t="inlineStr">
        <is>
          <t>Xét với [&lt;] và [≤].</t>
        </is>
      </c>
      <c r="C2765" s="57" t="n"/>
      <c r="D2765" s="57" t="n"/>
      <c r="E2765" s="57" t="n"/>
    </row>
    <row r="2766" ht="44" customHeight="1">
      <c r="A2766" s="47" t="inlineStr">
        <is>
          <t>Reset</t>
        </is>
      </c>
      <c r="B2766" s="56" t="inlineStr">
        <is>
          <t>Trước mỗi biến thể, dựng lại điều kiện/dữ liệu đầu của case bằng đường được phép; giữ các reset/fixture độc lập đã nêu trong thủ tục.</t>
        </is>
      </c>
      <c r="C2766" s="57" t="n"/>
      <c r="D2766" s="57" t="n"/>
      <c r="E2766" s="57" t="n"/>
    </row>
    <row r="2767" ht="30" customHeight="1">
      <c r="A2767" s="58" t="inlineStr">
        <is>
          <t>Kết quả mong đợi</t>
        </is>
      </c>
      <c r="B2767" s="59" t="n"/>
      <c r="C2767" s="59" t="n"/>
      <c r="D2767" s="59" t="n"/>
      <c r="E2767" s="59" t="n"/>
    </row>
    <row r="2768" ht="30" customHeight="1">
      <c r="A2768" s="47" t="inlineStr">
        <is>
          <t>•</t>
        </is>
      </c>
      <c r="B2768" s="56" t="inlineStr">
        <is>
          <t>(A) [T=3.3]: [&lt;] Không đỏ; [≤] Đỏ.</t>
        </is>
      </c>
      <c r="C2768" s="57" t="n"/>
      <c r="D2768" s="57" t="n"/>
      <c r="E2768" s="57" t="n"/>
    </row>
    <row r="2769" ht="30" customHeight="1">
      <c r="A2769" s="47" t="inlineStr">
        <is>
          <t>•</t>
        </is>
      </c>
      <c r="B2769" s="56" t="inlineStr">
        <is>
          <t>(B) [T=0.3]: [&lt;] Không đỏ; [≤] Đỏ.</t>
        </is>
      </c>
      <c r="C2769" s="57" t="n"/>
      <c r="D2769" s="57" t="n"/>
      <c r="E2769" s="57" t="n"/>
    </row>
    <row r="2770" ht="44" customHeight="1">
      <c r="A2770" s="47" t="inlineStr">
        <is>
          <t>Giữ nguyên</t>
        </is>
      </c>
      <c r="B2770" s="56" t="inlineStr">
        <is>
          <t>• Giữ điểm, cấu hình và đối tượng không đích theo expected;
• Chỉ thay phần thủ tục yêu cầu, không tự đổi oracle hoặc mở rộng phạm vi.</t>
        </is>
      </c>
      <c r="C2770" s="57" t="n"/>
      <c r="D2770" s="57" t="n"/>
      <c r="E2770" s="57" t="n"/>
    </row>
    <row r="2771" ht="61" customHeight="1">
      <c r="A2771" s="47" t="inlineStr">
        <is>
          <t>Quan sát tại</t>
        </is>
      </c>
      <c r="B2771" s="56" t="inlineStr">
        <is>
          <t>• Dùng trích xuất không lọc để thấy cả ô đối chứng. Trạng thái không có dấu đỏ cần đọc thêm trạng thái lưu;
• Output Excel/PDF dùng file thật.</t>
        </is>
      </c>
      <c r="C2771" s="57" t="n"/>
      <c r="D2771" s="57" t="n"/>
      <c r="E2771" s="57" t="n"/>
    </row>
    <row r="2772" ht="30" customHeight="1">
      <c r="A2772" s="58" t="inlineStr">
        <is>
          <t>Kết quả thực tế</t>
        </is>
      </c>
      <c r="B2772" s="59" t="n"/>
      <c r="C2772" s="59" t="n"/>
      <c r="D2772" s="59" t="n"/>
      <c r="E2772" s="59" t="n"/>
    </row>
    <row r="2773" ht="30" customHeight="1">
      <c r="A2773" s="60" t="inlineStr">
        <is>
          <t>TC-RS-CALC-028 / multiply-lt</t>
        </is>
      </c>
      <c r="B2773" s="36" t="n"/>
      <c r="C2773" s="36" t="n"/>
      <c r="D2773" s="36" t="n"/>
      <c r="E2773" s="36" t="n"/>
    </row>
    <row r="2774" ht="30" customHeight="1">
      <c r="A2774" s="47" t="inlineStr">
        <is>
          <t>Dữ liệu biến thể</t>
        </is>
      </c>
      <c r="B2774" s="56" t="inlineStr">
        <is>
          <t>A1.1 nhân 3 nhỏ hơn</t>
        </is>
      </c>
      <c r="C2774" s="57" t="n"/>
      <c r="D2774" s="57" t="n"/>
      <c r="E2774" s="57" t="n"/>
    </row>
    <row r="2775" ht="30" customHeight="1">
      <c r="A2775" s="47" t="inlineStr">
        <is>
          <t>Trạng thái</t>
        </is>
      </c>
      <c r="B2775" s="61" t="inlineStr">
        <is>
          <t>Chưa thực hiện</t>
        </is>
      </c>
      <c r="C2775" s="57" t="n"/>
      <c r="D2775" s="57" t="n"/>
      <c r="E2775" s="57" t="n"/>
    </row>
    <row r="2776" ht="30" customHeight="1">
      <c r="A2776" s="62" t="inlineStr">
        <is>
          <t>Kết quả thực tế</t>
        </is>
      </c>
    </row>
    <row r="2777" ht="64" customHeight="1">
      <c r="A2777" s="63" t="inlineStr"/>
      <c r="B2777" s="64" t="n"/>
      <c r="C2777" s="64" t="n"/>
      <c r="D2777" s="64" t="n"/>
      <c r="E2777" s="65" t="n"/>
    </row>
    <row r="2778" ht="30" customHeight="1">
      <c r="A2778" s="62" t="inlineStr">
        <is>
          <t>Ảnh minh chứng</t>
        </is>
      </c>
    </row>
    <row r="2779" ht="90" customHeight="1">
      <c r="A2779" s="63" t="inlineStr"/>
      <c r="B2779" s="64" t="n"/>
      <c r="C2779" s="64" t="n"/>
      <c r="D2779" s="64" t="n"/>
      <c r="E2779" s="65" t="n"/>
    </row>
    <row r="2780" ht="12" customHeight="1">
      <c r="A2780" s="66" t="inlineStr"/>
    </row>
    <row r="2781" ht="30" customHeight="1">
      <c r="A2781" s="60" t="inlineStr">
        <is>
          <t>TC-RS-CALC-028 / multiply-le</t>
        </is>
      </c>
      <c r="B2781" s="36" t="n"/>
      <c r="C2781" s="36" t="n"/>
      <c r="D2781" s="36" t="n"/>
      <c r="E2781" s="36" t="n"/>
    </row>
    <row r="2782" ht="30" customHeight="1">
      <c r="A2782" s="47" t="inlineStr">
        <is>
          <t>Dữ liệu biến thể</t>
        </is>
      </c>
      <c r="B2782" s="56" t="inlineStr">
        <is>
          <t>A1.1 nhân 3 nhỏ hơn hoặc bằng</t>
        </is>
      </c>
      <c r="C2782" s="57" t="n"/>
      <c r="D2782" s="57" t="n"/>
      <c r="E2782" s="57" t="n"/>
    </row>
    <row r="2783" ht="30" customHeight="1">
      <c r="A2783" s="47" t="inlineStr">
        <is>
          <t>Trạng thái</t>
        </is>
      </c>
      <c r="B2783" s="61" t="inlineStr">
        <is>
          <t>Chưa thực hiện</t>
        </is>
      </c>
      <c r="C2783" s="57" t="n"/>
      <c r="D2783" s="57" t="n"/>
      <c r="E2783" s="57" t="n"/>
    </row>
    <row r="2784" ht="30" customHeight="1">
      <c r="A2784" s="62" t="inlineStr">
        <is>
          <t>Kết quả thực tế</t>
        </is>
      </c>
    </row>
    <row r="2785" ht="64" customHeight="1">
      <c r="A2785" s="63" t="inlineStr"/>
      <c r="B2785" s="64" t="n"/>
      <c r="C2785" s="64" t="n"/>
      <c r="D2785" s="64" t="n"/>
      <c r="E2785" s="65" t="n"/>
    </row>
    <row r="2786" ht="30" customHeight="1">
      <c r="A2786" s="62" t="inlineStr">
        <is>
          <t>Ảnh minh chứng</t>
        </is>
      </c>
    </row>
    <row r="2787" ht="90" customHeight="1">
      <c r="A2787" s="63" t="inlineStr"/>
      <c r="B2787" s="64" t="n"/>
      <c r="C2787" s="64" t="n"/>
      <c r="D2787" s="64" t="n"/>
      <c r="E2787" s="65" t="n"/>
    </row>
    <row r="2788" ht="12" customHeight="1">
      <c r="A2788" s="66" t="inlineStr"/>
    </row>
    <row r="2789" ht="30" customHeight="1">
      <c r="A2789" s="60" t="inlineStr">
        <is>
          <t>TC-RS-CALC-028 / add-lt</t>
        </is>
      </c>
      <c r="B2789" s="36" t="n"/>
      <c r="C2789" s="36" t="n"/>
      <c r="D2789" s="36" t="n"/>
      <c r="E2789" s="36" t="n"/>
    </row>
    <row r="2790" ht="30" customHeight="1">
      <c r="A2790" s="47" t="inlineStr">
        <is>
          <t>Dữ liệu biến thể</t>
        </is>
      </c>
      <c r="B2790" s="56" t="inlineStr">
        <is>
          <t>A0.1 cộng 0.2 nhỏ hơn</t>
        </is>
      </c>
      <c r="C2790" s="57" t="n"/>
      <c r="D2790" s="57" t="n"/>
      <c r="E2790" s="57" t="n"/>
    </row>
    <row r="2791" ht="30" customHeight="1">
      <c r="A2791" s="47" t="inlineStr">
        <is>
          <t>Trạng thái</t>
        </is>
      </c>
      <c r="B2791" s="61" t="inlineStr">
        <is>
          <t>Chưa thực hiện</t>
        </is>
      </c>
      <c r="C2791" s="57" t="n"/>
      <c r="D2791" s="57" t="n"/>
      <c r="E2791" s="57" t="n"/>
    </row>
    <row r="2792" ht="30" customHeight="1">
      <c r="A2792" s="62" t="inlineStr">
        <is>
          <t>Kết quả thực tế</t>
        </is>
      </c>
    </row>
    <row r="2793" ht="64" customHeight="1">
      <c r="A2793" s="63" t="inlineStr"/>
      <c r="B2793" s="64" t="n"/>
      <c r="C2793" s="64" t="n"/>
      <c r="D2793" s="64" t="n"/>
      <c r="E2793" s="65" t="n"/>
    </row>
    <row r="2794" ht="30" customHeight="1">
      <c r="A2794" s="62" t="inlineStr">
        <is>
          <t>Ảnh minh chứng</t>
        </is>
      </c>
    </row>
    <row r="2795" ht="90" customHeight="1">
      <c r="A2795" s="63" t="inlineStr"/>
      <c r="B2795" s="64" t="n"/>
      <c r="C2795" s="64" t="n"/>
      <c r="D2795" s="64" t="n"/>
      <c r="E2795" s="65" t="n"/>
    </row>
    <row r="2796" ht="12" customHeight="1">
      <c r="A2796" s="66" t="inlineStr"/>
    </row>
    <row r="2797" ht="30" customHeight="1">
      <c r="A2797" s="60" t="inlineStr">
        <is>
          <t>TC-RS-CALC-028 / add-le</t>
        </is>
      </c>
      <c r="B2797" s="36" t="n"/>
      <c r="C2797" s="36" t="n"/>
      <c r="D2797" s="36" t="n"/>
      <c r="E2797" s="36" t="n"/>
    </row>
    <row r="2798" ht="30" customHeight="1">
      <c r="A2798" s="47" t="inlineStr">
        <is>
          <t>Dữ liệu biến thể</t>
        </is>
      </c>
      <c r="B2798" s="56" t="inlineStr">
        <is>
          <t>A0.1 cộng 0.2 nhỏ hơn hoặc bằng</t>
        </is>
      </c>
      <c r="C2798" s="57" t="n"/>
      <c r="D2798" s="57" t="n"/>
      <c r="E2798" s="57" t="n"/>
    </row>
    <row r="2799" ht="30" customHeight="1">
      <c r="A2799" s="47" t="inlineStr">
        <is>
          <t>Trạng thái</t>
        </is>
      </c>
      <c r="B2799" s="61" t="inlineStr">
        <is>
          <t>Chưa thực hiện</t>
        </is>
      </c>
      <c r="C2799" s="57" t="n"/>
      <c r="D2799" s="57" t="n"/>
      <c r="E2799" s="57" t="n"/>
    </row>
    <row r="2800" ht="30" customHeight="1">
      <c r="A2800" s="62" t="inlineStr">
        <is>
          <t>Kết quả thực tế</t>
        </is>
      </c>
    </row>
    <row r="2801" ht="64" customHeight="1">
      <c r="A2801" s="63" t="inlineStr"/>
      <c r="B2801" s="64" t="n"/>
      <c r="C2801" s="64" t="n"/>
      <c r="D2801" s="64" t="n"/>
      <c r="E2801" s="65" t="n"/>
    </row>
    <row r="2802" ht="30" customHeight="1">
      <c r="A2802" s="62" t="inlineStr">
        <is>
          <t>Ảnh minh chứng</t>
        </is>
      </c>
    </row>
    <row r="2803" ht="90" customHeight="1">
      <c r="A2803" s="63" t="inlineStr"/>
      <c r="B2803" s="64" t="n"/>
      <c r="C2803" s="64" t="n"/>
      <c r="D2803" s="64" t="n"/>
      <c r="E2803" s="65" t="n"/>
    </row>
    <row r="2804" ht="12" customHeight="1">
      <c r="A2804" s="66" t="inlineStr"/>
    </row>
    <row r="2805" ht="20" customHeight="1">
      <c r="A2805" s="66" t="inlineStr"/>
    </row>
    <row r="2806" ht="30" customHeight="1">
      <c r="A2806" s="46" t="inlineStr">
        <is>
          <t>TC-RS-CALC-029 — Tràn số không tạo kết luận đỏ/không đỏ</t>
        </is>
      </c>
      <c r="B2806" s="23" t="n"/>
      <c r="C2806" s="23" t="n"/>
      <c r="D2806" s="23" t="n"/>
      <c r="E2806" s="23" t="n"/>
    </row>
    <row r="2807" ht="30" customHeight="1">
      <c r="A2807" s="47" t="inlineStr">
        <is>
          <t>Trạng thái</t>
        </is>
      </c>
      <c r="B2807" s="56">
        <f>IF(0&gt;0,"Không đạt",IF(0=3,"Đạt",IF(SUMPRODUCT(--EXACT('Testcases'!B2827:B2843,"Không thực hiện"))=3,"Không thực hiện",IF(SUMPRODUCT(--EXACT('Testcases'!B2827:B2843,"Bị chặn"))&gt;0,"Bị chặn",IF(SUMPRODUCT(--EXACT('Testcases'!B2827:B2843,"Chưa thực hiện"))=3,"Chưa thực hiện","Chưa đủ kết luận")))))</f>
        <v/>
      </c>
      <c r="C2807" s="57" t="n"/>
      <c r="D2807" s="57" t="n"/>
      <c r="E2807" s="57" t="n"/>
    </row>
    <row r="2808" ht="30" customHeight="1">
      <c r="A2808" s="47" t="inlineStr">
        <is>
          <t>Màn hình / chức năng</t>
        </is>
      </c>
      <c r="B2808" s="47" t="inlineStr">
        <is>
          <t>Thiết lập ngưỡng（基準設定）</t>
        </is>
      </c>
      <c r="C2808" s="57" t="n"/>
      <c r="D2808" s="47" t="inlineStr">
        <is>
          <t>Đường dẫn</t>
        </is>
      </c>
      <c r="E2808" s="56" t="inlineStr">
        <is>
          <t>Chưa xác minh</t>
        </is>
      </c>
    </row>
    <row r="2809" ht="30" customHeight="1">
      <c r="A2809" s="58" t="inlineStr">
        <is>
          <t>Điều kiện kiểm thử</t>
        </is>
      </c>
      <c r="B2809" s="59" t="n"/>
      <c r="C2809" s="59" t="n"/>
      <c r="D2809" s="59" t="n"/>
      <c r="E2809" s="59" t="n"/>
    </row>
    <row r="2810" ht="30" customHeight="1">
      <c r="A2810" s="47" t="inlineStr">
        <is>
          <t>Cấu hình</t>
        </is>
      </c>
      <c r="B2810" s="56" t="inlineStr">
        <is>
          <t>• Công thức.</t>
        </is>
      </c>
      <c r="C2810" s="57" t="n"/>
      <c r="D2810" s="57" t="n"/>
      <c r="E2810" s="57" t="n"/>
    </row>
    <row r="2811" ht="61" customHeight="1">
      <c r="A2811" s="47" t="inlineStr">
        <is>
          <t>Vai trò / quyền</t>
        </is>
      </c>
      <c r="B281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811" s="57" t="n"/>
      <c r="D2811" s="57" t="n"/>
      <c r="E2811" s="57" t="n"/>
    </row>
    <row r="2812" ht="78" customHeight="1">
      <c r="A2812" s="47" t="inlineStr">
        <is>
          <t>Dữ liệu test</t>
        </is>
      </c>
      <c r="B2812" s="56" t="inlineStr">
        <is>
          <t>• (A) [A × 999999999999999999999] (21 chữ số);
• [A ÷ 0.000000001].&lt;br&gt;(b) 20 dòng, mỗi dòng [× 999999999.99999999] (dòng 1: [A × 999999999.99999999]), không xử lý phần lẻ;
• [A=50].</t>
        </is>
      </c>
      <c r="C2812" s="57" t="n"/>
      <c r="D2812" s="57" t="n"/>
      <c r="E2812" s="57" t="n"/>
    </row>
    <row r="2813" ht="30" customHeight="1">
      <c r="A2813" s="47" t="inlineStr">
        <is>
          <t>Trigger</t>
        </is>
      </c>
      <c r="B2813" s="56" t="inlineStr">
        <is>
          <t>• Chỉ xem/xuất không tự chạy xét.</t>
        </is>
      </c>
      <c r="C2813" s="57" t="n"/>
      <c r="D2813" s="57" t="n"/>
      <c r="E2813" s="57" t="n"/>
    </row>
    <row r="2814" ht="44" customHeight="1">
      <c r="A2814" s="47" t="inlineStr">
        <is>
          <t>Blocker</t>
        </is>
      </c>
      <c r="B2814" s="56" t="inlineStr">
        <is>
          <t>• G-PREP-UNASSESSED: Chưa có xác minh fixture, đường thực hiện và phép quan sát trên build của từng case chưa đánh giá.</t>
        </is>
      </c>
      <c r="C2814" s="57" t="n"/>
      <c r="D2814" s="57" t="n"/>
      <c r="E2814" s="57" t="n"/>
    </row>
    <row r="2815" ht="30" customHeight="1">
      <c r="A2815" s="58" t="inlineStr">
        <is>
          <t>Thao tác</t>
        </is>
      </c>
      <c r="B2815" s="59" t="n"/>
      <c r="C2815" s="59" t="n"/>
      <c r="D2815" s="59" t="n"/>
      <c r="E2815" s="59" t="n"/>
    </row>
    <row r="2816" ht="30" customHeight="1">
      <c r="A2816" s="47" t="inlineStr">
        <is>
          <t>Step 1</t>
        </is>
      </c>
      <c r="B2816" s="56" t="inlineStr">
        <is>
          <t>Nhập (a), Lưu.</t>
        </is>
      </c>
      <c r="C2816" s="57" t="n"/>
      <c r="D2816" s="57" t="n"/>
      <c r="E2816" s="57" t="n"/>
    </row>
    <row r="2817" ht="30" customHeight="1">
      <c r="A2817" s="47" t="inlineStr">
        <is>
          <t>Step 2</t>
        </is>
      </c>
      <c r="B2817" s="56" t="inlineStr">
        <is>
          <t>Nhập (b), Lưu, chạy nút cam.</t>
        </is>
      </c>
      <c r="C2817" s="57" t="n"/>
      <c r="D2817" s="57" t="n"/>
      <c r="E2817" s="57" t="n"/>
    </row>
    <row r="2818" ht="44" customHeight="1">
      <c r="A2818" s="47" t="inlineStr">
        <is>
          <t>Reset</t>
        </is>
      </c>
      <c r="B2818" s="56" t="inlineStr">
        <is>
          <t>Trước mỗi biến thể, dựng lại điều kiện/dữ liệu đầu của case bằng đường được phép; giữ các reset/fixture độc lập đã nêu trong thủ tục.</t>
        </is>
      </c>
      <c r="C2818" s="57" t="n"/>
      <c r="D2818" s="57" t="n"/>
      <c r="E2818" s="57" t="n"/>
    </row>
    <row r="2819" ht="30" customHeight="1">
      <c r="A2819" s="58" t="inlineStr">
        <is>
          <t>Kết quả mong đợi</t>
        </is>
      </c>
      <c r="B2819" s="59" t="n"/>
      <c r="C2819" s="59" t="n"/>
      <c r="D2819" s="59" t="n"/>
      <c r="E2819" s="59" t="n"/>
    </row>
    <row r="2820" ht="30" customHeight="1">
      <c r="A2820" s="47" t="inlineStr">
        <is>
          <t>1.</t>
        </is>
      </c>
      <c r="B2820" s="56" t="inlineStr">
        <is>
          <t>(A) vượt giới hạn nhập đề xuất (9 chữ số nguyên, 8 chữ số lẻ) → bị từ chối khi lưu, không tự cắt số.</t>
        </is>
      </c>
      <c r="C2820" s="57" t="n"/>
      <c r="D2820" s="57" t="n"/>
      <c r="E2820" s="57" t="n"/>
    </row>
    <row r="2821" ht="61" customHeight="1">
      <c r="A2821" s="47" t="inlineStr">
        <is>
          <t>2.</t>
        </is>
      </c>
      <c r="B2821" s="56" t="inlineStr">
        <is>
          <t>(B) nằm trong giới hạn nhập nên lưu được; khi chạy, ngưỡng vượt miền số được hỗ trợ → Chưa xét được (đề xuất [reason_code=numeric_overflow]) hoặc lỗi kỹ thuật được báo. Không có ô nào thành Đỏ/Không đỏ từ giá trị tràn.</t>
        </is>
      </c>
      <c r="C2821" s="57" t="n"/>
      <c r="D2821" s="57" t="n"/>
      <c r="E2821" s="57" t="n"/>
    </row>
    <row r="2822" ht="44" customHeight="1">
      <c r="A2822" s="47" t="inlineStr">
        <is>
          <t>Giữ nguyên</t>
        </is>
      </c>
      <c r="B2822" s="56" t="inlineStr">
        <is>
          <t>• Giữ điểm, cấu hình và đối tượng không đích theo expected;
• Chỉ thay phần thủ tục yêu cầu, không tự đổi oracle hoặc mở rộng phạm vi.</t>
        </is>
      </c>
      <c r="C2822" s="57" t="n"/>
      <c r="D2822" s="57" t="n"/>
      <c r="E2822" s="57" t="n"/>
    </row>
    <row r="2823" ht="61" customHeight="1">
      <c r="A2823" s="47" t="inlineStr">
        <is>
          <t>Quan sát tại</t>
        </is>
      </c>
      <c r="B2823" s="56" t="inlineStr">
        <is>
          <t>• Dùng trích xuất không lọc để thấy cả ô đối chứng. Trạng thái không có dấu đỏ cần đọc thêm trạng thái lưu;
• Output Excel/PDF dùng file thật.</t>
        </is>
      </c>
      <c r="C2823" s="57" t="n"/>
      <c r="D2823" s="57" t="n"/>
      <c r="E2823" s="57" t="n"/>
    </row>
    <row r="2824" ht="30" customHeight="1">
      <c r="A2824" s="58" t="inlineStr">
        <is>
          <t>Kết quả thực tế</t>
        </is>
      </c>
      <c r="B2824" s="59" t="n"/>
      <c r="C2824" s="59" t="n"/>
      <c r="D2824" s="59" t="n"/>
      <c r="E2824" s="59" t="n"/>
    </row>
    <row r="2825" ht="30" customHeight="1">
      <c r="A2825" s="60" t="inlineStr">
        <is>
          <t>TC-RS-CALC-029 / constant</t>
        </is>
      </c>
      <c r="B2825" s="36" t="n"/>
      <c r="C2825" s="36" t="n"/>
      <c r="D2825" s="36" t="n"/>
      <c r="E2825" s="36" t="n"/>
    </row>
    <row r="2826" ht="30" customHeight="1">
      <c r="A2826" s="47" t="inlineStr">
        <is>
          <t>Dữ liệu biến thể</t>
        </is>
      </c>
      <c r="B2826" s="56" t="inlineStr">
        <is>
          <t>Hằng số cực lớn</t>
        </is>
      </c>
      <c r="C2826" s="57" t="n"/>
      <c r="D2826" s="57" t="n"/>
      <c r="E2826" s="57" t="n"/>
    </row>
    <row r="2827" ht="30" customHeight="1">
      <c r="A2827" s="47" t="inlineStr">
        <is>
          <t>Trạng thái</t>
        </is>
      </c>
      <c r="B2827" s="61" t="inlineStr">
        <is>
          <t>Chưa thực hiện</t>
        </is>
      </c>
      <c r="C2827" s="57" t="n"/>
      <c r="D2827" s="57" t="n"/>
      <c r="E2827" s="57" t="n"/>
    </row>
    <row r="2828" ht="30" customHeight="1">
      <c r="A2828" s="62" t="inlineStr">
        <is>
          <t>Kết quả thực tế</t>
        </is>
      </c>
    </row>
    <row r="2829" ht="64" customHeight="1">
      <c r="A2829" s="63" t="inlineStr"/>
      <c r="B2829" s="64" t="n"/>
      <c r="C2829" s="64" t="n"/>
      <c r="D2829" s="64" t="n"/>
      <c r="E2829" s="65" t="n"/>
    </row>
    <row r="2830" ht="30" customHeight="1">
      <c r="A2830" s="62" t="inlineStr">
        <is>
          <t>Ảnh minh chứng</t>
        </is>
      </c>
    </row>
    <row r="2831" ht="90" customHeight="1">
      <c r="A2831" s="63" t="inlineStr"/>
      <c r="B2831" s="64" t="n"/>
      <c r="C2831" s="64" t="n"/>
      <c r="D2831" s="64" t="n"/>
      <c r="E2831" s="65" t="n"/>
    </row>
    <row r="2832" ht="12" customHeight="1">
      <c r="A2832" s="66" t="inlineStr"/>
    </row>
    <row r="2833" ht="30" customHeight="1">
      <c r="A2833" s="60" t="inlineStr">
        <is>
          <t>TC-RS-CALC-029 / divisor</t>
        </is>
      </c>
      <c r="B2833" s="36" t="n"/>
      <c r="C2833" s="36" t="n"/>
      <c r="D2833" s="36" t="n"/>
      <c r="E2833" s="36" t="n"/>
    </row>
    <row r="2834" ht="30" customHeight="1">
      <c r="A2834" s="47" t="inlineStr">
        <is>
          <t>Dữ liệu biến thể</t>
        </is>
      </c>
      <c r="B2834" s="56" t="inlineStr">
        <is>
          <t>Số chia cực nhỏ</t>
        </is>
      </c>
      <c r="C2834" s="57" t="n"/>
      <c r="D2834" s="57" t="n"/>
      <c r="E2834" s="57" t="n"/>
    </row>
    <row r="2835" ht="30" customHeight="1">
      <c r="A2835" s="47" t="inlineStr">
        <is>
          <t>Trạng thái</t>
        </is>
      </c>
      <c r="B2835" s="61" t="inlineStr">
        <is>
          <t>Chưa thực hiện</t>
        </is>
      </c>
      <c r="C2835" s="57" t="n"/>
      <c r="D2835" s="57" t="n"/>
      <c r="E2835" s="57" t="n"/>
    </row>
    <row r="2836" ht="30" customHeight="1">
      <c r="A2836" s="62" t="inlineStr">
        <is>
          <t>Kết quả thực tế</t>
        </is>
      </c>
    </row>
    <row r="2837" ht="64" customHeight="1">
      <c r="A2837" s="63" t="inlineStr"/>
      <c r="B2837" s="64" t="n"/>
      <c r="C2837" s="64" t="n"/>
      <c r="D2837" s="64" t="n"/>
      <c r="E2837" s="65" t="n"/>
    </row>
    <row r="2838" ht="30" customHeight="1">
      <c r="A2838" s="62" t="inlineStr">
        <is>
          <t>Ảnh minh chứng</t>
        </is>
      </c>
    </row>
    <row r="2839" ht="90" customHeight="1">
      <c r="A2839" s="63" t="inlineStr"/>
      <c r="B2839" s="64" t="n"/>
      <c r="C2839" s="64" t="n"/>
      <c r="D2839" s="64" t="n"/>
      <c r="E2839" s="65" t="n"/>
    </row>
    <row r="2840" ht="12" customHeight="1">
      <c r="A2840" s="66" t="inlineStr"/>
    </row>
    <row r="2841" ht="30" customHeight="1">
      <c r="A2841" s="60" t="inlineStr">
        <is>
          <t>TC-RS-CALC-029 / overflow</t>
        </is>
      </c>
      <c r="B2841" s="36" t="n"/>
      <c r="C2841" s="36" t="n"/>
      <c r="D2841" s="36" t="n"/>
      <c r="E2841" s="36" t="n"/>
    </row>
    <row r="2842" ht="30" customHeight="1">
      <c r="A2842" s="47" t="inlineStr">
        <is>
          <t>Dữ liệu biến thể</t>
        </is>
      </c>
      <c r="B2842" s="56" t="inlineStr">
        <is>
          <t>Tràn trong lúc tính</t>
        </is>
      </c>
      <c r="C2842" s="57" t="n"/>
      <c r="D2842" s="57" t="n"/>
      <c r="E2842" s="57" t="n"/>
    </row>
    <row r="2843" ht="30" customHeight="1">
      <c r="A2843" s="47" t="inlineStr">
        <is>
          <t>Trạng thái</t>
        </is>
      </c>
      <c r="B2843" s="61" t="inlineStr">
        <is>
          <t>Chưa thực hiện</t>
        </is>
      </c>
      <c r="C2843" s="57" t="n"/>
      <c r="D2843" s="57" t="n"/>
      <c r="E2843" s="57" t="n"/>
    </row>
    <row r="2844" ht="30" customHeight="1">
      <c r="A2844" s="62" t="inlineStr">
        <is>
          <t>Kết quả thực tế</t>
        </is>
      </c>
    </row>
    <row r="2845" ht="64" customHeight="1">
      <c r="A2845" s="63" t="inlineStr"/>
      <c r="B2845" s="64" t="n"/>
      <c r="C2845" s="64" t="n"/>
      <c r="D2845" s="64" t="n"/>
      <c r="E2845" s="65" t="n"/>
    </row>
    <row r="2846" ht="30" customHeight="1">
      <c r="A2846" s="62" t="inlineStr">
        <is>
          <t>Ảnh minh chứng</t>
        </is>
      </c>
    </row>
    <row r="2847" ht="90" customHeight="1">
      <c r="A2847" s="63" t="inlineStr"/>
      <c r="B2847" s="64" t="n"/>
      <c r="C2847" s="64" t="n"/>
      <c r="D2847" s="64" t="n"/>
      <c r="E2847" s="65" t="n"/>
    </row>
    <row r="2848" ht="12" customHeight="1">
      <c r="A2848" s="66" t="inlineStr"/>
    </row>
    <row r="2849" ht="20" customHeight="1">
      <c r="A2849" s="66" t="inlineStr"/>
    </row>
    <row r="2850" ht="30" customHeight="1">
      <c r="A2850" s="46" t="inlineStr">
        <is>
          <t>TC-RS-CALC-030 — Công thức cho T=0; ô trống vẫn là Không có điểm</t>
        </is>
      </c>
      <c r="B2850" s="23" t="n"/>
      <c r="C2850" s="23" t="n"/>
      <c r="D2850" s="23" t="n"/>
      <c r="E2850" s="23" t="n"/>
    </row>
    <row r="2851" ht="30" customHeight="1">
      <c r="A2851" s="47" t="inlineStr">
        <is>
          <t>Trạng thái</t>
        </is>
      </c>
      <c r="B2851" s="56">
        <f>IF(0&gt;0,"Không đạt",IF(0=2,"Đạt",IF(SUMPRODUCT(--EXACT('Testcases'!B2869:B2877,"Không thực hiện"))=2,"Không thực hiện",IF(SUMPRODUCT(--EXACT('Testcases'!B2869:B2877,"Bị chặn"))&gt;0,"Bị chặn",IF(SUMPRODUCT(--EXACT('Testcases'!B2869:B2877,"Chưa thực hiện"))=2,"Chưa thực hiện","Chưa đủ kết luận")))))</f>
        <v/>
      </c>
      <c r="C2851" s="57" t="n"/>
      <c r="D2851" s="57" t="n"/>
      <c r="E2851" s="57" t="n"/>
    </row>
    <row r="2852" ht="30" customHeight="1">
      <c r="A2852" s="47" t="inlineStr">
        <is>
          <t>Màn hình / chức năng</t>
        </is>
      </c>
      <c r="B2852" s="47" t="inlineStr">
        <is>
          <t>Thiết lập ngưỡng（基準設定）</t>
        </is>
      </c>
      <c r="C2852" s="57" t="n"/>
      <c r="D2852" s="47" t="inlineStr">
        <is>
          <t>Đường dẫn</t>
        </is>
      </c>
      <c r="E2852" s="56" t="inlineStr">
        <is>
          <t>Chưa xác minh</t>
        </is>
      </c>
    </row>
    <row r="2853" ht="30" customHeight="1">
      <c r="A2853" s="58" t="inlineStr">
        <is>
          <t>Điều kiện kiểm thử</t>
        </is>
      </c>
      <c r="B2853" s="59" t="n"/>
      <c r="C2853" s="59" t="n"/>
      <c r="D2853" s="59" t="n"/>
      <c r="E2853" s="59" t="n"/>
    </row>
    <row r="2854" ht="44" customHeight="1">
      <c r="A2854" s="47" t="inlineStr">
        <is>
          <t>Cấu hình</t>
        </is>
      </c>
      <c r="B2854" s="56" t="inlineStr">
        <is>
          <t>• Nguồn [A=20];
• Công thức [A−20].</t>
        </is>
      </c>
      <c r="C2854" s="57" t="n"/>
      <c r="D2854" s="57" t="n"/>
      <c r="E2854" s="57" t="n"/>
    </row>
    <row r="2855" ht="61" customHeight="1">
      <c r="A2855" s="47" t="inlineStr">
        <is>
          <t>Vai trò / quyền</t>
        </is>
      </c>
      <c r="B285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855" s="57" t="n"/>
      <c r="D2855" s="57" t="n"/>
      <c r="E2855" s="57" t="n"/>
    </row>
    <row r="2856" ht="30" customHeight="1">
      <c r="A2856" s="47" t="inlineStr">
        <is>
          <t>Dữ liệu test</t>
        </is>
      </c>
      <c r="B2856" s="56" t="inlineStr">
        <is>
          <t>• Học sinh S04 (điểm 0) (0), học sinh S05 (ô trống) (trống)</t>
        </is>
      </c>
      <c r="C2856" s="57" t="n"/>
      <c r="D2856" s="57" t="n"/>
      <c r="E2856" s="57" t="n"/>
    </row>
    <row r="2857" ht="30" customHeight="1">
      <c r="A2857" s="47" t="inlineStr">
        <is>
          <t>Trigger</t>
        </is>
      </c>
      <c r="B2857" s="56" t="inlineStr">
        <is>
          <t>• Chỉ xem/xuất không tự chạy xét.</t>
        </is>
      </c>
      <c r="C2857" s="57" t="n"/>
      <c r="D2857" s="57" t="n"/>
      <c r="E2857" s="57" t="n"/>
    </row>
    <row r="2858" ht="44" customHeight="1">
      <c r="A2858" s="47" t="inlineStr">
        <is>
          <t>Blocker</t>
        </is>
      </c>
      <c r="B2858" s="56" t="inlineStr">
        <is>
          <t>• G-PREP-UNASSESSED: Chưa có xác minh fixture, đường thực hiện và phép quan sát trên build của từng case chưa đánh giá.</t>
        </is>
      </c>
      <c r="C2858" s="57" t="n"/>
      <c r="D2858" s="57" t="n"/>
      <c r="E2858" s="57" t="n"/>
    </row>
    <row r="2859" ht="30" customHeight="1">
      <c r="A2859" s="58" t="inlineStr">
        <is>
          <t>Thao tác</t>
        </is>
      </c>
      <c r="B2859" s="59" t="n"/>
      <c r="C2859" s="59" t="n"/>
      <c r="D2859" s="59" t="n"/>
      <c r="E2859" s="59" t="n"/>
    </row>
    <row r="2860" ht="30" customHeight="1">
      <c r="A2860" s="47" t="inlineStr">
        <is>
          <t>•</t>
        </is>
      </c>
      <c r="B2860" s="56" t="inlineStr">
        <is>
          <t>Xét với [&lt;] rồi [≤].</t>
        </is>
      </c>
      <c r="C2860" s="57" t="n"/>
      <c r="D2860" s="57" t="n"/>
      <c r="E2860" s="57" t="n"/>
    </row>
    <row r="2861" ht="44" customHeight="1">
      <c r="A2861" s="47" t="inlineStr">
        <is>
          <t>Reset</t>
        </is>
      </c>
      <c r="B2861" s="56" t="inlineStr">
        <is>
          <t>Trước mỗi biến thể, dựng lại điều kiện/dữ liệu đầu của case bằng đường được phép; giữ các reset/fixture độc lập đã nêu trong thủ tục.</t>
        </is>
      </c>
      <c r="C2861" s="57" t="n"/>
      <c r="D2861" s="57" t="n"/>
      <c r="E2861" s="57" t="n"/>
    </row>
    <row r="2862" ht="30" customHeight="1">
      <c r="A2862" s="58" t="inlineStr">
        <is>
          <t>Kết quả mong đợi</t>
        </is>
      </c>
      <c r="B2862" s="59" t="n"/>
      <c r="C2862" s="59" t="n"/>
      <c r="D2862" s="59" t="n"/>
      <c r="E2862" s="59" t="n"/>
    </row>
    <row r="2863" ht="30" customHeight="1">
      <c r="A2863" s="47" t="inlineStr">
        <is>
          <t>•</t>
        </is>
      </c>
      <c r="B2863" s="56" t="inlineStr">
        <is>
          <t>[T=0]. [&lt;]: S04 Không đỏ. [≤]: S04 Đỏ. S05: Không có điểm ở cả hai (không bị coi là 0).</t>
        </is>
      </c>
      <c r="C2863" s="57" t="n"/>
      <c r="D2863" s="57" t="n"/>
      <c r="E2863" s="57" t="n"/>
    </row>
    <row r="2864" ht="44" customHeight="1">
      <c r="A2864" s="47" t="inlineStr">
        <is>
          <t>Giữ nguyên</t>
        </is>
      </c>
      <c r="B2864" s="56" t="inlineStr">
        <is>
          <t>• Giữ điểm, cấu hình và đối tượng không đích theo expected;
• Chỉ thay phần thủ tục yêu cầu, không tự đổi oracle hoặc mở rộng phạm vi.</t>
        </is>
      </c>
      <c r="C2864" s="57" t="n"/>
      <c r="D2864" s="57" t="n"/>
      <c r="E2864" s="57" t="n"/>
    </row>
    <row r="2865" ht="61" customHeight="1">
      <c r="A2865" s="47" t="inlineStr">
        <is>
          <t>Quan sát tại</t>
        </is>
      </c>
      <c r="B2865" s="56" t="inlineStr">
        <is>
          <t>• Dùng trích xuất không lọc để thấy cả ô đối chứng. Trạng thái không có dấu đỏ cần đọc thêm trạng thái lưu;
• Output Excel/PDF dùng file thật.</t>
        </is>
      </c>
      <c r="C2865" s="57" t="n"/>
      <c r="D2865" s="57" t="n"/>
      <c r="E2865" s="57" t="n"/>
    </row>
    <row r="2866" ht="30" customHeight="1">
      <c r="A2866" s="58" t="inlineStr">
        <is>
          <t>Kết quả thực tế</t>
        </is>
      </c>
      <c r="B2866" s="59" t="n"/>
      <c r="C2866" s="59" t="n"/>
      <c r="D2866" s="59" t="n"/>
      <c r="E2866" s="59" t="n"/>
    </row>
    <row r="2867" ht="30" customHeight="1">
      <c r="A2867" s="60" t="inlineStr">
        <is>
          <t>TC-RS-CALC-030 / lt</t>
        </is>
      </c>
      <c r="B2867" s="36" t="n"/>
      <c r="C2867" s="36" t="n"/>
      <c r="D2867" s="36" t="n"/>
      <c r="E2867" s="36" t="n"/>
    </row>
    <row r="2868" ht="30" customHeight="1">
      <c r="A2868" s="47" t="inlineStr">
        <is>
          <t>Dữ liệu biến thể</t>
        </is>
      </c>
      <c r="B2868" s="56" t="inlineStr">
        <is>
          <t>Dấu nhỏ hơn</t>
        </is>
      </c>
      <c r="C2868" s="57" t="n"/>
      <c r="D2868" s="57" t="n"/>
      <c r="E2868" s="57" t="n"/>
    </row>
    <row r="2869" ht="30" customHeight="1">
      <c r="A2869" s="47" t="inlineStr">
        <is>
          <t>Trạng thái</t>
        </is>
      </c>
      <c r="B2869" s="61" t="inlineStr">
        <is>
          <t>Chưa thực hiện</t>
        </is>
      </c>
      <c r="C2869" s="57" t="n"/>
      <c r="D2869" s="57" t="n"/>
      <c r="E2869" s="57" t="n"/>
    </row>
    <row r="2870" ht="30" customHeight="1">
      <c r="A2870" s="62" t="inlineStr">
        <is>
          <t>Kết quả thực tế</t>
        </is>
      </c>
    </row>
    <row r="2871" ht="64" customHeight="1">
      <c r="A2871" s="63" t="inlineStr"/>
      <c r="B2871" s="64" t="n"/>
      <c r="C2871" s="64" t="n"/>
      <c r="D2871" s="64" t="n"/>
      <c r="E2871" s="65" t="n"/>
    </row>
    <row r="2872" ht="30" customHeight="1">
      <c r="A2872" s="62" t="inlineStr">
        <is>
          <t>Ảnh minh chứng</t>
        </is>
      </c>
    </row>
    <row r="2873" ht="90" customHeight="1">
      <c r="A2873" s="63" t="inlineStr"/>
      <c r="B2873" s="64" t="n"/>
      <c r="C2873" s="64" t="n"/>
      <c r="D2873" s="64" t="n"/>
      <c r="E2873" s="65" t="n"/>
    </row>
    <row r="2874" ht="12" customHeight="1">
      <c r="A2874" s="66" t="inlineStr"/>
    </row>
    <row r="2875" ht="30" customHeight="1">
      <c r="A2875" s="60" t="inlineStr">
        <is>
          <t>TC-RS-CALC-030 / le</t>
        </is>
      </c>
      <c r="B2875" s="36" t="n"/>
      <c r="C2875" s="36" t="n"/>
      <c r="D2875" s="36" t="n"/>
      <c r="E2875" s="36" t="n"/>
    </row>
    <row r="2876" ht="30" customHeight="1">
      <c r="A2876" s="47" t="inlineStr">
        <is>
          <t>Dữ liệu biến thể</t>
        </is>
      </c>
      <c r="B2876" s="56" t="inlineStr">
        <is>
          <t>Dấu nhỏ hơn hoặc bằng</t>
        </is>
      </c>
      <c r="C2876" s="57" t="n"/>
      <c r="D2876" s="57" t="n"/>
      <c r="E2876" s="57" t="n"/>
    </row>
    <row r="2877" ht="30" customHeight="1">
      <c r="A2877" s="47" t="inlineStr">
        <is>
          <t>Trạng thái</t>
        </is>
      </c>
      <c r="B2877" s="61" t="inlineStr">
        <is>
          <t>Chưa thực hiện</t>
        </is>
      </c>
      <c r="C2877" s="57" t="n"/>
      <c r="D2877" s="57" t="n"/>
      <c r="E2877" s="57" t="n"/>
    </row>
    <row r="2878" ht="30" customHeight="1">
      <c r="A2878" s="62" t="inlineStr">
        <is>
          <t>Kết quả thực tế</t>
        </is>
      </c>
    </row>
    <row r="2879" ht="64" customHeight="1">
      <c r="A2879" s="63" t="inlineStr"/>
      <c r="B2879" s="64" t="n"/>
      <c r="C2879" s="64" t="n"/>
      <c r="D2879" s="64" t="n"/>
      <c r="E2879" s="65" t="n"/>
    </row>
    <row r="2880" ht="30" customHeight="1">
      <c r="A2880" s="62" t="inlineStr">
        <is>
          <t>Ảnh minh chứng</t>
        </is>
      </c>
    </row>
    <row r="2881" ht="90" customHeight="1">
      <c r="A2881" s="63" t="inlineStr"/>
      <c r="B2881" s="64" t="n"/>
      <c r="C2881" s="64" t="n"/>
      <c r="D2881" s="64" t="n"/>
      <c r="E2881" s="65" t="n"/>
    </row>
    <row r="2882" ht="12" customHeight="1">
      <c r="A2882" s="66" t="inlineStr"/>
    </row>
    <row r="2883" ht="20" customHeight="1">
      <c r="A2883" s="66" t="inlineStr"/>
    </row>
    <row r="2884" ht="30" customHeight="1">
      <c r="A2884" s="46" t="inlineStr">
        <is>
          <t>TC-RS-UI-015 — Màn Công thức: thứ tự khối nguồn trung bình và dòng công thức</t>
        </is>
      </c>
      <c r="B2884" s="23" t="n"/>
      <c r="C2884" s="23" t="n"/>
      <c r="D2884" s="23" t="n"/>
      <c r="E2884" s="23" t="n"/>
    </row>
    <row r="2885" ht="30" customHeight="1">
      <c r="A2885" s="47" t="inlineStr">
        <is>
          <t>Trạng thái</t>
        </is>
      </c>
      <c r="B2885" s="61" t="inlineStr">
        <is>
          <t>Chưa thực hiện</t>
        </is>
      </c>
      <c r="C2885" s="57" t="n"/>
      <c r="D2885" s="57" t="n"/>
      <c r="E2885" s="57" t="n"/>
    </row>
    <row r="2886" ht="30" customHeight="1">
      <c r="A2886" s="47" t="inlineStr">
        <is>
          <t>Màn hình / chức năng</t>
        </is>
      </c>
      <c r="B2886" s="47" t="inlineStr">
        <is>
          <t>Thiết lập ngưỡng（基準設定）</t>
        </is>
      </c>
      <c r="C2886" s="57" t="n"/>
      <c r="D2886" s="47" t="inlineStr">
        <is>
          <t>Đường dẫn</t>
        </is>
      </c>
      <c r="E2886" s="56" t="inlineStr">
        <is>
          <t>Chưa xác minh</t>
        </is>
      </c>
    </row>
    <row r="2887" ht="30" customHeight="1">
      <c r="A2887" s="58" t="inlineStr">
        <is>
          <t>Điều kiện kiểm thử</t>
        </is>
      </c>
      <c r="B2887" s="59" t="n"/>
      <c r="C2887" s="59" t="n"/>
      <c r="D2887" s="59" t="n"/>
      <c r="E2887" s="59" t="n"/>
    </row>
    <row r="2888" ht="30" customHeight="1">
      <c r="A2888" s="47" t="inlineStr">
        <is>
          <t>Cấu hình</t>
        </is>
      </c>
      <c r="B2888" s="56" t="inlineStr">
        <is>
          <t>• Mở ngưỡng, chọn Công thức（計算式）.</t>
        </is>
      </c>
      <c r="C2888" s="57" t="n"/>
      <c r="D2888" s="57" t="n"/>
      <c r="E2888" s="57" t="n"/>
    </row>
    <row r="2889" ht="61" customHeight="1">
      <c r="A2889" s="47" t="inlineStr">
        <is>
          <t>Vai trò / quyền</t>
        </is>
      </c>
      <c r="B288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889" s="57" t="n"/>
      <c r="D2889" s="57" t="n"/>
      <c r="E2889" s="57" t="n"/>
    </row>
    <row r="2890" ht="30" customHeight="1">
      <c r="A2890" s="47" t="inlineStr">
        <is>
          <t>Dữ liệu test</t>
        </is>
      </c>
      <c r="B2890" s="56" t="inlineStr">
        <is>
          <t>• —</t>
        </is>
      </c>
      <c r="C2890" s="57" t="n"/>
      <c r="D2890" s="57" t="n"/>
      <c r="E2890" s="57" t="n"/>
    </row>
    <row r="2891" ht="30" customHeight="1">
      <c r="A2891" s="47" t="inlineStr">
        <is>
          <t>Trigger</t>
        </is>
      </c>
      <c r="B2891" s="56" t="inlineStr">
        <is>
          <t>• Chỉ xem/xuất không tự chạy xét.</t>
        </is>
      </c>
      <c r="C2891" s="57" t="n"/>
      <c r="D2891" s="57" t="n"/>
      <c r="E2891" s="57" t="n"/>
    </row>
    <row r="2892" ht="44" customHeight="1">
      <c r="A2892" s="47" t="inlineStr">
        <is>
          <t>Blocker</t>
        </is>
      </c>
      <c r="B2892" s="56" t="inlineStr">
        <is>
          <t>• G-PREP-UNASSESSED: Chưa có xác minh fixture, đường thực hiện và phép quan sát trên build của từng case chưa đánh giá.</t>
        </is>
      </c>
      <c r="C2892" s="57" t="n"/>
      <c r="D2892" s="57" t="n"/>
      <c r="E2892" s="57" t="n"/>
    </row>
    <row r="2893" ht="30" customHeight="1">
      <c r="A2893" s="58" t="inlineStr">
        <is>
          <t>Thao tác</t>
        </is>
      </c>
      <c r="B2893" s="59" t="n"/>
      <c r="C2893" s="59" t="n"/>
      <c r="D2893" s="59" t="n"/>
      <c r="E2893" s="59" t="n"/>
    </row>
    <row r="2894" ht="30" customHeight="1">
      <c r="A2894" s="47" t="inlineStr">
        <is>
          <t>•</t>
        </is>
      </c>
      <c r="B2894" s="56" t="inlineStr">
        <is>
          <t>Ghi lại thứ tự các khối từ trên xuống.</t>
        </is>
      </c>
      <c r="C2894" s="57" t="n"/>
      <c r="D2894" s="57" t="n"/>
      <c r="E2894" s="57" t="n"/>
    </row>
    <row r="2895" ht="44" customHeight="1">
      <c r="A2895" s="47" t="inlineStr">
        <is>
          <t>Reset</t>
        </is>
      </c>
      <c r="B2895" s="56" t="inlineStr">
        <is>
          <t>Trước mỗi biến thể, dựng lại điều kiện/dữ liệu đầu của case bằng đường được phép; giữ các reset/fixture độc lập đã nêu trong thủ tục.</t>
        </is>
      </c>
      <c r="C2895" s="57" t="n"/>
      <c r="D2895" s="57" t="n"/>
      <c r="E2895" s="57" t="n"/>
    </row>
    <row r="2896" ht="30" customHeight="1">
      <c r="A2896" s="58" t="inlineStr">
        <is>
          <t>Kết quả mong đợi</t>
        </is>
      </c>
      <c r="B2896" s="59" t="n"/>
      <c r="C2896" s="59" t="n"/>
      <c r="D2896" s="59" t="n"/>
      <c r="E2896" s="59" t="n"/>
    </row>
    <row r="2897" ht="44" customHeight="1">
      <c r="A2897" s="47" t="inlineStr">
        <is>
          <t>•</t>
        </is>
      </c>
      <c r="B2897" s="56" t="inlineStr">
        <is>
          <t>Khối nguồn chỉ hiện với Công thức, không hiện với cố định/tỷ lệ (đặc tả v2 mục 5.6 “Khi nào không cần nguồn?”).</t>
        </is>
      </c>
      <c r="C2897" s="57" t="n"/>
      <c r="D2897" s="57" t="n"/>
      <c r="E2897" s="57" t="n"/>
    </row>
    <row r="2898" ht="61" customHeight="1">
      <c r="A2898" s="47" t="inlineStr">
        <is>
          <t>•</t>
        </is>
      </c>
      <c r="B2898" s="56" t="inlineStr">
        <is>
          <t>Thứ tự khối theo Figma (PROPOSED): khối Trung bình tham chiếu（参照する平均点） nằm trước bảng dòng công thức và trước Xét điểm đỏ（赤点の判定）. Đặc tả v2 không quy định thứ tự; lệch thì ghi Notes, không FAIL.</t>
        </is>
      </c>
      <c r="C2898" s="57" t="n"/>
      <c r="D2898" s="57" t="n"/>
      <c r="E2898" s="57" t="n"/>
    </row>
    <row r="2899" ht="44" customHeight="1">
      <c r="A2899" s="47" t="inlineStr">
        <is>
          <t>Giữ nguyên</t>
        </is>
      </c>
      <c r="B2899" s="56" t="inlineStr">
        <is>
          <t>• Giữ điểm, cấu hình và đối tượng không đích theo expected;
• Chỉ thay phần thủ tục yêu cầu, không tự đổi oracle hoặc mở rộng phạm vi.</t>
        </is>
      </c>
      <c r="C2899" s="57" t="n"/>
      <c r="D2899" s="57" t="n"/>
      <c r="E2899" s="57" t="n"/>
    </row>
    <row r="2900" ht="61" customHeight="1">
      <c r="A2900" s="47" t="inlineStr">
        <is>
          <t>Quan sát tại</t>
        </is>
      </c>
      <c r="B2900" s="56" t="inlineStr">
        <is>
          <t>• Dùng trích xuất không lọc để thấy cả ô đối chứng. Trạng thái không có dấu đỏ cần đọc thêm trạng thái lưu;
• Output Excel/PDF dùng file thật.</t>
        </is>
      </c>
      <c r="C2900" s="57" t="n"/>
      <c r="D2900" s="57" t="n"/>
      <c r="E2900" s="57" t="n"/>
    </row>
    <row r="2901" ht="30" customHeight="1">
      <c r="A2901" s="58" t="inlineStr">
        <is>
          <t>Kết quả thực tế</t>
        </is>
      </c>
      <c r="B2901" s="59" t="n"/>
      <c r="C2901" s="59" t="n"/>
      <c r="D2901" s="59" t="n"/>
      <c r="E2901" s="59" t="n"/>
    </row>
    <row r="2902" ht="30" customHeight="1">
      <c r="A2902" s="47" t="inlineStr">
        <is>
          <t>Dữ liệu biến thể</t>
        </is>
      </c>
      <c r="B2902" s="56" t="inlineStr">
        <is>
          <t>Toàn bộ thủ tục theo đúng thứ tự; các đối chứng cùng fixture được kiểm trong cùng lượt, không bỏ bước</t>
        </is>
      </c>
      <c r="C2902" s="57" t="n"/>
      <c r="D2902" s="57" t="n"/>
      <c r="E2902" s="57" t="n"/>
    </row>
    <row r="2903" ht="30" customHeight="1">
      <c r="A2903" s="62" t="inlineStr">
        <is>
          <t>Kết quả thực tế</t>
        </is>
      </c>
    </row>
    <row r="2904" ht="64" customHeight="1">
      <c r="A2904" s="63" t="inlineStr"/>
      <c r="B2904" s="64" t="n"/>
      <c r="C2904" s="64" t="n"/>
      <c r="D2904" s="64" t="n"/>
      <c r="E2904" s="65" t="n"/>
    </row>
    <row r="2905" ht="30" customHeight="1">
      <c r="A2905" s="62" t="inlineStr">
        <is>
          <t>Ảnh minh chứng</t>
        </is>
      </c>
    </row>
    <row r="2906" ht="90" customHeight="1">
      <c r="A2906" s="63" t="inlineStr"/>
      <c r="B2906" s="64" t="n"/>
      <c r="C2906" s="64" t="n"/>
      <c r="D2906" s="64" t="n"/>
      <c r="E2906" s="65" t="n"/>
    </row>
    <row r="2907" ht="12" customHeight="1">
      <c r="A2907" s="66" t="inlineStr"/>
    </row>
    <row r="2908" ht="20" customHeight="1">
      <c r="A2908" s="66" t="inlineStr"/>
    </row>
    <row r="2909" ht="30" customHeight="1">
      <c r="A2909" s="46" t="inlineStr">
        <is>
          <t>TC-RS-UI-016 — Bảng dòng công thức</t>
        </is>
      </c>
      <c r="B2909" s="23" t="n"/>
      <c r="C2909" s="23" t="n"/>
      <c r="D2909" s="23" t="n"/>
      <c r="E2909" s="23" t="n"/>
    </row>
    <row r="2910" ht="30" customHeight="1">
      <c r="A2910" s="47" t="inlineStr">
        <is>
          <t>Trạng thái</t>
        </is>
      </c>
      <c r="B2910" s="61" t="inlineStr">
        <is>
          <t>Chưa thực hiện</t>
        </is>
      </c>
      <c r="C2910" s="57" t="n"/>
      <c r="D2910" s="57" t="n"/>
      <c r="E2910" s="57" t="n"/>
    </row>
    <row r="2911" ht="30" customHeight="1">
      <c r="A2911" s="47" t="inlineStr">
        <is>
          <t>Màn hình / chức năng</t>
        </is>
      </c>
      <c r="B2911" s="47" t="inlineStr">
        <is>
          <t>Thiết lập ngưỡng（基準設定）</t>
        </is>
      </c>
      <c r="C2911" s="57" t="n"/>
      <c r="D2911" s="47" t="inlineStr">
        <is>
          <t>Đường dẫn</t>
        </is>
      </c>
      <c r="E2911" s="56" t="inlineStr">
        <is>
          <t>Chưa xác minh</t>
        </is>
      </c>
    </row>
    <row r="2912" ht="30" customHeight="1">
      <c r="A2912" s="58" t="inlineStr">
        <is>
          <t>Điều kiện kiểm thử</t>
        </is>
      </c>
      <c r="B2912" s="59" t="n"/>
      <c r="C2912" s="59" t="n"/>
      <c r="D2912" s="59" t="n"/>
      <c r="E2912" s="59" t="n"/>
    </row>
    <row r="2913" ht="30" customHeight="1">
      <c r="A2913" s="47" t="inlineStr">
        <is>
          <t>Cấu hình</t>
        </is>
      </c>
      <c r="B2913" s="56" t="inlineStr">
        <is>
          <t>• Công thức.</t>
        </is>
      </c>
      <c r="C2913" s="57" t="n"/>
      <c r="D2913" s="57" t="n"/>
      <c r="E2913" s="57" t="n"/>
    </row>
    <row r="2914" ht="61" customHeight="1">
      <c r="A2914" s="47" t="inlineStr">
        <is>
          <t>Vai trò / quyền</t>
        </is>
      </c>
      <c r="B291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914" s="57" t="n"/>
      <c r="D2914" s="57" t="n"/>
      <c r="E2914" s="57" t="n"/>
    </row>
    <row r="2915" ht="30" customHeight="1">
      <c r="A2915" s="47" t="inlineStr">
        <is>
          <t>Dữ liệu test</t>
        </is>
      </c>
      <c r="B2915" s="56" t="inlineStr">
        <is>
          <t>• Quy tắc công thức hai dòng (trung bình ÷ 2 × 0.8)</t>
        </is>
      </c>
      <c r="C2915" s="57" t="n"/>
      <c r="D2915" s="57" t="n"/>
      <c r="E2915" s="57" t="n"/>
    </row>
    <row r="2916" ht="30" customHeight="1">
      <c r="A2916" s="47" t="inlineStr">
        <is>
          <t>Trigger</t>
        </is>
      </c>
      <c r="B2916" s="56" t="inlineStr">
        <is>
          <t>• Chỉ xem/xuất không tự chạy xét.</t>
        </is>
      </c>
      <c r="C2916" s="57" t="n"/>
      <c r="D2916" s="57" t="n"/>
      <c r="E2916" s="57" t="n"/>
    </row>
    <row r="2917" ht="44" customHeight="1">
      <c r="A2917" s="47" t="inlineStr">
        <is>
          <t>Blocker</t>
        </is>
      </c>
      <c r="B2917" s="56" t="inlineStr">
        <is>
          <t>• G-PREP-UNASSESSED: Chưa có xác minh fixture, đường thực hiện và phép quan sát trên build của từng case chưa đánh giá.</t>
        </is>
      </c>
      <c r="C2917" s="57" t="n"/>
      <c r="D2917" s="57" t="n"/>
      <c r="E2917" s="57" t="n"/>
    </row>
    <row r="2918" ht="30" customHeight="1">
      <c r="A2918" s="58" t="inlineStr">
        <is>
          <t>Thao tác</t>
        </is>
      </c>
      <c r="B2918" s="59" t="n"/>
      <c r="C2918" s="59" t="n"/>
      <c r="D2918" s="59" t="n"/>
      <c r="E2918" s="59" t="n"/>
    </row>
    <row r="2919" ht="30" customHeight="1">
      <c r="A2919" s="47" t="inlineStr">
        <is>
          <t>Step 1</t>
        </is>
      </c>
      <c r="B2919" s="56" t="inlineStr">
        <is>
          <t>Nhập quy tắc công thức hai dòng (trung bình ÷ 2 × 0.8).</t>
        </is>
      </c>
      <c r="C2919" s="57" t="n"/>
      <c r="D2919" s="57" t="n"/>
      <c r="E2919" s="57" t="n"/>
    </row>
    <row r="2920" ht="30" customHeight="1">
      <c r="A2920" s="47" t="inlineStr">
        <is>
          <t>Step 2</t>
        </is>
      </c>
      <c r="B2920" s="56" t="inlineStr">
        <is>
          <t>Thêm/xóa dòng.</t>
        </is>
      </c>
      <c r="C2920" s="57" t="n"/>
      <c r="D2920" s="57" t="n"/>
      <c r="E2920" s="57" t="n"/>
    </row>
    <row r="2921" ht="44" customHeight="1">
      <c r="A2921" s="47" t="inlineStr">
        <is>
          <t>Reset</t>
        </is>
      </c>
      <c r="B2921" s="56" t="inlineStr">
        <is>
          <t>Trước mỗi biến thể, dựng lại điều kiện/dữ liệu đầu của case bằng đường được phép; giữ các reset/fixture độc lập đã nêu trong thủ tục.</t>
        </is>
      </c>
      <c r="C2921" s="57" t="n"/>
      <c r="D2921" s="57" t="n"/>
      <c r="E2921" s="57" t="n"/>
    </row>
    <row r="2922" ht="30" customHeight="1">
      <c r="A2922" s="58" t="inlineStr">
        <is>
          <t>Kết quả mong đợi</t>
        </is>
      </c>
      <c r="B2922" s="59" t="n"/>
      <c r="C2922" s="59" t="n"/>
      <c r="D2922" s="59" t="n"/>
      <c r="E2922" s="59" t="n"/>
    </row>
    <row r="2923" ht="44" customHeight="1">
      <c r="A2923" s="47" t="inlineStr">
        <is>
          <t>•</t>
        </is>
      </c>
      <c r="B2923" s="56" t="inlineStr">
        <is>
          <t>Có đủ cột; chọn Kết quả phép tính（式の結果） thì hiện ô chọn dòng; mỗi dòng có Xử lý phần lẻ riêng; thêm/xóa dòng được; có câu dòng cuối là ngưỡng.</t>
        </is>
      </c>
      <c r="C2923" s="57" t="n"/>
      <c r="D2923" s="57" t="n"/>
      <c r="E2923" s="57" t="n"/>
    </row>
    <row r="2924" ht="44" customHeight="1">
      <c r="A2924" s="47" t="inlineStr">
        <is>
          <t>Giữ nguyên</t>
        </is>
      </c>
      <c r="B2924" s="56" t="inlineStr">
        <is>
          <t>• Giữ điểm, cấu hình và đối tượng không đích theo expected;
• Chỉ thay phần thủ tục yêu cầu, không tự đổi oracle hoặc mở rộng phạm vi.</t>
        </is>
      </c>
      <c r="C2924" s="57" t="n"/>
      <c r="D2924" s="57" t="n"/>
      <c r="E2924" s="57" t="n"/>
    </row>
    <row r="2925" ht="61" customHeight="1">
      <c r="A2925" s="47" t="inlineStr">
        <is>
          <t>Quan sát tại</t>
        </is>
      </c>
      <c r="B2925" s="56" t="inlineStr">
        <is>
          <t>• Dùng trích xuất không lọc để thấy cả ô đối chứng. Trạng thái không có dấu đỏ cần đọc thêm trạng thái lưu;
• Output Excel/PDF dùng file thật.</t>
        </is>
      </c>
      <c r="C2925" s="57" t="n"/>
      <c r="D2925" s="57" t="n"/>
      <c r="E2925" s="57" t="n"/>
    </row>
    <row r="2926" ht="30" customHeight="1">
      <c r="A2926" s="58" t="inlineStr">
        <is>
          <t>Kết quả thực tế</t>
        </is>
      </c>
      <c r="B2926" s="59" t="n"/>
      <c r="C2926" s="59" t="n"/>
      <c r="D2926" s="59" t="n"/>
      <c r="E2926" s="59" t="n"/>
    </row>
    <row r="2927" ht="30" customHeight="1">
      <c r="A2927" s="47" t="inlineStr">
        <is>
          <t>Dữ liệu biến thể</t>
        </is>
      </c>
      <c r="B2927" s="56" t="inlineStr">
        <is>
          <t>Toàn bộ thủ tục theo đúng thứ tự; các đối chứng cùng fixture được kiểm trong cùng lượt, không bỏ bước</t>
        </is>
      </c>
      <c r="C2927" s="57" t="n"/>
      <c r="D2927" s="57" t="n"/>
      <c r="E2927" s="57" t="n"/>
    </row>
    <row r="2928" ht="30" customHeight="1">
      <c r="A2928" s="62" t="inlineStr">
        <is>
          <t>Kết quả thực tế</t>
        </is>
      </c>
    </row>
    <row r="2929" ht="64" customHeight="1">
      <c r="A2929" s="63" t="inlineStr"/>
      <c r="B2929" s="64" t="n"/>
      <c r="C2929" s="64" t="n"/>
      <c r="D2929" s="64" t="n"/>
      <c r="E2929" s="65" t="n"/>
    </row>
    <row r="2930" ht="30" customHeight="1">
      <c r="A2930" s="62" t="inlineStr">
        <is>
          <t>Ảnh minh chứng</t>
        </is>
      </c>
    </row>
    <row r="2931" ht="90" customHeight="1">
      <c r="A2931" s="63" t="inlineStr"/>
      <c r="B2931" s="64" t="n"/>
      <c r="C2931" s="64" t="n"/>
      <c r="D2931" s="64" t="n"/>
      <c r="E2931" s="65" t="n"/>
    </row>
    <row r="2932" ht="12" customHeight="1">
      <c r="A2932" s="66" t="inlineStr"/>
    </row>
    <row r="2933" ht="20" customHeight="1">
      <c r="A2933" s="66" t="inlineStr"/>
    </row>
    <row r="2934" ht="30" customHeight="1">
      <c r="A2934" s="46" t="inlineStr">
        <is>
          <t>TC-RS-UI-017 — Thông báo lỗi vượt điểm tối đa và chia 0</t>
        </is>
      </c>
      <c r="B2934" s="23" t="n"/>
      <c r="C2934" s="23" t="n"/>
      <c r="D2934" s="23" t="n"/>
      <c r="E2934" s="23" t="n"/>
    </row>
    <row r="2935" ht="30" customHeight="1">
      <c r="A2935" s="47" t="inlineStr">
        <is>
          <t>Trạng thái</t>
        </is>
      </c>
      <c r="B2935" s="56">
        <f>IF(0&gt;0,"Không đạt",IF(0=2,"Đạt",IF(SUMPRODUCT(--EXACT('Testcases'!B2955:B2963,"Không thực hiện"))=2,"Không thực hiện",IF(SUMPRODUCT(--EXACT('Testcases'!B2955:B2963,"Bị chặn"))&gt;0,"Bị chặn",IF(SUMPRODUCT(--EXACT('Testcases'!B2955:B2963,"Chưa thực hiện"))=2,"Chưa thực hiện","Chưa đủ kết luận")))))</f>
        <v/>
      </c>
      <c r="C2935" s="57" t="n"/>
      <c r="D2935" s="57" t="n"/>
      <c r="E2935" s="57" t="n"/>
    </row>
    <row r="2936" ht="30" customHeight="1">
      <c r="A2936" s="47" t="inlineStr">
        <is>
          <t>Màn hình / chức năng</t>
        </is>
      </c>
      <c r="B2936" s="47" t="inlineStr">
        <is>
          <t>Thiết lập ngưỡng（基準設定）</t>
        </is>
      </c>
      <c r="C2936" s="57" t="n"/>
      <c r="D2936" s="47" t="inlineStr">
        <is>
          <t>Đường dẫn</t>
        </is>
      </c>
      <c r="E2936" s="56" t="inlineStr">
        <is>
          <t>Chưa xác minh</t>
        </is>
      </c>
    </row>
    <row r="2937" ht="30" customHeight="1">
      <c r="A2937" s="58" t="inlineStr">
        <is>
          <t>Điều kiện kiểm thử</t>
        </is>
      </c>
      <c r="B2937" s="59" t="n"/>
      <c r="C2937" s="59" t="n"/>
      <c r="D2937" s="59" t="n"/>
      <c r="E2937" s="59" t="n"/>
    </row>
    <row r="2938" ht="30" customHeight="1">
      <c r="A2938" s="47" t="inlineStr">
        <is>
          <t>Cấu hình</t>
        </is>
      </c>
      <c r="B2938" s="56" t="inlineStr">
        <is>
          <t>• Mục số nguyên (M=100).</t>
        </is>
      </c>
      <c r="C2938" s="57" t="n"/>
      <c r="D2938" s="57" t="n"/>
      <c r="E2938" s="57" t="n"/>
    </row>
    <row r="2939" ht="61" customHeight="1">
      <c r="A2939" s="47" t="inlineStr">
        <is>
          <t>Vai trò / quyền</t>
        </is>
      </c>
      <c r="B293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939" s="57" t="n"/>
      <c r="D2939" s="57" t="n"/>
      <c r="E2939" s="57" t="n"/>
    </row>
    <row r="2940" ht="61" customHeight="1">
      <c r="A2940" s="47" t="inlineStr">
        <is>
          <t>Dữ liệu test</t>
        </is>
      </c>
      <c r="B2940" s="56" t="inlineStr">
        <is>
          <t>• Mục số nguyên (M=100);
• Cố định N=120;
• Công thức [A ÷ 0]</t>
        </is>
      </c>
      <c r="C2940" s="57" t="n"/>
      <c r="D2940" s="57" t="n"/>
      <c r="E2940" s="57" t="n"/>
    </row>
    <row r="2941" ht="30" customHeight="1">
      <c r="A2941" s="47" t="inlineStr">
        <is>
          <t>Trigger</t>
        </is>
      </c>
      <c r="B2941" s="56" t="inlineStr">
        <is>
          <t>• Chỉ xem/xuất không tự chạy xét.</t>
        </is>
      </c>
      <c r="C2941" s="57" t="n"/>
      <c r="D2941" s="57" t="n"/>
      <c r="E2941" s="57" t="n"/>
    </row>
    <row r="2942" ht="44" customHeight="1">
      <c r="A2942" s="47" t="inlineStr">
        <is>
          <t>Blocker</t>
        </is>
      </c>
      <c r="B2942" s="56" t="inlineStr">
        <is>
          <t>• G-PREP-UNASSESSED: Chưa có xác minh fixture, đường thực hiện và phép quan sát trên build của từng case chưa đánh giá.</t>
        </is>
      </c>
      <c r="C2942" s="57" t="n"/>
      <c r="D2942" s="57" t="n"/>
      <c r="E2942" s="57" t="n"/>
    </row>
    <row r="2943" ht="30" customHeight="1">
      <c r="A2943" s="58" t="inlineStr">
        <is>
          <t>Thao tác</t>
        </is>
      </c>
      <c r="B2943" s="59" t="n"/>
      <c r="C2943" s="59" t="n"/>
      <c r="D2943" s="59" t="n"/>
      <c r="E2943" s="59" t="n"/>
    </row>
    <row r="2944" ht="30" customHeight="1">
      <c r="A2944" s="47" t="inlineStr">
        <is>
          <t>Step 1</t>
        </is>
      </c>
      <c r="B2944" s="56" t="inlineStr">
        <is>
          <t>Lưu N=120.</t>
        </is>
      </c>
      <c r="C2944" s="57" t="n"/>
      <c r="D2944" s="57" t="n"/>
      <c r="E2944" s="57" t="n"/>
    </row>
    <row r="2945" ht="30" customHeight="1">
      <c r="A2945" s="47" t="inlineStr">
        <is>
          <t>Step 2</t>
        </is>
      </c>
      <c r="B2945" s="56" t="inlineStr">
        <is>
          <t>Lưu công thức chia 0.</t>
        </is>
      </c>
      <c r="C2945" s="57" t="n"/>
      <c r="D2945" s="57" t="n"/>
      <c r="E2945" s="57" t="n"/>
    </row>
    <row r="2946" ht="44" customHeight="1">
      <c r="A2946" s="47" t="inlineStr">
        <is>
          <t>Reset</t>
        </is>
      </c>
      <c r="B2946" s="56" t="inlineStr">
        <is>
          <t>Trước mỗi biến thể, dựng lại điều kiện/dữ liệu đầu của case bằng đường được phép; giữ các reset/fixture độc lập đã nêu trong thủ tục.</t>
        </is>
      </c>
      <c r="C2946" s="57" t="n"/>
      <c r="D2946" s="57" t="n"/>
      <c r="E2946" s="57" t="n"/>
    </row>
    <row r="2947" ht="30" customHeight="1">
      <c r="A2947" s="58" t="inlineStr">
        <is>
          <t>Kết quả mong đợi</t>
        </is>
      </c>
      <c r="B2947" s="59" t="n"/>
      <c r="C2947" s="59" t="n"/>
      <c r="D2947" s="59" t="n"/>
      <c r="E2947" s="59" t="n"/>
    </row>
    <row r="2948" ht="78" customHeight="1">
      <c r="A2948" s="47" t="inlineStr">
        <is>
          <t>1.</t>
        </is>
      </c>
      <c r="B2948" s="56" t="inlineStr">
        <is>
          <t>Không lưu được. Đầu vùng nhập có 「基準点が対象の満点を超えています。対象の満点以下の値を入力してください。」 (điểm chuẩn vượt điểm tối đa của đối tượng; hãy nhập giá trị không vượt điểm tối đa); tại ô Điểm chuẩn（基準点） có 「対象の満点（100点）以下の値を入力してください。」 và dòng 「対象の満点：100点」 (điểm tối đa của đối tượng: 100); giá trị 120 còn giữ.</t>
        </is>
      </c>
      <c r="C2948" s="57" t="n"/>
      <c r="D2948" s="57" t="n"/>
      <c r="E2948" s="57" t="n"/>
    </row>
    <row r="2949" ht="61" customHeight="1">
      <c r="A2949" s="47" t="inlineStr">
        <is>
          <t>2.</t>
        </is>
      </c>
      <c r="B2949" s="56" t="inlineStr">
        <is>
          <t>Không lưu được. Đầu vùng nhập có 「式1：0で割ることはできません。右辺の値を変更してください。」 (dòng 1: không thể chia cho 0; đổi giá trị vế phải); tại dòng 1 có 「0で割ることはできません。右辺の値を変更してください。」; các giá trị đã nhập còn giữ.</t>
        </is>
      </c>
      <c r="C2949" s="57" t="n"/>
      <c r="D2949" s="57" t="n"/>
      <c r="E2949" s="57" t="n"/>
    </row>
    <row r="2950" ht="44" customHeight="1">
      <c r="A2950" s="47" t="inlineStr">
        <is>
          <t>Giữ nguyên</t>
        </is>
      </c>
      <c r="B2950" s="56" t="inlineStr">
        <is>
          <t>• Giữ điểm, cấu hình và đối tượng không đích theo expected;
• Chỉ thay phần thủ tục yêu cầu, không tự đổi oracle hoặc mở rộng phạm vi.</t>
        </is>
      </c>
      <c r="C2950" s="57" t="n"/>
      <c r="D2950" s="57" t="n"/>
      <c r="E2950" s="57" t="n"/>
    </row>
    <row r="2951" ht="61" customHeight="1">
      <c r="A2951" s="47" t="inlineStr">
        <is>
          <t>Quan sát tại</t>
        </is>
      </c>
      <c r="B2951" s="56" t="inlineStr">
        <is>
          <t>• Dùng trích xuất không lọc để thấy cả ô đối chứng. Trạng thái không có dấu đỏ cần đọc thêm trạng thái lưu;
• Output Excel/PDF dùng file thật.</t>
        </is>
      </c>
      <c r="C2951" s="57" t="n"/>
      <c r="D2951" s="57" t="n"/>
      <c r="E2951" s="57" t="n"/>
    </row>
    <row r="2952" ht="30" customHeight="1">
      <c r="A2952" s="58" t="inlineStr">
        <is>
          <t>Kết quả thực tế</t>
        </is>
      </c>
      <c r="B2952" s="59" t="n"/>
      <c r="C2952" s="59" t="n"/>
      <c r="D2952" s="59" t="n"/>
      <c r="E2952" s="59" t="n"/>
    </row>
    <row r="2953" ht="30" customHeight="1">
      <c r="A2953" s="60" t="inlineStr">
        <is>
          <t>TC-RS-UI-017 / maximum</t>
        </is>
      </c>
      <c r="B2953" s="36" t="n"/>
      <c r="C2953" s="36" t="n"/>
      <c r="D2953" s="36" t="n"/>
      <c r="E2953" s="36" t="n"/>
    </row>
    <row r="2954" ht="30" customHeight="1">
      <c r="A2954" s="47" t="inlineStr">
        <is>
          <t>Dữ liệu biến thể</t>
        </is>
      </c>
      <c r="B2954" s="56" t="inlineStr">
        <is>
          <t>N120</t>
        </is>
      </c>
      <c r="C2954" s="57" t="n"/>
      <c r="D2954" s="57" t="n"/>
      <c r="E2954" s="57" t="n"/>
    </row>
    <row r="2955" ht="30" customHeight="1">
      <c r="A2955" s="47" t="inlineStr">
        <is>
          <t>Trạng thái</t>
        </is>
      </c>
      <c r="B2955" s="61" t="inlineStr">
        <is>
          <t>Chưa thực hiện</t>
        </is>
      </c>
      <c r="C2955" s="57" t="n"/>
      <c r="D2955" s="57" t="n"/>
      <c r="E2955" s="57" t="n"/>
    </row>
    <row r="2956" ht="30" customHeight="1">
      <c r="A2956" s="62" t="inlineStr">
        <is>
          <t>Kết quả thực tế</t>
        </is>
      </c>
    </row>
    <row r="2957" ht="64" customHeight="1">
      <c r="A2957" s="63" t="inlineStr"/>
      <c r="B2957" s="64" t="n"/>
      <c r="C2957" s="64" t="n"/>
      <c r="D2957" s="64" t="n"/>
      <c r="E2957" s="65" t="n"/>
    </row>
    <row r="2958" ht="30" customHeight="1">
      <c r="A2958" s="62" t="inlineStr">
        <is>
          <t>Ảnh minh chứng</t>
        </is>
      </c>
    </row>
    <row r="2959" ht="90" customHeight="1">
      <c r="A2959" s="63" t="inlineStr"/>
      <c r="B2959" s="64" t="n"/>
      <c r="C2959" s="64" t="n"/>
      <c r="D2959" s="64" t="n"/>
      <c r="E2959" s="65" t="n"/>
    </row>
    <row r="2960" ht="12" customHeight="1">
      <c r="A2960" s="66" t="inlineStr"/>
    </row>
    <row r="2961" ht="30" customHeight="1">
      <c r="A2961" s="60" t="inlineStr">
        <is>
          <t>TC-RS-UI-017 / divide-zero</t>
        </is>
      </c>
      <c r="B2961" s="36" t="n"/>
      <c r="C2961" s="36" t="n"/>
      <c r="D2961" s="36" t="n"/>
      <c r="E2961" s="36" t="n"/>
    </row>
    <row r="2962" ht="30" customHeight="1">
      <c r="A2962" s="47" t="inlineStr">
        <is>
          <t>Dữ liệu biến thể</t>
        </is>
      </c>
      <c r="B2962" s="56" t="inlineStr">
        <is>
          <t>Công thức chia 0</t>
        </is>
      </c>
      <c r="C2962" s="57" t="n"/>
      <c r="D2962" s="57" t="n"/>
      <c r="E2962" s="57" t="n"/>
    </row>
    <row r="2963" ht="30" customHeight="1">
      <c r="A2963" s="47" t="inlineStr">
        <is>
          <t>Trạng thái</t>
        </is>
      </c>
      <c r="B2963" s="61" t="inlineStr">
        <is>
          <t>Chưa thực hiện</t>
        </is>
      </c>
      <c r="C2963" s="57" t="n"/>
      <c r="D2963" s="57" t="n"/>
      <c r="E2963" s="57" t="n"/>
    </row>
    <row r="2964" ht="30" customHeight="1">
      <c r="A2964" s="62" t="inlineStr">
        <is>
          <t>Kết quả thực tế</t>
        </is>
      </c>
    </row>
    <row r="2965" ht="64" customHeight="1">
      <c r="A2965" s="63" t="inlineStr"/>
      <c r="B2965" s="64" t="n"/>
      <c r="C2965" s="64" t="n"/>
      <c r="D2965" s="64" t="n"/>
      <c r="E2965" s="65" t="n"/>
    </row>
    <row r="2966" ht="30" customHeight="1">
      <c r="A2966" s="62" t="inlineStr">
        <is>
          <t>Ảnh minh chứng</t>
        </is>
      </c>
    </row>
    <row r="2967" ht="90" customHeight="1">
      <c r="A2967" s="63" t="inlineStr"/>
      <c r="B2967" s="64" t="n"/>
      <c r="C2967" s="64" t="n"/>
      <c r="D2967" s="64" t="n"/>
      <c r="E2967" s="65" t="n"/>
    </row>
    <row r="2968" ht="12" customHeight="1">
      <c r="A2968" s="66" t="inlineStr"/>
    </row>
    <row r="2969" ht="20" customHeight="1">
      <c r="A2969" s="66" t="inlineStr"/>
    </row>
    <row r="2970" ht="30" customHeight="1">
      <c r="A2970" s="46" t="inlineStr">
        <is>
          <t>TC-RS-FUNC-015 — Quy trình vận hành dùng trung bình: tắt tự tổng hợp → nút xanh → nút cam</t>
        </is>
      </c>
      <c r="B2970" s="23" t="n"/>
      <c r="C2970" s="23" t="n"/>
      <c r="D2970" s="23" t="n"/>
      <c r="E2970" s="23" t="n"/>
    </row>
    <row r="2971" ht="30" customHeight="1">
      <c r="A2971" s="47" t="inlineStr">
        <is>
          <t>Trạng thái</t>
        </is>
      </c>
      <c r="B2971" s="61" t="inlineStr">
        <is>
          <t>Chưa thực hiện</t>
        </is>
      </c>
      <c r="C2971" s="57" t="n"/>
      <c r="D2971" s="57" t="n"/>
      <c r="E2971" s="57" t="n"/>
    </row>
    <row r="2972" ht="30" customHeight="1">
      <c r="A2972" s="47" t="inlineStr">
        <is>
          <t>Màn hình / chức năng</t>
        </is>
      </c>
      <c r="B2972" s="47" t="inlineStr">
        <is>
          <t>Nguồn tổng hợp</t>
        </is>
      </c>
      <c r="C2972" s="57" t="n"/>
      <c r="D2972" s="47" t="inlineStr">
        <is>
          <t>Đường dẫn</t>
        </is>
      </c>
      <c r="E2972" s="56" t="inlineStr">
        <is>
          <t>Chưa xác minh</t>
        </is>
      </c>
    </row>
    <row r="2973" ht="30" customHeight="1">
      <c r="A2973" s="58" t="inlineStr">
        <is>
          <t>Điều kiện kiểm thử</t>
        </is>
      </c>
      <c r="B2973" s="59" t="n"/>
      <c r="C2973" s="59" t="n"/>
      <c r="D2973" s="59" t="n"/>
      <c r="E2973" s="59" t="n"/>
    </row>
    <row r="2974" ht="44" customHeight="1">
      <c r="A2974" s="47" t="inlineStr">
        <is>
          <t>Cấu hình</t>
        </is>
      </c>
      <c r="B2974" s="56" t="inlineStr">
        <is>
          <t>• Mục số nguyên (M=100) có cặp quy tắc phân nhánh theo trung bình 60. Điểm của nhóm HR1 đã đầy đủ. Không có bản chốt cho nguồn mặc định. Đăng nhập tài khoản có quyền chạy hàng loạt.</t>
        </is>
      </c>
      <c r="C2974" s="57" t="n"/>
      <c r="D2974" s="57" t="n"/>
      <c r="E2974" s="57" t="n"/>
    </row>
    <row r="2975" ht="61" customHeight="1">
      <c r="A2975" s="47" t="inlineStr">
        <is>
          <t>Vai trò / quyền</t>
        </is>
      </c>
      <c r="B297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2975" s="57" t="n"/>
      <c r="D2975" s="57" t="n"/>
      <c r="E2975" s="57" t="n"/>
    </row>
    <row r="2976" ht="44" customHeight="1">
      <c r="A2976" s="47" t="inlineStr">
        <is>
          <t>Dữ liệu test</t>
        </is>
      </c>
      <c r="B2976" s="56" t="inlineStr">
        <is>
          <t>• Mục số nguyên (M=100);
• Cặp quy tắc phân nhánh theo trung bình 60, các lớp chủ nhiệm HR1, HR2, học sinh S01–S05</t>
        </is>
      </c>
      <c r="C2976" s="57" t="n"/>
      <c r="D2976" s="57" t="n"/>
      <c r="E2976" s="57" t="n"/>
    </row>
    <row r="2977" ht="30" customHeight="1">
      <c r="A2977" s="47" t="inlineStr">
        <is>
          <t>Trigger</t>
        </is>
      </c>
      <c r="B2977" s="56" t="inlineStr">
        <is>
          <t>• Chỉ xem/xuất không tự chạy xét.</t>
        </is>
      </c>
      <c r="C2977" s="57" t="n"/>
      <c r="D2977" s="57" t="n"/>
      <c r="E2977" s="57" t="n"/>
    </row>
    <row r="2978" ht="44" customHeight="1">
      <c r="A2978" s="47" t="inlineStr">
        <is>
          <t>Blocker</t>
        </is>
      </c>
      <c r="B2978" s="56" t="inlineStr">
        <is>
          <t>• G-PREP-UNASSESSED: Chưa có xác minh fixture, đường thực hiện và phép quan sát trên build của từng case chưa đánh giá.</t>
        </is>
      </c>
      <c r="C2978" s="57" t="n"/>
      <c r="D2978" s="57" t="n"/>
      <c r="E2978" s="57" t="n"/>
    </row>
    <row r="2979" ht="30" customHeight="1">
      <c r="A2979" s="58" t="inlineStr">
        <is>
          <t>Thao tác</t>
        </is>
      </c>
      <c r="B2979" s="59" t="n"/>
      <c r="C2979" s="59" t="n"/>
      <c r="D2979" s="59" t="n"/>
      <c r="E2979" s="59" t="n"/>
    </row>
    <row r="2980" ht="44" customHeight="1">
      <c r="A2980" s="47" t="inlineStr">
        <is>
          <t>Step 1</t>
        </is>
      </c>
      <c r="B2980" s="56" t="inlineStr">
        <is>
          <t>Thiết lập tổng hợp thứ hạng（順位集計設定）→ Thiết lập chi tiết（詳細設定）: đặt tự tổng hợp khi đăng ký điểm là Không thực hiện（実行しない）.</t>
        </is>
      </c>
      <c r="C2980" s="57" t="n"/>
      <c r="D2980" s="57" t="n"/>
      <c r="E2980" s="57" t="n"/>
    </row>
    <row r="2981" ht="44" customHeight="1">
      <c r="A2981" s="47" t="inlineStr">
        <is>
          <t>Step 2</t>
        </is>
      </c>
      <c r="B2981" s="56" t="inlineStr">
        <is>
          <t>Ở Tổng hợp thành tích（成績集計）, chọn Khối 1, kỳ 1学期期末 (cuối kỳ học kỳ 1), bấm Thực hiện tổng hợp（集計実行）, chờ hoàn tất.</t>
        </is>
      </c>
      <c r="C2981" s="57" t="n"/>
      <c r="D2981" s="57" t="n"/>
      <c r="E2981" s="57" t="n"/>
    </row>
    <row r="2982" ht="30" customHeight="1">
      <c r="A2982" s="47" t="inlineStr">
        <is>
          <t>Step 3</t>
        </is>
      </c>
      <c r="B2982" s="56" t="inlineStr">
        <is>
          <t>Bấm Thực hiện tính toán tự động（自動算出実行）, chờ hoàn tất.</t>
        </is>
      </c>
      <c r="C2982" s="57" t="n"/>
      <c r="D2982" s="57" t="n"/>
      <c r="E2982" s="57" t="n"/>
    </row>
    <row r="2983" ht="30" customHeight="1">
      <c r="A2983" s="47" t="inlineStr">
        <is>
          <t>Step 4</t>
        </is>
      </c>
      <c r="B2983" s="56" t="inlineStr">
        <is>
          <t>Xem kết quả ở ba đầu ra.</t>
        </is>
      </c>
      <c r="C2983" s="57" t="n"/>
      <c r="D2983" s="57" t="n"/>
      <c r="E2983" s="57" t="n"/>
    </row>
    <row r="2984" ht="30" customHeight="1">
      <c r="A2984" s="47" t="inlineStr">
        <is>
          <t>Step 5</t>
        </is>
      </c>
      <c r="B2984" s="56" t="inlineStr">
        <is>
          <t>Sau bước 3, xem lần chạy tổng hợp gần nhất hiển thị ở Tổng hợp thành tích（成績集計）.</t>
        </is>
      </c>
      <c r="C2984" s="57" t="n"/>
      <c r="D2984" s="57" t="n"/>
      <c r="E2984" s="57" t="n"/>
    </row>
    <row r="2985" ht="44" customHeight="1">
      <c r="A2985" s="47" t="inlineStr">
        <is>
          <t>Reset</t>
        </is>
      </c>
      <c r="B2985" s="56" t="inlineStr">
        <is>
          <t>Trước mỗi biến thể, dựng lại điều kiện/dữ liệu đầu của case bằng đường được phép; giữ các reset/fixture độc lập đã nêu trong thủ tục.</t>
        </is>
      </c>
      <c r="C2985" s="57" t="n"/>
      <c r="D2985" s="57" t="n"/>
      <c r="E2985" s="57" t="n"/>
    </row>
    <row r="2986" ht="30" customHeight="1">
      <c r="A2986" s="58" t="inlineStr">
        <is>
          <t>Kết quả mong đợi</t>
        </is>
      </c>
      <c r="B2986" s="59" t="n"/>
      <c r="C2986" s="59" t="n"/>
      <c r="D2986" s="59" t="n"/>
      <c r="E2986" s="59" t="n"/>
    </row>
    <row r="2987" ht="30" customHeight="1">
      <c r="A2987" s="47" t="inlineStr">
        <is>
          <t>1.</t>
        </is>
      </c>
      <c r="B2987" s="56" t="inlineStr">
        <is>
          <t>Sau bước 2 (chỉ nút xanh), kết quả đỏ chưa thay đổi.</t>
        </is>
      </c>
      <c r="C2987" s="57" t="n"/>
      <c r="D2987" s="57" t="n"/>
      <c r="E2987" s="57" t="n"/>
    </row>
    <row r="2988" ht="30" customHeight="1">
      <c r="A2988" s="47" t="inlineStr">
        <is>
          <t>2.</t>
        </is>
      </c>
      <c r="B2988" s="56" t="inlineStr">
        <is>
          <t>Sau bước 3, mỗi ô của S01–S05 có kết quả theo nhánh đúng với [A] của tổng hợp vừa chạy.</t>
        </is>
      </c>
      <c r="C2988" s="57" t="n"/>
      <c r="D2988" s="57" t="n"/>
      <c r="E2988" s="57" t="n"/>
    </row>
    <row r="2989" ht="30" customHeight="1">
      <c r="A2989" s="47" t="inlineStr">
        <is>
          <t>3.</t>
        </is>
      </c>
      <c r="B2989" s="56" t="inlineStr">
        <is>
          <t>Ba đầu ra hiển thị cùng kết quả mới.</t>
        </is>
      </c>
      <c r="C2989" s="57" t="n"/>
      <c r="D2989" s="57" t="n"/>
      <c r="E2989" s="57" t="n"/>
    </row>
    <row r="2990" ht="61" customHeight="1">
      <c r="A2990" s="47" t="inlineStr">
        <is>
          <t>4.</t>
        </is>
      </c>
      <c r="B2990" s="56" t="inlineStr">
        <is>
          <t>(Theo tiêu chí nghiệm thu “Thứ tự đánh giá tương đối”) Bước 3 không tự chạy lại Thực hiện tổng hợp（集計実行） hay thêm lượt xét thứ hai, kể cả khi tính tự động làm đổi điểm dùng cho trung bình: lần chạy tổng hợp gần nhất vẫn là lần ở bước 2. Muốn dùng trung bình mới thì người dùng chạy lại quy trình.</t>
        </is>
      </c>
      <c r="C2990" s="57" t="n"/>
      <c r="D2990" s="57" t="n"/>
      <c r="E2990" s="57" t="n"/>
    </row>
    <row r="2991" ht="44" customHeight="1">
      <c r="A2991" s="47" t="inlineStr">
        <is>
          <t>Giữ nguyên</t>
        </is>
      </c>
      <c r="B2991" s="56" t="inlineStr">
        <is>
          <t>• Giữ điểm, cấu hình và đối tượng không đích theo expected;
• Chỉ thay phần thủ tục yêu cầu, không tự đổi oracle hoặc mở rộng phạm vi.</t>
        </is>
      </c>
      <c r="C2991" s="57" t="n"/>
      <c r="D2991" s="57" t="n"/>
      <c r="E2991" s="57" t="n"/>
    </row>
    <row r="2992" ht="61" customHeight="1">
      <c r="A2992" s="47" t="inlineStr">
        <is>
          <t>Quan sát tại</t>
        </is>
      </c>
      <c r="B2992" s="56" t="inlineStr">
        <is>
          <t>• Dùng trích xuất không lọc để thấy cả ô đối chứng. Trạng thái không có dấu đỏ cần đọc thêm trạng thái lưu;
• Output Excel/PDF dùng file thật.</t>
        </is>
      </c>
      <c r="C2992" s="57" t="n"/>
      <c r="D2992" s="57" t="n"/>
      <c r="E2992" s="57" t="n"/>
    </row>
    <row r="2993" ht="30" customHeight="1">
      <c r="A2993" s="58" t="inlineStr">
        <is>
          <t>Kết quả thực tế</t>
        </is>
      </c>
      <c r="B2993" s="59" t="n"/>
      <c r="C2993" s="59" t="n"/>
      <c r="D2993" s="59" t="n"/>
      <c r="E2993" s="59" t="n"/>
    </row>
    <row r="2994" ht="30" customHeight="1">
      <c r="A2994" s="47" t="inlineStr">
        <is>
          <t>Dữ liệu biến thể</t>
        </is>
      </c>
      <c r="B2994" s="56" t="inlineStr">
        <is>
          <t>Toàn bộ thủ tục theo đúng thứ tự; các đối chứng cùng fixture được kiểm trong cùng lượt, không bỏ bước</t>
        </is>
      </c>
      <c r="C2994" s="57" t="n"/>
      <c r="D2994" s="57" t="n"/>
      <c r="E2994" s="57" t="n"/>
    </row>
    <row r="2995" ht="30" customHeight="1">
      <c r="A2995" s="62" t="inlineStr">
        <is>
          <t>Kết quả thực tế</t>
        </is>
      </c>
    </row>
    <row r="2996" ht="64" customHeight="1">
      <c r="A2996" s="63" t="inlineStr"/>
      <c r="B2996" s="64" t="n"/>
      <c r="C2996" s="64" t="n"/>
      <c r="D2996" s="64" t="n"/>
      <c r="E2996" s="65" t="n"/>
    </row>
    <row r="2997" ht="30" customHeight="1">
      <c r="A2997" s="62" t="inlineStr">
        <is>
          <t>Ảnh minh chứng</t>
        </is>
      </c>
    </row>
    <row r="2998" ht="90" customHeight="1">
      <c r="A2998" s="63" t="inlineStr"/>
      <c r="B2998" s="64" t="n"/>
      <c r="C2998" s="64" t="n"/>
      <c r="D2998" s="64" t="n"/>
      <c r="E2998" s="65" t="n"/>
    </row>
    <row r="2999" ht="12" customHeight="1">
      <c r="A2999" s="66" t="inlineStr"/>
    </row>
    <row r="3000" ht="20" customHeight="1">
      <c r="A3000" s="66" t="inlineStr"/>
    </row>
    <row r="3001" ht="30" customHeight="1">
      <c r="A3001" s="46" t="inlineStr">
        <is>
          <t>TC-RS-FUNC-034 — Nguồn của điều kiện áp dụng và nguồn của công thức lưu độc lập</t>
        </is>
      </c>
      <c r="B3001" s="23" t="n"/>
      <c r="C3001" s="23" t="n"/>
      <c r="D3001" s="23" t="n"/>
      <c r="E3001" s="23" t="n"/>
    </row>
    <row r="3002" ht="30" customHeight="1">
      <c r="A3002" s="47" t="inlineStr">
        <is>
          <t>Trạng thái</t>
        </is>
      </c>
      <c r="B3002" s="61" t="inlineStr">
        <is>
          <t>Chưa thực hiện</t>
        </is>
      </c>
      <c r="C3002" s="57" t="n"/>
      <c r="D3002" s="57" t="n"/>
      <c r="E3002" s="57" t="n"/>
    </row>
    <row r="3003" ht="30" customHeight="1">
      <c r="A3003" s="47" t="inlineStr">
        <is>
          <t>Màn hình / chức năng</t>
        </is>
      </c>
      <c r="B3003" s="47" t="inlineStr">
        <is>
          <t>Nguồn tổng hợp</t>
        </is>
      </c>
      <c r="C3003" s="57" t="n"/>
      <c r="D3003" s="47" t="inlineStr">
        <is>
          <t>Đường dẫn</t>
        </is>
      </c>
      <c r="E3003" s="56" t="inlineStr">
        <is>
          <t>Chưa xác minh</t>
        </is>
      </c>
    </row>
    <row r="3004" ht="30" customHeight="1">
      <c r="A3004" s="58" t="inlineStr">
        <is>
          <t>Điều kiện kiểm thử</t>
        </is>
      </c>
      <c r="B3004" s="59" t="n"/>
      <c r="C3004" s="59" t="n"/>
      <c r="D3004" s="59" t="n"/>
      <c r="E3004" s="59" t="n"/>
    </row>
    <row r="3005" ht="78" customHeight="1">
      <c r="A3005" s="47" t="inlineStr">
        <is>
          <t>Cấu hình</t>
        </is>
      </c>
      <c r="B3005" s="56" t="inlineStr">
        <is>
          <t>• Ba nguồn cùng Thiết lập tổng hợp thứ hạng（順位集計設定） và nhóm ホームルーム (lớp chủ nhiệm), khác Thời kỳ tổng hợp（集計対象時期）: P [A=60];
• P2 [A=70];
• Q [A=40].</t>
        </is>
      </c>
      <c r="C3005" s="57" t="n"/>
      <c r="D3005" s="57" t="n"/>
      <c r="E3005" s="57" t="n"/>
    </row>
    <row r="3006" ht="61" customHeight="1">
      <c r="A3006" s="47" t="inlineStr">
        <is>
          <t>Vai trò / quyền</t>
        </is>
      </c>
      <c r="B300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006" s="57" t="n"/>
      <c r="D3006" s="57" t="n"/>
      <c r="E3006" s="57" t="n"/>
    </row>
    <row r="3007" ht="61" customHeight="1">
      <c r="A3007" s="47" t="inlineStr">
        <is>
          <t>Dữ liệu test</t>
        </is>
      </c>
      <c r="B3007" s="56" t="inlineStr">
        <is>
          <t>• Quy tắc: điều kiện Trung bình（平均点） [≥50] dùng nguồn P;
• Ngưỡng Công thức（計算式） [A×0.5] dùng nguồn Q;
• [&lt;]. S = 25</t>
        </is>
      </c>
      <c r="C3007" s="57" t="n"/>
      <c r="D3007" s="57" t="n"/>
      <c r="E3007" s="57" t="n"/>
    </row>
    <row r="3008" ht="30" customHeight="1">
      <c r="A3008" s="47" t="inlineStr">
        <is>
          <t>Trigger</t>
        </is>
      </c>
      <c r="B3008" s="56" t="inlineStr">
        <is>
          <t>• Chỉ xem/xuất không tự chạy xét.</t>
        </is>
      </c>
      <c r="C3008" s="57" t="n"/>
      <c r="D3008" s="57" t="n"/>
      <c r="E3008" s="57" t="n"/>
    </row>
    <row r="3009" ht="44" customHeight="1">
      <c r="A3009" s="47" t="inlineStr">
        <is>
          <t>Blocker</t>
        </is>
      </c>
      <c r="B3009" s="56" t="inlineStr">
        <is>
          <t>• G-PREP-UNASSESSED: Chưa có xác minh fixture, đường thực hiện và phép quan sát trên build của từng case chưa đánh giá.</t>
        </is>
      </c>
      <c r="C3009" s="57" t="n"/>
      <c r="D3009" s="57" t="n"/>
      <c r="E3009" s="57" t="n"/>
    </row>
    <row r="3010" ht="30" customHeight="1">
      <c r="A3010" s="58" t="inlineStr">
        <is>
          <t>Thao tác</t>
        </is>
      </c>
      <c r="B3010" s="59" t="n"/>
      <c r="C3010" s="59" t="n"/>
      <c r="D3010" s="59" t="n"/>
      <c r="E3010" s="59" t="n"/>
    </row>
    <row r="3011" ht="30" customHeight="1">
      <c r="A3011" s="47" t="inlineStr">
        <is>
          <t>Step 1</t>
        </is>
      </c>
      <c r="B3011" s="56" t="inlineStr">
        <is>
          <t>Lưu quy tắc, mở lại.</t>
        </is>
      </c>
      <c r="C3011" s="57" t="n"/>
      <c r="D3011" s="57" t="n"/>
      <c r="E3011" s="57" t="n"/>
    </row>
    <row r="3012" ht="30" customHeight="1">
      <c r="A3012" s="47" t="inlineStr">
        <is>
          <t>Step 2</t>
        </is>
      </c>
      <c r="B3012" s="56" t="inlineStr">
        <is>
          <t>Chỉ đổi nguồn của điều kiện từ P sang P2, Lưu, mở lại.</t>
        </is>
      </c>
      <c r="C3012" s="57" t="n"/>
      <c r="D3012" s="57" t="n"/>
      <c r="E3012" s="57" t="n"/>
    </row>
    <row r="3013" ht="30" customHeight="1">
      <c r="A3013" s="47" t="inlineStr">
        <is>
          <t>Step 3</t>
        </is>
      </c>
      <c r="B3013" s="56" t="inlineStr">
        <is>
          <t>Chạy nút cam.</t>
        </is>
      </c>
      <c r="C3013" s="57" t="n"/>
      <c r="D3013" s="57" t="n"/>
      <c r="E3013" s="57" t="n"/>
    </row>
    <row r="3014" ht="61" customHeight="1">
      <c r="A3014" s="47" t="inlineStr">
        <is>
          <t>Step 4</t>
        </is>
      </c>
      <c r="B3014" s="56" t="inlineStr">
        <is>
          <t>Trên form, đổi Thời kỳ tổng hợp（集計対象時期） của nguồn điều kiện sang kỳ mà Thiết lập tổng hợp thứ hạng（順位集計設定） đang chọn vẫn hợp lệ; rồi đổi sang kỳ mà thiết lập đó không còn hợp lệ. Xem các ô chọn phụ thuộc sau mỗi lần đổi.</t>
        </is>
      </c>
      <c r="C3014" s="57" t="n"/>
      <c r="D3014" s="57" t="n"/>
      <c r="E3014" s="57" t="n"/>
    </row>
    <row r="3015" ht="44" customHeight="1">
      <c r="A3015" s="47" t="inlineStr">
        <is>
          <t>Reset</t>
        </is>
      </c>
      <c r="B3015" s="56" t="inlineStr">
        <is>
          <t>Trước mỗi biến thể, dựng lại điều kiện/dữ liệu đầu của case bằng đường được phép; giữ các reset/fixture độc lập đã nêu trong thủ tục.</t>
        </is>
      </c>
      <c r="C3015" s="57" t="n"/>
      <c r="D3015" s="57" t="n"/>
      <c r="E3015" s="57" t="n"/>
    </row>
    <row r="3016" ht="30" customHeight="1">
      <c r="A3016" s="58" t="inlineStr">
        <is>
          <t>Kết quả mong đợi</t>
        </is>
      </c>
      <c r="B3016" s="59" t="n"/>
      <c r="C3016" s="59" t="n"/>
      <c r="D3016" s="59" t="n"/>
      <c r="E3016" s="59" t="n"/>
    </row>
    <row r="3017" ht="30" customHeight="1">
      <c r="A3017" s="47" t="inlineStr">
        <is>
          <t>1.</t>
        </is>
      </c>
      <c r="B3017" s="56" t="inlineStr">
        <is>
          <t>Mỗi phần hiện đúng nguồn của mình (điều kiện: P; công thức: Q).</t>
        </is>
      </c>
      <c r="C3017" s="57" t="n"/>
      <c r="D3017" s="57" t="n"/>
      <c r="E3017" s="57" t="n"/>
    </row>
    <row r="3018" ht="30" customHeight="1">
      <c r="A3018" s="47" t="inlineStr">
        <is>
          <t>2.</t>
        </is>
      </c>
      <c r="B3018" s="56" t="inlineStr">
        <is>
          <t>Điều kiện dùng P2; công thức vẫn dùng Q.</t>
        </is>
      </c>
      <c r="C3018" s="57" t="n"/>
      <c r="D3018" s="57" t="n"/>
      <c r="E3018" s="57" t="n"/>
    </row>
    <row r="3019" ht="44" customHeight="1">
      <c r="A3019" s="47" t="inlineStr">
        <is>
          <t>3.</t>
        </is>
      </c>
      <c r="B3019" s="56" t="inlineStr">
        <is>
          <t>[70≥50] khớp; [T=40×0.5=20] → S=25 Không đỏ. Nếu công thức bị đổi theo P2 ([T=35]) hoặc dùng P ([T=30]) thì S=25 thành Đỏ — sai.</t>
        </is>
      </c>
      <c r="C3019" s="57" t="n"/>
      <c r="D3019" s="57" t="n"/>
      <c r="E3019" s="57" t="n"/>
    </row>
    <row r="3020" ht="44" customHeight="1">
      <c r="A3020" s="47" t="inlineStr">
        <is>
          <t>4.</t>
        </is>
      </c>
      <c r="B3020" s="56" t="inlineStr">
        <is>
          <t>(PROPOSED) Chỉ lựa chọn phụ thuộc không còn hợp lệ bị xóa; lựa chọn còn hợp lệ được giữ; nguồn của công thức không đổi.</t>
        </is>
      </c>
      <c r="C3020" s="57" t="n"/>
      <c r="D3020" s="57" t="n"/>
      <c r="E3020" s="57" t="n"/>
    </row>
    <row r="3021" ht="44" customHeight="1">
      <c r="A3021" s="47" t="inlineStr">
        <is>
          <t>Giữ nguyên</t>
        </is>
      </c>
      <c r="B3021" s="56" t="inlineStr">
        <is>
          <t>• Giữ điểm, cấu hình và đối tượng không đích theo expected;
• Chỉ thay phần thủ tục yêu cầu, không tự đổi oracle hoặc mở rộng phạm vi.</t>
        </is>
      </c>
      <c r="C3021" s="57" t="n"/>
      <c r="D3021" s="57" t="n"/>
      <c r="E3021" s="57" t="n"/>
    </row>
    <row r="3022" ht="61" customHeight="1">
      <c r="A3022" s="47" t="inlineStr">
        <is>
          <t>Quan sát tại</t>
        </is>
      </c>
      <c r="B3022" s="56" t="inlineStr">
        <is>
          <t>• Dùng trích xuất không lọc để thấy cả ô đối chứng. Trạng thái không có dấu đỏ cần đọc thêm trạng thái lưu;
• Output Excel/PDF dùng file thật.</t>
        </is>
      </c>
      <c r="C3022" s="57" t="n"/>
      <c r="D3022" s="57" t="n"/>
      <c r="E3022" s="57" t="n"/>
    </row>
    <row r="3023" ht="30" customHeight="1">
      <c r="A3023" s="58" t="inlineStr">
        <is>
          <t>Kết quả thực tế</t>
        </is>
      </c>
      <c r="B3023" s="59" t="n"/>
      <c r="C3023" s="59" t="n"/>
      <c r="D3023" s="59" t="n"/>
      <c r="E3023" s="59" t="n"/>
    </row>
    <row r="3024" ht="30" customHeight="1">
      <c r="A3024" s="47" t="inlineStr">
        <is>
          <t>Dữ liệu biến thể</t>
        </is>
      </c>
      <c r="B3024" s="56" t="inlineStr">
        <is>
          <t>Toàn bộ thủ tục theo đúng thứ tự; các đối chứng cùng fixture được kiểm trong cùng lượt, không bỏ bước</t>
        </is>
      </c>
      <c r="C3024" s="57" t="n"/>
      <c r="D3024" s="57" t="n"/>
      <c r="E3024" s="57" t="n"/>
    </row>
    <row r="3025" ht="30" customHeight="1">
      <c r="A3025" s="62" t="inlineStr">
        <is>
          <t>Kết quả thực tế</t>
        </is>
      </c>
    </row>
    <row r="3026" ht="64" customHeight="1">
      <c r="A3026" s="63" t="inlineStr"/>
      <c r="B3026" s="64" t="n"/>
      <c r="C3026" s="64" t="n"/>
      <c r="D3026" s="64" t="n"/>
      <c r="E3026" s="65" t="n"/>
    </row>
    <row r="3027" ht="30" customHeight="1">
      <c r="A3027" s="62" t="inlineStr">
        <is>
          <t>Ảnh minh chứng</t>
        </is>
      </c>
    </row>
    <row r="3028" ht="90" customHeight="1">
      <c r="A3028" s="63" t="inlineStr"/>
      <c r="B3028" s="64" t="n"/>
      <c r="C3028" s="64" t="n"/>
      <c r="D3028" s="64" t="n"/>
      <c r="E3028" s="65" t="n"/>
    </row>
    <row r="3029" ht="12" customHeight="1">
      <c r="A3029" s="66" t="inlineStr"/>
    </row>
    <row r="3030" ht="20" customHeight="1">
      <c r="A3030" s="66" t="inlineStr"/>
    </row>
    <row r="3031" ht="30" customHeight="1">
      <c r="A3031" s="46" t="inlineStr">
        <is>
          <t>TC-RS-FUNC-036 — Danh sách nhóm tham chiếu theo thiết lập tổng hợp hiện hữu</t>
        </is>
      </c>
      <c r="B3031" s="23" t="n"/>
      <c r="C3031" s="23" t="n"/>
      <c r="D3031" s="23" t="n"/>
      <c r="E3031" s="23" t="n"/>
    </row>
    <row r="3032" ht="30" customHeight="1">
      <c r="A3032" s="47" t="inlineStr">
        <is>
          <t>Trạng thái</t>
        </is>
      </c>
      <c r="B3032" s="56">
        <f>IF(0&gt;0,"Không đạt",IF(0=3,"Đạt",IF(SUMPRODUCT(--EXACT('Testcases'!B3058:B3074,"Không thực hiện"))=3,"Không thực hiện",IF(SUMPRODUCT(--EXACT('Testcases'!B3058:B3074,"Bị chặn"))&gt;0,"Bị chặn",IF(SUMPRODUCT(--EXACT('Testcases'!B3058:B3074,"Chưa thực hiện"))=3,"Chưa thực hiện","Chưa đủ kết luận")))))</f>
        <v/>
      </c>
      <c r="C3032" s="57" t="n"/>
      <c r="D3032" s="57" t="n"/>
      <c r="E3032" s="57" t="n"/>
    </row>
    <row r="3033" ht="30" customHeight="1">
      <c r="A3033" s="47" t="inlineStr">
        <is>
          <t>Màn hình / chức năng</t>
        </is>
      </c>
      <c r="B3033" s="47" t="inlineStr">
        <is>
          <t>Nguồn tổng hợp</t>
        </is>
      </c>
      <c r="C3033" s="57" t="n"/>
      <c r="D3033" s="47" t="inlineStr">
        <is>
          <t>Đường dẫn</t>
        </is>
      </c>
      <c r="E3033" s="56" t="inlineStr">
        <is>
          <t>Chưa xác minh</t>
        </is>
      </c>
    </row>
    <row r="3034" ht="30" customHeight="1">
      <c r="A3034" s="58" t="inlineStr">
        <is>
          <t>Điều kiện kiểm thử</t>
        </is>
      </c>
      <c r="B3034" s="59" t="n"/>
      <c r="C3034" s="59" t="n"/>
      <c r="D3034" s="59" t="n"/>
      <c r="E3034" s="59" t="n"/>
    </row>
    <row r="3035" ht="78" customHeight="1">
      <c r="A3035" s="47" t="inlineStr">
        <is>
          <t>Cấu hình</t>
        </is>
      </c>
      <c r="B3035" s="56" t="inlineStr">
        <is>
          <t>• Trường A/2026 có thiết lập tổng hợp X（評点集計） (khối, lớp chủ nhiệm bật;
• Lớp học tắt), nhóm tổng hợp thứ hạng “Toán I khối 1+2”, nhóm tổ hợp “Tổ hợp Toán”, nhóm môn học “Nhóm môn Toán”. Mở form thêm quy tắc của mục số nguyên (M=100) với điều kiện Trung bình（平均点） và ngưỡng Công thức（計算式） dùng trung bình.</t>
        </is>
      </c>
      <c r="C3035" s="57" t="n"/>
      <c r="D3035" s="57" t="n"/>
      <c r="E3035" s="57" t="n"/>
    </row>
    <row r="3036" ht="61" customHeight="1">
      <c r="A3036" s="47" t="inlineStr">
        <is>
          <t>Vai trò / quyền</t>
        </is>
      </c>
      <c r="B303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036" s="57" t="n"/>
      <c r="D3036" s="57" t="n"/>
      <c r="E3036" s="57" t="n"/>
    </row>
    <row r="3037" ht="78" customHeight="1">
      <c r="A3037" s="47" t="inlineStr">
        <is>
          <t>Dữ liệu test</t>
        </is>
      </c>
      <c r="B3037" s="56" t="inlineStr">
        <is>
          <t>• Thiết lập tổng hợp X（評点集計）, thiết lập tổng hợp X đã bật thêm Lớp học（授業）, nhóm tổng hợp thứ hạng “Toán I khối 1+2”, nhóm tổ hợp “Tổ hợp Toán”, nhóm môn học “Nhóm môn Toán”;
• Mục số nguyên (M=100);
• Tài khoản giáo viên có quyền sửa mục, tài khoản có quyền chạy hàng loạt</t>
        </is>
      </c>
      <c r="C3037" s="57" t="n"/>
      <c r="D3037" s="57" t="n"/>
      <c r="E3037" s="57" t="n"/>
    </row>
    <row r="3038" ht="30" customHeight="1">
      <c r="A3038" s="47" t="inlineStr">
        <is>
          <t>Trigger</t>
        </is>
      </c>
      <c r="B3038" s="56" t="inlineStr">
        <is>
          <t>• Chỉ xem/xuất không tự chạy xét.</t>
        </is>
      </c>
      <c r="C3038" s="57" t="n"/>
      <c r="D3038" s="57" t="n"/>
      <c r="E3038" s="57" t="n"/>
    </row>
    <row r="3039" ht="44" customHeight="1">
      <c r="A3039" s="47" t="inlineStr">
        <is>
          <t>Blocker</t>
        </is>
      </c>
      <c r="B3039" s="56" t="inlineStr">
        <is>
          <t>• G-PREP-UNASSESSED: Chưa có xác minh fixture, đường thực hiện và phép quan sát trên build của từng case chưa đánh giá.</t>
        </is>
      </c>
      <c r="C3039" s="57" t="n"/>
      <c r="D3039" s="57" t="n"/>
      <c r="E3039" s="57" t="n"/>
    </row>
    <row r="3040" ht="30" customHeight="1">
      <c r="A3040" s="58" t="inlineStr">
        <is>
          <t>Thao tác</t>
        </is>
      </c>
      <c r="B3040" s="59" t="n"/>
      <c r="C3040" s="59" t="n"/>
      <c r="D3040" s="59" t="n"/>
      <c r="E3040" s="59" t="n"/>
    </row>
    <row r="3041" ht="44" customHeight="1">
      <c r="A3041" s="47" t="inlineStr">
        <is>
          <t>Step 1</t>
        </is>
      </c>
      <c r="B3041" s="56" t="inlineStr">
        <is>
          <t>Ở nguồn của điều kiện: chọn Thời kỳ tổng hợp（集計対象時期）, chọn Thiết lập tổng hợp thứ hạng（順位集計設定） X, rồi mở danh sách Đối tượng tổng hợp（集計対象）. Ghi lại các lựa chọn.</t>
        </is>
      </c>
      <c r="C3041" s="57" t="n"/>
      <c r="D3041" s="57" t="n"/>
      <c r="E3041" s="57" t="n"/>
    </row>
    <row r="3042" ht="44" customHeight="1">
      <c r="A3042" s="47" t="inlineStr">
        <is>
          <t>Step 2</t>
        </is>
      </c>
      <c r="B3042" s="56" t="inlineStr">
        <is>
          <t>Bật thêm Lớp học（授業） trong công tắc tổng hợp hiện hữu (thành thiết lập tổng hợp X đã bật thêm Lớp học（授業）), chạy lại tổng hợp X; mở lại danh sách ở bước 1.</t>
        </is>
      </c>
      <c r="C3042" s="57" t="n"/>
      <c r="D3042" s="57" t="n"/>
      <c r="E3042" s="57" t="n"/>
    </row>
    <row r="3043" ht="44" customHeight="1">
      <c r="A3043" s="47" t="inlineStr">
        <is>
          <t>Step 3</t>
        </is>
      </c>
      <c r="B3043" s="56" t="inlineStr">
        <is>
          <t>Tắt cả ba công tắc khối/lớp chủ nhiệm/lớp học; mở lại danh sách. Chọn nhóm tổng hợp thứ hạng “Toán I khối 1+2”, lưu, mở lại form.</t>
        </is>
      </c>
      <c r="C3043" s="57" t="n"/>
      <c r="D3043" s="57" t="n"/>
      <c r="E3043" s="57" t="n"/>
    </row>
    <row r="3044" ht="30" customHeight="1">
      <c r="A3044" s="47" t="inlineStr">
        <is>
          <t>Step 4</t>
        </is>
      </c>
      <c r="B3044" s="56" t="inlineStr">
        <is>
          <t>Ở trường/năm không có nhóm tổng hợp/tổ hợp/nhóm môn nào được cấu hình và chỉ bật khối: mở danh sách.</t>
        </is>
      </c>
      <c r="C3044" s="57" t="n"/>
      <c r="D3044" s="57" t="n"/>
      <c r="E3044" s="57" t="n"/>
    </row>
    <row r="3045" ht="44" customHeight="1">
      <c r="A3045" s="47" t="inlineStr">
        <is>
          <t>Step 5</t>
        </is>
      </c>
      <c r="B3045" s="56" t="inlineStr">
        <is>
          <t>Ở nguồn của công thức: lặp thứ tự chọn Thiết lập tổng hợp thứ hạng → Đối tượng tổng hợp, chọn nhóm khác với nguồn điều kiện; lưu, mở lại.</t>
        </is>
      </c>
      <c r="C3045" s="57" t="n"/>
      <c r="D3045" s="57" t="n"/>
      <c r="E3045" s="57" t="n"/>
    </row>
    <row r="3046" ht="44" customHeight="1">
      <c r="A3046" s="47" t="inlineStr">
        <is>
          <t>Reset</t>
        </is>
      </c>
      <c r="B3046" s="56" t="inlineStr">
        <is>
          <t>Trước mỗi biến thể, dựng lại điều kiện/dữ liệu đầu của case bằng đường được phép; giữ các reset/fixture độc lập đã nêu trong thủ tục.</t>
        </is>
      </c>
      <c r="C3046" s="57" t="n"/>
      <c r="D3046" s="57" t="n"/>
      <c r="E3046" s="57" t="n"/>
    </row>
    <row r="3047" ht="30" customHeight="1">
      <c r="A3047" s="58" t="inlineStr">
        <is>
          <t>Kết quả mong đợi</t>
        </is>
      </c>
      <c r="B3047" s="59" t="n"/>
      <c r="C3047" s="59" t="n"/>
      <c r="D3047" s="59" t="n"/>
      <c r="E3047" s="59" t="n"/>
    </row>
    <row r="3048" ht="61" customHeight="1">
      <c r="A3048" s="47" t="inlineStr">
        <is>
          <t>1.</t>
        </is>
      </c>
      <c r="B3048" s="56" t="inlineStr">
        <is>
          <t>Trong ba loại cơ bản chỉ có Khối（学年） và Lớp chủ nhiệm（ホームルーム）; không có Lớp học（授業）. Có nhóm tổng hợp thứ hạng “Toán I khối 1+2”, nhóm tổ hợp “Tổ hợp Toán”, nhóm môn học “Nhóm môn Toán”, hiển thị bằng tên đã đặt.</t>
        </is>
      </c>
      <c r="C3048" s="57" t="n"/>
      <c r="D3048" s="57" t="n"/>
      <c r="E3048" s="57" t="n"/>
    </row>
    <row r="3049" ht="30" customHeight="1">
      <c r="A3049" s="47" t="inlineStr">
        <is>
          <t>2.</t>
        </is>
      </c>
      <c r="B3049" s="56" t="inlineStr">
        <is>
          <t>Có thêm lựa chọn Lớp học（授業） trong cùng X; không phải tạo cấu hình tổng hợp mới để có loại này.</t>
        </is>
      </c>
      <c r="C3049" s="57" t="n"/>
      <c r="D3049" s="57" t="n"/>
      <c r="E3049" s="57" t="n"/>
    </row>
    <row r="3050" ht="44" customHeight="1">
      <c r="A3050" s="47" t="inlineStr">
        <is>
          <t>3.</t>
        </is>
      </c>
      <c r="B3050" s="56" t="inlineStr">
        <is>
          <t>Không còn khối/lớp chủ nhiệm/lớp học; nhóm tổng hợp, tổ hợp, nhóm môn vẫn chọn được. Mở lại hiện đúng tên nhóm tổng hợp thứ hạng “Toán I khối 1+2” (đã lưu theo ID).</t>
        </is>
      </c>
      <c r="C3050" s="57" t="n"/>
      <c r="D3050" s="57" t="n"/>
      <c r="E3050" s="57" t="n"/>
    </row>
    <row r="3051" ht="30" customHeight="1">
      <c r="A3051" s="47" t="inlineStr">
        <is>
          <t>4.</t>
        </is>
      </c>
      <c r="B3051" s="56" t="inlineStr">
        <is>
          <t>Chỉ có Khối（学年）; không hiện cố định đủ sáu loại, không có lựa chọn rỗng mang tên loại chưa cấu hình.</t>
        </is>
      </c>
      <c r="C3051" s="57" t="n"/>
      <c r="D3051" s="57" t="n"/>
      <c r="E3051" s="57" t="n"/>
    </row>
    <row r="3052" ht="44" customHeight="1">
      <c r="A3052" s="47" t="inlineStr">
        <is>
          <t>5.</t>
        </is>
      </c>
      <c r="B3052" s="56" t="inlineStr">
        <is>
          <t>Nguồn điều kiện và nguồn công thức mở lại đúng lựa chọn riêng của từng phần. Form không có công tắc bật/tắt tổng hợp riêng của điểm đỏ, không có trường thứ hạng, tên hiển thị hay biểu đồ lấy từ màn công khai.</t>
        </is>
      </c>
      <c r="C3052" s="57" t="n"/>
      <c r="D3052" s="57" t="n"/>
      <c r="E3052" s="57" t="n"/>
    </row>
    <row r="3053" ht="44" customHeight="1">
      <c r="A3053" s="47" t="inlineStr">
        <is>
          <t>Giữ nguyên</t>
        </is>
      </c>
      <c r="B3053" s="56" t="inlineStr">
        <is>
          <t>• Giữ điểm, cấu hình và đối tượng không đích theo expected;
• Chỉ thay phần thủ tục yêu cầu, không tự đổi oracle hoặc mở rộng phạm vi.</t>
        </is>
      </c>
      <c r="C3053" s="57" t="n"/>
      <c r="D3053" s="57" t="n"/>
      <c r="E3053" s="57" t="n"/>
    </row>
    <row r="3054" ht="61" customHeight="1">
      <c r="A3054" s="47" t="inlineStr">
        <is>
          <t>Quan sát tại</t>
        </is>
      </c>
      <c r="B3054" s="56" t="inlineStr">
        <is>
          <t>• Dùng trích xuất không lọc để thấy cả ô đối chứng. Trạng thái không có dấu đỏ cần đọc thêm trạng thái lưu;
• Output Excel/PDF dùng file thật.</t>
        </is>
      </c>
      <c r="C3054" s="57" t="n"/>
      <c r="D3054" s="57" t="n"/>
      <c r="E3054" s="57" t="n"/>
    </row>
    <row r="3055" ht="30" customHeight="1">
      <c r="A3055" s="58" t="inlineStr">
        <is>
          <t>Kết quả thực tế</t>
        </is>
      </c>
      <c r="B3055" s="59" t="n"/>
      <c r="C3055" s="59" t="n"/>
      <c r="D3055" s="59" t="n"/>
      <c r="E3055" s="59" t="n"/>
    </row>
    <row r="3056" ht="30" customHeight="1">
      <c r="A3056" s="60" t="inlineStr">
        <is>
          <t>TC-RS-FUNC-036 / switch-sequence</t>
        </is>
      </c>
      <c r="B3056" s="36" t="n"/>
      <c r="C3056" s="36" t="n"/>
      <c r="D3056" s="36" t="n"/>
      <c r="E3056" s="36" t="n"/>
    </row>
    <row r="3057" ht="30" customHeight="1">
      <c r="A3057" s="47" t="inlineStr">
        <is>
          <t>Dữ liệu biến thể</t>
        </is>
      </c>
      <c r="B3057" s="56" t="inlineStr">
        <is>
          <t>Bước 1–3 cùng X theo thứ tự</t>
        </is>
      </c>
      <c r="C3057" s="57" t="n"/>
      <c r="D3057" s="57" t="n"/>
      <c r="E3057" s="57" t="n"/>
    </row>
    <row r="3058" ht="30" customHeight="1">
      <c r="A3058" s="47" t="inlineStr">
        <is>
          <t>Trạng thái</t>
        </is>
      </c>
      <c r="B3058" s="61" t="inlineStr">
        <is>
          <t>Chưa thực hiện</t>
        </is>
      </c>
      <c r="C3058" s="57" t="n"/>
      <c r="D3058" s="57" t="n"/>
      <c r="E3058" s="57" t="n"/>
    </row>
    <row r="3059" ht="30" customHeight="1">
      <c r="A3059" s="62" t="inlineStr">
        <is>
          <t>Kết quả thực tế</t>
        </is>
      </c>
    </row>
    <row r="3060" ht="64" customHeight="1">
      <c r="A3060" s="63" t="inlineStr"/>
      <c r="B3060" s="64" t="n"/>
      <c r="C3060" s="64" t="n"/>
      <c r="D3060" s="64" t="n"/>
      <c r="E3060" s="65" t="n"/>
    </row>
    <row r="3061" ht="30" customHeight="1">
      <c r="A3061" s="62" t="inlineStr">
        <is>
          <t>Ảnh minh chứng</t>
        </is>
      </c>
    </row>
    <row r="3062" ht="90" customHeight="1">
      <c r="A3062" s="63" t="inlineStr"/>
      <c r="B3062" s="64" t="n"/>
      <c r="C3062" s="64" t="n"/>
      <c r="D3062" s="64" t="n"/>
      <c r="E3062" s="65" t="n"/>
    </row>
    <row r="3063" ht="12" customHeight="1">
      <c r="A3063" s="66" t="inlineStr"/>
    </row>
    <row r="3064" ht="30" customHeight="1">
      <c r="A3064" s="60" t="inlineStr">
        <is>
          <t>TC-RS-FUNC-036 / grade-only</t>
        </is>
      </c>
      <c r="B3064" s="36" t="n"/>
      <c r="C3064" s="36" t="n"/>
      <c r="D3064" s="36" t="n"/>
      <c r="E3064" s="36" t="n"/>
    </row>
    <row r="3065" ht="30" customHeight="1">
      <c r="A3065" s="47" t="inlineStr">
        <is>
          <t>Dữ liệu biến thể</t>
        </is>
      </c>
      <c r="B3065" s="56" t="inlineStr">
        <is>
          <t>Bước 4 với fixture chỉ khối</t>
        </is>
      </c>
      <c r="C3065" s="57" t="n"/>
      <c r="D3065" s="57" t="n"/>
      <c r="E3065" s="57" t="n"/>
    </row>
    <row r="3066" ht="30" customHeight="1">
      <c r="A3066" s="47" t="inlineStr">
        <is>
          <t>Trạng thái</t>
        </is>
      </c>
      <c r="B3066" s="61" t="inlineStr">
        <is>
          <t>Chưa thực hiện</t>
        </is>
      </c>
      <c r="C3066" s="57" t="n"/>
      <c r="D3066" s="57" t="n"/>
      <c r="E3066" s="57" t="n"/>
    </row>
    <row r="3067" ht="30" customHeight="1">
      <c r="A3067" s="62" t="inlineStr">
        <is>
          <t>Kết quả thực tế</t>
        </is>
      </c>
    </row>
    <row r="3068" ht="64" customHeight="1">
      <c r="A3068" s="63" t="inlineStr"/>
      <c r="B3068" s="64" t="n"/>
      <c r="C3068" s="64" t="n"/>
      <c r="D3068" s="64" t="n"/>
      <c r="E3068" s="65" t="n"/>
    </row>
    <row r="3069" ht="30" customHeight="1">
      <c r="A3069" s="62" t="inlineStr">
        <is>
          <t>Ảnh minh chứng</t>
        </is>
      </c>
    </row>
    <row r="3070" ht="90" customHeight="1">
      <c r="A3070" s="63" t="inlineStr"/>
      <c r="B3070" s="64" t="n"/>
      <c r="C3070" s="64" t="n"/>
      <c r="D3070" s="64" t="n"/>
      <c r="E3070" s="65" t="n"/>
    </row>
    <row r="3071" ht="12" customHeight="1">
      <c r="A3071" s="66" t="inlineStr"/>
    </row>
    <row r="3072" ht="30" customHeight="1">
      <c r="A3072" s="60" t="inlineStr">
        <is>
          <t>TC-RS-FUNC-036 / formula-source</t>
        </is>
      </c>
      <c r="B3072" s="36" t="n"/>
      <c r="C3072" s="36" t="n"/>
      <c r="D3072" s="36" t="n"/>
      <c r="E3072" s="36" t="n"/>
    </row>
    <row r="3073" ht="30" customHeight="1">
      <c r="A3073" s="47" t="inlineStr">
        <is>
          <t>Dữ liệu biến thể</t>
        </is>
      </c>
      <c r="B3073" s="56" t="inlineStr">
        <is>
          <t>Bước 5, chuẩn bị nguồn điều kiện trước</t>
        </is>
      </c>
      <c r="C3073" s="57" t="n"/>
      <c r="D3073" s="57" t="n"/>
      <c r="E3073" s="57" t="n"/>
    </row>
    <row r="3074" ht="30" customHeight="1">
      <c r="A3074" s="47" t="inlineStr">
        <is>
          <t>Trạng thái</t>
        </is>
      </c>
      <c r="B3074" s="61" t="inlineStr">
        <is>
          <t>Chưa thực hiện</t>
        </is>
      </c>
      <c r="C3074" s="57" t="n"/>
      <c r="D3074" s="57" t="n"/>
      <c r="E3074" s="57" t="n"/>
    </row>
    <row r="3075" ht="30" customHeight="1">
      <c r="A3075" s="62" t="inlineStr">
        <is>
          <t>Kết quả thực tế</t>
        </is>
      </c>
    </row>
    <row r="3076" ht="64" customHeight="1">
      <c r="A3076" s="63" t="inlineStr"/>
      <c r="B3076" s="64" t="n"/>
      <c r="C3076" s="64" t="n"/>
      <c r="D3076" s="64" t="n"/>
      <c r="E3076" s="65" t="n"/>
    </row>
    <row r="3077" ht="30" customHeight="1">
      <c r="A3077" s="62" t="inlineStr">
        <is>
          <t>Ảnh minh chứng</t>
        </is>
      </c>
    </row>
    <row r="3078" ht="90" customHeight="1">
      <c r="A3078" s="63" t="inlineStr"/>
      <c r="B3078" s="64" t="n"/>
      <c r="C3078" s="64" t="n"/>
      <c r="D3078" s="64" t="n"/>
      <c r="E3078" s="65" t="n"/>
    </row>
    <row r="3079" ht="12" customHeight="1">
      <c r="A3079" s="66" t="inlineStr"/>
    </row>
    <row r="3080" ht="20" customHeight="1">
      <c r="A3080" s="66" t="inlineStr"/>
    </row>
    <row r="3081" ht="30" customHeight="1">
      <c r="A3081" s="46" t="inlineStr">
        <is>
          <t>TC-RS-BR-006 — Nhóm tham chiếu tách khỏi đối tượng áp dụng và danh sách đang lọc ở đầu ra</t>
        </is>
      </c>
      <c r="B3081" s="23" t="n"/>
      <c r="C3081" s="23" t="n"/>
      <c r="D3081" s="23" t="n"/>
      <c r="E3081" s="23" t="n"/>
    </row>
    <row r="3082" ht="30" customHeight="1">
      <c r="A3082" s="47" t="inlineStr">
        <is>
          <t>Trạng thái</t>
        </is>
      </c>
      <c r="B3082" s="61" t="inlineStr">
        <is>
          <t>Chưa thực hiện</t>
        </is>
      </c>
      <c r="C3082" s="57" t="n"/>
      <c r="D3082" s="57" t="n"/>
      <c r="E3082" s="57" t="n"/>
    </row>
    <row r="3083" ht="30" customHeight="1">
      <c r="A3083" s="47" t="inlineStr">
        <is>
          <t>Màn hình / chức năng</t>
        </is>
      </c>
      <c r="B3083" s="47" t="inlineStr">
        <is>
          <t>Nguồn tổng hợp</t>
        </is>
      </c>
      <c r="C3083" s="57" t="n"/>
      <c r="D3083" s="47" t="inlineStr">
        <is>
          <t>Đường dẫn</t>
        </is>
      </c>
      <c r="E3083" s="56" t="inlineStr">
        <is>
          <t>Chưa xác minh</t>
        </is>
      </c>
    </row>
    <row r="3084" ht="30" customHeight="1">
      <c r="A3084" s="58" t="inlineStr">
        <is>
          <t>Điều kiện kiểm thử</t>
        </is>
      </c>
      <c r="B3084" s="59" t="n"/>
      <c r="C3084" s="59" t="n"/>
      <c r="D3084" s="59" t="n"/>
      <c r="E3084" s="59" t="n"/>
    </row>
    <row r="3085" ht="44" customHeight="1">
      <c r="A3085" s="47" t="inlineStr">
        <is>
          <t>Cấu hình</t>
        </is>
      </c>
      <c r="B3085" s="56" t="inlineStr">
        <is>
          <t>• Quy tắc chỉ áp dụng cho lớp G-A (bộ lọc lớp), công thức [A×0.5], nguồn có nhóm tham chiếu là một nhóm tổng hợp chứa cả G-A và G-B, [A=50] (G-A riêng có trung bình 40). Đã xét: [T=25].</t>
        </is>
      </c>
      <c r="C3085" s="57" t="n"/>
      <c r="D3085" s="57" t="n"/>
      <c r="E3085" s="57" t="n"/>
    </row>
    <row r="3086" ht="61" customHeight="1">
      <c r="A3086" s="47" t="inlineStr">
        <is>
          <t>Vai trò / quyền</t>
        </is>
      </c>
      <c r="B308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086" s="57" t="n"/>
      <c r="D3086" s="57" t="n"/>
      <c r="E3086" s="57" t="n"/>
    </row>
    <row r="3087" ht="61" customHeight="1">
      <c r="A3087" s="47" t="inlineStr">
        <is>
          <t>Dữ liệu test</t>
        </is>
      </c>
      <c r="B3087" s="56" t="inlineStr">
        <is>
          <t>• Nguồn theo nhóm tổng hợp chứa G-A và G-B (không dùng nhóm theo khối vì G-A thuộc khối 1, G-B thuộc khối 2);
• Các lớp học phần G-A, G-B, G-C</t>
        </is>
      </c>
      <c r="C3087" s="57" t="n"/>
      <c r="D3087" s="57" t="n"/>
      <c r="E3087" s="57" t="n"/>
    </row>
    <row r="3088" ht="30" customHeight="1">
      <c r="A3088" s="47" t="inlineStr">
        <is>
          <t>Trigger</t>
        </is>
      </c>
      <c r="B3088" s="56" t="inlineStr">
        <is>
          <t>• Chỉ xem/xuất không tự chạy xét.</t>
        </is>
      </c>
      <c r="C3088" s="57" t="n"/>
      <c r="D3088" s="57" t="n"/>
      <c r="E3088" s="57" t="n"/>
    </row>
    <row r="3089" ht="44" customHeight="1">
      <c r="A3089" s="47" t="inlineStr">
        <is>
          <t>Blocker</t>
        </is>
      </c>
      <c r="B3089" s="56" t="inlineStr">
        <is>
          <t>• G-PREP-UNASSESSED: Chưa có xác minh fixture, đường thực hiện và phép quan sát trên build của từng case chưa đánh giá.</t>
        </is>
      </c>
      <c r="C3089" s="57" t="n"/>
      <c r="D3089" s="57" t="n"/>
      <c r="E3089" s="57" t="n"/>
    </row>
    <row r="3090" ht="30" customHeight="1">
      <c r="A3090" s="58" t="inlineStr">
        <is>
          <t>Thao tác</t>
        </is>
      </c>
      <c r="B3090" s="59" t="n"/>
      <c r="C3090" s="59" t="n"/>
      <c r="D3090" s="59" t="n"/>
      <c r="E3090" s="59" t="n"/>
    </row>
    <row r="3091" ht="30" customHeight="1">
      <c r="A3091" s="47" t="inlineStr">
        <is>
          <t>Step 1</t>
        </is>
      </c>
      <c r="B3091" s="56" t="inlineStr">
        <is>
          <t>Xem kết quả của học sinh G-A điểm 24 (Đỏ) và 26 (Không đỏ).</t>
        </is>
      </c>
      <c r="C3091" s="57" t="n"/>
      <c r="D3091" s="57" t="n"/>
      <c r="E3091" s="57" t="n"/>
    </row>
    <row r="3092" ht="30" customHeight="1">
      <c r="A3092" s="47" t="inlineStr">
        <is>
          <t>Step 2</t>
        </is>
      </c>
      <c r="B3092" s="56" t="inlineStr">
        <is>
          <t>Chạy trích xuất chỉ lọc lớp G-A.</t>
        </is>
      </c>
      <c r="C3092" s="57" t="n"/>
      <c r="D3092" s="57" t="n"/>
      <c r="E3092" s="57" t="n"/>
    </row>
    <row r="3093" ht="30" customHeight="1">
      <c r="A3093" s="47" t="inlineStr">
        <is>
          <t>Step 3</t>
        </is>
      </c>
      <c r="B3093" s="56" t="inlineStr">
        <is>
          <t>Chạy lại xét.</t>
        </is>
      </c>
      <c r="C3093" s="57" t="n"/>
      <c r="D3093" s="57" t="n"/>
      <c r="E3093" s="57" t="n"/>
    </row>
    <row r="3094" ht="44" customHeight="1">
      <c r="A3094" s="47" t="inlineStr">
        <is>
          <t>Reset</t>
        </is>
      </c>
      <c r="B3094" s="56" t="inlineStr">
        <is>
          <t>Trước mỗi biến thể, dựng lại điều kiện/dữ liệu đầu của case bằng đường được phép; giữ các reset/fixture độc lập đã nêu trong thủ tục.</t>
        </is>
      </c>
      <c r="C3094" s="57" t="n"/>
      <c r="D3094" s="57" t="n"/>
      <c r="E3094" s="57" t="n"/>
    </row>
    <row r="3095" ht="30" customHeight="1">
      <c r="A3095" s="58" t="inlineStr">
        <is>
          <t>Kết quả mong đợi</t>
        </is>
      </c>
      <c r="B3095" s="59" t="n"/>
      <c r="C3095" s="59" t="n"/>
      <c r="D3095" s="59" t="n"/>
      <c r="E3095" s="59" t="n"/>
    </row>
    <row r="3096" ht="44" customHeight="1">
      <c r="A3096" s="47" t="inlineStr">
        <is>
          <t>•</t>
        </is>
      </c>
      <c r="B3096" s="56" t="inlineStr">
        <is>
          <t>Kết quả vẫn dùng [T=25] (từ [A=50] của cả nhóm). Lọc lớp ở đầu ra hoặc đối tượng chỉ G-A không làm trung bình thành 40 ([T=20]).</t>
        </is>
      </c>
      <c r="C3096" s="57" t="n"/>
      <c r="D3096" s="57" t="n"/>
      <c r="E3096" s="57" t="n"/>
    </row>
    <row r="3097" ht="44" customHeight="1">
      <c r="A3097" s="47" t="inlineStr">
        <is>
          <t>Giữ nguyên</t>
        </is>
      </c>
      <c r="B3097" s="56" t="inlineStr">
        <is>
          <t>• Giữ điểm, cấu hình và đối tượng không đích theo expected;
• Chỉ thay phần thủ tục yêu cầu, không tự đổi oracle hoặc mở rộng phạm vi.</t>
        </is>
      </c>
      <c r="C3097" s="57" t="n"/>
      <c r="D3097" s="57" t="n"/>
      <c r="E3097" s="57" t="n"/>
    </row>
    <row r="3098" ht="61" customHeight="1">
      <c r="A3098" s="47" t="inlineStr">
        <is>
          <t>Quan sát tại</t>
        </is>
      </c>
      <c r="B3098" s="56" t="inlineStr">
        <is>
          <t>• Dùng trích xuất không lọc để thấy cả ô đối chứng. Trạng thái không có dấu đỏ cần đọc thêm trạng thái lưu;
• Output Excel/PDF dùng file thật.</t>
        </is>
      </c>
      <c r="C3098" s="57" t="n"/>
      <c r="D3098" s="57" t="n"/>
      <c r="E3098" s="57" t="n"/>
    </row>
    <row r="3099" ht="30" customHeight="1">
      <c r="A3099" s="58" t="inlineStr">
        <is>
          <t>Kết quả thực tế</t>
        </is>
      </c>
      <c r="B3099" s="59" t="n"/>
      <c r="C3099" s="59" t="n"/>
      <c r="D3099" s="59" t="n"/>
      <c r="E3099" s="59" t="n"/>
    </row>
    <row r="3100" ht="30" customHeight="1">
      <c r="A3100" s="47" t="inlineStr">
        <is>
          <t>Dữ liệu biến thể</t>
        </is>
      </c>
      <c r="B3100" s="56" t="inlineStr">
        <is>
          <t>Toàn bộ thủ tục theo đúng thứ tự; các đối chứng cùng fixture được kiểm trong cùng lượt, không bỏ bước</t>
        </is>
      </c>
      <c r="C3100" s="57" t="n"/>
      <c r="D3100" s="57" t="n"/>
      <c r="E3100" s="57" t="n"/>
    </row>
    <row r="3101" ht="30" customHeight="1">
      <c r="A3101" s="62" t="inlineStr">
        <is>
          <t>Kết quả thực tế</t>
        </is>
      </c>
    </row>
    <row r="3102" ht="64" customHeight="1">
      <c r="A3102" s="63" t="inlineStr"/>
      <c r="B3102" s="64" t="n"/>
      <c r="C3102" s="64" t="n"/>
      <c r="D3102" s="64" t="n"/>
      <c r="E3102" s="65" t="n"/>
    </row>
    <row r="3103" ht="30" customHeight="1">
      <c r="A3103" s="62" t="inlineStr">
        <is>
          <t>Ảnh minh chứng</t>
        </is>
      </c>
    </row>
    <row r="3104" ht="90" customHeight="1">
      <c r="A3104" s="63" t="inlineStr"/>
      <c r="B3104" s="64" t="n"/>
      <c r="C3104" s="64" t="n"/>
      <c r="D3104" s="64" t="n"/>
      <c r="E3104" s="65" t="n"/>
    </row>
    <row r="3105" ht="12" customHeight="1">
      <c r="A3105" s="66" t="inlineStr"/>
    </row>
    <row r="3106" ht="20" customHeight="1">
      <c r="A3106" s="66" t="inlineStr"/>
    </row>
    <row r="3107" ht="30" customHeight="1">
      <c r="A3107" s="46" t="inlineStr">
        <is>
          <t>TC-RS-BR-007 — Nguồn: bản đã chốt được ưu tiên hơn tổng hợp mới hơn</t>
        </is>
      </c>
      <c r="B3107" s="23" t="n"/>
      <c r="C3107" s="23" t="n"/>
      <c r="D3107" s="23" t="n"/>
      <c r="E3107" s="23" t="n"/>
    </row>
    <row r="3108" ht="30" customHeight="1">
      <c r="A3108" s="47" t="inlineStr">
        <is>
          <t>Trạng thái</t>
        </is>
      </c>
      <c r="B3108" s="61" t="inlineStr">
        <is>
          <t>Chưa thực hiện</t>
        </is>
      </c>
      <c r="C3108" s="57" t="n"/>
      <c r="D3108" s="57" t="n"/>
      <c r="E3108" s="57" t="n"/>
    </row>
    <row r="3109" ht="30" customHeight="1">
      <c r="A3109" s="47" t="inlineStr">
        <is>
          <t>Màn hình / chức năng</t>
        </is>
      </c>
      <c r="B3109" s="47" t="inlineStr">
        <is>
          <t>Nguồn tổng hợp</t>
        </is>
      </c>
      <c r="C3109" s="57" t="n"/>
      <c r="D3109" s="47" t="inlineStr">
        <is>
          <t>Đường dẫn</t>
        </is>
      </c>
      <c r="E3109" s="56" t="inlineStr">
        <is>
          <t>Chưa xác minh</t>
        </is>
      </c>
    </row>
    <row r="3110" ht="30" customHeight="1">
      <c r="A3110" s="58" t="inlineStr">
        <is>
          <t>Điều kiện kiểm thử</t>
        </is>
      </c>
      <c r="B3110" s="59" t="n"/>
      <c r="C3110" s="59" t="n"/>
      <c r="D3110" s="59" t="n"/>
      <c r="E3110" s="59" t="n"/>
    </row>
    <row r="3111" ht="61" customHeight="1">
      <c r="A3111" s="47" t="inlineStr">
        <is>
          <t>Cấu hình</t>
        </is>
      </c>
      <c r="B3111" s="56" t="inlineStr">
        <is>
          <t>• Có bản tổng hợp đã chốt (trung bình 49.99) (chốt, [A=49.99]) và bản tổng hợp mới nhất chưa chốt (trung bình 62) (mới hơn, [A=62]) cùng phạm vi. mục số nguyên (M=100) có cặp quy tắc phân nhánh theo trung bình 60. Dummy data (dữ liệu giả cho bản tổng hợp đã chốt).</t>
        </is>
      </c>
      <c r="C3111" s="57" t="n"/>
      <c r="D3111" s="57" t="n"/>
      <c r="E3111" s="57" t="n"/>
    </row>
    <row r="3112" ht="61" customHeight="1">
      <c r="A3112" s="47" t="inlineStr">
        <is>
          <t>Vai trò / quyền</t>
        </is>
      </c>
      <c r="B311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112" s="57" t="n"/>
      <c r="D3112" s="57" t="n"/>
      <c r="E3112" s="57" t="n"/>
    </row>
    <row r="3113" ht="78" customHeight="1">
      <c r="A3113" s="47" t="inlineStr">
        <is>
          <t>Dữ liệu test</t>
        </is>
      </c>
      <c r="B3113" s="56" t="inlineStr">
        <is>
          <t>• Mục số nguyên (M=100);
• Bản tổng hợp đã chốt (trung bình 49.99), bản tổng hợp mới nhất chưa chốt (trung bình 62), cặp quy tắc phân nhánh theo trung bình 60;
• Học sinh điểm 24 và 26</t>
        </is>
      </c>
      <c r="C3113" s="57" t="n"/>
      <c r="D3113" s="57" t="n"/>
      <c r="E3113" s="57" t="n"/>
    </row>
    <row r="3114" ht="30" customHeight="1">
      <c r="A3114" s="47" t="inlineStr">
        <is>
          <t>Trigger</t>
        </is>
      </c>
      <c r="B3114" s="56" t="inlineStr">
        <is>
          <t>• Chỉ xem/xuất không tự chạy xét.</t>
        </is>
      </c>
      <c r="C3114" s="57" t="n"/>
      <c r="D3114" s="57" t="n"/>
      <c r="E3114" s="57" t="n"/>
    </row>
    <row r="3115" ht="44" customHeight="1">
      <c r="A3115" s="47" t="inlineStr">
        <is>
          <t>Blocker</t>
        </is>
      </c>
      <c r="B3115" s="56" t="inlineStr">
        <is>
          <t>• G-PREP-UNASSESSED: Chưa có xác minh fixture, đường thực hiện và phép quan sát trên build của từng case chưa đánh giá.</t>
        </is>
      </c>
      <c r="C3115" s="57" t="n"/>
      <c r="D3115" s="57" t="n"/>
      <c r="E3115" s="57" t="n"/>
    </row>
    <row r="3116" ht="30" customHeight="1">
      <c r="A3116" s="58" t="inlineStr">
        <is>
          <t>Thao tác</t>
        </is>
      </c>
      <c r="B3116" s="59" t="n"/>
      <c r="C3116" s="59" t="n"/>
      <c r="D3116" s="59" t="n"/>
      <c r="E3116" s="59" t="n"/>
    </row>
    <row r="3117" ht="30" customHeight="1">
      <c r="A3117" s="47" t="inlineStr">
        <is>
          <t>Step 1</t>
        </is>
      </c>
      <c r="B3117" s="56" t="inlineStr">
        <is>
          <t>Chạy nút cam.</t>
        </is>
      </c>
      <c r="C3117" s="57" t="n"/>
      <c r="D3117" s="57" t="n"/>
      <c r="E3117" s="57" t="n"/>
    </row>
    <row r="3118" ht="30" customHeight="1">
      <c r="A3118" s="47" t="inlineStr">
        <is>
          <t>Step 2</t>
        </is>
      </c>
      <c r="B3118" s="56" t="inlineStr">
        <is>
          <t>Xem kết quả.</t>
        </is>
      </c>
      <c r="C3118" s="57" t="n"/>
      <c r="D3118" s="57" t="n"/>
      <c r="E3118" s="57" t="n"/>
    </row>
    <row r="3119" ht="44" customHeight="1">
      <c r="A3119" s="47" t="inlineStr">
        <is>
          <t>Reset</t>
        </is>
      </c>
      <c r="B3119" s="56" t="inlineStr">
        <is>
          <t>Trước mỗi biến thể, dựng lại điều kiện/dữ liệu đầu của case bằng đường được phép; giữ các reset/fixture độc lập đã nêu trong thủ tục.</t>
        </is>
      </c>
      <c r="C3119" s="57" t="n"/>
      <c r="D3119" s="57" t="n"/>
      <c r="E3119" s="57" t="n"/>
    </row>
    <row r="3120" ht="30" customHeight="1">
      <c r="A3120" s="58" t="inlineStr">
        <is>
          <t>Kết quả mong đợi</t>
        </is>
      </c>
      <c r="B3120" s="59" t="n"/>
      <c r="C3120" s="59" t="n"/>
      <c r="D3120" s="59" t="n"/>
      <c r="E3120" s="59" t="n"/>
    </row>
    <row r="3121" ht="44" customHeight="1">
      <c r="A3121" s="47" t="inlineStr">
        <is>
          <t>•</t>
        </is>
      </c>
      <c r="B3121" s="56" t="inlineStr">
        <is>
          <t>Dùng [A=49.99] → nhánh ưu tiên 2 ([A&lt;60]), [T=24.995] → điểm 24 Đỏ, điểm 26 Không đỏ. Không dùng [A=62] (sẽ vào nhánh [A≥60], [T=30], điểm 26 Đỏ).</t>
        </is>
      </c>
      <c r="C3121" s="57" t="n"/>
      <c r="D3121" s="57" t="n"/>
      <c r="E3121" s="57" t="n"/>
    </row>
    <row r="3122" ht="44" customHeight="1">
      <c r="A3122" s="47" t="inlineStr">
        <is>
          <t>Giữ nguyên</t>
        </is>
      </c>
      <c r="B3122" s="56" t="inlineStr">
        <is>
          <t>• Giữ điểm, cấu hình và đối tượng không đích theo expected;
• Chỉ thay phần thủ tục yêu cầu, không tự đổi oracle hoặc mở rộng phạm vi.</t>
        </is>
      </c>
      <c r="C3122" s="57" t="n"/>
      <c r="D3122" s="57" t="n"/>
      <c r="E3122" s="57" t="n"/>
    </row>
    <row r="3123" ht="61" customHeight="1">
      <c r="A3123" s="47" t="inlineStr">
        <is>
          <t>Quan sát tại</t>
        </is>
      </c>
      <c r="B3123" s="56" t="inlineStr">
        <is>
          <t>• Dùng trích xuất không lọc để thấy cả ô đối chứng. Trạng thái không có dấu đỏ cần đọc thêm trạng thái lưu;
• Output Excel/PDF dùng file thật.</t>
        </is>
      </c>
      <c r="C3123" s="57" t="n"/>
      <c r="D3123" s="57" t="n"/>
      <c r="E3123" s="57" t="n"/>
    </row>
    <row r="3124" ht="30" customHeight="1">
      <c r="A3124" s="58" t="inlineStr">
        <is>
          <t>Kết quả thực tế</t>
        </is>
      </c>
      <c r="B3124" s="59" t="n"/>
      <c r="C3124" s="59" t="n"/>
      <c r="D3124" s="59" t="n"/>
      <c r="E3124" s="59" t="n"/>
    </row>
    <row r="3125" ht="30" customHeight="1">
      <c r="A3125" s="47" t="inlineStr">
        <is>
          <t>Dữ liệu biến thể</t>
        </is>
      </c>
      <c r="B3125" s="56" t="inlineStr">
        <is>
          <t>Toàn bộ thủ tục theo đúng thứ tự; các đối chứng cùng fixture được kiểm trong cùng lượt, không bỏ bước</t>
        </is>
      </c>
      <c r="C3125" s="57" t="n"/>
      <c r="D3125" s="57" t="n"/>
      <c r="E3125" s="57" t="n"/>
    </row>
    <row r="3126" ht="30" customHeight="1">
      <c r="A3126" s="62" t="inlineStr">
        <is>
          <t>Kết quả thực tế</t>
        </is>
      </c>
    </row>
    <row r="3127" ht="64" customHeight="1">
      <c r="A3127" s="63" t="inlineStr"/>
      <c r="B3127" s="64" t="n"/>
      <c r="C3127" s="64" t="n"/>
      <c r="D3127" s="64" t="n"/>
      <c r="E3127" s="65" t="n"/>
    </row>
    <row r="3128" ht="30" customHeight="1">
      <c r="A3128" s="62" t="inlineStr">
        <is>
          <t>Ảnh minh chứng</t>
        </is>
      </c>
    </row>
    <row r="3129" ht="90" customHeight="1">
      <c r="A3129" s="63" t="inlineStr"/>
      <c r="B3129" s="64" t="n"/>
      <c r="C3129" s="64" t="n"/>
      <c r="D3129" s="64" t="n"/>
      <c r="E3129" s="65" t="n"/>
    </row>
    <row r="3130" ht="12" customHeight="1">
      <c r="A3130" s="66" t="inlineStr"/>
    </row>
    <row r="3131" ht="20" customHeight="1">
      <c r="A3131" s="66" t="inlineStr"/>
    </row>
    <row r="3132" ht="30" customHeight="1">
      <c r="A3132" s="46" t="inlineStr">
        <is>
          <t>TC-RS-BR-008 — Nguồn: chưa có bản chốt → dùng tổng hợp hoàn tất mới nhất cùng phạm vi</t>
        </is>
      </c>
      <c r="B3132" s="23" t="n"/>
      <c r="C3132" s="23" t="n"/>
      <c r="D3132" s="23" t="n"/>
      <c r="E3132" s="23" t="n"/>
    </row>
    <row r="3133" ht="30" customHeight="1">
      <c r="A3133" s="47" t="inlineStr">
        <is>
          <t>Trạng thái</t>
        </is>
      </c>
      <c r="B3133" s="56">
        <f>IF(0&gt;0,"Không đạt",IF(0=3,"Đạt",IF(SUMPRODUCT(--EXACT('Testcases'!B3154:B3170,"Không thực hiện"))=3,"Không thực hiện",IF(SUMPRODUCT(--EXACT('Testcases'!B3154:B3170,"Bị chặn"))&gt;0,"Bị chặn",IF(SUMPRODUCT(--EXACT('Testcases'!B3154:B3170,"Chưa thực hiện"))=3,"Chưa thực hiện","Chưa đủ kết luận")))))</f>
        <v/>
      </c>
      <c r="C3133" s="57" t="n"/>
      <c r="D3133" s="57" t="n"/>
      <c r="E3133" s="57" t="n"/>
    </row>
    <row r="3134" ht="30" customHeight="1">
      <c r="A3134" s="47" t="inlineStr">
        <is>
          <t>Màn hình / chức năng</t>
        </is>
      </c>
      <c r="B3134" s="47" t="inlineStr">
        <is>
          <t>Nguồn tổng hợp</t>
        </is>
      </c>
      <c r="C3134" s="57" t="n"/>
      <c r="D3134" s="47" t="inlineStr">
        <is>
          <t>Đường dẫn</t>
        </is>
      </c>
      <c r="E3134" s="56" t="inlineStr">
        <is>
          <t>Chưa xác minh</t>
        </is>
      </c>
    </row>
    <row r="3135" ht="30" customHeight="1">
      <c r="A3135" s="58" t="inlineStr">
        <is>
          <t>Điều kiện kiểm thử</t>
        </is>
      </c>
      <c r="B3135" s="59" t="n"/>
      <c r="C3135" s="59" t="n"/>
      <c r="D3135" s="59" t="n"/>
      <c r="E3135" s="59" t="n"/>
    </row>
    <row r="3136" ht="44" customHeight="1">
      <c r="A3136" s="47" t="inlineStr">
        <is>
          <t>Cấu hình</t>
        </is>
      </c>
      <c r="B3136" s="56" t="inlineStr">
        <is>
          <t>• Chỉ có bản tổng hợp mới nhất chưa chốt (trung bình 62) ([A=62]), không có bản chốt;
• Có thêm một tổng hợp cũ hơn [A=55] và một tổng hợp khác kỳ mới hơn [A=40].</t>
        </is>
      </c>
      <c r="C3136" s="57" t="n"/>
      <c r="D3136" s="57" t="n"/>
      <c r="E3136" s="57" t="n"/>
    </row>
    <row r="3137" ht="61" customHeight="1">
      <c r="A3137" s="47" t="inlineStr">
        <is>
          <t>Vai trò / quyền</t>
        </is>
      </c>
      <c r="B313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137" s="57" t="n"/>
      <c r="D3137" s="57" t="n"/>
      <c r="E3137" s="57" t="n"/>
    </row>
    <row r="3138" ht="30" customHeight="1">
      <c r="A3138" s="47" t="inlineStr">
        <is>
          <t>Dữ liệu test</t>
        </is>
      </c>
      <c r="B3138" s="56" t="inlineStr">
        <is>
          <t>• Bản tổng hợp mới nhất chưa chốt (trung bình 62), cặp quy tắc phân nhánh theo trung bình 60</t>
        </is>
      </c>
      <c r="C3138" s="57" t="n"/>
      <c r="D3138" s="57" t="n"/>
      <c r="E3138" s="57" t="n"/>
    </row>
    <row r="3139" ht="30" customHeight="1">
      <c r="A3139" s="47" t="inlineStr">
        <is>
          <t>Trigger</t>
        </is>
      </c>
      <c r="B3139" s="56" t="inlineStr">
        <is>
          <t>• Chỉ xem/xuất không tự chạy xét.</t>
        </is>
      </c>
      <c r="C3139" s="57" t="n"/>
      <c r="D3139" s="57" t="n"/>
      <c r="E3139" s="57" t="n"/>
    </row>
    <row r="3140" ht="44" customHeight="1">
      <c r="A3140" s="47" t="inlineStr">
        <is>
          <t>Blocker</t>
        </is>
      </c>
      <c r="B3140" s="56" t="inlineStr">
        <is>
          <t>• G-PREP-UNASSESSED: Chưa có xác minh fixture, đường thực hiện và phép quan sát trên build của từng case chưa đánh giá.</t>
        </is>
      </c>
      <c r="C3140" s="57" t="n"/>
      <c r="D3140" s="57" t="n"/>
      <c r="E3140" s="57" t="n"/>
    </row>
    <row r="3141" ht="30" customHeight="1">
      <c r="A3141" s="58" t="inlineStr">
        <is>
          <t>Thao tác</t>
        </is>
      </c>
      <c r="B3141" s="59" t="n"/>
      <c r="C3141" s="59" t="n"/>
      <c r="D3141" s="59" t="n"/>
      <c r="E3141" s="59" t="n"/>
    </row>
    <row r="3142" ht="30" customHeight="1">
      <c r="A3142" s="47" t="inlineStr">
        <is>
          <t>Step 1</t>
        </is>
      </c>
      <c r="B3142" s="56" t="inlineStr">
        <is>
          <t>Chạy nút cam.</t>
        </is>
      </c>
      <c r="C3142" s="57" t="n"/>
      <c r="D3142" s="57" t="n"/>
      <c r="E3142" s="57" t="n"/>
    </row>
    <row r="3143" ht="30" customHeight="1">
      <c r="A3143" s="47" t="inlineStr">
        <is>
          <t>Step 2</t>
        </is>
      </c>
      <c r="B3143" s="56" t="inlineStr">
        <is>
          <t>Xem kết quả học sinh điểm 26 và 29.</t>
        </is>
      </c>
      <c r="C3143" s="57" t="n"/>
      <c r="D3143" s="57" t="n"/>
      <c r="E3143" s="57" t="n"/>
    </row>
    <row r="3144" ht="44" customHeight="1">
      <c r="A3144" s="47" t="inlineStr">
        <is>
          <t>Step 3</t>
        </is>
      </c>
      <c r="B3144" s="56" t="inlineStr">
        <is>
          <t>Bắt đầu một lượt tổng hợp mới cùng phạm vi sau bản tổng hợp mới nhất chưa chốt (trung bình 62) nhưng chưa hoàn tất (đang chạy hoặc thất bại); chạy lại nút cam.</t>
        </is>
      </c>
      <c r="C3144" s="57" t="n"/>
      <c r="D3144" s="57" t="n"/>
      <c r="E3144" s="57" t="n"/>
    </row>
    <row r="3145" ht="44" customHeight="1">
      <c r="A3145" s="47" t="inlineStr">
        <is>
          <t>Reset</t>
        </is>
      </c>
      <c r="B3145" s="56" t="inlineStr">
        <is>
          <t>Trước mỗi biến thể, dựng lại điều kiện/dữ liệu đầu của case bằng đường được phép; giữ các reset/fixture độc lập đã nêu trong thủ tục.</t>
        </is>
      </c>
      <c r="C3145" s="57" t="n"/>
      <c r="D3145" s="57" t="n"/>
      <c r="E3145" s="57" t="n"/>
    </row>
    <row r="3146" ht="30" customHeight="1">
      <c r="A3146" s="58" t="inlineStr">
        <is>
          <t>Kết quả mong đợi</t>
        </is>
      </c>
      <c r="B3146" s="59" t="n"/>
      <c r="C3146" s="59" t="n"/>
      <c r="D3146" s="59" t="n"/>
      <c r="E3146" s="59" t="n"/>
    </row>
    <row r="3147" ht="44" customHeight="1">
      <c r="A3147" s="47" t="inlineStr">
        <is>
          <t>•</t>
        </is>
      </c>
      <c r="B3147" s="56" t="inlineStr">
        <is>
          <t>1–2. Dùng [A=62] (mới nhất, cùng kỳ) → nhánh [A≥60], [T=30] → 26 và 29 Đỏ. Không dùng bản cũ hơn hoặc bản khác kỳ.</t>
        </is>
      </c>
      <c r="C3147" s="57" t="n"/>
      <c r="D3147" s="57" t="n"/>
      <c r="E3147" s="57" t="n"/>
    </row>
    <row r="3148" ht="30" customHeight="1">
      <c r="A3148" s="47" t="inlineStr">
        <is>
          <t>3.</t>
        </is>
      </c>
      <c r="B3148" s="56" t="inlineStr">
        <is>
          <t>Vẫn dùng [A=62] của bản hoàn tất mới nhất; không đọc lượt tổng hợp chưa hoàn tất.</t>
        </is>
      </c>
      <c r="C3148" s="57" t="n"/>
      <c r="D3148" s="57" t="n"/>
      <c r="E3148" s="57" t="n"/>
    </row>
    <row r="3149" ht="44" customHeight="1">
      <c r="A3149" s="47" t="inlineStr">
        <is>
          <t>Giữ nguyên</t>
        </is>
      </c>
      <c r="B3149" s="56" t="inlineStr">
        <is>
          <t>• Giữ điểm, cấu hình và đối tượng không đích theo expected;
• Chỉ thay phần thủ tục yêu cầu, không tự đổi oracle hoặc mở rộng phạm vi.</t>
        </is>
      </c>
      <c r="C3149" s="57" t="n"/>
      <c r="D3149" s="57" t="n"/>
      <c r="E3149" s="57" t="n"/>
    </row>
    <row r="3150" ht="61" customHeight="1">
      <c r="A3150" s="47" t="inlineStr">
        <is>
          <t>Quan sát tại</t>
        </is>
      </c>
      <c r="B3150" s="56" t="inlineStr">
        <is>
          <t>• Dùng trích xuất không lọc để thấy cả ô đối chứng. Trạng thái không có dấu đỏ cần đọc thêm trạng thái lưu;
• Output Excel/PDF dùng file thật.</t>
        </is>
      </c>
      <c r="C3150" s="57" t="n"/>
      <c r="D3150" s="57" t="n"/>
      <c r="E3150" s="57" t="n"/>
    </row>
    <row r="3151" ht="30" customHeight="1">
      <c r="A3151" s="58" t="inlineStr">
        <is>
          <t>Kết quả thực tế</t>
        </is>
      </c>
      <c r="B3151" s="59" t="n"/>
      <c r="C3151" s="59" t="n"/>
      <c r="D3151" s="59" t="n"/>
      <c r="E3151" s="59" t="n"/>
    </row>
    <row r="3152" ht="30" customHeight="1">
      <c r="A3152" s="60" t="inlineStr">
        <is>
          <t>TC-RS-BR-008 / completed</t>
        </is>
      </c>
      <c r="B3152" s="36" t="n"/>
      <c r="C3152" s="36" t="n"/>
      <c r="D3152" s="36" t="n"/>
      <c r="E3152" s="36" t="n"/>
    </row>
    <row r="3153" ht="30" customHeight="1">
      <c r="A3153" s="47" t="inlineStr">
        <is>
          <t>Dữ liệu biến thể</t>
        </is>
      </c>
      <c r="B3153" s="56" t="inlineStr">
        <is>
          <t>Bản mới nhất hoàn tất</t>
        </is>
      </c>
      <c r="C3153" s="57" t="n"/>
      <c r="D3153" s="57" t="n"/>
      <c r="E3153" s="57" t="n"/>
    </row>
    <row r="3154" ht="30" customHeight="1">
      <c r="A3154" s="47" t="inlineStr">
        <is>
          <t>Trạng thái</t>
        </is>
      </c>
      <c r="B3154" s="61" t="inlineStr">
        <is>
          <t>Chưa thực hiện</t>
        </is>
      </c>
      <c r="C3154" s="57" t="n"/>
      <c r="D3154" s="57" t="n"/>
      <c r="E3154" s="57" t="n"/>
    </row>
    <row r="3155" ht="30" customHeight="1">
      <c r="A3155" s="62" t="inlineStr">
        <is>
          <t>Kết quả thực tế</t>
        </is>
      </c>
    </row>
    <row r="3156" ht="64" customHeight="1">
      <c r="A3156" s="63" t="inlineStr"/>
      <c r="B3156" s="64" t="n"/>
      <c r="C3156" s="64" t="n"/>
      <c r="D3156" s="64" t="n"/>
      <c r="E3156" s="65" t="n"/>
    </row>
    <row r="3157" ht="30" customHeight="1">
      <c r="A3157" s="62" t="inlineStr">
        <is>
          <t>Ảnh minh chứng</t>
        </is>
      </c>
    </row>
    <row r="3158" ht="90" customHeight="1">
      <c r="A3158" s="63" t="inlineStr"/>
      <c r="B3158" s="64" t="n"/>
      <c r="C3158" s="64" t="n"/>
      <c r="D3158" s="64" t="n"/>
      <c r="E3158" s="65" t="n"/>
    </row>
    <row r="3159" ht="12" customHeight="1">
      <c r="A3159" s="66" t="inlineStr"/>
    </row>
    <row r="3160" ht="30" customHeight="1">
      <c r="A3160" s="60" t="inlineStr">
        <is>
          <t>TC-RS-BR-008 / running</t>
        </is>
      </c>
      <c r="B3160" s="36" t="n"/>
      <c r="C3160" s="36" t="n"/>
      <c r="D3160" s="36" t="n"/>
      <c r="E3160" s="36" t="n"/>
    </row>
    <row r="3161" ht="30" customHeight="1">
      <c r="A3161" s="47" t="inlineStr">
        <is>
          <t>Dữ liệu biến thể</t>
        </is>
      </c>
      <c r="B3161" s="56" t="inlineStr">
        <is>
          <t>Bản mới đang chạy</t>
        </is>
      </c>
      <c r="C3161" s="57" t="n"/>
      <c r="D3161" s="57" t="n"/>
      <c r="E3161" s="57" t="n"/>
    </row>
    <row r="3162" ht="30" customHeight="1">
      <c r="A3162" s="47" t="inlineStr">
        <is>
          <t>Trạng thái</t>
        </is>
      </c>
      <c r="B3162" s="61" t="inlineStr">
        <is>
          <t>Chưa thực hiện</t>
        </is>
      </c>
      <c r="C3162" s="57" t="n"/>
      <c r="D3162" s="57" t="n"/>
      <c r="E3162" s="57" t="n"/>
    </row>
    <row r="3163" ht="30" customHeight="1">
      <c r="A3163" s="62" t="inlineStr">
        <is>
          <t>Kết quả thực tế</t>
        </is>
      </c>
    </row>
    <row r="3164" ht="64" customHeight="1">
      <c r="A3164" s="63" t="inlineStr"/>
      <c r="B3164" s="64" t="n"/>
      <c r="C3164" s="64" t="n"/>
      <c r="D3164" s="64" t="n"/>
      <c r="E3164" s="65" t="n"/>
    </row>
    <row r="3165" ht="30" customHeight="1">
      <c r="A3165" s="62" t="inlineStr">
        <is>
          <t>Ảnh minh chứng</t>
        </is>
      </c>
    </row>
    <row r="3166" ht="90" customHeight="1">
      <c r="A3166" s="63" t="inlineStr"/>
      <c r="B3166" s="64" t="n"/>
      <c r="C3166" s="64" t="n"/>
      <c r="D3166" s="64" t="n"/>
      <c r="E3166" s="65" t="n"/>
    </row>
    <row r="3167" ht="12" customHeight="1">
      <c r="A3167" s="66" t="inlineStr"/>
    </row>
    <row r="3168" ht="30" customHeight="1">
      <c r="A3168" s="60" t="inlineStr">
        <is>
          <t>TC-RS-BR-008 / failed</t>
        </is>
      </c>
      <c r="B3168" s="36" t="n"/>
      <c r="C3168" s="36" t="n"/>
      <c r="D3168" s="36" t="n"/>
      <c r="E3168" s="36" t="n"/>
    </row>
    <row r="3169" ht="30" customHeight="1">
      <c r="A3169" s="47" t="inlineStr">
        <is>
          <t>Dữ liệu biến thể</t>
        </is>
      </c>
      <c r="B3169" s="56" t="inlineStr">
        <is>
          <t>Bản mới thất bại</t>
        </is>
      </c>
      <c r="C3169" s="57" t="n"/>
      <c r="D3169" s="57" t="n"/>
      <c r="E3169" s="57" t="n"/>
    </row>
    <row r="3170" ht="30" customHeight="1">
      <c r="A3170" s="47" t="inlineStr">
        <is>
          <t>Trạng thái</t>
        </is>
      </c>
      <c r="B3170" s="61" t="inlineStr">
        <is>
          <t>Chưa thực hiện</t>
        </is>
      </c>
      <c r="C3170" s="57" t="n"/>
      <c r="D3170" s="57" t="n"/>
      <c r="E3170" s="57" t="n"/>
    </row>
    <row r="3171" ht="30" customHeight="1">
      <c r="A3171" s="62" t="inlineStr">
        <is>
          <t>Kết quả thực tế</t>
        </is>
      </c>
    </row>
    <row r="3172" ht="64" customHeight="1">
      <c r="A3172" s="63" t="inlineStr"/>
      <c r="B3172" s="64" t="n"/>
      <c r="C3172" s="64" t="n"/>
      <c r="D3172" s="64" t="n"/>
      <c r="E3172" s="65" t="n"/>
    </row>
    <row r="3173" ht="30" customHeight="1">
      <c r="A3173" s="62" t="inlineStr">
        <is>
          <t>Ảnh minh chứng</t>
        </is>
      </c>
    </row>
    <row r="3174" ht="90" customHeight="1">
      <c r="A3174" s="63" t="inlineStr"/>
      <c r="B3174" s="64" t="n"/>
      <c r="C3174" s="64" t="n"/>
      <c r="D3174" s="64" t="n"/>
      <c r="E3174" s="65" t="n"/>
    </row>
    <row r="3175" ht="12" customHeight="1">
      <c r="A3175" s="66" t="inlineStr"/>
    </row>
    <row r="3176" ht="20" customHeight="1">
      <c r="A3176" s="66" t="inlineStr"/>
    </row>
    <row r="3177" ht="30" customHeight="1">
      <c r="A3177" s="46" t="inlineStr">
        <is>
          <t>TC-RS-BR-009 — Nguồn: bản đã chốt thiếu dữ liệu → Chưa xét được, không chuyển sang bản thường</t>
        </is>
      </c>
      <c r="B3177" s="23" t="n"/>
      <c r="C3177" s="23" t="n"/>
      <c r="D3177" s="23" t="n"/>
      <c r="E3177" s="23" t="n"/>
    </row>
    <row r="3178" ht="30" customHeight="1">
      <c r="A3178" s="47" t="inlineStr">
        <is>
          <t>Trạng thái</t>
        </is>
      </c>
      <c r="B3178" s="61" t="inlineStr">
        <is>
          <t>Chưa thực hiện</t>
        </is>
      </c>
      <c r="C3178" s="57" t="n"/>
      <c r="D3178" s="57" t="n"/>
      <c r="E3178" s="57" t="n"/>
    </row>
    <row r="3179" ht="30" customHeight="1">
      <c r="A3179" s="47" t="inlineStr">
        <is>
          <t>Màn hình / chức năng</t>
        </is>
      </c>
      <c r="B3179" s="47" t="inlineStr">
        <is>
          <t>Nguồn tổng hợp</t>
        </is>
      </c>
      <c r="C3179" s="57" t="n"/>
      <c r="D3179" s="47" t="inlineStr">
        <is>
          <t>Đường dẫn</t>
        </is>
      </c>
      <c r="E3179" s="56" t="inlineStr">
        <is>
          <t>Chưa xác minh</t>
        </is>
      </c>
    </row>
    <row r="3180" ht="30" customHeight="1">
      <c r="A3180" s="58" t="inlineStr">
        <is>
          <t>Điều kiện kiểm thử</t>
        </is>
      </c>
      <c r="B3180" s="59" t="n"/>
      <c r="C3180" s="59" t="n"/>
      <c r="D3180" s="59" t="n"/>
      <c r="E3180" s="59" t="n"/>
    </row>
    <row r="3181" ht="44" customHeight="1">
      <c r="A3181" s="47" t="inlineStr">
        <is>
          <t>Cấu hình</t>
        </is>
      </c>
      <c r="B3181" s="56" t="inlineStr">
        <is>
          <t>• Có bản đã chốt thiếu dữ liệu của ô (chốt, thiếu dòng cho môn/mục) và bản tổng hợp mới nhất chưa chốt (trung bình 62) (thường, đầy đủ). cặp quy tắc phân nhánh theo trung bình 60. Ô trước đó Đỏ.</t>
        </is>
      </c>
      <c r="C3181" s="57" t="n"/>
      <c r="D3181" s="57" t="n"/>
      <c r="E3181" s="57" t="n"/>
    </row>
    <row r="3182" ht="61" customHeight="1">
      <c r="A3182" s="47" t="inlineStr">
        <is>
          <t>Vai trò / quyền</t>
        </is>
      </c>
      <c r="B318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182" s="57" t="n"/>
      <c r="D3182" s="57" t="n"/>
      <c r="E3182" s="57" t="n"/>
    </row>
    <row r="3183" ht="44" customHeight="1">
      <c r="A3183" s="47" t="inlineStr">
        <is>
          <t>Dữ liệu test</t>
        </is>
      </c>
      <c r="B3183" s="56" t="inlineStr">
        <is>
          <t>• Bản đã chốt thiếu dữ liệu của ô, bản tổng hợp mới nhất chưa chốt (trung bình 62), cặp quy tắc phân nhánh theo trung bình 60</t>
        </is>
      </c>
      <c r="C3183" s="57" t="n"/>
      <c r="D3183" s="57" t="n"/>
      <c r="E3183" s="57" t="n"/>
    </row>
    <row r="3184" ht="30" customHeight="1">
      <c r="A3184" s="47" t="inlineStr">
        <is>
          <t>Trigger</t>
        </is>
      </c>
      <c r="B3184" s="56" t="inlineStr">
        <is>
          <t>• Chỉ xem/xuất không tự chạy xét.</t>
        </is>
      </c>
      <c r="C3184" s="57" t="n"/>
      <c r="D3184" s="57" t="n"/>
      <c r="E3184" s="57" t="n"/>
    </row>
    <row r="3185" ht="44" customHeight="1">
      <c r="A3185" s="47" t="inlineStr">
        <is>
          <t>Blocker</t>
        </is>
      </c>
      <c r="B3185" s="56" t="inlineStr">
        <is>
          <t>• G-PREP-UNASSESSED: Chưa có xác minh fixture, đường thực hiện và phép quan sát trên build của từng case chưa đánh giá.</t>
        </is>
      </c>
      <c r="C3185" s="57" t="n"/>
      <c r="D3185" s="57" t="n"/>
      <c r="E3185" s="57" t="n"/>
    </row>
    <row r="3186" ht="30" customHeight="1">
      <c r="A3186" s="58" t="inlineStr">
        <is>
          <t>Thao tác</t>
        </is>
      </c>
      <c r="B3186" s="59" t="n"/>
      <c r="C3186" s="59" t="n"/>
      <c r="D3186" s="59" t="n"/>
      <c r="E3186" s="59" t="n"/>
    </row>
    <row r="3187" ht="30" customHeight="1">
      <c r="A3187" s="47" t="inlineStr">
        <is>
          <t>Step 1</t>
        </is>
      </c>
      <c r="B3187" s="56" t="inlineStr">
        <is>
          <t>Chạy nút cam.</t>
        </is>
      </c>
      <c r="C3187" s="57" t="n"/>
      <c r="D3187" s="57" t="n"/>
      <c r="E3187" s="57" t="n"/>
    </row>
    <row r="3188" ht="30" customHeight="1">
      <c r="A3188" s="47" t="inlineStr">
        <is>
          <t>Step 2</t>
        </is>
      </c>
      <c r="B3188" s="56" t="inlineStr">
        <is>
          <t>Xem kết quả và ba đầu ra.</t>
        </is>
      </c>
      <c r="C3188" s="57" t="n"/>
      <c r="D3188" s="57" t="n"/>
      <c r="E3188" s="57" t="n"/>
    </row>
    <row r="3189" ht="44" customHeight="1">
      <c r="A3189" s="47" t="inlineStr">
        <is>
          <t>Reset</t>
        </is>
      </c>
      <c r="B3189" s="56" t="inlineStr">
        <is>
          <t>Trước mỗi biến thể, dựng lại điều kiện/dữ liệu đầu của case bằng đường được phép; giữ các reset/fixture độc lập đã nêu trong thủ tục.</t>
        </is>
      </c>
      <c r="C3189" s="57" t="n"/>
      <c r="D3189" s="57" t="n"/>
      <c r="E3189" s="57" t="n"/>
    </row>
    <row r="3190" ht="30" customHeight="1">
      <c r="A3190" s="58" t="inlineStr">
        <is>
          <t>Kết quả mong đợi</t>
        </is>
      </c>
      <c r="B3190" s="59" t="n"/>
      <c r="C3190" s="59" t="n"/>
      <c r="D3190" s="59" t="n"/>
      <c r="E3190" s="59" t="n"/>
    </row>
    <row r="3191" ht="44" customHeight="1">
      <c r="A3191" s="47" t="inlineStr">
        <is>
          <t>•</t>
        </is>
      </c>
      <c r="B3191" s="56" t="inlineStr">
        <is>
          <t>Chưa xét được; ngừng dùng dấu/lọc đỏ cũ; điểm giữ nguyên. Không dùng bản tổng hợp mới nhất chưa chốt (trung bình 62) hay bản khác kỳ.</t>
        </is>
      </c>
      <c r="C3191" s="57" t="n"/>
      <c r="D3191" s="57" t="n"/>
      <c r="E3191" s="57" t="n"/>
    </row>
    <row r="3192" ht="44" customHeight="1">
      <c r="A3192" s="47" t="inlineStr">
        <is>
          <t>Giữ nguyên</t>
        </is>
      </c>
      <c r="B3192" s="56" t="inlineStr">
        <is>
          <t>• Giữ điểm, cấu hình và đối tượng không đích theo expected;
• Chỉ thay phần thủ tục yêu cầu, không tự đổi oracle hoặc mở rộng phạm vi.</t>
        </is>
      </c>
      <c r="C3192" s="57" t="n"/>
      <c r="D3192" s="57" t="n"/>
      <c r="E3192" s="57" t="n"/>
    </row>
    <row r="3193" ht="61" customHeight="1">
      <c r="A3193" s="47" t="inlineStr">
        <is>
          <t>Quan sát tại</t>
        </is>
      </c>
      <c r="B3193" s="56" t="inlineStr">
        <is>
          <t>• Dùng trích xuất không lọc để thấy cả ô đối chứng. Trạng thái không có dấu đỏ cần đọc thêm trạng thái lưu;
• Output Excel/PDF dùng file thật.</t>
        </is>
      </c>
      <c r="C3193" s="57" t="n"/>
      <c r="D3193" s="57" t="n"/>
      <c r="E3193" s="57" t="n"/>
    </row>
    <row r="3194" ht="30" customHeight="1">
      <c r="A3194" s="58" t="inlineStr">
        <is>
          <t>Kết quả thực tế</t>
        </is>
      </c>
      <c r="B3194" s="59" t="n"/>
      <c r="C3194" s="59" t="n"/>
      <c r="D3194" s="59" t="n"/>
      <c r="E3194" s="59" t="n"/>
    </row>
    <row r="3195" ht="30" customHeight="1">
      <c r="A3195" s="47" t="inlineStr">
        <is>
          <t>Dữ liệu biến thể</t>
        </is>
      </c>
      <c r="B3195" s="56" t="inlineStr">
        <is>
          <t>Toàn bộ thủ tục theo đúng thứ tự; các đối chứng cùng fixture được kiểm trong cùng lượt, không bỏ bước</t>
        </is>
      </c>
      <c r="C3195" s="57" t="n"/>
      <c r="D3195" s="57" t="n"/>
      <c r="E3195" s="57" t="n"/>
    </row>
    <row r="3196" ht="30" customHeight="1">
      <c r="A3196" s="62" t="inlineStr">
        <is>
          <t>Kết quả thực tế</t>
        </is>
      </c>
    </row>
    <row r="3197" ht="64" customHeight="1">
      <c r="A3197" s="63" t="inlineStr"/>
      <c r="B3197" s="64" t="n"/>
      <c r="C3197" s="64" t="n"/>
      <c r="D3197" s="64" t="n"/>
      <c r="E3197" s="65" t="n"/>
    </row>
    <row r="3198" ht="30" customHeight="1">
      <c r="A3198" s="62" t="inlineStr">
        <is>
          <t>Ảnh minh chứng</t>
        </is>
      </c>
    </row>
    <row r="3199" ht="90" customHeight="1">
      <c r="A3199" s="63" t="inlineStr"/>
      <c r="B3199" s="64" t="n"/>
      <c r="C3199" s="64" t="n"/>
      <c r="D3199" s="64" t="n"/>
      <c r="E3199" s="65" t="n"/>
    </row>
    <row r="3200" ht="12" customHeight="1">
      <c r="A3200" s="66" t="inlineStr"/>
    </row>
    <row r="3201" ht="20" customHeight="1">
      <c r="A3201" s="66" t="inlineStr"/>
    </row>
    <row r="3202" ht="30" customHeight="1">
      <c r="A3202" s="46" t="inlineStr">
        <is>
          <t>TC-RS-BR-010 — Chưa có kết quả tổng hợp → Chưa xét được, không thay bằng 0 hay nhóm khác</t>
        </is>
      </c>
      <c r="B3202" s="23" t="n"/>
      <c r="C3202" s="23" t="n"/>
      <c r="D3202" s="23" t="n"/>
      <c r="E3202" s="23" t="n"/>
    </row>
    <row r="3203" ht="30" customHeight="1">
      <c r="A3203" s="47" t="inlineStr">
        <is>
          <t>Trạng thái</t>
        </is>
      </c>
      <c r="B3203" s="61" t="inlineStr">
        <is>
          <t>Chưa thực hiện</t>
        </is>
      </c>
      <c r="C3203" s="57" t="n"/>
      <c r="D3203" s="57" t="n"/>
      <c r="E3203" s="57" t="n"/>
    </row>
    <row r="3204" ht="30" customHeight="1">
      <c r="A3204" s="47" t="inlineStr">
        <is>
          <t>Màn hình / chức năng</t>
        </is>
      </c>
      <c r="B3204" s="47" t="inlineStr">
        <is>
          <t>Nguồn tổng hợp</t>
        </is>
      </c>
      <c r="C3204" s="57" t="n"/>
      <c r="D3204" s="47" t="inlineStr">
        <is>
          <t>Đường dẫn</t>
        </is>
      </c>
      <c r="E3204" s="56" t="inlineStr">
        <is>
          <t>Chưa xác minh</t>
        </is>
      </c>
    </row>
    <row r="3205" ht="30" customHeight="1">
      <c r="A3205" s="58" t="inlineStr">
        <is>
          <t>Điều kiện kiểm thử</t>
        </is>
      </c>
      <c r="B3205" s="59" t="n"/>
      <c r="C3205" s="59" t="n"/>
      <c r="D3205" s="59" t="n"/>
      <c r="E3205" s="59" t="n"/>
    </row>
    <row r="3206" ht="30" customHeight="1">
      <c r="A3206" s="47" t="inlineStr">
        <is>
          <t>Cấu hình</t>
        </is>
      </c>
      <c r="B3206" s="56" t="inlineStr">
        <is>
          <t>• Công thức [A×0.5] với nguồn nguồn chưa có kết quả tổng hợp (chưa tổng hợp). Ô trước đó Đỏ.</t>
        </is>
      </c>
      <c r="C3206" s="57" t="n"/>
      <c r="D3206" s="57" t="n"/>
      <c r="E3206" s="57" t="n"/>
    </row>
    <row r="3207" ht="61" customHeight="1">
      <c r="A3207" s="47" t="inlineStr">
        <is>
          <t>Vai trò / quyền</t>
        </is>
      </c>
      <c r="B320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207" s="57" t="n"/>
      <c r="D3207" s="57" t="n"/>
      <c r="E3207" s="57" t="n"/>
    </row>
    <row r="3208" ht="30" customHeight="1">
      <c r="A3208" s="47" t="inlineStr">
        <is>
          <t>Dữ liệu test</t>
        </is>
      </c>
      <c r="B3208" s="56" t="inlineStr">
        <is>
          <t>• Nguồn chưa có kết quả tổng hợp</t>
        </is>
      </c>
      <c r="C3208" s="57" t="n"/>
      <c r="D3208" s="57" t="n"/>
      <c r="E3208" s="57" t="n"/>
    </row>
    <row r="3209" ht="30" customHeight="1">
      <c r="A3209" s="47" t="inlineStr">
        <is>
          <t>Trigger</t>
        </is>
      </c>
      <c r="B3209" s="56" t="inlineStr">
        <is>
          <t>• Chỉ xem/xuất không tự chạy xét.</t>
        </is>
      </c>
      <c r="C3209" s="57" t="n"/>
      <c r="D3209" s="57" t="n"/>
      <c r="E3209" s="57" t="n"/>
    </row>
    <row r="3210" ht="44" customHeight="1">
      <c r="A3210" s="47" t="inlineStr">
        <is>
          <t>Blocker</t>
        </is>
      </c>
      <c r="B3210" s="56" t="inlineStr">
        <is>
          <t>• G-PREP-UNASSESSED: Chưa có xác minh fixture, đường thực hiện và phép quan sát trên build của từng case chưa đánh giá.</t>
        </is>
      </c>
      <c r="C3210" s="57" t="n"/>
      <c r="D3210" s="57" t="n"/>
      <c r="E3210" s="57" t="n"/>
    </row>
    <row r="3211" ht="30" customHeight="1">
      <c r="A3211" s="58" t="inlineStr">
        <is>
          <t>Thao tác</t>
        </is>
      </c>
      <c r="B3211" s="59" t="n"/>
      <c r="C3211" s="59" t="n"/>
      <c r="D3211" s="59" t="n"/>
      <c r="E3211" s="59" t="n"/>
    </row>
    <row r="3212" ht="30" customHeight="1">
      <c r="A3212" s="47" t="inlineStr">
        <is>
          <t>Step 1</t>
        </is>
      </c>
      <c r="B3212" s="56" t="inlineStr">
        <is>
          <t>Chạy nút cam.</t>
        </is>
      </c>
      <c r="C3212" s="57" t="n"/>
      <c r="D3212" s="57" t="n"/>
      <c r="E3212" s="57" t="n"/>
    </row>
    <row r="3213" ht="30" customHeight="1">
      <c r="A3213" s="47" t="inlineStr">
        <is>
          <t>Step 2</t>
        </is>
      </c>
      <c r="B3213" s="56" t="inlineStr">
        <is>
          <t>Xem kết quả.</t>
        </is>
      </c>
      <c r="C3213" s="57" t="n"/>
      <c r="D3213" s="57" t="n"/>
      <c r="E3213" s="57" t="n"/>
    </row>
    <row r="3214" ht="44" customHeight="1">
      <c r="A3214" s="47" t="inlineStr">
        <is>
          <t>Reset</t>
        </is>
      </c>
      <c r="B3214" s="56" t="inlineStr">
        <is>
          <t>Trước mỗi biến thể, dựng lại điều kiện/dữ liệu đầu của case bằng đường được phép; giữ các reset/fixture độc lập đã nêu trong thủ tục.</t>
        </is>
      </c>
      <c r="C3214" s="57" t="n"/>
      <c r="D3214" s="57" t="n"/>
      <c r="E3214" s="57" t="n"/>
    </row>
    <row r="3215" ht="30" customHeight="1">
      <c r="A3215" s="58" t="inlineStr">
        <is>
          <t>Kết quả mong đợi</t>
        </is>
      </c>
      <c r="B3215" s="59" t="n"/>
      <c r="C3215" s="59" t="n"/>
      <c r="D3215" s="59" t="n"/>
      <c r="E3215" s="59" t="n"/>
    </row>
    <row r="3216" ht="44" customHeight="1">
      <c r="A3216" s="47" t="inlineStr">
        <is>
          <t>•</t>
        </is>
      </c>
      <c r="B3216" s="56" t="inlineStr">
        <is>
          <t>Chưa xét được; [A] không bị coi là 0 (nếu coi 0 thì [T=0], mọi điểm dương Không đỏ); không dùng nhóm khác; ngừng dấu đỏ cũ.</t>
        </is>
      </c>
      <c r="C3216" s="57" t="n"/>
      <c r="D3216" s="57" t="n"/>
      <c r="E3216" s="57" t="n"/>
    </row>
    <row r="3217" ht="44" customHeight="1">
      <c r="A3217" s="47" t="inlineStr">
        <is>
          <t>Giữ nguyên</t>
        </is>
      </c>
      <c r="B3217" s="56" t="inlineStr">
        <is>
          <t>• Giữ điểm, cấu hình và đối tượng không đích theo expected;
• Chỉ thay phần thủ tục yêu cầu, không tự đổi oracle hoặc mở rộng phạm vi.</t>
        </is>
      </c>
      <c r="C3217" s="57" t="n"/>
      <c r="D3217" s="57" t="n"/>
      <c r="E3217" s="57" t="n"/>
    </row>
    <row r="3218" ht="61" customHeight="1">
      <c r="A3218" s="47" t="inlineStr">
        <is>
          <t>Quan sát tại</t>
        </is>
      </c>
      <c r="B3218" s="56" t="inlineStr">
        <is>
          <t>• Dùng trích xuất không lọc để thấy cả ô đối chứng. Trạng thái không có dấu đỏ cần đọc thêm trạng thái lưu;
• Output Excel/PDF dùng file thật.</t>
        </is>
      </c>
      <c r="C3218" s="57" t="n"/>
      <c r="D3218" s="57" t="n"/>
      <c r="E3218" s="57" t="n"/>
    </row>
    <row r="3219" ht="30" customHeight="1">
      <c r="A3219" s="58" t="inlineStr">
        <is>
          <t>Kết quả thực tế</t>
        </is>
      </c>
      <c r="B3219" s="59" t="n"/>
      <c r="C3219" s="59" t="n"/>
      <c r="D3219" s="59" t="n"/>
      <c r="E3219" s="59" t="n"/>
    </row>
    <row r="3220" ht="30" customHeight="1">
      <c r="A3220" s="47" t="inlineStr">
        <is>
          <t>Dữ liệu biến thể</t>
        </is>
      </c>
      <c r="B3220" s="56" t="inlineStr">
        <is>
          <t>Toàn bộ thủ tục theo đúng thứ tự; các đối chứng cùng fixture được kiểm trong cùng lượt, không bỏ bước</t>
        </is>
      </c>
      <c r="C3220" s="57" t="n"/>
      <c r="D3220" s="57" t="n"/>
      <c r="E3220" s="57" t="n"/>
    </row>
    <row r="3221" ht="30" customHeight="1">
      <c r="A3221" s="62" t="inlineStr">
        <is>
          <t>Kết quả thực tế</t>
        </is>
      </c>
    </row>
    <row r="3222" ht="64" customHeight="1">
      <c r="A3222" s="63" t="inlineStr"/>
      <c r="B3222" s="64" t="n"/>
      <c r="C3222" s="64" t="n"/>
      <c r="D3222" s="64" t="n"/>
      <c r="E3222" s="65" t="n"/>
    </row>
    <row r="3223" ht="30" customHeight="1">
      <c r="A3223" s="62" t="inlineStr">
        <is>
          <t>Ảnh minh chứng</t>
        </is>
      </c>
    </row>
    <row r="3224" ht="90" customHeight="1">
      <c r="A3224" s="63" t="inlineStr"/>
      <c r="B3224" s="64" t="n"/>
      <c r="C3224" s="64" t="n"/>
      <c r="D3224" s="64" t="n"/>
      <c r="E3224" s="65" t="n"/>
    </row>
    <row r="3225" ht="12" customHeight="1">
      <c r="A3225" s="66" t="inlineStr"/>
    </row>
    <row r="3226" ht="20" customHeight="1">
      <c r="A3226" s="66" t="inlineStr"/>
    </row>
    <row r="3227" ht="30" customHeight="1">
      <c r="A3227" s="46" t="inlineStr">
        <is>
          <t>TC-RS-BR-011 — Nguồn chỉ cần khi quy tắc đọc trung bình/tỷ lệ nhóm</t>
        </is>
      </c>
      <c r="B3227" s="23" t="n"/>
      <c r="C3227" s="23" t="n"/>
      <c r="D3227" s="23" t="n"/>
      <c r="E3227" s="23" t="n"/>
    </row>
    <row r="3228" ht="30" customHeight="1">
      <c r="A3228" s="47" t="inlineStr">
        <is>
          <t>Trạng thái</t>
        </is>
      </c>
      <c r="B3228" s="56">
        <f>IF(0&gt;0,"Không đạt",IF(0=3,"Đạt",IF(SUMPRODUCT(--EXACT('Testcases'!B3250:B3266,"Không thực hiện"))=3,"Không thực hiện",IF(SUMPRODUCT(--EXACT('Testcases'!B3250:B3266,"Bị chặn"))&gt;0,"Bị chặn",IF(SUMPRODUCT(--EXACT('Testcases'!B3250:B3266,"Chưa thực hiện"))=3,"Chưa thực hiện","Chưa đủ kết luận")))))</f>
        <v/>
      </c>
      <c r="C3228" s="57" t="n"/>
      <c r="D3228" s="57" t="n"/>
      <c r="E3228" s="57" t="n"/>
    </row>
    <row r="3229" ht="30" customHeight="1">
      <c r="A3229" s="47" t="inlineStr">
        <is>
          <t>Màn hình / chức năng</t>
        </is>
      </c>
      <c r="B3229" s="47" t="inlineStr">
        <is>
          <t>Nguồn tổng hợp</t>
        </is>
      </c>
      <c r="C3229" s="57" t="n"/>
      <c r="D3229" s="47" t="inlineStr">
        <is>
          <t>Đường dẫn</t>
        </is>
      </c>
      <c r="E3229" s="56" t="inlineStr">
        <is>
          <t>Chưa xác minh</t>
        </is>
      </c>
    </row>
    <row r="3230" ht="30" customHeight="1">
      <c r="A3230" s="58" t="inlineStr">
        <is>
          <t>Điều kiện kiểm thử</t>
        </is>
      </c>
      <c r="B3230" s="59" t="n"/>
      <c r="C3230" s="59" t="n"/>
      <c r="D3230" s="59" t="n"/>
      <c r="E3230" s="59" t="n"/>
    </row>
    <row r="3231" ht="30" customHeight="1">
      <c r="A3231" s="47" t="inlineStr">
        <is>
          <t>Cấu hình</t>
        </is>
      </c>
      <c r="B3231" s="56" t="inlineStr">
        <is>
          <t>• Không có kết quả tổng hợp nào (nguồn chưa có kết quả tổng hợp).</t>
        </is>
      </c>
      <c r="C3231" s="57" t="n"/>
      <c r="D3231" s="57" t="n"/>
      <c r="E3231" s="57" t="n"/>
    </row>
    <row r="3232" ht="61" customHeight="1">
      <c r="A3232" s="47" t="inlineStr">
        <is>
          <t>Vai trò / quyền</t>
        </is>
      </c>
      <c r="B323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232" s="57" t="n"/>
      <c r="D3232" s="57" t="n"/>
      <c r="E3232" s="57" t="n"/>
    </row>
    <row r="3233" ht="44" customHeight="1">
      <c r="A3233" s="47" t="inlineStr">
        <is>
          <t>Dữ liệu test</t>
        </is>
      </c>
      <c r="B3233" s="56" t="inlineStr">
        <is>
          <t>• Quy tắc “Cố định 30” (dưới 30), quy tắc tỷ lệ 30%, nguồn chưa có kết quả tổng hợp, học sinh S01 (điểm 29)</t>
        </is>
      </c>
      <c r="C3233" s="57" t="n"/>
      <c r="D3233" s="57" t="n"/>
      <c r="E3233" s="57" t="n"/>
    </row>
    <row r="3234" ht="30" customHeight="1">
      <c r="A3234" s="47" t="inlineStr">
        <is>
          <t>Trigger</t>
        </is>
      </c>
      <c r="B3234" s="56" t="inlineStr">
        <is>
          <t>• Chỉ xem/xuất không tự chạy xét.</t>
        </is>
      </c>
      <c r="C3234" s="57" t="n"/>
      <c r="D3234" s="57" t="n"/>
      <c r="E3234" s="57" t="n"/>
    </row>
    <row r="3235" ht="44" customHeight="1">
      <c r="A3235" s="47" t="inlineStr">
        <is>
          <t>Blocker</t>
        </is>
      </c>
      <c r="B3235" s="56" t="inlineStr">
        <is>
          <t>• G-PREP-UNASSESSED: Chưa có xác minh fixture, đường thực hiện và phép quan sát trên build của từng case chưa đánh giá.</t>
        </is>
      </c>
      <c r="C3235" s="57" t="n"/>
      <c r="D3235" s="57" t="n"/>
      <c r="E3235" s="57" t="n"/>
    </row>
    <row r="3236" ht="30" customHeight="1">
      <c r="A3236" s="58" t="inlineStr">
        <is>
          <t>Thao tác</t>
        </is>
      </c>
      <c r="B3236" s="59" t="n"/>
      <c r="C3236" s="59" t="n"/>
      <c r="D3236" s="59" t="n"/>
      <c r="E3236" s="59" t="n"/>
    </row>
    <row r="3237" ht="30" customHeight="1">
      <c r="A3237" s="47" t="inlineStr">
        <is>
          <t>Step 1</t>
        </is>
      </c>
      <c r="B3237" s="56" t="inlineStr">
        <is>
          <t>Chỉ có quy tắc “Cố định 30” (dưới 30) (Toàn bộ, không điều kiện trung bình): đăng ký S01=29.</t>
        </is>
      </c>
      <c r="C3237" s="57" t="n"/>
      <c r="D3237" s="57" t="n"/>
      <c r="E3237" s="57" t="n"/>
    </row>
    <row r="3238" ht="30" customHeight="1">
      <c r="A3238" s="47" t="inlineStr">
        <is>
          <t>Step 2</t>
        </is>
      </c>
      <c r="B3238" s="56" t="inlineStr">
        <is>
          <t>Chỉ có quy tắc tỷ lệ 30%: đăng ký S01=29.</t>
        </is>
      </c>
      <c r="C3238" s="57" t="n"/>
      <c r="D3238" s="57" t="n"/>
      <c r="E3238" s="57" t="n"/>
    </row>
    <row r="3239" ht="30" customHeight="1">
      <c r="A3239" s="47" t="inlineStr">
        <is>
          <t>Step 3</t>
        </is>
      </c>
      <c r="B3239" s="56" t="inlineStr">
        <is>
          <t>Chỉ có quy tắc "cố định 30 [&lt;], điều kiện [A≥60]": đăng ký S01=29.</t>
        </is>
      </c>
      <c r="C3239" s="57" t="n"/>
      <c r="D3239" s="57" t="n"/>
      <c r="E3239" s="57" t="n"/>
    </row>
    <row r="3240" ht="44" customHeight="1">
      <c r="A3240" s="47" t="inlineStr">
        <is>
          <t>Reset</t>
        </is>
      </c>
      <c r="B3240" s="56" t="inlineStr">
        <is>
          <t>Trước mỗi biến thể, dựng lại điều kiện/dữ liệu đầu của case bằng đường được phép; giữ các reset/fixture độc lập đã nêu trong thủ tục.</t>
        </is>
      </c>
      <c r="C3240" s="57" t="n"/>
      <c r="D3240" s="57" t="n"/>
      <c r="E3240" s="57" t="n"/>
    </row>
    <row r="3241" ht="30" customHeight="1">
      <c r="A3241" s="58" t="inlineStr">
        <is>
          <t>Kết quả mong đợi</t>
        </is>
      </c>
      <c r="B3241" s="59" t="n"/>
      <c r="C3241" s="59" t="n"/>
      <c r="D3241" s="59" t="n"/>
      <c r="E3241" s="59" t="n"/>
    </row>
    <row r="3242" ht="30" customHeight="1">
      <c r="A3242" s="47" t="inlineStr">
        <is>
          <t>1.</t>
        </is>
      </c>
      <c r="B3242" s="56" t="inlineStr">
        <is>
          <t>Đỏ (không cần nguồn).</t>
        </is>
      </c>
      <c r="C3242" s="57" t="n"/>
      <c r="D3242" s="57" t="n"/>
      <c r="E3242" s="57" t="n"/>
    </row>
    <row r="3243" ht="30" customHeight="1">
      <c r="A3243" s="47" t="inlineStr">
        <is>
          <t>2.</t>
        </is>
      </c>
      <c r="B3243" s="56" t="inlineStr">
        <is>
          <t>Đỏ ([M=100], [T=30]; không cần nguồn).</t>
        </is>
      </c>
      <c r="C3243" s="57" t="n"/>
      <c r="D3243" s="57" t="n"/>
      <c r="E3243" s="57" t="n"/>
    </row>
    <row r="3244" ht="30" customHeight="1">
      <c r="A3244" s="47" t="inlineStr">
        <is>
          <t>3.</t>
        </is>
      </c>
      <c r="B3244" s="56" t="inlineStr">
        <is>
          <t>Chưa xét được; không bỏ điều kiện để áp 30 cho mọi học sinh.</t>
        </is>
      </c>
      <c r="C3244" s="57" t="n"/>
      <c r="D3244" s="57" t="n"/>
      <c r="E3244" s="57" t="n"/>
    </row>
    <row r="3245" ht="44" customHeight="1">
      <c r="A3245" s="47" t="inlineStr">
        <is>
          <t>Giữ nguyên</t>
        </is>
      </c>
      <c r="B3245" s="56" t="inlineStr">
        <is>
          <t>• Giữ điểm, cấu hình và đối tượng không đích theo expected;
• Chỉ thay phần thủ tục yêu cầu, không tự đổi oracle hoặc mở rộng phạm vi.</t>
        </is>
      </c>
      <c r="C3245" s="57" t="n"/>
      <c r="D3245" s="57" t="n"/>
      <c r="E3245" s="57" t="n"/>
    </row>
    <row r="3246" ht="61" customHeight="1">
      <c r="A3246" s="47" t="inlineStr">
        <is>
          <t>Quan sát tại</t>
        </is>
      </c>
      <c r="B3246" s="56" t="inlineStr">
        <is>
          <t>• Dùng trích xuất không lọc để thấy cả ô đối chứng. Trạng thái không có dấu đỏ cần đọc thêm trạng thái lưu;
• Output Excel/PDF dùng file thật.</t>
        </is>
      </c>
      <c r="C3246" s="57" t="n"/>
      <c r="D3246" s="57" t="n"/>
      <c r="E3246" s="57" t="n"/>
    </row>
    <row r="3247" ht="30" customHeight="1">
      <c r="A3247" s="58" t="inlineStr">
        <is>
          <t>Kết quả thực tế</t>
        </is>
      </c>
      <c r="B3247" s="59" t="n"/>
      <c r="C3247" s="59" t="n"/>
      <c r="D3247" s="59" t="n"/>
      <c r="E3247" s="59" t="n"/>
    </row>
    <row r="3248" ht="30" customHeight="1">
      <c r="A3248" s="60" t="inlineStr">
        <is>
          <t>TC-RS-BR-011 / fixed</t>
        </is>
      </c>
      <c r="B3248" s="36" t="n"/>
      <c r="C3248" s="36" t="n"/>
      <c r="D3248" s="36" t="n"/>
      <c r="E3248" s="36" t="n"/>
    </row>
    <row r="3249" ht="30" customHeight="1">
      <c r="A3249" s="47" t="inlineStr">
        <is>
          <t>Dữ liệu biến thể</t>
        </is>
      </c>
      <c r="B3249" s="56" t="inlineStr">
        <is>
          <t>Ngưỡng cố định</t>
        </is>
      </c>
      <c r="C3249" s="57" t="n"/>
      <c r="D3249" s="57" t="n"/>
      <c r="E3249" s="57" t="n"/>
    </row>
    <row r="3250" ht="30" customHeight="1">
      <c r="A3250" s="47" t="inlineStr">
        <is>
          <t>Trạng thái</t>
        </is>
      </c>
      <c r="B3250" s="61" t="inlineStr">
        <is>
          <t>Chưa thực hiện</t>
        </is>
      </c>
      <c r="C3250" s="57" t="n"/>
      <c r="D3250" s="57" t="n"/>
      <c r="E3250" s="57" t="n"/>
    </row>
    <row r="3251" ht="30" customHeight="1">
      <c r="A3251" s="62" t="inlineStr">
        <is>
          <t>Kết quả thực tế</t>
        </is>
      </c>
    </row>
    <row r="3252" ht="64" customHeight="1">
      <c r="A3252" s="63" t="inlineStr"/>
      <c r="B3252" s="64" t="n"/>
      <c r="C3252" s="64" t="n"/>
      <c r="D3252" s="64" t="n"/>
      <c r="E3252" s="65" t="n"/>
    </row>
    <row r="3253" ht="30" customHeight="1">
      <c r="A3253" s="62" t="inlineStr">
        <is>
          <t>Ảnh minh chứng</t>
        </is>
      </c>
    </row>
    <row r="3254" ht="90" customHeight="1">
      <c r="A3254" s="63" t="inlineStr"/>
      <c r="B3254" s="64" t="n"/>
      <c r="C3254" s="64" t="n"/>
      <c r="D3254" s="64" t="n"/>
      <c r="E3254" s="65" t="n"/>
    </row>
    <row r="3255" ht="12" customHeight="1">
      <c r="A3255" s="66" t="inlineStr"/>
    </row>
    <row r="3256" ht="30" customHeight="1">
      <c r="A3256" s="60" t="inlineStr">
        <is>
          <t>TC-RS-BR-011 / ratio</t>
        </is>
      </c>
      <c r="B3256" s="36" t="n"/>
      <c r="C3256" s="36" t="n"/>
      <c r="D3256" s="36" t="n"/>
      <c r="E3256" s="36" t="n"/>
    </row>
    <row r="3257" ht="30" customHeight="1">
      <c r="A3257" s="47" t="inlineStr">
        <is>
          <t>Dữ liệu biến thể</t>
        </is>
      </c>
      <c r="B3257" s="56" t="inlineStr">
        <is>
          <t>Ngưỡng tỷ lệ</t>
        </is>
      </c>
      <c r="C3257" s="57" t="n"/>
      <c r="D3257" s="57" t="n"/>
      <c r="E3257" s="57" t="n"/>
    </row>
    <row r="3258" ht="30" customHeight="1">
      <c r="A3258" s="47" t="inlineStr">
        <is>
          <t>Trạng thái</t>
        </is>
      </c>
      <c r="B3258" s="61" t="inlineStr">
        <is>
          <t>Chưa thực hiện</t>
        </is>
      </c>
      <c r="C3258" s="57" t="n"/>
      <c r="D3258" s="57" t="n"/>
      <c r="E3258" s="57" t="n"/>
    </row>
    <row r="3259" ht="30" customHeight="1">
      <c r="A3259" s="62" t="inlineStr">
        <is>
          <t>Kết quả thực tế</t>
        </is>
      </c>
    </row>
    <row r="3260" ht="64" customHeight="1">
      <c r="A3260" s="63" t="inlineStr"/>
      <c r="B3260" s="64" t="n"/>
      <c r="C3260" s="64" t="n"/>
      <c r="D3260" s="64" t="n"/>
      <c r="E3260" s="65" t="n"/>
    </row>
    <row r="3261" ht="30" customHeight="1">
      <c r="A3261" s="62" t="inlineStr">
        <is>
          <t>Ảnh minh chứng</t>
        </is>
      </c>
    </row>
    <row r="3262" ht="90" customHeight="1">
      <c r="A3262" s="63" t="inlineStr"/>
      <c r="B3262" s="64" t="n"/>
      <c r="C3262" s="64" t="n"/>
      <c r="D3262" s="64" t="n"/>
      <c r="E3262" s="65" t="n"/>
    </row>
    <row r="3263" ht="12" customHeight="1">
      <c r="A3263" s="66" t="inlineStr"/>
    </row>
    <row r="3264" ht="30" customHeight="1">
      <c r="A3264" s="60" t="inlineStr">
        <is>
          <t>TC-RS-BR-011 / average-condition</t>
        </is>
      </c>
      <c r="B3264" s="36" t="n"/>
      <c r="C3264" s="36" t="n"/>
      <c r="D3264" s="36" t="n"/>
      <c r="E3264" s="36" t="n"/>
    </row>
    <row r="3265" ht="30" customHeight="1">
      <c r="A3265" s="47" t="inlineStr">
        <is>
          <t>Dữ liệu biến thể</t>
        </is>
      </c>
      <c r="B3265" s="56" t="inlineStr">
        <is>
          <t>Điều kiện trung bình</t>
        </is>
      </c>
      <c r="C3265" s="57" t="n"/>
      <c r="D3265" s="57" t="n"/>
      <c r="E3265" s="57" t="n"/>
    </row>
    <row r="3266" ht="30" customHeight="1">
      <c r="A3266" s="47" t="inlineStr">
        <is>
          <t>Trạng thái</t>
        </is>
      </c>
      <c r="B3266" s="61" t="inlineStr">
        <is>
          <t>Chưa thực hiện</t>
        </is>
      </c>
      <c r="C3266" s="57" t="n"/>
      <c r="D3266" s="57" t="n"/>
      <c r="E3266" s="57" t="n"/>
    </row>
    <row r="3267" ht="30" customHeight="1">
      <c r="A3267" s="62" t="inlineStr">
        <is>
          <t>Kết quả thực tế</t>
        </is>
      </c>
    </row>
    <row r="3268" ht="64" customHeight="1">
      <c r="A3268" s="63" t="inlineStr"/>
      <c r="B3268" s="64" t="n"/>
      <c r="C3268" s="64" t="n"/>
      <c r="D3268" s="64" t="n"/>
      <c r="E3268" s="65" t="n"/>
    </row>
    <row r="3269" ht="30" customHeight="1">
      <c r="A3269" s="62" t="inlineStr">
        <is>
          <t>Ảnh minh chứng</t>
        </is>
      </c>
    </row>
    <row r="3270" ht="90" customHeight="1">
      <c r="A3270" s="63" t="inlineStr"/>
      <c r="B3270" s="64" t="n"/>
      <c r="C3270" s="64" t="n"/>
      <c r="D3270" s="64" t="n"/>
      <c r="E3270" s="65" t="n"/>
    </row>
    <row r="3271" ht="12" customHeight="1">
      <c r="A3271" s="66" t="inlineStr"/>
    </row>
    <row r="3272" ht="20" customHeight="1">
      <c r="A3272" s="66" t="inlineStr"/>
    </row>
    <row r="3273" ht="30" customHeight="1">
      <c r="A3273" s="46" t="inlineStr">
        <is>
          <t>TC-RS-BR-028 — Nhóm tham chiếu có lớp khác M không gây lỗi dừng xử lý</t>
        </is>
      </c>
      <c r="B3273" s="23" t="n"/>
      <c r="C3273" s="23" t="n"/>
      <c r="D3273" s="23" t="n"/>
      <c r="E3273" s="23" t="n"/>
    </row>
    <row r="3274" ht="30" customHeight="1">
      <c r="A3274" s="47" t="inlineStr">
        <is>
          <t>Trạng thái</t>
        </is>
      </c>
      <c r="B3274" s="61" t="inlineStr">
        <is>
          <t>Chưa thực hiện</t>
        </is>
      </c>
      <c r="C3274" s="57" t="n"/>
      <c r="D3274" s="57" t="n"/>
      <c r="E3274" s="57" t="n"/>
    </row>
    <row r="3275" ht="30" customHeight="1">
      <c r="A3275" s="47" t="inlineStr">
        <is>
          <t>Màn hình / chức năng</t>
        </is>
      </c>
      <c r="B3275" s="47" t="inlineStr">
        <is>
          <t>Nguồn tổng hợp</t>
        </is>
      </c>
      <c r="C3275" s="57" t="n"/>
      <c r="D3275" s="47" t="inlineStr">
        <is>
          <t>Đường dẫn</t>
        </is>
      </c>
      <c r="E3275" s="56" t="inlineStr">
        <is>
          <t>Chưa xác minh</t>
        </is>
      </c>
    </row>
    <row r="3276" ht="30" customHeight="1">
      <c r="A3276" s="58" t="inlineStr">
        <is>
          <t>Điều kiện kiểm thử</t>
        </is>
      </c>
      <c r="B3276" s="59" t="n"/>
      <c r="C3276" s="59" t="n"/>
      <c r="D3276" s="59" t="n"/>
      <c r="E3276" s="59" t="n"/>
    </row>
    <row r="3277" ht="61" customHeight="1">
      <c r="A3277" s="47" t="inlineStr">
        <is>
          <t>Cấu hình</t>
        </is>
      </c>
      <c r="B3277" s="56" t="inlineStr">
        <is>
          <t>• Nhóm tham chiếu gồm G-A có [M=20] và G-B có [M=100];
• Rule dùng [R (tỷ lệ nhóm)] với điều kiện [R≥65%];
• P1 thuộc phạm vi được xét ở G-B ([M=100]).</t>
        </is>
      </c>
      <c r="C3277" s="57" t="n"/>
      <c r="D3277" s="57" t="n"/>
      <c r="E3277" s="57" t="n"/>
    </row>
    <row r="3278" ht="61" customHeight="1">
      <c r="A3278" s="47" t="inlineStr">
        <is>
          <t>Vai trò / quyền</t>
        </is>
      </c>
      <c r="B327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278" s="57" t="n"/>
      <c r="D3278" s="57" t="n"/>
      <c r="E3278" s="57" t="n"/>
    </row>
    <row r="3279" ht="78" customHeight="1">
      <c r="A3279" s="47" t="inlineStr">
        <is>
          <t>Dữ liệu test</t>
        </is>
      </c>
      <c r="B3279" s="56" t="inlineStr">
        <is>
          <t>• G-A có [10/20], G-B có [80/100];
• Fixture nguồn đã chuẩn bị/quan sát phải ghi rõ giá trị [R] thực sự được reader sử dụng. Với nguồn tổng điểm/tổng M, fixture này cho [R=75%];
• P1 có [S=60], ngưỡng cố định [T=70] hợp lệ với [M=100].</t>
        </is>
      </c>
      <c r="C3279" s="57" t="n"/>
      <c r="D3279" s="57" t="n"/>
      <c r="E3279" s="57" t="n"/>
    </row>
    <row r="3280" ht="30" customHeight="1">
      <c r="A3280" s="47" t="inlineStr">
        <is>
          <t>Trigger</t>
        </is>
      </c>
      <c r="B3280" s="56" t="inlineStr">
        <is>
          <t>• Chỉ xem/xuất không tự chạy xét.</t>
        </is>
      </c>
      <c r="C3280" s="57" t="n"/>
      <c r="D3280" s="57" t="n"/>
      <c r="E3280" s="57" t="n"/>
    </row>
    <row r="3281" ht="44" customHeight="1">
      <c r="A3281" s="47" t="inlineStr">
        <is>
          <t>Blocker</t>
        </is>
      </c>
      <c r="B3281" s="56" t="inlineStr">
        <is>
          <t>• G-PREP-UNASSESSED: Chưa có xác minh fixture, đường thực hiện và phép quan sát trên build của từng case chưa đánh giá.</t>
        </is>
      </c>
      <c r="C3281" s="57" t="n"/>
      <c r="D3281" s="57" t="n"/>
      <c r="E3281" s="57" t="n"/>
    </row>
    <row r="3282" ht="30" customHeight="1">
      <c r="A3282" s="58" t="inlineStr">
        <is>
          <t>Thao tác</t>
        </is>
      </c>
      <c r="B3282" s="59" t="n"/>
      <c r="C3282" s="59" t="n"/>
      <c r="D3282" s="59" t="n"/>
      <c r="E3282" s="59" t="n"/>
    </row>
    <row r="3283" ht="44" customHeight="1">
      <c r="A3283" s="47" t="inlineStr">
        <is>
          <t>Step 1</t>
        </is>
      </c>
      <c r="B3283" s="56" t="inlineStr">
        <is>
          <t>Lưu quy tắc theo tỷ lệ điểm của nhóm từ 65% với nguồn là nhóm trên; ghi source snapshot/reader và xác nhận [R=75%] đã được chuẩn bị.</t>
        </is>
      </c>
      <c r="C3283" s="57" t="n"/>
      <c r="D3283" s="57" t="n"/>
      <c r="E3283" s="57" t="n"/>
    </row>
    <row r="3284" ht="30" customHeight="1">
      <c r="A3284" s="47" t="inlineStr">
        <is>
          <t>Step 2</t>
        </is>
      </c>
      <c r="B3284" s="56" t="inlineStr">
        <is>
          <t>Chạy nút xanh rồi nút cam cho phạm vi.</t>
        </is>
      </c>
      <c r="C3284" s="57" t="n"/>
      <c r="D3284" s="57" t="n"/>
      <c r="E3284" s="57" t="n"/>
    </row>
    <row r="3285" ht="30" customHeight="1">
      <c r="A3285" s="47" t="inlineStr">
        <is>
          <t>Step 3</t>
        </is>
      </c>
      <c r="B3285" s="56" t="inlineStr">
        <is>
          <t>Xem màn kết quả xử lý và kết quả P1.</t>
        </is>
      </c>
      <c r="C3285" s="57" t="n"/>
      <c r="D3285" s="57" t="n"/>
      <c r="E3285" s="57" t="n"/>
    </row>
    <row r="3286" ht="44" customHeight="1">
      <c r="A3286" s="47" t="inlineStr">
        <is>
          <t>Reset</t>
        </is>
      </c>
      <c r="B3286" s="56" t="inlineStr">
        <is>
          <t>Trước mỗi biến thể, dựng lại điều kiện/dữ liệu đầu của case bằng đường được phép; giữ các reset/fixture độc lập đã nêu trong thủ tục.</t>
        </is>
      </c>
      <c r="C3286" s="57" t="n"/>
      <c r="D3286" s="57" t="n"/>
      <c r="E3286" s="57" t="n"/>
    </row>
    <row r="3287" ht="30" customHeight="1">
      <c r="A3287" s="58" t="inlineStr">
        <is>
          <t>Kết quả mong đợi</t>
        </is>
      </c>
      <c r="B3287" s="59" t="n"/>
      <c r="C3287" s="59" t="n"/>
      <c r="D3287" s="59" t="n"/>
      <c r="E3287" s="59" t="n"/>
    </row>
    <row r="3288" ht="30" customHeight="1">
      <c r="A3288" s="47" t="inlineStr">
        <is>
          <t>1.</t>
        </is>
      </c>
      <c r="B3288" s="56" t="inlineStr">
        <is>
          <t>Lưu được; không bị chặn vì nhóm có lớp khác M.</t>
        </is>
      </c>
      <c r="C3288" s="57" t="n"/>
      <c r="D3288" s="57" t="n"/>
      <c r="E3288" s="57" t="n"/>
    </row>
    <row r="3289" ht="78" customHeight="1">
      <c r="A3289" s="47" t="inlineStr">
        <is>
          <t>•</t>
        </is>
      </c>
      <c r="B3289" s="56" t="inlineStr">
        <is>
          <t>2–3. Xử lý hoàn tất, không lỗi dừng do khác M. Ghi lại trong evidence nguồn/bản snapshot và [R] thực sự được reader dùng; nếu reader dùng nguồn tổng điểm/tổng M thì fixture này cho [R=(10+80)/(20+100)×100=75%], khớp [≥65%], [T=70] và P1 Đỏ. Không dùng phép tính trong case để áp đặt một cách tổng hợp mới; không dùng trung bình tỷ lệ cá nhân làm oracle thay cho nguồn hiện hữu.</t>
        </is>
      </c>
      <c r="C3289" s="57" t="n"/>
      <c r="D3289" s="57" t="n"/>
      <c r="E3289" s="57" t="n"/>
    </row>
    <row r="3290" ht="44" customHeight="1">
      <c r="A3290" s="47" t="inlineStr">
        <is>
          <t>Giữ nguyên</t>
        </is>
      </c>
      <c r="B3290" s="56" t="inlineStr">
        <is>
          <t>• Giữ điểm, cấu hình và đối tượng không đích theo expected;
• Chỉ thay phần thủ tục yêu cầu, không tự đổi oracle hoặc mở rộng phạm vi.</t>
        </is>
      </c>
      <c r="C3290" s="57" t="n"/>
      <c r="D3290" s="57" t="n"/>
      <c r="E3290" s="57" t="n"/>
    </row>
    <row r="3291" ht="61" customHeight="1">
      <c r="A3291" s="47" t="inlineStr">
        <is>
          <t>Quan sát tại</t>
        </is>
      </c>
      <c r="B3291" s="56" t="inlineStr">
        <is>
          <t>• Dùng trích xuất không lọc để thấy cả ô đối chứng. Trạng thái không có dấu đỏ cần đọc thêm trạng thái lưu;
• Output Excel/PDF dùng file thật.</t>
        </is>
      </c>
      <c r="C3291" s="57" t="n"/>
      <c r="D3291" s="57" t="n"/>
      <c r="E3291" s="57" t="n"/>
    </row>
    <row r="3292" ht="30" customHeight="1">
      <c r="A3292" s="58" t="inlineStr">
        <is>
          <t>Kết quả thực tế</t>
        </is>
      </c>
      <c r="B3292" s="59" t="n"/>
      <c r="C3292" s="59" t="n"/>
      <c r="D3292" s="59" t="n"/>
      <c r="E3292" s="59" t="n"/>
    </row>
    <row r="3293" ht="30" customHeight="1">
      <c r="A3293" s="47" t="inlineStr">
        <is>
          <t>Dữ liệu biến thể</t>
        </is>
      </c>
      <c r="B3293" s="56" t="inlineStr">
        <is>
          <t>Toàn bộ thủ tục theo đúng thứ tự; các đối chứng cùng fixture được kiểm trong cùng lượt, không bỏ bước</t>
        </is>
      </c>
      <c r="C3293" s="57" t="n"/>
      <c r="D3293" s="57" t="n"/>
      <c r="E3293" s="57" t="n"/>
    </row>
    <row r="3294" ht="30" customHeight="1">
      <c r="A3294" s="62" t="inlineStr">
        <is>
          <t>Kết quả thực tế</t>
        </is>
      </c>
    </row>
    <row r="3295" ht="64" customHeight="1">
      <c r="A3295" s="63" t="inlineStr"/>
      <c r="B3295" s="64" t="n"/>
      <c r="C3295" s="64" t="n"/>
      <c r="D3295" s="64" t="n"/>
      <c r="E3295" s="65" t="n"/>
    </row>
    <row r="3296" ht="30" customHeight="1">
      <c r="A3296" s="62" t="inlineStr">
        <is>
          <t>Ảnh minh chứng</t>
        </is>
      </c>
    </row>
    <row r="3297" ht="90" customHeight="1">
      <c r="A3297" s="63" t="inlineStr"/>
      <c r="B3297" s="64" t="n"/>
      <c r="C3297" s="64" t="n"/>
      <c r="D3297" s="64" t="n"/>
      <c r="E3297" s="65" t="n"/>
    </row>
    <row r="3298" ht="12" customHeight="1">
      <c r="A3298" s="66" t="inlineStr"/>
    </row>
    <row r="3299" ht="20" customHeight="1">
      <c r="A3299" s="66" t="inlineStr"/>
    </row>
    <row r="3300" ht="30" customHeight="1">
      <c r="A3300" s="46" t="inlineStr">
        <is>
          <t>TC-RS-BR-034 — Bật tự tổng hợp khi đăng ký: hệ thống không chặn; quy tắc độc lập với trung bình vẫn xét</t>
        </is>
      </c>
      <c r="B3300" s="23" t="n"/>
      <c r="C3300" s="23" t="n"/>
      <c r="D3300" s="23" t="n"/>
      <c r="E3300" s="23" t="n"/>
    </row>
    <row r="3301" ht="30" customHeight="1">
      <c r="A3301" s="47" t="inlineStr">
        <is>
          <t>Trạng thái</t>
        </is>
      </c>
      <c r="B3301" s="61" t="inlineStr">
        <is>
          <t>Chưa thực hiện</t>
        </is>
      </c>
      <c r="C3301" s="57" t="n"/>
      <c r="D3301" s="57" t="n"/>
      <c r="E3301" s="57" t="n"/>
    </row>
    <row r="3302" ht="30" customHeight="1">
      <c r="A3302" s="47" t="inlineStr">
        <is>
          <t>Màn hình / chức năng</t>
        </is>
      </c>
      <c r="B3302" s="47" t="inlineStr">
        <is>
          <t>Nguồn tổng hợp</t>
        </is>
      </c>
      <c r="C3302" s="57" t="n"/>
      <c r="D3302" s="47" t="inlineStr">
        <is>
          <t>Đường dẫn</t>
        </is>
      </c>
      <c r="E3302" s="56" t="inlineStr">
        <is>
          <t>Chưa xác minh</t>
        </is>
      </c>
    </row>
    <row r="3303" ht="30" customHeight="1">
      <c r="A3303" s="58" t="inlineStr">
        <is>
          <t>Điều kiện kiểm thử</t>
        </is>
      </c>
      <c r="B3303" s="59" t="n"/>
      <c r="C3303" s="59" t="n"/>
      <c r="D3303" s="59" t="n"/>
      <c r="E3303" s="59" t="n"/>
    </row>
    <row r="3304" ht="61" customHeight="1">
      <c r="A3304" s="47" t="inlineStr">
        <is>
          <t>Cấu hình</t>
        </is>
      </c>
      <c r="B3304" s="56" t="inlineStr">
        <is>
          <t>• Tự tổng hợp khi đăng ký = Thực hiện（実行する）. mục số nguyên (M=100) có quy tắc “Cố định 30” (dưới 30);
• Mục số thập phân (M=100) có công thức [A×0.5].</t>
        </is>
      </c>
      <c r="C3304" s="57" t="n"/>
      <c r="D3304" s="57" t="n"/>
      <c r="E3304" s="57" t="n"/>
    </row>
    <row r="3305" ht="61" customHeight="1">
      <c r="A3305" s="47" t="inlineStr">
        <is>
          <t>Vai trò / quyền</t>
        </is>
      </c>
      <c r="B330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305" s="57" t="n"/>
      <c r="D3305" s="57" t="n"/>
      <c r="E3305" s="57" t="n"/>
    </row>
    <row r="3306" ht="44" customHeight="1">
      <c r="A3306" s="47" t="inlineStr">
        <is>
          <t>Dữ liệu test</t>
        </is>
      </c>
      <c r="B3306" s="56" t="inlineStr">
        <is>
          <t>• Mục số nguyên (M=100), mục số thập phân (M=100);
• Quy tắc “Cố định 30” (dưới 30), học sinh S01 (điểm 29), học sinh S09 (mục số thập phân 29.5)</t>
        </is>
      </c>
      <c r="C3306" s="57" t="n"/>
      <c r="D3306" s="57" t="n"/>
      <c r="E3306" s="57" t="n"/>
    </row>
    <row r="3307" ht="30" customHeight="1">
      <c r="A3307" s="47" t="inlineStr">
        <is>
          <t>Trigger</t>
        </is>
      </c>
      <c r="B3307" s="56" t="inlineStr">
        <is>
          <t>• Chỉ xem/xuất không tự chạy xét.</t>
        </is>
      </c>
      <c r="C3307" s="57" t="n"/>
      <c r="D3307" s="57" t="n"/>
      <c r="E3307" s="57" t="n"/>
    </row>
    <row r="3308" ht="44" customHeight="1">
      <c r="A3308" s="47" t="inlineStr">
        <is>
          <t>Blocker</t>
        </is>
      </c>
      <c r="B3308" s="56" t="inlineStr">
        <is>
          <t>• G-PREP-UNASSESSED: Chưa có xác minh fixture, đường thực hiện và phép quan sát trên build của từng case chưa đánh giá.</t>
        </is>
      </c>
      <c r="C3308" s="57" t="n"/>
      <c r="D3308" s="57" t="n"/>
      <c r="E3308" s="57" t="n"/>
    </row>
    <row r="3309" ht="30" customHeight="1">
      <c r="A3309" s="58" t="inlineStr">
        <is>
          <t>Thao tác</t>
        </is>
      </c>
      <c r="B3309" s="59" t="n"/>
      <c r="C3309" s="59" t="n"/>
      <c r="D3309" s="59" t="n"/>
      <c r="E3309" s="59" t="n"/>
    </row>
    <row r="3310" ht="30" customHeight="1">
      <c r="A3310" s="47" t="inlineStr">
        <is>
          <t>Step 1</t>
        </is>
      </c>
      <c r="B3310" s="56" t="inlineStr">
        <is>
          <t>Lưu quy tắc công thức (không bị chặn vì tự tổng hợp đang bật).</t>
        </is>
      </c>
      <c r="C3310" s="57" t="n"/>
      <c r="D3310" s="57" t="n"/>
      <c r="E3310" s="57" t="n"/>
    </row>
    <row r="3311" ht="30" customHeight="1">
      <c r="A3311" s="47" t="inlineStr">
        <is>
          <t>Step 2</t>
        </is>
      </c>
      <c r="B3311" s="56" t="inlineStr">
        <is>
          <t>Đặt tự tổng hợp = Không thực hiện（実行しない）, đăng ký S01=29.</t>
        </is>
      </c>
      <c r="C3311" s="57" t="n"/>
      <c r="D3311" s="57" t="n"/>
      <c r="E3311" s="57" t="n"/>
    </row>
    <row r="3312" ht="44" customHeight="1">
      <c r="A3312" s="47" t="inlineStr">
        <is>
          <t>Reset</t>
        </is>
      </c>
      <c r="B3312" s="56" t="inlineStr">
        <is>
          <t>Trước mỗi biến thể, dựng lại điều kiện/dữ liệu đầu của case bằng đường được phép; giữ các reset/fixture độc lập đã nêu trong thủ tục.</t>
        </is>
      </c>
      <c r="C3312" s="57" t="n"/>
      <c r="D3312" s="57" t="n"/>
      <c r="E3312" s="57" t="n"/>
    </row>
    <row r="3313" ht="30" customHeight="1">
      <c r="A3313" s="58" t="inlineStr">
        <is>
          <t>Kết quả mong đợi</t>
        </is>
      </c>
      <c r="B3313" s="59" t="n"/>
      <c r="C3313" s="59" t="n"/>
      <c r="D3313" s="59" t="n"/>
      <c r="E3313" s="59" t="n"/>
    </row>
    <row r="3314" ht="30" customHeight="1">
      <c r="A3314" s="47" t="inlineStr">
        <is>
          <t>1.</t>
        </is>
      </c>
      <c r="B3314" s="56" t="inlineStr">
        <is>
          <t>Lưu được; không có ràng buộc hệ thống buộc tắt.</t>
        </is>
      </c>
      <c r="C3314" s="57" t="n"/>
      <c r="D3314" s="57" t="n"/>
      <c r="E3314" s="57" t="n"/>
    </row>
    <row r="3315" ht="30" customHeight="1">
      <c r="A3315" s="47" t="inlineStr">
        <is>
          <t>2.</t>
        </is>
      </c>
      <c r="B3315" s="56" t="inlineStr">
        <is>
          <t>S01 vẫn được xét khi đăng ký → Đỏ.</t>
        </is>
      </c>
      <c r="C3315" s="57" t="n"/>
      <c r="D3315" s="57" t="n"/>
      <c r="E3315" s="57" t="n"/>
    </row>
    <row r="3316" ht="44" customHeight="1">
      <c r="A3316" s="47" t="inlineStr">
        <is>
          <t>Giữ nguyên</t>
        </is>
      </c>
      <c r="B3316" s="56" t="inlineStr">
        <is>
          <t>• Giữ điểm, cấu hình và đối tượng không đích theo expected;
• Chỉ thay phần thủ tục yêu cầu, không tự đổi oracle hoặc mở rộng phạm vi.</t>
        </is>
      </c>
      <c r="C3316" s="57" t="n"/>
      <c r="D3316" s="57" t="n"/>
      <c r="E3316" s="57" t="n"/>
    </row>
    <row r="3317" ht="61" customHeight="1">
      <c r="A3317" s="47" t="inlineStr">
        <is>
          <t>Quan sát tại</t>
        </is>
      </c>
      <c r="B3317" s="56" t="inlineStr">
        <is>
          <t>• Dùng trích xuất không lọc để thấy cả ô đối chứng. Trạng thái không có dấu đỏ cần đọc thêm trạng thái lưu;
• Output Excel/PDF dùng file thật.</t>
        </is>
      </c>
      <c r="C3317" s="57" t="n"/>
      <c r="D3317" s="57" t="n"/>
      <c r="E3317" s="57" t="n"/>
    </row>
    <row r="3318" ht="30" customHeight="1">
      <c r="A3318" s="58" t="inlineStr">
        <is>
          <t>Kết quả thực tế</t>
        </is>
      </c>
      <c r="B3318" s="59" t="n"/>
      <c r="C3318" s="59" t="n"/>
      <c r="D3318" s="59" t="n"/>
      <c r="E3318" s="59" t="n"/>
    </row>
    <row r="3319" ht="30" customHeight="1">
      <c r="A3319" s="47" t="inlineStr">
        <is>
          <t>Dữ liệu biến thể</t>
        </is>
      </c>
      <c r="B3319" s="56" t="inlineStr">
        <is>
          <t>Toàn bộ thủ tục theo đúng thứ tự; các đối chứng cùng fixture được kiểm trong cùng lượt, không bỏ bước</t>
        </is>
      </c>
      <c r="C3319" s="57" t="n"/>
      <c r="D3319" s="57" t="n"/>
      <c r="E3319" s="57" t="n"/>
    </row>
    <row r="3320" ht="30" customHeight="1">
      <c r="A3320" s="62" t="inlineStr">
        <is>
          <t>Kết quả thực tế</t>
        </is>
      </c>
    </row>
    <row r="3321" ht="64" customHeight="1">
      <c r="A3321" s="63" t="inlineStr"/>
      <c r="B3321" s="64" t="n"/>
      <c r="C3321" s="64" t="n"/>
      <c r="D3321" s="64" t="n"/>
      <c r="E3321" s="65" t="n"/>
    </row>
    <row r="3322" ht="30" customHeight="1">
      <c r="A3322" s="62" t="inlineStr">
        <is>
          <t>Ảnh minh chứng</t>
        </is>
      </c>
    </row>
    <row r="3323" ht="90" customHeight="1">
      <c r="A3323" s="63" t="inlineStr"/>
      <c r="B3323" s="64" t="n"/>
      <c r="C3323" s="64" t="n"/>
      <c r="D3323" s="64" t="n"/>
      <c r="E3323" s="65" t="n"/>
    </row>
    <row r="3324" ht="12" customHeight="1">
      <c r="A3324" s="66" t="inlineStr"/>
    </row>
    <row r="3325" ht="20" customHeight="1">
      <c r="A3325" s="66" t="inlineStr"/>
    </row>
    <row r="3326" ht="30" customHeight="1">
      <c r="A3326" s="46" t="inlineStr">
        <is>
          <t>TC-RS-BR-038 — Nhóm lớp học（授業）: dùng kết quả tổng hợp của đúng lớp chứa ô đang xét</t>
        </is>
      </c>
      <c r="B3326" s="23" t="n"/>
      <c r="C3326" s="23" t="n"/>
      <c r="D3326" s="23" t="n"/>
      <c r="E3326" s="23" t="n"/>
    </row>
    <row r="3327" ht="30" customHeight="1">
      <c r="A3327" s="47" t="inlineStr">
        <is>
          <t>Trạng thái</t>
        </is>
      </c>
      <c r="B3327" s="61" t="inlineStr">
        <is>
          <t>Chưa thực hiện</t>
        </is>
      </c>
      <c r="C3327" s="57" t="n"/>
      <c r="D3327" s="57" t="n"/>
      <c r="E3327" s="57" t="n"/>
    </row>
    <row r="3328" ht="30" customHeight="1">
      <c r="A3328" s="47" t="inlineStr">
        <is>
          <t>Màn hình / chức năng</t>
        </is>
      </c>
      <c r="B3328" s="47" t="inlineStr">
        <is>
          <t>Nguồn tổng hợp</t>
        </is>
      </c>
      <c r="C3328" s="57" t="n"/>
      <c r="D3328" s="47" t="inlineStr">
        <is>
          <t>Đường dẫn</t>
        </is>
      </c>
      <c r="E3328" s="56" t="inlineStr">
        <is>
          <t>Chưa xác minh</t>
        </is>
      </c>
    </row>
    <row r="3329" ht="30" customHeight="1">
      <c r="A3329" s="58" t="inlineStr">
        <is>
          <t>Điều kiện kiểm thử</t>
        </is>
      </c>
      <c r="B3329" s="59" t="n"/>
      <c r="C3329" s="59" t="n"/>
      <c r="D3329" s="59" t="n"/>
      <c r="E3329" s="59" t="n"/>
    </row>
    <row r="3330" ht="95" customHeight="1">
      <c r="A3330" s="47" t="inlineStr">
        <is>
          <t>Cấu hình</t>
        </is>
      </c>
      <c r="B3330" s="56" t="inlineStr">
        <is>
          <t>• Thiết lập tổng hợp X đã bật thêm Lớp học（授業） (X đã bật lớp học và đã tổng hợp). S11 học cả G-A và G-D;
• Trong X trung bình lớp G-A = 40, G-D = 70. Quy tắc trên mục số nguyên (M=100): Toàn bộ đối tượng, ngưỡng Công thức（計算式） [A×0.5], [&lt;];
• Nguồn công thức = X / Lớp học（授業）.</t>
        </is>
      </c>
      <c r="C3330" s="57" t="n"/>
      <c r="D3330" s="57" t="n"/>
      <c r="E3330" s="57" t="n"/>
    </row>
    <row r="3331" ht="61" customHeight="1">
      <c r="A3331" s="47" t="inlineStr">
        <is>
          <t>Vai trò / quyền</t>
        </is>
      </c>
      <c r="B333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331" s="57" t="n"/>
      <c r="D3331" s="57" t="n"/>
      <c r="E3331" s="57" t="n"/>
    </row>
    <row r="3332" ht="61" customHeight="1">
      <c r="A3332" s="47" t="inlineStr">
        <is>
          <t>Dữ liệu test</t>
        </is>
      </c>
      <c r="B3332" s="56" t="inlineStr">
        <is>
          <t>• Thiết lập tổng hợp X đã bật thêm Lớp học（授業）, học sinh S11 học hai lớp Toán I (G-A, G-D);
• Mục số nguyên (M=100);
• S11 có điểm 25 ở cả G-A và G-D</t>
        </is>
      </c>
      <c r="C3332" s="57" t="n"/>
      <c r="D3332" s="57" t="n"/>
      <c r="E3332" s="57" t="n"/>
    </row>
    <row r="3333" ht="30" customHeight="1">
      <c r="A3333" s="47" t="inlineStr">
        <is>
          <t>Trigger</t>
        </is>
      </c>
      <c r="B3333" s="56" t="inlineStr">
        <is>
          <t>• Chỉ xem/xuất không tự chạy xét.</t>
        </is>
      </c>
      <c r="C3333" s="57" t="n"/>
      <c r="D3333" s="57" t="n"/>
      <c r="E3333" s="57" t="n"/>
    </row>
    <row r="3334" ht="44" customHeight="1">
      <c r="A3334" s="47" t="inlineStr">
        <is>
          <t>Blocker</t>
        </is>
      </c>
      <c r="B3334" s="56" t="inlineStr">
        <is>
          <t>• G-PREP-UNASSESSED: Chưa có xác minh fixture, đường thực hiện và phép quan sát trên build của từng case chưa đánh giá.</t>
        </is>
      </c>
      <c r="C3334" s="57" t="n"/>
      <c r="D3334" s="57" t="n"/>
      <c r="E3334" s="57" t="n"/>
    </row>
    <row r="3335" ht="30" customHeight="1">
      <c r="A3335" s="58" t="inlineStr">
        <is>
          <t>Thao tác</t>
        </is>
      </c>
      <c r="B3335" s="59" t="n"/>
      <c r="C3335" s="59" t="n"/>
      <c r="D3335" s="59" t="n"/>
      <c r="E3335" s="59" t="n"/>
    </row>
    <row r="3336" ht="30" customHeight="1">
      <c r="A3336" s="47" t="inlineStr">
        <is>
          <t>Step 1</t>
        </is>
      </c>
      <c r="B3336" s="56" t="inlineStr">
        <is>
          <t>Chạy nút cam cho G-A và G-D.</t>
        </is>
      </c>
      <c r="C3336" s="57" t="n"/>
      <c r="D3336" s="57" t="n"/>
      <c r="E3336" s="57" t="n"/>
    </row>
    <row r="3337" ht="30" customHeight="1">
      <c r="A3337" s="47" t="inlineStr">
        <is>
          <t>Step 2</t>
        </is>
      </c>
      <c r="B3337" s="56" t="inlineStr">
        <is>
          <t>Xem kết quả hai ô của S11 trên trích xuất.</t>
        </is>
      </c>
      <c r="C3337" s="57" t="n"/>
      <c r="D3337" s="57" t="n"/>
      <c r="E3337" s="57" t="n"/>
    </row>
    <row r="3338" ht="44" customHeight="1">
      <c r="A3338" s="47" t="inlineStr">
        <is>
          <t>Reset</t>
        </is>
      </c>
      <c r="B3338" s="56" t="inlineStr">
        <is>
          <t>Trước mỗi biến thể, dựng lại điều kiện/dữ liệu đầu của case bằng đường được phép; giữ các reset/fixture độc lập đã nêu trong thủ tục.</t>
        </is>
      </c>
      <c r="C3338" s="57" t="n"/>
      <c r="D3338" s="57" t="n"/>
      <c r="E3338" s="57" t="n"/>
    </row>
    <row r="3339" ht="30" customHeight="1">
      <c r="A3339" s="58" t="inlineStr">
        <is>
          <t>Kết quả mong đợi</t>
        </is>
      </c>
      <c r="B3339" s="59" t="n"/>
      <c r="C3339" s="59" t="n"/>
      <c r="D3339" s="59" t="n"/>
      <c r="E3339" s="59" t="n"/>
    </row>
    <row r="3340" ht="30" customHeight="1">
      <c r="A3340" s="47" t="inlineStr">
        <is>
          <t>•</t>
        </is>
      </c>
      <c r="B3340" s="56" t="inlineStr">
        <is>
          <t>Ô ở G-A: [T=40×0.5=20] → 25 Không đỏ.</t>
        </is>
      </c>
      <c r="C3340" s="57" t="n"/>
      <c r="D3340" s="57" t="n"/>
      <c r="E3340" s="57" t="n"/>
    </row>
    <row r="3341" ht="30" customHeight="1">
      <c r="A3341" s="47" t="inlineStr">
        <is>
          <t>•</t>
        </is>
      </c>
      <c r="B3341" s="56" t="inlineStr">
        <is>
          <t>Ô ở G-D: [T=70×0.5=35] → 25 Đỏ.</t>
        </is>
      </c>
      <c r="C3341" s="57" t="n"/>
      <c r="D3341" s="57" t="n"/>
      <c r="E3341" s="57" t="n"/>
    </row>
    <row r="3342" ht="30" customHeight="1">
      <c r="A3342" s="47" t="inlineStr">
        <is>
          <t>•</t>
        </is>
      </c>
      <c r="B3342" s="56" t="inlineStr">
        <is>
          <t>Không ô nào dùng kết quả của lớp kia, của khối/lớp chủ nhiệm, hay trung bình chung của môn.</t>
        </is>
      </c>
      <c r="C3342" s="57" t="n"/>
      <c r="D3342" s="57" t="n"/>
      <c r="E3342" s="57" t="n"/>
    </row>
    <row r="3343" ht="44" customHeight="1">
      <c r="A3343" s="47" t="inlineStr">
        <is>
          <t>Giữ nguyên</t>
        </is>
      </c>
      <c r="B3343" s="56" t="inlineStr">
        <is>
          <t>• Giữ điểm, cấu hình và đối tượng không đích theo expected;
• Chỉ thay phần thủ tục yêu cầu, không tự đổi oracle hoặc mở rộng phạm vi.</t>
        </is>
      </c>
      <c r="C3343" s="57" t="n"/>
      <c r="D3343" s="57" t="n"/>
      <c r="E3343" s="57" t="n"/>
    </row>
    <row r="3344" ht="61" customHeight="1">
      <c r="A3344" s="47" t="inlineStr">
        <is>
          <t>Quan sát tại</t>
        </is>
      </c>
      <c r="B3344" s="56" t="inlineStr">
        <is>
          <t>• Dùng trích xuất không lọc để thấy cả ô đối chứng. Trạng thái không có dấu đỏ cần đọc thêm trạng thái lưu;
• Output Excel/PDF dùng file thật.</t>
        </is>
      </c>
      <c r="C3344" s="57" t="n"/>
      <c r="D3344" s="57" t="n"/>
      <c r="E3344" s="57" t="n"/>
    </row>
    <row r="3345" ht="30" customHeight="1">
      <c r="A3345" s="58" t="inlineStr">
        <is>
          <t>Kết quả thực tế</t>
        </is>
      </c>
      <c r="B3345" s="59" t="n"/>
      <c r="C3345" s="59" t="n"/>
      <c r="D3345" s="59" t="n"/>
      <c r="E3345" s="59" t="n"/>
    </row>
    <row r="3346" ht="30" customHeight="1">
      <c r="A3346" s="47" t="inlineStr">
        <is>
          <t>Dữ liệu biến thể</t>
        </is>
      </c>
      <c r="B3346" s="56" t="inlineStr">
        <is>
          <t>Toàn bộ thủ tục theo đúng thứ tự; các đối chứng cùng fixture được kiểm trong cùng lượt, không bỏ bước</t>
        </is>
      </c>
      <c r="C3346" s="57" t="n"/>
      <c r="D3346" s="57" t="n"/>
      <c r="E3346" s="57" t="n"/>
    </row>
    <row r="3347" ht="30" customHeight="1">
      <c r="A3347" s="62" t="inlineStr">
        <is>
          <t>Kết quả thực tế</t>
        </is>
      </c>
    </row>
    <row r="3348" ht="64" customHeight="1">
      <c r="A3348" s="63" t="inlineStr"/>
      <c r="B3348" s="64" t="n"/>
      <c r="C3348" s="64" t="n"/>
      <c r="D3348" s="64" t="n"/>
      <c r="E3348" s="65" t="n"/>
    </row>
    <row r="3349" ht="30" customHeight="1">
      <c r="A3349" s="62" t="inlineStr">
        <is>
          <t>Ảnh minh chứng</t>
        </is>
      </c>
    </row>
    <row r="3350" ht="90" customHeight="1">
      <c r="A3350" s="63" t="inlineStr"/>
      <c r="B3350" s="64" t="n"/>
      <c r="C3350" s="64" t="n"/>
      <c r="D3350" s="64" t="n"/>
      <c r="E3350" s="65" t="n"/>
    </row>
    <row r="3351" ht="12" customHeight="1">
      <c r="A3351" s="66" t="inlineStr"/>
    </row>
    <row r="3352" ht="20" customHeight="1">
      <c r="A3352" s="66" t="inlineStr"/>
    </row>
    <row r="3353" ht="44" customHeight="1">
      <c r="A3353" s="46" t="inlineStr">
        <is>
          <t>TC-RS-BR-039 — Nhóm môn học（科目グループ）: dùng cấu hình riêng của môn hoặc default đã lưu; thiếu/sai thì Chưa xét được</t>
        </is>
      </c>
      <c r="B3353" s="23" t="n"/>
      <c r="C3353" s="23" t="n"/>
      <c r="D3353" s="23" t="n"/>
      <c r="E3353" s="23" t="n"/>
    </row>
    <row r="3354" ht="30" customHeight="1">
      <c r="A3354" s="47" t="inlineStr">
        <is>
          <t>Trạng thái</t>
        </is>
      </c>
      <c r="B3354" s="56">
        <f>IF(0&gt;0,"Không đạt",IF(0=4,"Đạt",IF(SUMPRODUCT(--EXACT('Testcases'!B3376:B3400,"Không thực hiện"))=4,"Không thực hiện",IF(SUMPRODUCT(--EXACT('Testcases'!B3376:B3400,"Bị chặn"))&gt;0,"Bị chặn",IF(SUMPRODUCT(--EXACT('Testcases'!B3376:B3400,"Chưa thực hiện"))=4,"Chưa thực hiện","Chưa đủ kết luận")))))</f>
        <v/>
      </c>
      <c r="C3354" s="57" t="n"/>
      <c r="D3354" s="57" t="n"/>
      <c r="E3354" s="57" t="n"/>
    </row>
    <row r="3355" ht="30" customHeight="1">
      <c r="A3355" s="47" t="inlineStr">
        <is>
          <t>Màn hình / chức năng</t>
        </is>
      </c>
      <c r="B3355" s="47" t="inlineStr">
        <is>
          <t>Nguồn tổng hợp</t>
        </is>
      </c>
      <c r="C3355" s="57" t="n"/>
      <c r="D3355" s="47" t="inlineStr">
        <is>
          <t>Đường dẫn</t>
        </is>
      </c>
      <c r="E3355" s="56" t="inlineStr">
        <is>
          <t>Chưa xác minh</t>
        </is>
      </c>
    </row>
    <row r="3356" ht="30" customHeight="1">
      <c r="A3356" s="58" t="inlineStr">
        <is>
          <t>Điều kiện kiểm thử</t>
        </is>
      </c>
      <c r="B3356" s="59" t="n"/>
      <c r="C3356" s="59" t="n"/>
      <c r="D3356" s="59" t="n"/>
      <c r="E3356" s="59" t="n"/>
    </row>
    <row r="3357" ht="44" customHeight="1">
      <c r="A3357" s="47" t="inlineStr">
        <is>
          <t>Cấu hình</t>
        </is>
      </c>
      <c r="B3357" s="56" t="inlineStr">
        <is>
          <t>• Nhóm môn học “Nhóm môn Toán” có cấu hình riêng cho Toán I（数学Ⅰ） và default. Quy tắc trên mục số nguyên (M=100) dùng nguồn công thức = X / nhóm môn học “Nhóm môn Toán”, ngưỡng [A×0.5], [&lt;].</t>
        </is>
      </c>
      <c r="C3357" s="57" t="n"/>
      <c r="D3357" s="57" t="n"/>
      <c r="E3357" s="57" t="n"/>
    </row>
    <row r="3358" ht="61" customHeight="1">
      <c r="A3358" s="47" t="inlineStr">
        <is>
          <t>Vai trò / quyền</t>
        </is>
      </c>
      <c r="B335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358" s="57" t="n"/>
      <c r="D3358" s="57" t="n"/>
      <c r="E3358" s="57" t="n"/>
    </row>
    <row r="3359" ht="61" customHeight="1">
      <c r="A3359" s="47" t="inlineStr">
        <is>
          <t>Dữ liệu test</t>
        </is>
      </c>
      <c r="B3359" s="56" t="inlineStr">
        <is>
          <t>• Nhóm môn học “Nhóm môn Toán”;
• Mục số nguyên (M=100);
• S01 = 25</t>
        </is>
      </c>
      <c r="C3359" s="57" t="n"/>
      <c r="D3359" s="57" t="n"/>
      <c r="E3359" s="57" t="n"/>
    </row>
    <row r="3360" ht="30" customHeight="1">
      <c r="A3360" s="47" t="inlineStr">
        <is>
          <t>Trigger</t>
        </is>
      </c>
      <c r="B3360" s="56" t="inlineStr">
        <is>
          <t>• Chỉ xem/xuất không tự chạy xét.</t>
        </is>
      </c>
      <c r="C3360" s="57" t="n"/>
      <c r="D3360" s="57" t="n"/>
      <c r="E3360" s="57" t="n"/>
    </row>
    <row r="3361" ht="44" customHeight="1">
      <c r="A3361" s="47" t="inlineStr">
        <is>
          <t>Blocker</t>
        </is>
      </c>
      <c r="B3361" s="56" t="inlineStr">
        <is>
          <t>• G-PREP-UNASSESSED: Chưa có xác minh fixture, đường thực hiện và phép quan sát trên build của từng case chưa đánh giá.</t>
        </is>
      </c>
      <c r="C3361" s="57" t="n"/>
      <c r="D3361" s="57" t="n"/>
      <c r="E3361" s="57" t="n"/>
    </row>
    <row r="3362" ht="30" customHeight="1">
      <c r="A3362" s="58" t="inlineStr">
        <is>
          <t>Thao tác</t>
        </is>
      </c>
      <c r="B3362" s="59" t="n"/>
      <c r="C3362" s="59" t="n"/>
      <c r="D3362" s="59" t="n"/>
      <c r="E3362" s="59" t="n"/>
    </row>
    <row r="3363" ht="30" customHeight="1">
      <c r="A3363" s="47" t="inlineStr">
        <is>
          <t>Step 1</t>
        </is>
      </c>
      <c r="B3363" s="56" t="inlineStr">
        <is>
          <t>Chạy nút cam; xem S01 và nhóm được dùng.</t>
        </is>
      </c>
      <c r="C3363" s="57" t="n"/>
      <c r="D3363" s="57" t="n"/>
      <c r="E3363" s="57" t="n"/>
    </row>
    <row r="3364" ht="30" customHeight="1">
      <c r="A3364" s="47" t="inlineStr">
        <is>
          <t>Step 2</t>
        </is>
      </c>
      <c r="B3364" s="56" t="inlineStr">
        <is>
          <t>Xóa cấu hình riêng của Toán I (để môn rơi về default); chạy lại; xem.</t>
        </is>
      </c>
      <c r="C3364" s="57" t="n"/>
      <c r="D3364" s="57" t="n"/>
      <c r="E3364" s="57" t="n"/>
    </row>
    <row r="3365" ht="44" customHeight="1">
      <c r="A3365" s="47" t="inlineStr">
        <is>
          <t>Step 3</t>
        </is>
      </c>
      <c r="B3365" s="56" t="inlineStr">
        <is>
          <t>Làm default thiếu hoặc trỏ tới cấu hình không hợp lệ (biến thể (b) của nhóm môn học “Nhóm môn Toán”); chạy lại; xem trạng thái và thông báo.</t>
        </is>
      </c>
      <c r="C3365" s="57" t="n"/>
      <c r="D3365" s="57" t="n"/>
      <c r="E3365" s="57" t="n"/>
    </row>
    <row r="3366" ht="44" customHeight="1">
      <c r="A3366" s="47" t="inlineStr">
        <is>
          <t>Reset</t>
        </is>
      </c>
      <c r="B3366" s="56" t="inlineStr">
        <is>
          <t>Trước mỗi biến thể, dựng lại điều kiện/dữ liệu đầu của case bằng đường được phép; giữ các reset/fixture độc lập đã nêu trong thủ tục.</t>
        </is>
      </c>
      <c r="C3366" s="57" t="n"/>
      <c r="D3366" s="57" t="n"/>
      <c r="E3366" s="57" t="n"/>
    </row>
    <row r="3367" ht="30" customHeight="1">
      <c r="A3367" s="58" t="inlineStr">
        <is>
          <t>Kết quả mong đợi</t>
        </is>
      </c>
      <c r="B3367" s="59" t="n"/>
      <c r="C3367" s="59" t="n"/>
      <c r="D3367" s="59" t="n"/>
      <c r="E3367" s="59" t="n"/>
    </row>
    <row r="3368" ht="30" customHeight="1">
      <c r="A3368" s="47" t="inlineStr">
        <is>
          <t>1.</t>
        </is>
      </c>
      <c r="B3368" s="56" t="inlineStr">
        <is>
          <t>Dùng kết quả của nhóm theo cấu hình riêng của Toán I.</t>
        </is>
      </c>
      <c r="C3368" s="57" t="n"/>
      <c r="D3368" s="57" t="n"/>
      <c r="E3368" s="57" t="n"/>
    </row>
    <row r="3369" ht="30" customHeight="1">
      <c r="A3369" s="47" t="inlineStr">
        <is>
          <t>2.</t>
        </is>
      </c>
      <c r="B3369" s="56" t="inlineStr">
        <is>
          <t>Dùng kết quả của nhóm theo default đã lưu.</t>
        </is>
      </c>
      <c r="C3369" s="57" t="n"/>
      <c r="D3369" s="57" t="n"/>
      <c r="E3369" s="57" t="n"/>
    </row>
    <row r="3370" ht="44" customHeight="1">
      <c r="A3370" s="47" t="inlineStr">
        <is>
          <t>3.</t>
        </is>
      </c>
      <c r="B3370" s="56" t="inlineStr">
        <is>
          <t>S01 Chưa xét được; không thay bằng nhóm khác, bằng 0 hay bằng kết quả trước; thông báo/tiến độ tách phần chưa xét được.</t>
        </is>
      </c>
      <c r="C3370" s="57" t="n"/>
      <c r="D3370" s="57" t="n"/>
      <c r="E3370" s="57" t="n"/>
    </row>
    <row r="3371" ht="44" customHeight="1">
      <c r="A3371" s="47" t="inlineStr">
        <is>
          <t>Giữ nguyên</t>
        </is>
      </c>
      <c r="B3371" s="56" t="inlineStr">
        <is>
          <t>• Giữ điểm, cấu hình và đối tượng không đích theo expected;
• Chỉ thay phần thủ tục yêu cầu, không tự đổi oracle hoặc mở rộng phạm vi.</t>
        </is>
      </c>
      <c r="C3371" s="57" t="n"/>
      <c r="D3371" s="57" t="n"/>
      <c r="E3371" s="57" t="n"/>
    </row>
    <row r="3372" ht="61" customHeight="1">
      <c r="A3372" s="47" t="inlineStr">
        <is>
          <t>Quan sát tại</t>
        </is>
      </c>
      <c r="B3372" s="56" t="inlineStr">
        <is>
          <t>• Dùng trích xuất không lọc để thấy cả ô đối chứng. Trạng thái không có dấu đỏ cần đọc thêm trạng thái lưu;
• Output Excel/PDF dùng file thật.</t>
        </is>
      </c>
      <c r="C3372" s="57" t="n"/>
      <c r="D3372" s="57" t="n"/>
      <c r="E3372" s="57" t="n"/>
    </row>
    <row r="3373" ht="30" customHeight="1">
      <c r="A3373" s="58" t="inlineStr">
        <is>
          <t>Kết quả thực tế</t>
        </is>
      </c>
      <c r="B3373" s="59" t="n"/>
      <c r="C3373" s="59" t="n"/>
      <c r="D3373" s="59" t="n"/>
      <c r="E3373" s="59" t="n"/>
    </row>
    <row r="3374" ht="30" customHeight="1">
      <c r="A3374" s="60" t="inlineStr">
        <is>
          <t>TC-RS-BR-039 / private</t>
        </is>
      </c>
      <c r="B3374" s="36" t="n"/>
      <c r="C3374" s="36" t="n"/>
      <c r="D3374" s="36" t="n"/>
      <c r="E3374" s="36" t="n"/>
    </row>
    <row r="3375" ht="30" customHeight="1">
      <c r="A3375" s="47" t="inlineStr">
        <is>
          <t>Dữ liệu biến thể</t>
        </is>
      </c>
      <c r="B3375" s="56" t="inlineStr">
        <is>
          <t>Nguồn riêng</t>
        </is>
      </c>
      <c r="C3375" s="57" t="n"/>
      <c r="D3375" s="57" t="n"/>
      <c r="E3375" s="57" t="n"/>
    </row>
    <row r="3376" ht="30" customHeight="1">
      <c r="A3376" s="47" t="inlineStr">
        <is>
          <t>Trạng thái</t>
        </is>
      </c>
      <c r="B3376" s="61" t="inlineStr">
        <is>
          <t>Chưa thực hiện</t>
        </is>
      </c>
      <c r="C3376" s="57" t="n"/>
      <c r="D3376" s="57" t="n"/>
      <c r="E3376" s="57" t="n"/>
    </row>
    <row r="3377" ht="30" customHeight="1">
      <c r="A3377" s="62" t="inlineStr">
        <is>
          <t>Kết quả thực tế</t>
        </is>
      </c>
    </row>
    <row r="3378" ht="64" customHeight="1">
      <c r="A3378" s="63" t="inlineStr"/>
      <c r="B3378" s="64" t="n"/>
      <c r="C3378" s="64" t="n"/>
      <c r="D3378" s="64" t="n"/>
      <c r="E3378" s="65" t="n"/>
    </row>
    <row r="3379" ht="30" customHeight="1">
      <c r="A3379" s="62" t="inlineStr">
        <is>
          <t>Ảnh minh chứng</t>
        </is>
      </c>
    </row>
    <row r="3380" ht="90" customHeight="1">
      <c r="A3380" s="63" t="inlineStr"/>
      <c r="B3380" s="64" t="n"/>
      <c r="C3380" s="64" t="n"/>
      <c r="D3380" s="64" t="n"/>
      <c r="E3380" s="65" t="n"/>
    </row>
    <row r="3381" ht="12" customHeight="1">
      <c r="A3381" s="66" t="inlineStr"/>
    </row>
    <row r="3382" ht="30" customHeight="1">
      <c r="A3382" s="60" t="inlineStr">
        <is>
          <t>TC-RS-BR-039 / default</t>
        </is>
      </c>
      <c r="B3382" s="36" t="n"/>
      <c r="C3382" s="36" t="n"/>
      <c r="D3382" s="36" t="n"/>
      <c r="E3382" s="36" t="n"/>
    </row>
    <row r="3383" ht="30" customHeight="1">
      <c r="A3383" s="47" t="inlineStr">
        <is>
          <t>Dữ liệu biến thể</t>
        </is>
      </c>
      <c r="B3383" s="56" t="inlineStr">
        <is>
          <t>Nguồn mặc định</t>
        </is>
      </c>
      <c r="C3383" s="57" t="n"/>
      <c r="D3383" s="57" t="n"/>
      <c r="E3383" s="57" t="n"/>
    </row>
    <row r="3384" ht="30" customHeight="1">
      <c r="A3384" s="47" t="inlineStr">
        <is>
          <t>Trạng thái</t>
        </is>
      </c>
      <c r="B3384" s="61" t="inlineStr">
        <is>
          <t>Chưa thực hiện</t>
        </is>
      </c>
      <c r="C3384" s="57" t="n"/>
      <c r="D3384" s="57" t="n"/>
      <c r="E3384" s="57" t="n"/>
    </row>
    <row r="3385" ht="30" customHeight="1">
      <c r="A3385" s="62" t="inlineStr">
        <is>
          <t>Kết quả thực tế</t>
        </is>
      </c>
    </row>
    <row r="3386" ht="64" customHeight="1">
      <c r="A3386" s="63" t="inlineStr"/>
      <c r="B3386" s="64" t="n"/>
      <c r="C3386" s="64" t="n"/>
      <c r="D3386" s="64" t="n"/>
      <c r="E3386" s="65" t="n"/>
    </row>
    <row r="3387" ht="30" customHeight="1">
      <c r="A3387" s="62" t="inlineStr">
        <is>
          <t>Ảnh minh chứng</t>
        </is>
      </c>
    </row>
    <row r="3388" ht="90" customHeight="1">
      <c r="A3388" s="63" t="inlineStr"/>
      <c r="B3388" s="64" t="n"/>
      <c r="C3388" s="64" t="n"/>
      <c r="D3388" s="64" t="n"/>
      <c r="E3388" s="65" t="n"/>
    </row>
    <row r="3389" ht="12" customHeight="1">
      <c r="A3389" s="66" t="inlineStr"/>
    </row>
    <row r="3390" ht="30" customHeight="1">
      <c r="A3390" s="60" t="inlineStr">
        <is>
          <t>TC-RS-BR-039 / default-missing</t>
        </is>
      </c>
      <c r="B3390" s="36" t="n"/>
      <c r="C3390" s="36" t="n"/>
      <c r="D3390" s="36" t="n"/>
      <c r="E3390" s="36" t="n"/>
    </row>
    <row r="3391" ht="30" customHeight="1">
      <c r="A3391" s="47" t="inlineStr">
        <is>
          <t>Dữ liệu biến thể</t>
        </is>
      </c>
      <c r="B3391" s="56" t="inlineStr">
        <is>
          <t>Nguồn mặc định thiếu</t>
        </is>
      </c>
      <c r="C3391" s="57" t="n"/>
      <c r="D3391" s="57" t="n"/>
      <c r="E3391" s="57" t="n"/>
    </row>
    <row r="3392" ht="30" customHeight="1">
      <c r="A3392" s="47" t="inlineStr">
        <is>
          <t>Trạng thái</t>
        </is>
      </c>
      <c r="B3392" s="61" t="inlineStr">
        <is>
          <t>Chưa thực hiện</t>
        </is>
      </c>
      <c r="C3392" s="57" t="n"/>
      <c r="D3392" s="57" t="n"/>
      <c r="E3392" s="57" t="n"/>
    </row>
    <row r="3393" ht="30" customHeight="1">
      <c r="A3393" s="62" t="inlineStr">
        <is>
          <t>Kết quả thực tế</t>
        </is>
      </c>
    </row>
    <row r="3394" ht="64" customHeight="1">
      <c r="A3394" s="63" t="inlineStr"/>
      <c r="B3394" s="64" t="n"/>
      <c r="C3394" s="64" t="n"/>
      <c r="D3394" s="64" t="n"/>
      <c r="E3394" s="65" t="n"/>
    </row>
    <row r="3395" ht="30" customHeight="1">
      <c r="A3395" s="62" t="inlineStr">
        <is>
          <t>Ảnh minh chứng</t>
        </is>
      </c>
    </row>
    <row r="3396" ht="90" customHeight="1">
      <c r="A3396" s="63" t="inlineStr"/>
      <c r="B3396" s="64" t="n"/>
      <c r="C3396" s="64" t="n"/>
      <c r="D3396" s="64" t="n"/>
      <c r="E3396" s="65" t="n"/>
    </row>
    <row r="3397" ht="12" customHeight="1">
      <c r="A3397" s="66" t="inlineStr"/>
    </row>
    <row r="3398" ht="30" customHeight="1">
      <c r="A3398" s="60" t="inlineStr">
        <is>
          <t>TC-RS-BR-039 / default-invalid</t>
        </is>
      </c>
      <c r="B3398" s="36" t="n"/>
      <c r="C3398" s="36" t="n"/>
      <c r="D3398" s="36" t="n"/>
      <c r="E3398" s="36" t="n"/>
    </row>
    <row r="3399" ht="30" customHeight="1">
      <c r="A3399" s="47" t="inlineStr">
        <is>
          <t>Dữ liệu biến thể</t>
        </is>
      </c>
      <c r="B3399" s="56" t="inlineStr">
        <is>
          <t>Nguồn mặc định không hợp lệ</t>
        </is>
      </c>
      <c r="C3399" s="57" t="n"/>
      <c r="D3399" s="57" t="n"/>
      <c r="E3399" s="57" t="n"/>
    </row>
    <row r="3400" ht="30" customHeight="1">
      <c r="A3400" s="47" t="inlineStr">
        <is>
          <t>Trạng thái</t>
        </is>
      </c>
      <c r="B3400" s="61" t="inlineStr">
        <is>
          <t>Chưa thực hiện</t>
        </is>
      </c>
      <c r="C3400" s="57" t="n"/>
      <c r="D3400" s="57" t="n"/>
      <c r="E3400" s="57" t="n"/>
    </row>
    <row r="3401" ht="30" customHeight="1">
      <c r="A3401" s="62" t="inlineStr">
        <is>
          <t>Kết quả thực tế</t>
        </is>
      </c>
    </row>
    <row r="3402" ht="64" customHeight="1">
      <c r="A3402" s="63" t="inlineStr"/>
      <c r="B3402" s="64" t="n"/>
      <c r="C3402" s="64" t="n"/>
      <c r="D3402" s="64" t="n"/>
      <c r="E3402" s="65" t="n"/>
    </row>
    <row r="3403" ht="30" customHeight="1">
      <c r="A3403" s="62" t="inlineStr">
        <is>
          <t>Ảnh minh chứng</t>
        </is>
      </c>
    </row>
    <row r="3404" ht="90" customHeight="1">
      <c r="A3404" s="63" t="inlineStr"/>
      <c r="B3404" s="64" t="n"/>
      <c r="C3404" s="64" t="n"/>
      <c r="D3404" s="64" t="n"/>
      <c r="E3404" s="65" t="n"/>
    </row>
    <row r="3405" ht="12" customHeight="1">
      <c r="A3405" s="66" t="inlineStr"/>
    </row>
    <row r="3406" ht="20" customHeight="1">
      <c r="A3406" s="66" t="inlineStr"/>
    </row>
    <row r="3407" ht="44" customHeight="1">
      <c r="A3407" s="46" t="inlineStr">
        <is>
          <t>TC-RS-BR-040 — Loại nhóm được bật nhưng chưa có kết quả, hoặc tham chiếu đã lưu không còn hợp lệ → Chưa xét được, không tự đổi nhóm</t>
        </is>
      </c>
      <c r="B3407" s="23" t="n"/>
      <c r="C3407" s="23" t="n"/>
      <c r="D3407" s="23" t="n"/>
      <c r="E3407" s="23" t="n"/>
    </row>
    <row r="3408" ht="30" customHeight="1">
      <c r="A3408" s="47" t="inlineStr">
        <is>
          <t>Trạng thái</t>
        </is>
      </c>
      <c r="B3408" s="56">
        <f>IF(0&gt;0,"Không đạt",IF(0=3,"Đạt",IF(SUMPRODUCT(--EXACT('Testcases'!B3432:B3448,"Không thực hiện"))=3,"Không thực hiện",IF(SUMPRODUCT(--EXACT('Testcases'!B3432:B3448,"Bị chặn"))&gt;0,"Bị chặn",IF(SUMPRODUCT(--EXACT('Testcases'!B3432:B3448,"Chưa thực hiện"))=3,"Chưa thực hiện","Chưa đủ kết luận")))))</f>
        <v/>
      </c>
      <c r="C3408" s="57" t="n"/>
      <c r="D3408" s="57" t="n"/>
      <c r="E3408" s="57" t="n"/>
    </row>
    <row r="3409" ht="30" customHeight="1">
      <c r="A3409" s="47" t="inlineStr">
        <is>
          <t>Màn hình / chức năng</t>
        </is>
      </c>
      <c r="B3409" s="47" t="inlineStr">
        <is>
          <t>Nguồn tổng hợp</t>
        </is>
      </c>
      <c r="C3409" s="57" t="n"/>
      <c r="D3409" s="47" t="inlineStr">
        <is>
          <t>Đường dẫn</t>
        </is>
      </c>
      <c r="E3409" s="56" t="inlineStr">
        <is>
          <t>Chưa xác minh</t>
        </is>
      </c>
    </row>
    <row r="3410" ht="30" customHeight="1">
      <c r="A3410" s="58" t="inlineStr">
        <is>
          <t>Điều kiện kiểm thử</t>
        </is>
      </c>
      <c r="B3410" s="59" t="n"/>
      <c r="C3410" s="59" t="n"/>
      <c r="D3410" s="59" t="n"/>
      <c r="E3410" s="59" t="n"/>
    </row>
    <row r="3411" ht="44" customHeight="1">
      <c r="A3411" s="47" t="inlineStr">
        <is>
          <t>Cấu hình</t>
        </is>
      </c>
      <c r="B3411" s="56" t="inlineStr">
        <is>
          <t>• Quy tắc trên mục số nguyên (M=100) có điều kiện Trung bình [A≥50], cố định 30 [&lt;];
• S01 = 29, đang Đỏ theo nguồn X / Lớp học（授業） đã tổng hợp.</t>
        </is>
      </c>
      <c r="C3411" s="57" t="n"/>
      <c r="D3411" s="57" t="n"/>
      <c r="E3411" s="57" t="n"/>
    </row>
    <row r="3412" ht="61" customHeight="1">
      <c r="A3412" s="47" t="inlineStr">
        <is>
          <t>Vai trò / quyền</t>
        </is>
      </c>
      <c r="B341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412" s="57" t="n"/>
      <c r="D3412" s="57" t="n"/>
      <c r="E3412" s="57" t="n"/>
    </row>
    <row r="3413" ht="61" customHeight="1">
      <c r="A3413" s="47" t="inlineStr">
        <is>
          <t>Dữ liệu test</t>
        </is>
      </c>
      <c r="B3413" s="56" t="inlineStr">
        <is>
          <t>• Thiết lập tổng hợp X đã bật thêm Lớp học（授業）, nhóm tổng hợp thứ hạng “Toán I khối 1+2”;
• Mục số nguyên (M=100);
• Học sinh S01 (điểm 29)</t>
        </is>
      </c>
      <c r="C3413" s="57" t="n"/>
      <c r="D3413" s="57" t="n"/>
      <c r="E3413" s="57" t="n"/>
    </row>
    <row r="3414" ht="30" customHeight="1">
      <c r="A3414" s="47" t="inlineStr">
        <is>
          <t>Trigger</t>
        </is>
      </c>
      <c r="B3414" s="56" t="inlineStr">
        <is>
          <t>• Chỉ xem/xuất không tự chạy xét.</t>
        </is>
      </c>
      <c r="C3414" s="57" t="n"/>
      <c r="D3414" s="57" t="n"/>
      <c r="E3414" s="57" t="n"/>
    </row>
    <row r="3415" ht="44" customHeight="1">
      <c r="A3415" s="47" t="inlineStr">
        <is>
          <t>Blocker</t>
        </is>
      </c>
      <c r="B3415" s="56" t="inlineStr">
        <is>
          <t>• G-PREP-UNASSESSED: Chưa có xác minh fixture, đường thực hiện và phép quan sát trên build của từng case chưa đánh giá.</t>
        </is>
      </c>
      <c r="C3415" s="57" t="n"/>
      <c r="D3415" s="57" t="n"/>
      <c r="E3415" s="57" t="n"/>
    </row>
    <row r="3416" ht="30" customHeight="1">
      <c r="A3416" s="58" t="inlineStr">
        <is>
          <t>Thao tác</t>
        </is>
      </c>
      <c r="B3416" s="59" t="n"/>
      <c r="C3416" s="59" t="n"/>
      <c r="D3416" s="59" t="n"/>
      <c r="E3416" s="59" t="n"/>
    </row>
    <row r="3417" ht="44" customHeight="1">
      <c r="A3417" s="47" t="inlineStr">
        <is>
          <t>Step 1</t>
        </is>
      </c>
      <c r="B3417" s="56" t="inlineStr">
        <is>
          <t>(A) Tạo quy tắc mới dùng nhóm tổng hợp nhóm tổng hợp thứ hạng “Toán I khối 1+2” nhưng X chưa chạy tổng hợp cho nhóm này; chạy nút cam; xem S01.</t>
        </is>
      </c>
      <c r="C3417" s="57" t="n"/>
      <c r="D3417" s="57" t="n"/>
      <c r="E3417" s="57" t="n"/>
    </row>
    <row r="3418" ht="44" customHeight="1">
      <c r="A3418" s="47" t="inlineStr">
        <is>
          <t>Step 2</t>
        </is>
      </c>
      <c r="B3418" s="56" t="inlineStr">
        <is>
          <t>(B) Quy tắc đang dùng X / Lớp học: tắt công tắc Lớp học（授業） của trường/năm; mở danh sách quy tắc và xem S01 (chưa chạy).</t>
        </is>
      </c>
      <c r="C3418" s="57" t="n"/>
      <c r="D3418" s="57" t="n"/>
      <c r="E3418" s="57" t="n"/>
    </row>
    <row r="3419" ht="30" customHeight="1">
      <c r="A3419" s="47" t="inlineStr">
        <is>
          <t>Step 3</t>
        </is>
      </c>
      <c r="B3419" s="56" t="inlineStr">
        <is>
          <t>Chạy nút cam; xem S01.</t>
        </is>
      </c>
      <c r="C3419" s="57" t="n"/>
      <c r="D3419" s="57" t="n"/>
      <c r="E3419" s="57" t="n"/>
    </row>
    <row r="3420" ht="44" customHeight="1">
      <c r="A3420" s="47" t="inlineStr">
        <is>
          <t>Step 4</t>
        </is>
      </c>
      <c r="B3420" s="56" t="inlineStr">
        <is>
          <t>(C) Xóa nhóm nhóm tổng hợp thứ hạng “Toán I khối 1+2” đang được quy tắc khác tham chiếu; chạy nút cam; xem ô dùng quy tắc đó.</t>
        </is>
      </c>
      <c r="C3420" s="57" t="n"/>
      <c r="D3420" s="57" t="n"/>
      <c r="E3420" s="57" t="n"/>
    </row>
    <row r="3421" ht="44" customHeight="1">
      <c r="A3421" s="47" t="inlineStr">
        <is>
          <t>Reset</t>
        </is>
      </c>
      <c r="B3421" s="56" t="inlineStr">
        <is>
          <t>Trước mỗi biến thể, dựng lại điều kiện/dữ liệu đầu của case bằng đường được phép; giữ các reset/fixture độc lập đã nêu trong thủ tục.</t>
        </is>
      </c>
      <c r="C3421" s="57" t="n"/>
      <c r="D3421" s="57" t="n"/>
      <c r="E3421" s="57" t="n"/>
    </row>
    <row r="3422" ht="30" customHeight="1">
      <c r="A3422" s="58" t="inlineStr">
        <is>
          <t>Kết quả mong đợi</t>
        </is>
      </c>
      <c r="B3422" s="59" t="n"/>
      <c r="C3422" s="59" t="n"/>
      <c r="D3422" s="59" t="n"/>
      <c r="E3422" s="59" t="n"/>
    </row>
    <row r="3423" ht="30" customHeight="1">
      <c r="A3423" s="47" t="inlineStr">
        <is>
          <t>1.</t>
        </is>
      </c>
      <c r="B3423" s="56" t="inlineStr">
        <is>
          <t>S01 Chưa xét được (thiếu nguồn); lựa chọn nhóm tồn tại không có nghĩa đã có dữ liệu.</t>
        </is>
      </c>
      <c r="C3423" s="57" t="n"/>
      <c r="D3423" s="57" t="n"/>
      <c r="E3423" s="57" t="n"/>
    </row>
    <row r="3424" ht="30" customHeight="1">
      <c r="A3424" s="47" t="inlineStr">
        <is>
          <t>2.</t>
        </is>
      </c>
      <c r="B3424" s="56" t="inlineStr">
        <is>
          <t>Chỉ đổi cấu hình: S01 vẫn giữ kết quả Đỏ trước (không bị xóa ngay).</t>
        </is>
      </c>
      <c r="C3424" s="57" t="n"/>
      <c r="D3424" s="57" t="n"/>
      <c r="E3424" s="57" t="n"/>
    </row>
    <row r="3425" ht="44" customHeight="1">
      <c r="A3425" s="47" t="inlineStr">
        <is>
          <t>3.</t>
        </is>
      </c>
      <c r="B3425" s="56" t="inlineStr">
        <is>
          <t>S01 Chưa xét được; không tự chuyển sang khối/lớp chủ nhiệm hoặc nhóm khác, không dùng quy tắc ưu tiên thấp hơn, không dùng kết quả cũ làm hiện hành.</t>
        </is>
      </c>
      <c r="C3425" s="57" t="n"/>
      <c r="D3425" s="57" t="n"/>
      <c r="E3425" s="57" t="n"/>
    </row>
    <row r="3426" ht="30" customHeight="1">
      <c r="A3426" s="47" t="inlineStr">
        <is>
          <t>4.</t>
        </is>
      </c>
      <c r="B3426" s="56" t="inlineStr">
        <is>
          <t>Ô chịu ảnh hưởng Chưa xét được; không âm thầm đổi loại/ID nhóm đã lưu.</t>
        </is>
      </c>
      <c r="C3426" s="57" t="n"/>
      <c r="D3426" s="57" t="n"/>
      <c r="E3426" s="57" t="n"/>
    </row>
    <row r="3427" ht="44" customHeight="1">
      <c r="A3427" s="47" t="inlineStr">
        <is>
          <t>Giữ nguyên</t>
        </is>
      </c>
      <c r="B3427" s="56" t="inlineStr">
        <is>
          <t>• Giữ điểm, cấu hình và đối tượng không đích theo expected;
• Chỉ thay phần thủ tục yêu cầu, không tự đổi oracle hoặc mở rộng phạm vi.</t>
        </is>
      </c>
      <c r="C3427" s="57" t="n"/>
      <c r="D3427" s="57" t="n"/>
      <c r="E3427" s="57" t="n"/>
    </row>
    <row r="3428" ht="61" customHeight="1">
      <c r="A3428" s="47" t="inlineStr">
        <is>
          <t>Quan sát tại</t>
        </is>
      </c>
      <c r="B3428" s="56" t="inlineStr">
        <is>
          <t>• Dùng trích xuất không lọc để thấy cả ô đối chứng. Trạng thái không có dấu đỏ cần đọc thêm trạng thái lưu;
• Output Excel/PDF dùng file thật.</t>
        </is>
      </c>
      <c r="C3428" s="57" t="n"/>
      <c r="D3428" s="57" t="n"/>
      <c r="E3428" s="57" t="n"/>
    </row>
    <row r="3429" ht="30" customHeight="1">
      <c r="A3429" s="58" t="inlineStr">
        <is>
          <t>Kết quả thực tế</t>
        </is>
      </c>
      <c r="B3429" s="59" t="n"/>
      <c r="C3429" s="59" t="n"/>
      <c r="D3429" s="59" t="n"/>
      <c r="E3429" s="59" t="n"/>
    </row>
    <row r="3430" ht="30" customHeight="1">
      <c r="A3430" s="60" t="inlineStr">
        <is>
          <t>TC-RS-BR-040 / missing-source</t>
        </is>
      </c>
      <c r="B3430" s="36" t="n"/>
      <c r="C3430" s="36" t="n"/>
      <c r="D3430" s="36" t="n"/>
      <c r="E3430" s="36" t="n"/>
    </row>
    <row r="3431" ht="30" customHeight="1">
      <c r="A3431" s="47" t="inlineStr">
        <is>
          <t>Dữ liệu biến thể</t>
        </is>
      </c>
      <c r="B3431" s="56" t="inlineStr">
        <is>
          <t>Nguồn mới thiếu</t>
        </is>
      </c>
      <c r="C3431" s="57" t="n"/>
      <c r="D3431" s="57" t="n"/>
      <c r="E3431" s="57" t="n"/>
    </row>
    <row r="3432" ht="30" customHeight="1">
      <c r="A3432" s="47" t="inlineStr">
        <is>
          <t>Trạng thái</t>
        </is>
      </c>
      <c r="B3432" s="61" t="inlineStr">
        <is>
          <t>Chưa thực hiện</t>
        </is>
      </c>
      <c r="C3432" s="57" t="n"/>
      <c r="D3432" s="57" t="n"/>
      <c r="E3432" s="57" t="n"/>
    </row>
    <row r="3433" ht="30" customHeight="1">
      <c r="A3433" s="62" t="inlineStr">
        <is>
          <t>Kết quả thực tế</t>
        </is>
      </c>
    </row>
    <row r="3434" ht="64" customHeight="1">
      <c r="A3434" s="63" t="inlineStr"/>
      <c r="B3434" s="64" t="n"/>
      <c r="C3434" s="64" t="n"/>
      <c r="D3434" s="64" t="n"/>
      <c r="E3434" s="65" t="n"/>
    </row>
    <row r="3435" ht="30" customHeight="1">
      <c r="A3435" s="62" t="inlineStr">
        <is>
          <t>Ảnh minh chứng</t>
        </is>
      </c>
    </row>
    <row r="3436" ht="90" customHeight="1">
      <c r="A3436" s="63" t="inlineStr"/>
      <c r="B3436" s="64" t="n"/>
      <c r="C3436" s="64" t="n"/>
      <c r="D3436" s="64" t="n"/>
      <c r="E3436" s="65" t="n"/>
    </row>
    <row r="3437" ht="12" customHeight="1">
      <c r="A3437" s="66" t="inlineStr"/>
    </row>
    <row r="3438" ht="30" customHeight="1">
      <c r="A3438" s="60" t="inlineStr">
        <is>
          <t>TC-RS-BR-040 / disabled-group</t>
        </is>
      </c>
      <c r="B3438" s="36" t="n"/>
      <c r="C3438" s="36" t="n"/>
      <c r="D3438" s="36" t="n"/>
      <c r="E3438" s="36" t="n"/>
    </row>
    <row r="3439" ht="30" customHeight="1">
      <c r="A3439" s="47" t="inlineStr">
        <is>
          <t>Dữ liệu biến thể</t>
        </is>
      </c>
      <c r="B3439" s="56" t="inlineStr">
        <is>
          <t>Nhóm bị tắt</t>
        </is>
      </c>
      <c r="C3439" s="57" t="n"/>
      <c r="D3439" s="57" t="n"/>
      <c r="E3439" s="57" t="n"/>
    </row>
    <row r="3440" ht="30" customHeight="1">
      <c r="A3440" s="47" t="inlineStr">
        <is>
          <t>Trạng thái</t>
        </is>
      </c>
      <c r="B3440" s="61" t="inlineStr">
        <is>
          <t>Chưa thực hiện</t>
        </is>
      </c>
      <c r="C3440" s="57" t="n"/>
      <c r="D3440" s="57" t="n"/>
      <c r="E3440" s="57" t="n"/>
    </row>
    <row r="3441" ht="30" customHeight="1">
      <c r="A3441" s="62" t="inlineStr">
        <is>
          <t>Kết quả thực tế</t>
        </is>
      </c>
    </row>
    <row r="3442" ht="64" customHeight="1">
      <c r="A3442" s="63" t="inlineStr"/>
      <c r="B3442" s="64" t="n"/>
      <c r="C3442" s="64" t="n"/>
      <c r="D3442" s="64" t="n"/>
      <c r="E3442" s="65" t="n"/>
    </row>
    <row r="3443" ht="30" customHeight="1">
      <c r="A3443" s="62" t="inlineStr">
        <is>
          <t>Ảnh minh chứng</t>
        </is>
      </c>
    </row>
    <row r="3444" ht="90" customHeight="1">
      <c r="A3444" s="63" t="inlineStr"/>
      <c r="B3444" s="64" t="n"/>
      <c r="C3444" s="64" t="n"/>
      <c r="D3444" s="64" t="n"/>
      <c r="E3444" s="65" t="n"/>
    </row>
    <row r="3445" ht="12" customHeight="1">
      <c r="A3445" s="66" t="inlineStr"/>
    </row>
    <row r="3446" ht="30" customHeight="1">
      <c r="A3446" s="60" t="inlineStr">
        <is>
          <t>TC-RS-BR-040 / deleted-group</t>
        </is>
      </c>
      <c r="B3446" s="36" t="n"/>
      <c r="C3446" s="36" t="n"/>
      <c r="D3446" s="36" t="n"/>
      <c r="E3446" s="36" t="n"/>
    </row>
    <row r="3447" ht="30" customHeight="1">
      <c r="A3447" s="47" t="inlineStr">
        <is>
          <t>Dữ liệu biến thể</t>
        </is>
      </c>
      <c r="B3447" s="56" t="inlineStr">
        <is>
          <t>Nhóm bị xóa</t>
        </is>
      </c>
      <c r="C3447" s="57" t="n"/>
      <c r="D3447" s="57" t="n"/>
      <c r="E3447" s="57" t="n"/>
    </row>
    <row r="3448" ht="30" customHeight="1">
      <c r="A3448" s="47" t="inlineStr">
        <is>
          <t>Trạng thái</t>
        </is>
      </c>
      <c r="B3448" s="61" t="inlineStr">
        <is>
          <t>Chưa thực hiện</t>
        </is>
      </c>
      <c r="C3448" s="57" t="n"/>
      <c r="D3448" s="57" t="n"/>
      <c r="E3448" s="57" t="n"/>
    </row>
    <row r="3449" ht="30" customHeight="1">
      <c r="A3449" s="62" t="inlineStr">
        <is>
          <t>Kết quả thực tế</t>
        </is>
      </c>
    </row>
    <row r="3450" ht="64" customHeight="1">
      <c r="A3450" s="63" t="inlineStr"/>
      <c r="B3450" s="64" t="n"/>
      <c r="C3450" s="64" t="n"/>
      <c r="D3450" s="64" t="n"/>
      <c r="E3450" s="65" t="n"/>
    </row>
    <row r="3451" ht="30" customHeight="1">
      <c r="A3451" s="62" t="inlineStr">
        <is>
          <t>Ảnh minh chứng</t>
        </is>
      </c>
    </row>
    <row r="3452" ht="90" customHeight="1">
      <c r="A3452" s="63" t="inlineStr"/>
      <c r="B3452" s="64" t="n"/>
      <c r="C3452" s="64" t="n"/>
      <c r="D3452" s="64" t="n"/>
      <c r="E3452" s="65" t="n"/>
    </row>
    <row r="3453" ht="12" customHeight="1">
      <c r="A3453" s="66" t="inlineStr"/>
    </row>
    <row r="3454" ht="20" customHeight="1">
      <c r="A3454" s="66" t="inlineStr"/>
    </row>
    <row r="3455" ht="30" customHeight="1">
      <c r="A3455" s="46" t="inlineStr">
        <is>
          <t>TC-RS-VAL-024 — Quy tắc dùng trung bình/tỷ lệ nhóm không lưu được khi thiếu nguồn</t>
        </is>
      </c>
      <c r="B3455" s="23" t="n"/>
      <c r="C3455" s="23" t="n"/>
      <c r="D3455" s="23" t="n"/>
      <c r="E3455" s="23" t="n"/>
    </row>
    <row r="3456" ht="30" customHeight="1">
      <c r="A3456" s="47" t="inlineStr">
        <is>
          <t>Trạng thái</t>
        </is>
      </c>
      <c r="B3456" s="56">
        <f>IF(0&gt;0,"Không đạt",IF(0=6,"Đạt",IF(SUMPRODUCT(--EXACT('Testcases'!B3474:B3514,"Không thực hiện"))=6,"Không thực hiện",IF(SUMPRODUCT(--EXACT('Testcases'!B3474:B3514,"Bị chặn"))&gt;0,"Bị chặn",IF(SUMPRODUCT(--EXACT('Testcases'!B3474:B3514,"Chưa thực hiện"))=6,"Chưa thực hiện","Chưa đủ kết luận")))))</f>
        <v/>
      </c>
      <c r="C3456" s="57" t="n"/>
      <c r="D3456" s="57" t="n"/>
      <c r="E3456" s="57" t="n"/>
    </row>
    <row r="3457" ht="30" customHeight="1">
      <c r="A3457" s="47" t="inlineStr">
        <is>
          <t>Màn hình / chức năng</t>
        </is>
      </c>
      <c r="B3457" s="47" t="inlineStr">
        <is>
          <t>Nguồn tổng hợp</t>
        </is>
      </c>
      <c r="C3457" s="57" t="n"/>
      <c r="D3457" s="47" t="inlineStr">
        <is>
          <t>Đường dẫn</t>
        </is>
      </c>
      <c r="E3457" s="56" t="inlineStr">
        <is>
          <t>Chưa xác minh</t>
        </is>
      </c>
    </row>
    <row r="3458" ht="30" customHeight="1">
      <c r="A3458" s="58" t="inlineStr">
        <is>
          <t>Điều kiện kiểm thử</t>
        </is>
      </c>
      <c r="B3458" s="59" t="n"/>
      <c r="C3458" s="59" t="n"/>
      <c r="D3458" s="59" t="n"/>
      <c r="E3458" s="59" t="n"/>
    </row>
    <row r="3459" ht="30" customHeight="1">
      <c r="A3459" s="47" t="inlineStr">
        <is>
          <t>Cấu hình</t>
        </is>
      </c>
      <c r="B3459" s="56" t="inlineStr">
        <is>
          <t>• Màn thêm quy tắc của mục số nguyên (M=100).</t>
        </is>
      </c>
      <c r="C3459" s="57" t="n"/>
      <c r="D3459" s="57" t="n"/>
      <c r="E3459" s="57" t="n"/>
    </row>
    <row r="3460" ht="61" customHeight="1">
      <c r="A3460" s="47" t="inlineStr">
        <is>
          <t>Vai trò / quyền</t>
        </is>
      </c>
      <c r="B346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460" s="57" t="n"/>
      <c r="D3460" s="57" t="n"/>
      <c r="E3460" s="57" t="n"/>
    </row>
    <row r="3461" ht="95" customHeight="1">
      <c r="A3461" s="47" t="inlineStr">
        <is>
          <t>Dữ liệu test</t>
        </is>
      </c>
      <c r="B3461" s="56" t="inlineStr">
        <is>
          <t>• Mục số nguyên (M=100);
• (A) Điều kiện trung bình [A≥60], ngưỡng cố định 30, bỏ trống một phần hoặc toàn bộ nguồn (thời kỳ, thiết lập tổng hợp, nhóm tham chiếu);
• (B) điều kiện tỷ lệ nhóm ≥65%, nguồn bỏ trống;
• (C) Toàn bộ đối tượng, ngưỡng Công thức tính（計算式） [A×0.5], nguồn của công thức bỏ trống</t>
        </is>
      </c>
      <c r="C3461" s="57" t="n"/>
      <c r="D3461" s="57" t="n"/>
      <c r="E3461" s="57" t="n"/>
    </row>
    <row r="3462" ht="30" customHeight="1">
      <c r="A3462" s="47" t="inlineStr">
        <is>
          <t>Trigger</t>
        </is>
      </c>
      <c r="B3462" s="56" t="inlineStr">
        <is>
          <t>• Chỉ xem/xuất không tự chạy xét.</t>
        </is>
      </c>
      <c r="C3462" s="57" t="n"/>
      <c r="D3462" s="57" t="n"/>
      <c r="E3462" s="57" t="n"/>
    </row>
    <row r="3463" ht="44" customHeight="1">
      <c r="A3463" s="47" t="inlineStr">
        <is>
          <t>Blocker</t>
        </is>
      </c>
      <c r="B3463" s="56" t="inlineStr">
        <is>
          <t>• G-PREP-UNASSESSED: Chưa có xác minh fixture, đường thực hiện và phép quan sát trên build của từng case chưa đánh giá.</t>
        </is>
      </c>
      <c r="C3463" s="57" t="n"/>
      <c r="D3463" s="57" t="n"/>
      <c r="E3463" s="57" t="n"/>
    </row>
    <row r="3464" ht="30" customHeight="1">
      <c r="A3464" s="58" t="inlineStr">
        <is>
          <t>Thao tác</t>
        </is>
      </c>
      <c r="B3464" s="59" t="n"/>
      <c r="C3464" s="59" t="n"/>
      <c r="D3464" s="59" t="n"/>
      <c r="E3464" s="59" t="n"/>
    </row>
    <row r="3465" ht="30" customHeight="1">
      <c r="A3465" s="47" t="inlineStr">
        <is>
          <t>•</t>
        </is>
      </c>
      <c r="B3465" s="56" t="inlineStr">
        <is>
          <t>Nhập từng biến thể, bấm Lưu; mở lại danh sách.</t>
        </is>
      </c>
      <c r="C3465" s="57" t="n"/>
      <c r="D3465" s="57" t="n"/>
      <c r="E3465" s="57" t="n"/>
    </row>
    <row r="3466" ht="44" customHeight="1">
      <c r="A3466" s="47" t="inlineStr">
        <is>
          <t>Reset</t>
        </is>
      </c>
      <c r="B3466" s="56" t="inlineStr">
        <is>
          <t>Trước mỗi biến thể, dựng lại điều kiện/dữ liệu đầu của case bằng đường được phép; giữ các reset/fixture độc lập đã nêu trong thủ tục.</t>
        </is>
      </c>
      <c r="C3466" s="57" t="n"/>
      <c r="D3466" s="57" t="n"/>
      <c r="E3466" s="57" t="n"/>
    </row>
    <row r="3467" ht="30" customHeight="1">
      <c r="A3467" s="58" t="inlineStr">
        <is>
          <t>Kết quả mong đợi</t>
        </is>
      </c>
      <c r="B3467" s="59" t="n"/>
      <c r="C3467" s="59" t="n"/>
      <c r="D3467" s="59" t="n"/>
      <c r="E3467" s="59" t="n"/>
    </row>
    <row r="3468" ht="44" customHeight="1">
      <c r="A3468" s="47" t="inlineStr">
        <is>
          <t>•</t>
        </is>
      </c>
      <c r="B3468" s="56" t="inlineStr">
        <is>
          <t>Cả ba biến thể không lưu được; có thông báo thiếu nguồn. Không lưu quy tắc với điều kiện bị bỏ đi hoặc nguồn trống; danh sách quy tắc không đổi.</t>
        </is>
      </c>
      <c r="C3468" s="57" t="n"/>
      <c r="D3468" s="57" t="n"/>
      <c r="E3468" s="57" t="n"/>
    </row>
    <row r="3469" ht="44" customHeight="1">
      <c r="A3469" s="47" t="inlineStr">
        <is>
          <t>Giữ nguyên</t>
        </is>
      </c>
      <c r="B3469" s="56" t="inlineStr">
        <is>
          <t>• Giữ điểm, cấu hình và đối tượng không đích theo expected;
• Chỉ thay phần thủ tục yêu cầu, không tự đổi oracle hoặc mở rộng phạm vi.</t>
        </is>
      </c>
      <c r="C3469" s="57" t="n"/>
      <c r="D3469" s="57" t="n"/>
      <c r="E3469" s="57" t="n"/>
    </row>
    <row r="3470" ht="61" customHeight="1">
      <c r="A3470" s="47" t="inlineStr">
        <is>
          <t>Quan sát tại</t>
        </is>
      </c>
      <c r="B3470" s="56" t="inlineStr">
        <is>
          <t>• Dùng trích xuất không lọc để thấy cả ô đối chứng. Trạng thái không có dấu đỏ cần đọc thêm trạng thái lưu;
• Output Excel/PDF dùng file thật.</t>
        </is>
      </c>
      <c r="C3470" s="57" t="n"/>
      <c r="D3470" s="57" t="n"/>
      <c r="E3470" s="57" t="n"/>
    </row>
    <row r="3471" ht="30" customHeight="1">
      <c r="A3471" s="58" t="inlineStr">
        <is>
          <t>Kết quả thực tế</t>
        </is>
      </c>
      <c r="B3471" s="59" t="n"/>
      <c r="C3471" s="59" t="n"/>
      <c r="D3471" s="59" t="n"/>
      <c r="E3471" s="59" t="n"/>
    </row>
    <row r="3472" ht="30" customHeight="1">
      <c r="A3472" s="60" t="inlineStr">
        <is>
          <t>TC-RS-VAL-024 / condition-period</t>
        </is>
      </c>
      <c r="B3472" s="36" t="n"/>
      <c r="C3472" s="36" t="n"/>
      <c r="D3472" s="36" t="n"/>
      <c r="E3472" s="36" t="n"/>
    </row>
    <row r="3473" ht="30" customHeight="1">
      <c r="A3473" s="47" t="inlineStr">
        <is>
          <t>Dữ liệu biến thể</t>
        </is>
      </c>
      <c r="B3473" s="56" t="inlineStr">
        <is>
          <t>Điều kiện trung bình thiếu kỳ</t>
        </is>
      </c>
      <c r="C3473" s="57" t="n"/>
      <c r="D3473" s="57" t="n"/>
      <c r="E3473" s="57" t="n"/>
    </row>
    <row r="3474" ht="30" customHeight="1">
      <c r="A3474" s="47" t="inlineStr">
        <is>
          <t>Trạng thái</t>
        </is>
      </c>
      <c r="B3474" s="61" t="inlineStr">
        <is>
          <t>Chưa thực hiện</t>
        </is>
      </c>
      <c r="C3474" s="57" t="n"/>
      <c r="D3474" s="57" t="n"/>
      <c r="E3474" s="57" t="n"/>
    </row>
    <row r="3475" ht="30" customHeight="1">
      <c r="A3475" s="62" t="inlineStr">
        <is>
          <t>Kết quả thực tế</t>
        </is>
      </c>
    </row>
    <row r="3476" ht="64" customHeight="1">
      <c r="A3476" s="63" t="inlineStr"/>
      <c r="B3476" s="64" t="n"/>
      <c r="C3476" s="64" t="n"/>
      <c r="D3476" s="64" t="n"/>
      <c r="E3476" s="65" t="n"/>
    </row>
    <row r="3477" ht="30" customHeight="1">
      <c r="A3477" s="62" t="inlineStr">
        <is>
          <t>Ảnh minh chứng</t>
        </is>
      </c>
    </row>
    <row r="3478" ht="90" customHeight="1">
      <c r="A3478" s="63" t="inlineStr"/>
      <c r="B3478" s="64" t="n"/>
      <c r="C3478" s="64" t="n"/>
      <c r="D3478" s="64" t="n"/>
      <c r="E3478" s="65" t="n"/>
    </row>
    <row r="3479" ht="12" customHeight="1">
      <c r="A3479" s="66" t="inlineStr"/>
    </row>
    <row r="3480" ht="30" customHeight="1">
      <c r="A3480" s="60" t="inlineStr">
        <is>
          <t>TC-RS-VAL-024 / condition-setting</t>
        </is>
      </c>
      <c r="B3480" s="36" t="n"/>
      <c r="C3480" s="36" t="n"/>
      <c r="D3480" s="36" t="n"/>
      <c r="E3480" s="36" t="n"/>
    </row>
    <row r="3481" ht="30" customHeight="1">
      <c r="A3481" s="47" t="inlineStr">
        <is>
          <t>Dữ liệu biến thể</t>
        </is>
      </c>
      <c r="B3481" s="56" t="inlineStr">
        <is>
          <t>Điều kiện trung bình thiếu thiết lập</t>
        </is>
      </c>
      <c r="C3481" s="57" t="n"/>
      <c r="D3481" s="57" t="n"/>
      <c r="E3481" s="57" t="n"/>
    </row>
    <row r="3482" ht="30" customHeight="1">
      <c r="A3482" s="47" t="inlineStr">
        <is>
          <t>Trạng thái</t>
        </is>
      </c>
      <c r="B3482" s="61" t="inlineStr">
        <is>
          <t>Chưa thực hiện</t>
        </is>
      </c>
      <c r="C3482" s="57" t="n"/>
      <c r="D3482" s="57" t="n"/>
      <c r="E3482" s="57" t="n"/>
    </row>
    <row r="3483" ht="30" customHeight="1">
      <c r="A3483" s="62" t="inlineStr">
        <is>
          <t>Kết quả thực tế</t>
        </is>
      </c>
    </row>
    <row r="3484" ht="64" customHeight="1">
      <c r="A3484" s="63" t="inlineStr"/>
      <c r="B3484" s="64" t="n"/>
      <c r="C3484" s="64" t="n"/>
      <c r="D3484" s="64" t="n"/>
      <c r="E3484" s="65" t="n"/>
    </row>
    <row r="3485" ht="30" customHeight="1">
      <c r="A3485" s="62" t="inlineStr">
        <is>
          <t>Ảnh minh chứng</t>
        </is>
      </c>
    </row>
    <row r="3486" ht="90" customHeight="1">
      <c r="A3486" s="63" t="inlineStr"/>
      <c r="B3486" s="64" t="n"/>
      <c r="C3486" s="64" t="n"/>
      <c r="D3486" s="64" t="n"/>
      <c r="E3486" s="65" t="n"/>
    </row>
    <row r="3487" ht="12" customHeight="1">
      <c r="A3487" s="66" t="inlineStr"/>
    </row>
    <row r="3488" ht="30" customHeight="1">
      <c r="A3488" s="60" t="inlineStr">
        <is>
          <t>TC-RS-VAL-024 / condition-group</t>
        </is>
      </c>
      <c r="B3488" s="36" t="n"/>
      <c r="C3488" s="36" t="n"/>
      <c r="D3488" s="36" t="n"/>
      <c r="E3488" s="36" t="n"/>
    </row>
    <row r="3489" ht="30" customHeight="1">
      <c r="A3489" s="47" t="inlineStr">
        <is>
          <t>Dữ liệu biến thể</t>
        </is>
      </c>
      <c r="B3489" s="56" t="inlineStr">
        <is>
          <t>Điều kiện trung bình thiếu nhóm</t>
        </is>
      </c>
      <c r="C3489" s="57" t="n"/>
      <c r="D3489" s="57" t="n"/>
      <c r="E3489" s="57" t="n"/>
    </row>
    <row r="3490" ht="30" customHeight="1">
      <c r="A3490" s="47" t="inlineStr">
        <is>
          <t>Trạng thái</t>
        </is>
      </c>
      <c r="B3490" s="61" t="inlineStr">
        <is>
          <t>Chưa thực hiện</t>
        </is>
      </c>
      <c r="C3490" s="57" t="n"/>
      <c r="D3490" s="57" t="n"/>
      <c r="E3490" s="57" t="n"/>
    </row>
    <row r="3491" ht="30" customHeight="1">
      <c r="A3491" s="62" t="inlineStr">
        <is>
          <t>Kết quả thực tế</t>
        </is>
      </c>
    </row>
    <row r="3492" ht="64" customHeight="1">
      <c r="A3492" s="63" t="inlineStr"/>
      <c r="B3492" s="64" t="n"/>
      <c r="C3492" s="64" t="n"/>
      <c r="D3492" s="64" t="n"/>
      <c r="E3492" s="65" t="n"/>
    </row>
    <row r="3493" ht="30" customHeight="1">
      <c r="A3493" s="62" t="inlineStr">
        <is>
          <t>Ảnh minh chứng</t>
        </is>
      </c>
    </row>
    <row r="3494" ht="90" customHeight="1">
      <c r="A3494" s="63" t="inlineStr"/>
      <c r="B3494" s="64" t="n"/>
      <c r="C3494" s="64" t="n"/>
      <c r="D3494" s="64" t="n"/>
      <c r="E3494" s="65" t="n"/>
    </row>
    <row r="3495" ht="12" customHeight="1">
      <c r="A3495" s="66" t="inlineStr"/>
    </row>
    <row r="3496" ht="30" customHeight="1">
      <c r="A3496" s="60" t="inlineStr">
        <is>
          <t>TC-RS-VAL-024 / condition-all</t>
        </is>
      </c>
      <c r="B3496" s="36" t="n"/>
      <c r="C3496" s="36" t="n"/>
      <c r="D3496" s="36" t="n"/>
      <c r="E3496" s="36" t="n"/>
    </row>
    <row r="3497" ht="30" customHeight="1">
      <c r="A3497" s="47" t="inlineStr">
        <is>
          <t>Dữ liệu biến thể</t>
        </is>
      </c>
      <c r="B3497" s="56" t="inlineStr">
        <is>
          <t>Điều kiện trung bình thiếu toàn bộ</t>
        </is>
      </c>
      <c r="C3497" s="57" t="n"/>
      <c r="D3497" s="57" t="n"/>
      <c r="E3497" s="57" t="n"/>
    </row>
    <row r="3498" ht="30" customHeight="1">
      <c r="A3498" s="47" t="inlineStr">
        <is>
          <t>Trạng thái</t>
        </is>
      </c>
      <c r="B3498" s="61" t="inlineStr">
        <is>
          <t>Chưa thực hiện</t>
        </is>
      </c>
      <c r="C3498" s="57" t="n"/>
      <c r="D3498" s="57" t="n"/>
      <c r="E3498" s="57" t="n"/>
    </row>
    <row r="3499" ht="30" customHeight="1">
      <c r="A3499" s="62" t="inlineStr">
        <is>
          <t>Kết quả thực tế</t>
        </is>
      </c>
    </row>
    <row r="3500" ht="64" customHeight="1">
      <c r="A3500" s="63" t="inlineStr"/>
      <c r="B3500" s="64" t="n"/>
      <c r="C3500" s="64" t="n"/>
      <c r="D3500" s="64" t="n"/>
      <c r="E3500" s="65" t="n"/>
    </row>
    <row r="3501" ht="30" customHeight="1">
      <c r="A3501" s="62" t="inlineStr">
        <is>
          <t>Ảnh minh chứng</t>
        </is>
      </c>
    </row>
    <row r="3502" ht="90" customHeight="1">
      <c r="A3502" s="63" t="inlineStr"/>
      <c r="B3502" s="64" t="n"/>
      <c r="C3502" s="64" t="n"/>
      <c r="D3502" s="64" t="n"/>
      <c r="E3502" s="65" t="n"/>
    </row>
    <row r="3503" ht="12" customHeight="1">
      <c r="A3503" s="66" t="inlineStr"/>
    </row>
    <row r="3504" ht="30" customHeight="1">
      <c r="A3504" s="60" t="inlineStr">
        <is>
          <t>TC-RS-VAL-024 / ratio-all</t>
        </is>
      </c>
      <c r="B3504" s="36" t="n"/>
      <c r="C3504" s="36" t="n"/>
      <c r="D3504" s="36" t="n"/>
      <c r="E3504" s="36" t="n"/>
    </row>
    <row r="3505" ht="30" customHeight="1">
      <c r="A3505" s="47" t="inlineStr">
        <is>
          <t>Dữ liệu biến thể</t>
        </is>
      </c>
      <c r="B3505" s="56" t="inlineStr">
        <is>
          <t>Điều kiện tỷ lệ thiếu nguồn</t>
        </is>
      </c>
      <c r="C3505" s="57" t="n"/>
      <c r="D3505" s="57" t="n"/>
      <c r="E3505" s="57" t="n"/>
    </row>
    <row r="3506" ht="30" customHeight="1">
      <c r="A3506" s="47" t="inlineStr">
        <is>
          <t>Trạng thái</t>
        </is>
      </c>
      <c r="B3506" s="61" t="inlineStr">
        <is>
          <t>Chưa thực hiện</t>
        </is>
      </c>
      <c r="C3506" s="57" t="n"/>
      <c r="D3506" s="57" t="n"/>
      <c r="E3506" s="57" t="n"/>
    </row>
    <row r="3507" ht="30" customHeight="1">
      <c r="A3507" s="62" t="inlineStr">
        <is>
          <t>Kết quả thực tế</t>
        </is>
      </c>
    </row>
    <row r="3508" ht="64" customHeight="1">
      <c r="A3508" s="63" t="inlineStr"/>
      <c r="B3508" s="64" t="n"/>
      <c r="C3508" s="64" t="n"/>
      <c r="D3508" s="64" t="n"/>
      <c r="E3508" s="65" t="n"/>
    </row>
    <row r="3509" ht="30" customHeight="1">
      <c r="A3509" s="62" t="inlineStr">
        <is>
          <t>Ảnh minh chứng</t>
        </is>
      </c>
    </row>
    <row r="3510" ht="90" customHeight="1">
      <c r="A3510" s="63" t="inlineStr"/>
      <c r="B3510" s="64" t="n"/>
      <c r="C3510" s="64" t="n"/>
      <c r="D3510" s="64" t="n"/>
      <c r="E3510" s="65" t="n"/>
    </row>
    <row r="3511" ht="12" customHeight="1">
      <c r="A3511" s="66" t="inlineStr"/>
    </row>
    <row r="3512" ht="30" customHeight="1">
      <c r="A3512" s="60" t="inlineStr">
        <is>
          <t>TC-RS-VAL-024 / formula-all</t>
        </is>
      </c>
      <c r="B3512" s="36" t="n"/>
      <c r="C3512" s="36" t="n"/>
      <c r="D3512" s="36" t="n"/>
      <c r="E3512" s="36" t="n"/>
    </row>
    <row r="3513" ht="30" customHeight="1">
      <c r="A3513" s="47" t="inlineStr">
        <is>
          <t>Dữ liệu biến thể</t>
        </is>
      </c>
      <c r="B3513" s="56" t="inlineStr">
        <is>
          <t>Công thức thiếu nguồn</t>
        </is>
      </c>
      <c r="C3513" s="57" t="n"/>
      <c r="D3513" s="57" t="n"/>
      <c r="E3513" s="57" t="n"/>
    </row>
    <row r="3514" ht="30" customHeight="1">
      <c r="A3514" s="47" t="inlineStr">
        <is>
          <t>Trạng thái</t>
        </is>
      </c>
      <c r="B3514" s="61" t="inlineStr">
        <is>
          <t>Chưa thực hiện</t>
        </is>
      </c>
      <c r="C3514" s="57" t="n"/>
      <c r="D3514" s="57" t="n"/>
      <c r="E3514" s="57" t="n"/>
    </row>
    <row r="3515" ht="30" customHeight="1">
      <c r="A3515" s="62" t="inlineStr">
        <is>
          <t>Kết quả thực tế</t>
        </is>
      </c>
    </row>
    <row r="3516" ht="64" customHeight="1">
      <c r="A3516" s="63" t="inlineStr"/>
      <c r="B3516" s="64" t="n"/>
      <c r="C3516" s="64" t="n"/>
      <c r="D3516" s="64" t="n"/>
      <c r="E3516" s="65" t="n"/>
    </row>
    <row r="3517" ht="30" customHeight="1">
      <c r="A3517" s="62" t="inlineStr">
        <is>
          <t>Ảnh minh chứng</t>
        </is>
      </c>
    </row>
    <row r="3518" ht="90" customHeight="1">
      <c r="A3518" s="63" t="inlineStr"/>
      <c r="B3518" s="64" t="n"/>
      <c r="C3518" s="64" t="n"/>
      <c r="D3518" s="64" t="n"/>
      <c r="E3518" s="65" t="n"/>
    </row>
    <row r="3519" ht="12" customHeight="1">
      <c r="A3519" s="66" t="inlineStr"/>
    </row>
    <row r="3520" ht="20" customHeight="1">
      <c r="A3520" s="66" t="inlineStr"/>
    </row>
    <row r="3521" ht="30" customHeight="1">
      <c r="A3521" s="46" t="inlineStr">
        <is>
          <t>TC-RS-VAL-025 — Server từ chối lưu nhóm tham chiếu không khả dụng hoặc ngoài trường/năm</t>
        </is>
      </c>
      <c r="B3521" s="23" t="n"/>
      <c r="C3521" s="23" t="n"/>
      <c r="D3521" s="23" t="n"/>
      <c r="E3521" s="23" t="n"/>
    </row>
    <row r="3522" ht="30" customHeight="1">
      <c r="A3522" s="47" t="inlineStr">
        <is>
          <t>Trạng thái</t>
        </is>
      </c>
      <c r="B3522" s="56">
        <f>IF(0&gt;0,"Không đạt",IF(0=8,"Đạt",IF(SUMPRODUCT(--EXACT('Testcases'!B3544:B3600,"Không thực hiện"))=8,"Không thực hiện",IF(SUMPRODUCT(--EXACT('Testcases'!B3544:B3600,"Bị chặn"))&gt;0,"Bị chặn",IF(SUMPRODUCT(--EXACT('Testcases'!B3544:B3600,"Chưa thực hiện"))=8,"Chưa thực hiện","Chưa đủ kết luận")))))</f>
        <v/>
      </c>
      <c r="C3522" s="57" t="n"/>
      <c r="D3522" s="57" t="n"/>
      <c r="E3522" s="57" t="n"/>
    </row>
    <row r="3523" ht="30" customHeight="1">
      <c r="A3523" s="47" t="inlineStr">
        <is>
          <t>Màn hình / chức năng</t>
        </is>
      </c>
      <c r="B3523" s="47" t="inlineStr">
        <is>
          <t>Nguồn tổng hợp</t>
        </is>
      </c>
      <c r="C3523" s="57" t="n"/>
      <c r="D3523" s="47" t="inlineStr">
        <is>
          <t>Đường dẫn</t>
        </is>
      </c>
      <c r="E3523" s="56" t="inlineStr">
        <is>
          <t>Chưa xác minh</t>
        </is>
      </c>
    </row>
    <row r="3524" ht="30" customHeight="1">
      <c r="A3524" s="58" t="inlineStr">
        <is>
          <t>Điều kiện kiểm thử</t>
        </is>
      </c>
      <c r="B3524" s="59" t="n"/>
      <c r="C3524" s="59" t="n"/>
      <c r="D3524" s="59" t="n"/>
      <c r="E3524" s="59" t="n"/>
    </row>
    <row r="3525" ht="44" customHeight="1">
      <c r="A3525" s="47" t="inlineStr">
        <is>
          <t>Cấu hình</t>
        </is>
      </c>
      <c r="B3525" s="56" t="inlineStr">
        <is>
          <t>• Thiết lập tổng hợp X（評点集計） (lớp học tắt). Công cụ sửa request (DevTools/proxy) trên môi trường test.</t>
        </is>
      </c>
      <c r="C3525" s="57" t="n"/>
      <c r="D3525" s="57" t="n"/>
      <c r="E3525" s="57" t="n"/>
    </row>
    <row r="3526" ht="61" customHeight="1">
      <c r="A3526" s="47" t="inlineStr">
        <is>
          <t>Vai trò / quyền</t>
        </is>
      </c>
      <c r="B352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526" s="57" t="n"/>
      <c r="D3526" s="57" t="n"/>
      <c r="E3526" s="57" t="n"/>
    </row>
    <row r="3527" ht="95" customHeight="1">
      <c r="A3527" s="47" t="inlineStr">
        <is>
          <t>Dữ liệu test</t>
        </is>
      </c>
      <c r="B3527" s="56" t="inlineStr">
        <is>
          <t>• Thiết lập tổng hợp X（評点集計）;
• ID nhóm tổng hợp của trường B (trường B (trường khác));
• ID nhóm tổng hợp của năm khác;
• Mục số nguyên (M=100);
• Tài khoản giáo viên có quyền sửa mục</t>
        </is>
      </c>
      <c r="C3527" s="57" t="n"/>
      <c r="D3527" s="57" t="n"/>
      <c r="E3527" s="57" t="n"/>
    </row>
    <row r="3528" ht="30" customHeight="1">
      <c r="A3528" s="47" t="inlineStr">
        <is>
          <t>Trigger</t>
        </is>
      </c>
      <c r="B3528" s="56" t="inlineStr">
        <is>
          <t>• Chỉ xem/xuất không tự chạy xét.</t>
        </is>
      </c>
      <c r="C3528" s="57" t="n"/>
      <c r="D3528" s="57" t="n"/>
      <c r="E3528" s="57" t="n"/>
    </row>
    <row r="3529" ht="44" customHeight="1">
      <c r="A3529" s="47" t="inlineStr">
        <is>
          <t>Blocker</t>
        </is>
      </c>
      <c r="B3529" s="56" t="inlineStr">
        <is>
          <t>• G-PREP-UNASSESSED: Chưa có xác minh fixture, đường thực hiện và phép quan sát trên build của từng case chưa đánh giá.</t>
        </is>
      </c>
      <c r="C3529" s="57" t="n"/>
      <c r="D3529" s="57" t="n"/>
      <c r="E3529" s="57" t="n"/>
    </row>
    <row r="3530" ht="30" customHeight="1">
      <c r="A3530" s="58" t="inlineStr">
        <is>
          <t>Thao tác</t>
        </is>
      </c>
      <c r="B3530" s="59" t="n"/>
      <c r="C3530" s="59" t="n"/>
      <c r="D3530" s="59" t="n"/>
      <c r="E3530" s="59" t="n"/>
    </row>
    <row r="3531" ht="30" customHeight="1">
      <c r="A3531" s="47" t="inlineStr">
        <is>
          <t>•</t>
        </is>
      </c>
      <c r="B3531" s="56" t="inlineStr">
        <is>
          <t>Gửi request lưu quy tắc có nguồn (điều kiện hoặc công thức) với từng biến thể:</t>
        </is>
      </c>
      <c r="C3531" s="57" t="n"/>
      <c r="D3531" s="57" t="n"/>
      <c r="E3531" s="57" t="n"/>
    </row>
    <row r="3532" ht="30" customHeight="1">
      <c r="A3532" s="47" t="inlineStr">
        <is>
          <t>Step 1</t>
        </is>
      </c>
      <c r="B3532" s="56" t="inlineStr">
        <is>
          <t>Loại Lớp học（授業） trong khi công tắc lớp học đang tắt.</t>
        </is>
      </c>
      <c r="C3532" s="57" t="n"/>
      <c r="D3532" s="57" t="n"/>
      <c r="E3532" s="57" t="n"/>
    </row>
    <row r="3533" ht="30" customHeight="1">
      <c r="A3533" s="47" t="inlineStr">
        <is>
          <t>Step 2</t>
        </is>
      </c>
      <c r="B3533" s="56" t="inlineStr">
        <is>
          <t>Nhóm tổng hợp mang ID của trường B.</t>
        </is>
      </c>
      <c r="C3533" s="57" t="n"/>
      <c r="D3533" s="57" t="n"/>
      <c r="E3533" s="57" t="n"/>
    </row>
    <row r="3534" ht="30" customHeight="1">
      <c r="A3534" s="47" t="inlineStr">
        <is>
          <t>Step 3</t>
        </is>
      </c>
      <c r="B3534" s="56" t="inlineStr">
        <is>
          <t>Nhóm tổng hợp mang ID của năm học khác.</t>
        </is>
      </c>
      <c r="C3534" s="57" t="n"/>
      <c r="D3534" s="57" t="n"/>
      <c r="E3534" s="57" t="n"/>
    </row>
    <row r="3535" ht="30" customHeight="1">
      <c r="A3535" s="47" t="inlineStr">
        <is>
          <t>Step 4</t>
        </is>
      </c>
      <c r="B3535" s="56" t="inlineStr">
        <is>
          <t>Nhóm môn học（科目グループ） có ID không tồn tại.</t>
        </is>
      </c>
      <c r="C3535" s="57" t="n"/>
      <c r="D3535" s="57" t="n"/>
      <c r="E3535" s="57" t="n"/>
    </row>
    <row r="3536" ht="44" customHeight="1">
      <c r="A3536" s="47" t="inlineStr">
        <is>
          <t>Reset</t>
        </is>
      </c>
      <c r="B3536" s="56" t="inlineStr">
        <is>
          <t>Trước mỗi biến thể, dựng lại điều kiện/dữ liệu đầu của case bằng đường được phép; giữ các reset/fixture độc lập đã nêu trong thủ tục.</t>
        </is>
      </c>
      <c r="C3536" s="57" t="n"/>
      <c r="D3536" s="57" t="n"/>
      <c r="E3536" s="57" t="n"/>
    </row>
    <row r="3537" ht="30" customHeight="1">
      <c r="A3537" s="58" t="inlineStr">
        <is>
          <t>Kết quả mong đợi</t>
        </is>
      </c>
      <c r="B3537" s="59" t="n"/>
      <c r="C3537" s="59" t="n"/>
      <c r="D3537" s="59" t="n"/>
      <c r="E3537" s="59" t="n"/>
    </row>
    <row r="3538" ht="44" customHeight="1">
      <c r="A3538" s="47" t="inlineStr">
        <is>
          <t>•</t>
        </is>
      </c>
      <c r="B3538" s="56" t="inlineStr">
        <is>
          <t>Cả bốn biến thể bị từ chối; không lưu quy tắc; danh sách quy tắc không đổi; không trả về tên/dữ liệu của trường hay năm khác.</t>
        </is>
      </c>
      <c r="C3538" s="57" t="n"/>
      <c r="D3538" s="57" t="n"/>
      <c r="E3538" s="57" t="n"/>
    </row>
    <row r="3539" ht="44" customHeight="1">
      <c r="A3539" s="47" t="inlineStr">
        <is>
          <t>Giữ nguyên</t>
        </is>
      </c>
      <c r="B3539" s="56" t="inlineStr">
        <is>
          <t>• Giữ điểm, cấu hình và đối tượng không đích theo expected;
• Chỉ thay phần thủ tục yêu cầu, không tự đổi oracle hoặc mở rộng phạm vi.</t>
        </is>
      </c>
      <c r="C3539" s="57" t="n"/>
      <c r="D3539" s="57" t="n"/>
      <c r="E3539" s="57" t="n"/>
    </row>
    <row r="3540" ht="61" customHeight="1">
      <c r="A3540" s="47" t="inlineStr">
        <is>
          <t>Quan sát tại</t>
        </is>
      </c>
      <c r="B3540" s="56" t="inlineStr">
        <is>
          <t>• Dùng trích xuất không lọc để thấy cả ô đối chứng. Trạng thái không có dấu đỏ cần đọc thêm trạng thái lưu;
• Output Excel/PDF dùng file thật.</t>
        </is>
      </c>
      <c r="C3540" s="57" t="n"/>
      <c r="D3540" s="57" t="n"/>
      <c r="E3540" s="57" t="n"/>
    </row>
    <row r="3541" ht="30" customHeight="1">
      <c r="A3541" s="58" t="inlineStr">
        <is>
          <t>Kết quả thực tế</t>
        </is>
      </c>
      <c r="B3541" s="59" t="n"/>
      <c r="C3541" s="59" t="n"/>
      <c r="D3541" s="59" t="n"/>
      <c r="E3541" s="59" t="n"/>
    </row>
    <row r="3542" ht="30" customHeight="1">
      <c r="A3542" s="60" t="inlineStr">
        <is>
          <t>TC-RS-VAL-025 / condition-disabled</t>
        </is>
      </c>
      <c r="B3542" s="36" t="n"/>
      <c r="C3542" s="36" t="n"/>
      <c r="D3542" s="36" t="n"/>
      <c r="E3542" s="36" t="n"/>
    </row>
    <row r="3543" ht="30" customHeight="1">
      <c r="A3543" s="47" t="inlineStr">
        <is>
          <t>Dữ liệu biến thể</t>
        </is>
      </c>
      <c r="B3543" s="56" t="inlineStr">
        <is>
          <t>Điều kiện nhóm tắt</t>
        </is>
      </c>
      <c r="C3543" s="57" t="n"/>
      <c r="D3543" s="57" t="n"/>
      <c r="E3543" s="57" t="n"/>
    </row>
    <row r="3544" ht="30" customHeight="1">
      <c r="A3544" s="47" t="inlineStr">
        <is>
          <t>Trạng thái</t>
        </is>
      </c>
      <c r="B3544" s="61" t="inlineStr">
        <is>
          <t>Chưa thực hiện</t>
        </is>
      </c>
      <c r="C3544" s="57" t="n"/>
      <c r="D3544" s="57" t="n"/>
      <c r="E3544" s="57" t="n"/>
    </row>
    <row r="3545" ht="30" customHeight="1">
      <c r="A3545" s="62" t="inlineStr">
        <is>
          <t>Kết quả thực tế</t>
        </is>
      </c>
    </row>
    <row r="3546" ht="64" customHeight="1">
      <c r="A3546" s="63" t="inlineStr"/>
      <c r="B3546" s="64" t="n"/>
      <c r="C3546" s="64" t="n"/>
      <c r="D3546" s="64" t="n"/>
      <c r="E3546" s="65" t="n"/>
    </row>
    <row r="3547" ht="30" customHeight="1">
      <c r="A3547" s="62" t="inlineStr">
        <is>
          <t>Ảnh minh chứng</t>
        </is>
      </c>
    </row>
    <row r="3548" ht="90" customHeight="1">
      <c r="A3548" s="63" t="inlineStr"/>
      <c r="B3548" s="64" t="n"/>
      <c r="C3548" s="64" t="n"/>
      <c r="D3548" s="64" t="n"/>
      <c r="E3548" s="65" t="n"/>
    </row>
    <row r="3549" ht="12" customHeight="1">
      <c r="A3549" s="66" t="inlineStr"/>
    </row>
    <row r="3550" ht="30" customHeight="1">
      <c r="A3550" s="60" t="inlineStr">
        <is>
          <t>TC-RS-VAL-025 / condition-school</t>
        </is>
      </c>
      <c r="B3550" s="36" t="n"/>
      <c r="C3550" s="36" t="n"/>
      <c r="D3550" s="36" t="n"/>
      <c r="E3550" s="36" t="n"/>
    </row>
    <row r="3551" ht="30" customHeight="1">
      <c r="A3551" s="47" t="inlineStr">
        <is>
          <t>Dữ liệu biến thể</t>
        </is>
      </c>
      <c r="B3551" s="56" t="inlineStr">
        <is>
          <t>Điều kiện sai trường</t>
        </is>
      </c>
      <c r="C3551" s="57" t="n"/>
      <c r="D3551" s="57" t="n"/>
      <c r="E3551" s="57" t="n"/>
    </row>
    <row r="3552" ht="30" customHeight="1">
      <c r="A3552" s="47" t="inlineStr">
        <is>
          <t>Trạng thái</t>
        </is>
      </c>
      <c r="B3552" s="61" t="inlineStr">
        <is>
          <t>Chưa thực hiện</t>
        </is>
      </c>
      <c r="C3552" s="57" t="n"/>
      <c r="D3552" s="57" t="n"/>
      <c r="E3552" s="57" t="n"/>
    </row>
    <row r="3553" ht="30" customHeight="1">
      <c r="A3553" s="62" t="inlineStr">
        <is>
          <t>Kết quả thực tế</t>
        </is>
      </c>
    </row>
    <row r="3554" ht="64" customHeight="1">
      <c r="A3554" s="63" t="inlineStr"/>
      <c r="B3554" s="64" t="n"/>
      <c r="C3554" s="64" t="n"/>
      <c r="D3554" s="64" t="n"/>
      <c r="E3554" s="65" t="n"/>
    </row>
    <row r="3555" ht="30" customHeight="1">
      <c r="A3555" s="62" t="inlineStr">
        <is>
          <t>Ảnh minh chứng</t>
        </is>
      </c>
    </row>
    <row r="3556" ht="90" customHeight="1">
      <c r="A3556" s="63" t="inlineStr"/>
      <c r="B3556" s="64" t="n"/>
      <c r="C3556" s="64" t="n"/>
      <c r="D3556" s="64" t="n"/>
      <c r="E3556" s="65" t="n"/>
    </row>
    <row r="3557" ht="12" customHeight="1">
      <c r="A3557" s="66" t="inlineStr"/>
    </row>
    <row r="3558" ht="30" customHeight="1">
      <c r="A3558" s="60" t="inlineStr">
        <is>
          <t>TC-RS-VAL-025 / condition-year</t>
        </is>
      </c>
      <c r="B3558" s="36" t="n"/>
      <c r="C3558" s="36" t="n"/>
      <c r="D3558" s="36" t="n"/>
      <c r="E3558" s="36" t="n"/>
    </row>
    <row r="3559" ht="30" customHeight="1">
      <c r="A3559" s="47" t="inlineStr">
        <is>
          <t>Dữ liệu biến thể</t>
        </is>
      </c>
      <c r="B3559" s="56" t="inlineStr">
        <is>
          <t>Điều kiện sai năm</t>
        </is>
      </c>
      <c r="C3559" s="57" t="n"/>
      <c r="D3559" s="57" t="n"/>
      <c r="E3559" s="57" t="n"/>
    </row>
    <row r="3560" ht="30" customHeight="1">
      <c r="A3560" s="47" t="inlineStr">
        <is>
          <t>Trạng thái</t>
        </is>
      </c>
      <c r="B3560" s="61" t="inlineStr">
        <is>
          <t>Chưa thực hiện</t>
        </is>
      </c>
      <c r="C3560" s="57" t="n"/>
      <c r="D3560" s="57" t="n"/>
      <c r="E3560" s="57" t="n"/>
    </row>
    <row r="3561" ht="30" customHeight="1">
      <c r="A3561" s="62" t="inlineStr">
        <is>
          <t>Kết quả thực tế</t>
        </is>
      </c>
    </row>
    <row r="3562" ht="64" customHeight="1">
      <c r="A3562" s="63" t="inlineStr"/>
      <c r="B3562" s="64" t="n"/>
      <c r="C3562" s="64" t="n"/>
      <c r="D3562" s="64" t="n"/>
      <c r="E3562" s="65" t="n"/>
    </row>
    <row r="3563" ht="30" customHeight="1">
      <c r="A3563" s="62" t="inlineStr">
        <is>
          <t>Ảnh minh chứng</t>
        </is>
      </c>
    </row>
    <row r="3564" ht="90" customHeight="1">
      <c r="A3564" s="63" t="inlineStr"/>
      <c r="B3564" s="64" t="n"/>
      <c r="C3564" s="64" t="n"/>
      <c r="D3564" s="64" t="n"/>
      <c r="E3564" s="65" t="n"/>
    </row>
    <row r="3565" ht="12" customHeight="1">
      <c r="A3565" s="66" t="inlineStr"/>
    </row>
    <row r="3566" ht="30" customHeight="1">
      <c r="A3566" s="60" t="inlineStr">
        <is>
          <t>TC-RS-VAL-025 / condition-missing</t>
        </is>
      </c>
      <c r="B3566" s="36" t="n"/>
      <c r="C3566" s="36" t="n"/>
      <c r="D3566" s="36" t="n"/>
      <c r="E3566" s="36" t="n"/>
    </row>
    <row r="3567" ht="30" customHeight="1">
      <c r="A3567" s="47" t="inlineStr">
        <is>
          <t>Dữ liệu biến thể</t>
        </is>
      </c>
      <c r="B3567" s="56" t="inlineStr">
        <is>
          <t>Điều kiện nhóm không tồn tại</t>
        </is>
      </c>
      <c r="C3567" s="57" t="n"/>
      <c r="D3567" s="57" t="n"/>
      <c r="E3567" s="57" t="n"/>
    </row>
    <row r="3568" ht="30" customHeight="1">
      <c r="A3568" s="47" t="inlineStr">
        <is>
          <t>Trạng thái</t>
        </is>
      </c>
      <c r="B3568" s="61" t="inlineStr">
        <is>
          <t>Chưa thực hiện</t>
        </is>
      </c>
      <c r="C3568" s="57" t="n"/>
      <c r="D3568" s="57" t="n"/>
      <c r="E3568" s="57" t="n"/>
    </row>
    <row r="3569" ht="30" customHeight="1">
      <c r="A3569" s="62" t="inlineStr">
        <is>
          <t>Kết quả thực tế</t>
        </is>
      </c>
    </row>
    <row r="3570" ht="64" customHeight="1">
      <c r="A3570" s="63" t="inlineStr"/>
      <c r="B3570" s="64" t="n"/>
      <c r="C3570" s="64" t="n"/>
      <c r="D3570" s="64" t="n"/>
      <c r="E3570" s="65" t="n"/>
    </row>
    <row r="3571" ht="30" customHeight="1">
      <c r="A3571" s="62" t="inlineStr">
        <is>
          <t>Ảnh minh chứng</t>
        </is>
      </c>
    </row>
    <row r="3572" ht="90" customHeight="1">
      <c r="A3572" s="63" t="inlineStr"/>
      <c r="B3572" s="64" t="n"/>
      <c r="C3572" s="64" t="n"/>
      <c r="D3572" s="64" t="n"/>
      <c r="E3572" s="65" t="n"/>
    </row>
    <row r="3573" ht="12" customHeight="1">
      <c r="A3573" s="66" t="inlineStr"/>
    </row>
    <row r="3574" ht="30" customHeight="1">
      <c r="A3574" s="60" t="inlineStr">
        <is>
          <t>TC-RS-VAL-025 / formula-disabled</t>
        </is>
      </c>
      <c r="B3574" s="36" t="n"/>
      <c r="C3574" s="36" t="n"/>
      <c r="D3574" s="36" t="n"/>
      <c r="E3574" s="36" t="n"/>
    </row>
    <row r="3575" ht="30" customHeight="1">
      <c r="A3575" s="47" t="inlineStr">
        <is>
          <t>Dữ liệu biến thể</t>
        </is>
      </c>
      <c r="B3575" s="56" t="inlineStr">
        <is>
          <t>Công thức nhóm tắt</t>
        </is>
      </c>
      <c r="C3575" s="57" t="n"/>
      <c r="D3575" s="57" t="n"/>
      <c r="E3575" s="57" t="n"/>
    </row>
    <row r="3576" ht="30" customHeight="1">
      <c r="A3576" s="47" t="inlineStr">
        <is>
          <t>Trạng thái</t>
        </is>
      </c>
      <c r="B3576" s="61" t="inlineStr">
        <is>
          <t>Chưa thực hiện</t>
        </is>
      </c>
      <c r="C3576" s="57" t="n"/>
      <c r="D3576" s="57" t="n"/>
      <c r="E3576" s="57" t="n"/>
    </row>
    <row r="3577" ht="30" customHeight="1">
      <c r="A3577" s="62" t="inlineStr">
        <is>
          <t>Kết quả thực tế</t>
        </is>
      </c>
    </row>
    <row r="3578" ht="64" customHeight="1">
      <c r="A3578" s="63" t="inlineStr"/>
      <c r="B3578" s="64" t="n"/>
      <c r="C3578" s="64" t="n"/>
      <c r="D3578" s="64" t="n"/>
      <c r="E3578" s="65" t="n"/>
    </row>
    <row r="3579" ht="30" customHeight="1">
      <c r="A3579" s="62" t="inlineStr">
        <is>
          <t>Ảnh minh chứng</t>
        </is>
      </c>
    </row>
    <row r="3580" ht="90" customHeight="1">
      <c r="A3580" s="63" t="inlineStr"/>
      <c r="B3580" s="64" t="n"/>
      <c r="C3580" s="64" t="n"/>
      <c r="D3580" s="64" t="n"/>
      <c r="E3580" s="65" t="n"/>
    </row>
    <row r="3581" ht="12" customHeight="1">
      <c r="A3581" s="66" t="inlineStr"/>
    </row>
    <row r="3582" ht="30" customHeight="1">
      <c r="A3582" s="60" t="inlineStr">
        <is>
          <t>TC-RS-VAL-025 / formula-school</t>
        </is>
      </c>
      <c r="B3582" s="36" t="n"/>
      <c r="C3582" s="36" t="n"/>
      <c r="D3582" s="36" t="n"/>
      <c r="E3582" s="36" t="n"/>
    </row>
    <row r="3583" ht="30" customHeight="1">
      <c r="A3583" s="47" t="inlineStr">
        <is>
          <t>Dữ liệu biến thể</t>
        </is>
      </c>
      <c r="B3583" s="56" t="inlineStr">
        <is>
          <t>Công thức sai trường</t>
        </is>
      </c>
      <c r="C3583" s="57" t="n"/>
      <c r="D3583" s="57" t="n"/>
      <c r="E3583" s="57" t="n"/>
    </row>
    <row r="3584" ht="30" customHeight="1">
      <c r="A3584" s="47" t="inlineStr">
        <is>
          <t>Trạng thái</t>
        </is>
      </c>
      <c r="B3584" s="61" t="inlineStr">
        <is>
          <t>Chưa thực hiện</t>
        </is>
      </c>
      <c r="C3584" s="57" t="n"/>
      <c r="D3584" s="57" t="n"/>
      <c r="E3584" s="57" t="n"/>
    </row>
    <row r="3585" ht="30" customHeight="1">
      <c r="A3585" s="62" t="inlineStr">
        <is>
          <t>Kết quả thực tế</t>
        </is>
      </c>
    </row>
    <row r="3586" ht="64" customHeight="1">
      <c r="A3586" s="63" t="inlineStr"/>
      <c r="B3586" s="64" t="n"/>
      <c r="C3586" s="64" t="n"/>
      <c r="D3586" s="64" t="n"/>
      <c r="E3586" s="65" t="n"/>
    </row>
    <row r="3587" ht="30" customHeight="1">
      <c r="A3587" s="62" t="inlineStr">
        <is>
          <t>Ảnh minh chứng</t>
        </is>
      </c>
    </row>
    <row r="3588" ht="90" customHeight="1">
      <c r="A3588" s="63" t="inlineStr"/>
      <c r="B3588" s="64" t="n"/>
      <c r="C3588" s="64" t="n"/>
      <c r="D3588" s="64" t="n"/>
      <c r="E3588" s="65" t="n"/>
    </row>
    <row r="3589" ht="12" customHeight="1">
      <c r="A3589" s="66" t="inlineStr"/>
    </row>
    <row r="3590" ht="30" customHeight="1">
      <c r="A3590" s="60" t="inlineStr">
        <is>
          <t>TC-RS-VAL-025 / formula-year</t>
        </is>
      </c>
      <c r="B3590" s="36" t="n"/>
      <c r="C3590" s="36" t="n"/>
      <c r="D3590" s="36" t="n"/>
      <c r="E3590" s="36" t="n"/>
    </row>
    <row r="3591" ht="30" customHeight="1">
      <c r="A3591" s="47" t="inlineStr">
        <is>
          <t>Dữ liệu biến thể</t>
        </is>
      </c>
      <c r="B3591" s="56" t="inlineStr">
        <is>
          <t>Công thức sai năm</t>
        </is>
      </c>
      <c r="C3591" s="57" t="n"/>
      <c r="D3591" s="57" t="n"/>
      <c r="E3591" s="57" t="n"/>
    </row>
    <row r="3592" ht="30" customHeight="1">
      <c r="A3592" s="47" t="inlineStr">
        <is>
          <t>Trạng thái</t>
        </is>
      </c>
      <c r="B3592" s="61" t="inlineStr">
        <is>
          <t>Chưa thực hiện</t>
        </is>
      </c>
      <c r="C3592" s="57" t="n"/>
      <c r="D3592" s="57" t="n"/>
      <c r="E3592" s="57" t="n"/>
    </row>
    <row r="3593" ht="30" customHeight="1">
      <c r="A3593" s="62" t="inlineStr">
        <is>
          <t>Kết quả thực tế</t>
        </is>
      </c>
    </row>
    <row r="3594" ht="64" customHeight="1">
      <c r="A3594" s="63" t="inlineStr"/>
      <c r="B3594" s="64" t="n"/>
      <c r="C3594" s="64" t="n"/>
      <c r="D3594" s="64" t="n"/>
      <c r="E3594" s="65" t="n"/>
    </row>
    <row r="3595" ht="30" customHeight="1">
      <c r="A3595" s="62" t="inlineStr">
        <is>
          <t>Ảnh minh chứng</t>
        </is>
      </c>
    </row>
    <row r="3596" ht="90" customHeight="1">
      <c r="A3596" s="63" t="inlineStr"/>
      <c r="B3596" s="64" t="n"/>
      <c r="C3596" s="64" t="n"/>
      <c r="D3596" s="64" t="n"/>
      <c r="E3596" s="65" t="n"/>
    </row>
    <row r="3597" ht="12" customHeight="1">
      <c r="A3597" s="66" t="inlineStr"/>
    </row>
    <row r="3598" ht="30" customHeight="1">
      <c r="A3598" s="60" t="inlineStr">
        <is>
          <t>TC-RS-VAL-025 / formula-missing</t>
        </is>
      </c>
      <c r="B3598" s="36" t="n"/>
      <c r="C3598" s="36" t="n"/>
      <c r="D3598" s="36" t="n"/>
      <c r="E3598" s="36" t="n"/>
    </row>
    <row r="3599" ht="30" customHeight="1">
      <c r="A3599" s="47" t="inlineStr">
        <is>
          <t>Dữ liệu biến thể</t>
        </is>
      </c>
      <c r="B3599" s="56" t="inlineStr">
        <is>
          <t>Công thức nhóm không tồn tại</t>
        </is>
      </c>
      <c r="C3599" s="57" t="n"/>
      <c r="D3599" s="57" t="n"/>
      <c r="E3599" s="57" t="n"/>
    </row>
    <row r="3600" ht="30" customHeight="1">
      <c r="A3600" s="47" t="inlineStr">
        <is>
          <t>Trạng thái</t>
        </is>
      </c>
      <c r="B3600" s="61" t="inlineStr">
        <is>
          <t>Chưa thực hiện</t>
        </is>
      </c>
      <c r="C3600" s="57" t="n"/>
      <c r="D3600" s="57" t="n"/>
      <c r="E3600" s="57" t="n"/>
    </row>
    <row r="3601" ht="30" customHeight="1">
      <c r="A3601" s="62" t="inlineStr">
        <is>
          <t>Kết quả thực tế</t>
        </is>
      </c>
    </row>
    <row r="3602" ht="64" customHeight="1">
      <c r="A3602" s="63" t="inlineStr"/>
      <c r="B3602" s="64" t="n"/>
      <c r="C3602" s="64" t="n"/>
      <c r="D3602" s="64" t="n"/>
      <c r="E3602" s="65" t="n"/>
    </row>
    <row r="3603" ht="30" customHeight="1">
      <c r="A3603" s="62" t="inlineStr">
        <is>
          <t>Ảnh minh chứng</t>
        </is>
      </c>
    </row>
    <row r="3604" ht="90" customHeight="1">
      <c r="A3604" s="63" t="inlineStr"/>
      <c r="B3604" s="64" t="n"/>
      <c r="C3604" s="64" t="n"/>
      <c r="D3604" s="64" t="n"/>
      <c r="E3604" s="65" t="n"/>
    </row>
    <row r="3605" ht="12" customHeight="1">
      <c r="A3605" s="66" t="inlineStr"/>
    </row>
    <row r="3606" ht="20" customHeight="1">
      <c r="A3606" s="66" t="inlineStr"/>
    </row>
    <row r="3607" ht="30" customHeight="1">
      <c r="A3607" s="46" t="inlineStr">
        <is>
          <t>TC-RS-CALC-026 — Mẫu số trung bình khi có học sinh bị loại khỏi xếp hạng</t>
        </is>
      </c>
      <c r="B3607" s="23" t="n"/>
      <c r="C3607" s="23" t="n"/>
      <c r="D3607" s="23" t="n"/>
      <c r="E3607" s="23" t="n"/>
    </row>
    <row r="3608" ht="30" customHeight="1">
      <c r="A3608" s="47" t="inlineStr">
        <is>
          <t>Trạng thái</t>
        </is>
      </c>
      <c r="B3608" s="61" t="inlineStr">
        <is>
          <t>Chưa thực hiện</t>
        </is>
      </c>
      <c r="C3608" s="57" t="n"/>
      <c r="D3608" s="57" t="n"/>
      <c r="E3608" s="57" t="n"/>
    </row>
    <row r="3609" ht="30" customHeight="1">
      <c r="A3609" s="47" t="inlineStr">
        <is>
          <t>Màn hình / chức năng</t>
        </is>
      </c>
      <c r="B3609" s="47" t="inlineStr">
        <is>
          <t>Nguồn tổng hợp</t>
        </is>
      </c>
      <c r="C3609" s="57" t="n"/>
      <c r="D3609" s="47" t="inlineStr">
        <is>
          <t>Đường dẫn</t>
        </is>
      </c>
      <c r="E3609" s="56" t="inlineStr">
        <is>
          <t>Chưa xác minh</t>
        </is>
      </c>
    </row>
    <row r="3610" ht="30" customHeight="1">
      <c r="A3610" s="58" t="inlineStr">
        <is>
          <t>Điều kiện kiểm thử</t>
        </is>
      </c>
      <c r="B3610" s="59" t="n"/>
      <c r="C3610" s="59" t="n"/>
      <c r="D3610" s="59" t="n"/>
      <c r="E3610" s="59" t="n"/>
    </row>
    <row r="3611" ht="44" customHeight="1">
      <c r="A3611" s="47" t="inlineStr">
        <is>
          <t>Cấu hình</t>
        </is>
      </c>
      <c r="B3611" s="56" t="inlineStr">
        <is>
          <t>• Nhóm có học sinh bị loại khỏi xếp hạng;
• Công thức [A×0.5], [&lt;].</t>
        </is>
      </c>
      <c r="C3611" s="57" t="n"/>
      <c r="D3611" s="57" t="n"/>
      <c r="E3611" s="57" t="n"/>
    </row>
    <row r="3612" ht="61" customHeight="1">
      <c r="A3612" s="47" t="inlineStr">
        <is>
          <t>Vai trò / quyền</t>
        </is>
      </c>
      <c r="B361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612" s="57" t="n"/>
      <c r="D3612" s="57" t="n"/>
      <c r="E3612" s="57" t="n"/>
    </row>
    <row r="3613" ht="44" customHeight="1">
      <c r="A3613" s="47" t="inlineStr">
        <is>
          <t>Dữ liệu test</t>
        </is>
      </c>
      <c r="B3613" s="56" t="inlineStr">
        <is>
          <t>• Nhóm có học sinh bị loại khỏi xếp hạng;
• S = 22</t>
        </is>
      </c>
      <c r="C3613" s="57" t="n"/>
      <c r="D3613" s="57" t="n"/>
      <c r="E3613" s="57" t="n"/>
    </row>
    <row r="3614" ht="30" customHeight="1">
      <c r="A3614" s="47" t="inlineStr">
        <is>
          <t>Trigger</t>
        </is>
      </c>
      <c r="B3614" s="56" t="inlineStr">
        <is>
          <t>• Chỉ xem/xuất không tự chạy xét.</t>
        </is>
      </c>
      <c r="C3614" s="57" t="n"/>
      <c r="D3614" s="57" t="n"/>
      <c r="E3614" s="57" t="n"/>
    </row>
    <row r="3615" ht="44" customHeight="1">
      <c r="A3615" s="47" t="inlineStr">
        <is>
          <t>Blocker</t>
        </is>
      </c>
      <c r="B3615" s="56" t="inlineStr">
        <is>
          <t>• G-PREP-UNASSESSED: Chưa có xác minh fixture, đường thực hiện và phép quan sát trên build của từng case chưa đánh giá.</t>
        </is>
      </c>
      <c r="C3615" s="57" t="n"/>
      <c r="D3615" s="57" t="n"/>
      <c r="E3615" s="57" t="n"/>
    </row>
    <row r="3616" ht="30" customHeight="1">
      <c r="A3616" s="58" t="inlineStr">
        <is>
          <t>Thao tác</t>
        </is>
      </c>
      <c r="B3616" s="59" t="n"/>
      <c r="C3616" s="59" t="n"/>
      <c r="D3616" s="59" t="n"/>
      <c r="E3616" s="59" t="n"/>
    </row>
    <row r="3617" ht="30" customHeight="1">
      <c r="A3617" s="47" t="inlineStr">
        <is>
          <t>•</t>
        </is>
      </c>
      <c r="B3617" s="56" t="inlineStr">
        <is>
          <t>Chạy nút xanh rồi nút cam; ghi [A] đọc được.</t>
        </is>
      </c>
      <c r="C3617" s="57" t="n"/>
      <c r="D3617" s="57" t="n"/>
      <c r="E3617" s="57" t="n"/>
    </row>
    <row r="3618" ht="44" customHeight="1">
      <c r="A3618" s="47" t="inlineStr">
        <is>
          <t>Reset</t>
        </is>
      </c>
      <c r="B3618" s="56" t="inlineStr">
        <is>
          <t>Trước mỗi biến thể, dựng lại điều kiện/dữ liệu đầu của case bằng đường được phép; giữ các reset/fixture độc lập đã nêu trong thủ tục.</t>
        </is>
      </c>
      <c r="C3618" s="57" t="n"/>
      <c r="D3618" s="57" t="n"/>
      <c r="E3618" s="57" t="n"/>
    </row>
    <row r="3619" ht="30" customHeight="1">
      <c r="A3619" s="58" t="inlineStr">
        <is>
          <t>Kết quả mong đợi</t>
        </is>
      </c>
      <c r="B3619" s="59" t="n"/>
      <c r="C3619" s="59" t="n"/>
      <c r="D3619" s="59" t="n"/>
      <c r="E3619" s="59" t="n"/>
    </row>
    <row r="3620" ht="44" customHeight="1">
      <c r="A3620" s="47" t="inlineStr">
        <is>
          <t>•</t>
        </is>
      </c>
      <c r="B3620" s="56" t="inlineStr">
        <is>
          <t>[A = (60+40+20)/3 = 40] (mẫu số là số người có điểm của cùng bản) → [T=20] → S=22 Không đỏ. Nếu hệ thống dùng số người thuộc xếp hạng ([A=100/2=50], [T=25] → Đỏ) là sai.</t>
        </is>
      </c>
      <c r="C3620" s="57" t="n"/>
      <c r="D3620" s="57" t="n"/>
      <c r="E3620" s="57" t="n"/>
    </row>
    <row r="3621" ht="44" customHeight="1">
      <c r="A3621" s="47" t="inlineStr">
        <is>
          <t>Giữ nguyên</t>
        </is>
      </c>
      <c r="B3621" s="56" t="inlineStr">
        <is>
          <t>• Giữ điểm, cấu hình và đối tượng không đích theo expected;
• Chỉ thay phần thủ tục yêu cầu, không tự đổi oracle hoặc mở rộng phạm vi.</t>
        </is>
      </c>
      <c r="C3621" s="57" t="n"/>
      <c r="D3621" s="57" t="n"/>
      <c r="E3621" s="57" t="n"/>
    </row>
    <row r="3622" ht="61" customHeight="1">
      <c r="A3622" s="47" t="inlineStr">
        <is>
          <t>Quan sát tại</t>
        </is>
      </c>
      <c r="B3622" s="56" t="inlineStr">
        <is>
          <t>• Dùng trích xuất không lọc để thấy cả ô đối chứng. Trạng thái không có dấu đỏ cần đọc thêm trạng thái lưu;
• Output Excel/PDF dùng file thật.</t>
        </is>
      </c>
      <c r="C3622" s="57" t="n"/>
      <c r="D3622" s="57" t="n"/>
      <c r="E3622" s="57" t="n"/>
    </row>
    <row r="3623" ht="30" customHeight="1">
      <c r="A3623" s="58" t="inlineStr">
        <is>
          <t>Kết quả thực tế</t>
        </is>
      </c>
      <c r="B3623" s="59" t="n"/>
      <c r="C3623" s="59" t="n"/>
      <c r="D3623" s="59" t="n"/>
      <c r="E3623" s="59" t="n"/>
    </row>
    <row r="3624" ht="30" customHeight="1">
      <c r="A3624" s="47" t="inlineStr">
        <is>
          <t>Dữ liệu biến thể</t>
        </is>
      </c>
      <c r="B3624" s="56" t="inlineStr">
        <is>
          <t>Toàn bộ thủ tục theo đúng thứ tự; các đối chứng cùng fixture được kiểm trong cùng lượt, không bỏ bước</t>
        </is>
      </c>
      <c r="C3624" s="57" t="n"/>
      <c r="D3624" s="57" t="n"/>
      <c r="E3624" s="57" t="n"/>
    </row>
    <row r="3625" ht="30" customHeight="1">
      <c r="A3625" s="62" t="inlineStr">
        <is>
          <t>Kết quả thực tế</t>
        </is>
      </c>
    </row>
    <row r="3626" ht="64" customHeight="1">
      <c r="A3626" s="63" t="inlineStr"/>
      <c r="B3626" s="64" t="n"/>
      <c r="C3626" s="64" t="n"/>
      <c r="D3626" s="64" t="n"/>
      <c r="E3626" s="65" t="n"/>
    </row>
    <row r="3627" ht="30" customHeight="1">
      <c r="A3627" s="62" t="inlineStr">
        <is>
          <t>Ảnh minh chứng</t>
        </is>
      </c>
    </row>
    <row r="3628" ht="90" customHeight="1">
      <c r="A3628" s="63" t="inlineStr"/>
      <c r="B3628" s="64" t="n"/>
      <c r="C3628" s="64" t="n"/>
      <c r="D3628" s="64" t="n"/>
      <c r="E3628" s="65" t="n"/>
    </row>
    <row r="3629" ht="12" customHeight="1">
      <c r="A3629" s="66" t="inlineStr"/>
    </row>
    <row r="3630" ht="20" customHeight="1">
      <c r="A3630" s="66" t="inlineStr"/>
    </row>
    <row r="3631" ht="30" customHeight="1">
      <c r="A3631" s="46" t="inlineStr">
        <is>
          <t>TC-RS-CALC-027 — Trung bình riêng cho từng đơn vị</t>
        </is>
      </c>
      <c r="B3631" s="23" t="n"/>
      <c r="C3631" s="23" t="n"/>
      <c r="D3631" s="23" t="n"/>
      <c r="E3631" s="23" t="n"/>
    </row>
    <row r="3632" ht="30" customHeight="1">
      <c r="A3632" s="47" t="inlineStr">
        <is>
          <t>Trạng thái</t>
        </is>
      </c>
      <c r="B3632" s="61" t="inlineStr">
        <is>
          <t>Chưa thực hiện</t>
        </is>
      </c>
      <c r="C3632" s="57" t="n"/>
      <c r="D3632" s="57" t="n"/>
      <c r="E3632" s="57" t="n"/>
    </row>
    <row r="3633" ht="30" customHeight="1">
      <c r="A3633" s="47" t="inlineStr">
        <is>
          <t>Màn hình / chức năng</t>
        </is>
      </c>
      <c r="B3633" s="47" t="inlineStr">
        <is>
          <t>Nguồn tổng hợp</t>
        </is>
      </c>
      <c r="C3633" s="57" t="n"/>
      <c r="D3633" s="47" t="inlineStr">
        <is>
          <t>Đường dẫn</t>
        </is>
      </c>
      <c r="E3633" s="56" t="inlineStr">
        <is>
          <t>Chưa xác minh</t>
        </is>
      </c>
    </row>
    <row r="3634" ht="30" customHeight="1">
      <c r="A3634" s="58" t="inlineStr">
        <is>
          <t>Điều kiện kiểm thử</t>
        </is>
      </c>
      <c r="B3634" s="59" t="n"/>
      <c r="C3634" s="59" t="n"/>
      <c r="D3634" s="59" t="n"/>
      <c r="E3634" s="59" t="n"/>
    </row>
    <row r="3635" ht="30" customHeight="1">
      <c r="A3635" s="47" t="inlineStr">
        <is>
          <t>Cấu hình</t>
        </is>
      </c>
      <c r="B3635" s="56" t="inlineStr">
        <is>
          <t>• Mục điểm đơn vị (đơn vị U1 có M riêng 40) có công thức [A×0.5], [&lt;].</t>
        </is>
      </c>
      <c r="C3635" s="57" t="n"/>
      <c r="D3635" s="57" t="n"/>
      <c r="E3635" s="57" t="n"/>
    </row>
    <row r="3636" ht="61" customHeight="1">
      <c r="A3636" s="47" t="inlineStr">
        <is>
          <t>Vai trò / quyền</t>
        </is>
      </c>
      <c r="B363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636" s="57" t="n"/>
      <c r="D3636" s="57" t="n"/>
      <c r="E3636" s="57" t="n"/>
    </row>
    <row r="3637" ht="61" customHeight="1">
      <c r="A3637" s="47" t="inlineStr">
        <is>
          <t>Dữ liệu test</t>
        </is>
      </c>
      <c r="B3637" s="56" t="inlineStr">
        <is>
          <t>• Mục điểm đơn vị (đơn vị U1 có M riêng 40);
• Trung bình riêng theo đơn vị (U1=40, U2=70) (U1 [A=40], U2 [A=70]);
• S06 U1 = 25, U2 = 30</t>
        </is>
      </c>
      <c r="C3637" s="57" t="n"/>
      <c r="D3637" s="57" t="n"/>
      <c r="E3637" s="57" t="n"/>
    </row>
    <row r="3638" ht="30" customHeight="1">
      <c r="A3638" s="47" t="inlineStr">
        <is>
          <t>Trigger</t>
        </is>
      </c>
      <c r="B3638" s="56" t="inlineStr">
        <is>
          <t>• Chỉ xem/xuất không tự chạy xét.</t>
        </is>
      </c>
      <c r="C3638" s="57" t="n"/>
      <c r="D3638" s="57" t="n"/>
      <c r="E3638" s="57" t="n"/>
    </row>
    <row r="3639" ht="44" customHeight="1">
      <c r="A3639" s="47" t="inlineStr">
        <is>
          <t>Blocker</t>
        </is>
      </c>
      <c r="B3639" s="56" t="inlineStr">
        <is>
          <t>• G-PREP-TC-RS-CALC-027: BLOCKED — TD-SRC-09 chưa được tích hợp/quan sát qua reader;
• Expected U1/U2 đã cố định nhưng không PASS nếu chưa chứng minh được nguồn riêng.</t>
        </is>
      </c>
      <c r="C3639" s="57" t="n"/>
      <c r="D3639" s="57" t="n"/>
      <c r="E3639" s="57" t="n"/>
    </row>
    <row r="3640" ht="30" customHeight="1">
      <c r="A3640" s="58" t="inlineStr">
        <is>
          <t>Thao tác</t>
        </is>
      </c>
      <c r="B3640" s="59" t="n"/>
      <c r="C3640" s="59" t="n"/>
      <c r="D3640" s="59" t="n"/>
      <c r="E3640" s="59" t="n"/>
    </row>
    <row r="3641" ht="30" customHeight="1">
      <c r="A3641" s="47" t="inlineStr">
        <is>
          <t>•</t>
        </is>
      </c>
      <c r="B3641" s="56" t="inlineStr">
        <is>
          <t>Chạy nút xanh rồi nút cam.</t>
        </is>
      </c>
      <c r="C3641" s="57" t="n"/>
      <c r="D3641" s="57" t="n"/>
      <c r="E3641" s="57" t="n"/>
    </row>
    <row r="3642" ht="44" customHeight="1">
      <c r="A3642" s="47" t="inlineStr">
        <is>
          <t>Reset</t>
        </is>
      </c>
      <c r="B3642" s="56" t="inlineStr">
        <is>
          <t>Trước mỗi biến thể, dựng lại điều kiện/dữ liệu đầu của case bằng đường được phép; giữ các reset/fixture độc lập đã nêu trong thủ tục.</t>
        </is>
      </c>
      <c r="C3642" s="57" t="n"/>
      <c r="D3642" s="57" t="n"/>
      <c r="E3642" s="57" t="n"/>
    </row>
    <row r="3643" ht="30" customHeight="1">
      <c r="A3643" s="58" t="inlineStr">
        <is>
          <t>Kết quả mong đợi</t>
        </is>
      </c>
      <c r="B3643" s="59" t="n"/>
      <c r="C3643" s="59" t="n"/>
      <c r="D3643" s="59" t="n"/>
      <c r="E3643" s="59" t="n"/>
    </row>
    <row r="3644" ht="44" customHeight="1">
      <c r="A3644" s="47" t="inlineStr">
        <is>
          <t>•</t>
        </is>
      </c>
      <c r="B3644" s="56" t="inlineStr">
        <is>
          <t>Kỳ vọng theo đặc tả v2: U1 [T=20] → 25 Không đỏ; U2 [T=35] → 30 Đỏ. Nguồn trung bình theo đơn vị chưa tích hợp (đặc tả v2 mục 13.1): nếu không tách được thì ghi nhận, không đánh PASS.</t>
        </is>
      </c>
      <c r="C3644" s="57" t="n"/>
      <c r="D3644" s="57" t="n"/>
      <c r="E3644" s="57" t="n"/>
    </row>
    <row r="3645" ht="44" customHeight="1">
      <c r="A3645" s="47" t="inlineStr">
        <is>
          <t>Giữ nguyên</t>
        </is>
      </c>
      <c r="B3645" s="56" t="inlineStr">
        <is>
          <t>• Giữ điểm, cấu hình và đối tượng không đích theo expected;
• Chỉ thay phần thủ tục yêu cầu, không tự đổi oracle hoặc mở rộng phạm vi.</t>
        </is>
      </c>
      <c r="C3645" s="57" t="n"/>
      <c r="D3645" s="57" t="n"/>
      <c r="E3645" s="57" t="n"/>
    </row>
    <row r="3646" ht="61" customHeight="1">
      <c r="A3646" s="47" t="inlineStr">
        <is>
          <t>Quan sát tại</t>
        </is>
      </c>
      <c r="B3646" s="56" t="inlineStr">
        <is>
          <t>• Dùng trích xuất không lọc để thấy cả ô đối chứng. Trạng thái không có dấu đỏ cần đọc thêm trạng thái lưu;
• Output Excel/PDF dùng file thật.</t>
        </is>
      </c>
      <c r="C3646" s="57" t="n"/>
      <c r="D3646" s="57" t="n"/>
      <c r="E3646" s="57" t="n"/>
    </row>
    <row r="3647" ht="30" customHeight="1">
      <c r="A3647" s="58" t="inlineStr">
        <is>
          <t>Kết quả thực tế</t>
        </is>
      </c>
      <c r="B3647" s="59" t="n"/>
      <c r="C3647" s="59" t="n"/>
      <c r="D3647" s="59" t="n"/>
      <c r="E3647" s="59" t="n"/>
    </row>
    <row r="3648" ht="30" customHeight="1">
      <c r="A3648" s="47" t="inlineStr">
        <is>
          <t>Dữ liệu biến thể</t>
        </is>
      </c>
      <c r="B3648" s="56" t="inlineStr">
        <is>
          <t>Toàn bộ thủ tục theo đúng thứ tự; các đối chứng cùng fixture được kiểm trong cùng lượt, không bỏ bước</t>
        </is>
      </c>
      <c r="C3648" s="57" t="n"/>
      <c r="D3648" s="57" t="n"/>
      <c r="E3648" s="57" t="n"/>
    </row>
    <row r="3649" ht="30" customHeight="1">
      <c r="A3649" s="62" t="inlineStr">
        <is>
          <t>Kết quả thực tế</t>
        </is>
      </c>
    </row>
    <row r="3650" ht="64" customHeight="1">
      <c r="A3650" s="63" t="inlineStr"/>
      <c r="B3650" s="64" t="n"/>
      <c r="C3650" s="64" t="n"/>
      <c r="D3650" s="64" t="n"/>
      <c r="E3650" s="65" t="n"/>
    </row>
    <row r="3651" ht="30" customHeight="1">
      <c r="A3651" s="62" t="inlineStr">
        <is>
          <t>Ảnh minh chứng</t>
        </is>
      </c>
    </row>
    <row r="3652" ht="90" customHeight="1">
      <c r="A3652" s="63" t="inlineStr"/>
      <c r="B3652" s="64" t="n"/>
      <c r="C3652" s="64" t="n"/>
      <c r="D3652" s="64" t="n"/>
      <c r="E3652" s="65" t="n"/>
    </row>
    <row r="3653" ht="12" customHeight="1">
      <c r="A3653" s="66" t="inlineStr"/>
    </row>
    <row r="3654" ht="20" customHeight="1">
      <c r="A3654" s="66" t="inlineStr"/>
    </row>
    <row r="3655" ht="30" customHeight="1">
      <c r="A3655" s="46" t="inlineStr">
        <is>
          <t>TC-RS-CALC-031 — Nguồn không có mẫu số hợp lệ (tổng điểm tối đa 0, số người có điểm 0) → Chưa xét được</t>
        </is>
      </c>
      <c r="B3655" s="23" t="n"/>
      <c r="C3655" s="23" t="n"/>
      <c r="D3655" s="23" t="n"/>
      <c r="E3655" s="23" t="n"/>
    </row>
    <row r="3656" ht="30" customHeight="1">
      <c r="A3656" s="47" t="inlineStr">
        <is>
          <t>Trạng thái</t>
        </is>
      </c>
      <c r="B3656" s="56">
        <f>IF(0&gt;0,"Không đạt",IF(0=2,"Đạt",IF(SUMPRODUCT(--EXACT('Testcases'!B3676:B3684,"Không thực hiện"))=2,"Không thực hiện",IF(SUMPRODUCT(--EXACT('Testcases'!B3676:B3684,"Bị chặn"))&gt;0,"Bị chặn",IF(SUMPRODUCT(--EXACT('Testcases'!B3676:B3684,"Chưa thực hiện"))=2,"Chưa thực hiện","Chưa đủ kết luận")))))</f>
        <v/>
      </c>
      <c r="C3656" s="57" t="n"/>
      <c r="D3656" s="57" t="n"/>
      <c r="E3656" s="57" t="n"/>
    </row>
    <row r="3657" ht="30" customHeight="1">
      <c r="A3657" s="47" t="inlineStr">
        <is>
          <t>Màn hình / chức năng</t>
        </is>
      </c>
      <c r="B3657" s="47" t="inlineStr">
        <is>
          <t>Nguồn tổng hợp</t>
        </is>
      </c>
      <c r="C3657" s="57" t="n"/>
      <c r="D3657" s="47" t="inlineStr">
        <is>
          <t>Đường dẫn</t>
        </is>
      </c>
      <c r="E3657" s="56" t="inlineStr">
        <is>
          <t>Chưa xác minh</t>
        </is>
      </c>
    </row>
    <row r="3658" ht="30" customHeight="1">
      <c r="A3658" s="58" t="inlineStr">
        <is>
          <t>Điều kiện kiểm thử</t>
        </is>
      </c>
      <c r="B3658" s="59" t="n"/>
      <c r="C3658" s="59" t="n"/>
      <c r="D3658" s="59" t="n"/>
      <c r="E3658" s="59" t="n"/>
    </row>
    <row r="3659" ht="44" customHeight="1">
      <c r="A3659" s="47" t="inlineStr">
        <is>
          <t>Cấu hình</t>
        </is>
      </c>
      <c r="B3659" s="56" t="inlineStr">
        <is>
          <t>• Quy tắc 1: quy tắc theo tỷ lệ điểm của nhóm từ 65% (điều kiện tỷ lệ nhóm). Quy tắc 2 (mục khác): công thức [A×0.5]. Cách tạo dữ liệu: hỏi team dev khi chuẩn bị.</t>
        </is>
      </c>
      <c r="C3659" s="57" t="n"/>
      <c r="D3659" s="57" t="n"/>
      <c r="E3659" s="57" t="n"/>
    </row>
    <row r="3660" ht="61" customHeight="1">
      <c r="A3660" s="47" t="inlineStr">
        <is>
          <t>Vai trò / quyền</t>
        </is>
      </c>
      <c r="B366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660" s="57" t="n"/>
      <c r="D3660" s="57" t="n"/>
      <c r="E3660" s="57" t="n"/>
    </row>
    <row r="3661" ht="78" customHeight="1">
      <c r="A3661" s="47" t="inlineStr">
        <is>
          <t>Dữ liệu test</t>
        </is>
      </c>
      <c r="B3661" s="56" t="inlineStr">
        <is>
          <t>• Quy tắc theo tỷ lệ điểm của nhóm từ 65%;
• (A) Bản tổng hợp của nhóm có tổng điểm tối đa = 0;
• (B) bản tổng hợp tồn tại nhưng không học sinh nào có điểm;
• S01 = 29</t>
        </is>
      </c>
      <c r="C3661" s="57" t="n"/>
      <c r="D3661" s="57" t="n"/>
      <c r="E3661" s="57" t="n"/>
    </row>
    <row r="3662" ht="30" customHeight="1">
      <c r="A3662" s="47" t="inlineStr">
        <is>
          <t>Trigger</t>
        </is>
      </c>
      <c r="B3662" s="56" t="inlineStr">
        <is>
          <t>• Chỉ xem/xuất không tự chạy xét.</t>
        </is>
      </c>
      <c r="C3662" s="57" t="n"/>
      <c r="D3662" s="57" t="n"/>
      <c r="E3662" s="57" t="n"/>
    </row>
    <row r="3663" ht="44" customHeight="1">
      <c r="A3663" s="47" t="inlineStr">
        <is>
          <t>Blocker</t>
        </is>
      </c>
      <c r="B3663" s="56" t="inlineStr">
        <is>
          <t>• G-PREP-UNASSESSED: Chưa có xác minh fixture, đường thực hiện và phép quan sát trên build của từng case chưa đánh giá.</t>
        </is>
      </c>
      <c r="C3663" s="57" t="n"/>
      <c r="D3663" s="57" t="n"/>
      <c r="E3663" s="57" t="n"/>
    </row>
    <row r="3664" ht="30" customHeight="1">
      <c r="A3664" s="58" t="inlineStr">
        <is>
          <t>Thao tác</t>
        </is>
      </c>
      <c r="B3664" s="59" t="n"/>
      <c r="C3664" s="59" t="n"/>
      <c r="D3664" s="59" t="n"/>
      <c r="E3664" s="59" t="n"/>
    </row>
    <row r="3665" ht="30" customHeight="1">
      <c r="A3665" s="47" t="inlineStr">
        <is>
          <t>•</t>
        </is>
      </c>
      <c r="B3665" s="56" t="inlineStr">
        <is>
          <t>Với từng nguồn: chạy nút xanh (nếu cần) rồi nút cam; xem kết quả S01.</t>
        </is>
      </c>
      <c r="C3665" s="57" t="n"/>
      <c r="D3665" s="57" t="n"/>
      <c r="E3665" s="57" t="n"/>
    </row>
    <row r="3666" ht="44" customHeight="1">
      <c r="A3666" s="47" t="inlineStr">
        <is>
          <t>Reset</t>
        </is>
      </c>
      <c r="B3666" s="56" t="inlineStr">
        <is>
          <t>Trước mỗi biến thể, dựng lại điều kiện/dữ liệu đầu của case bằng đường được phép; giữ các reset/fixture độc lập đã nêu trong thủ tục.</t>
        </is>
      </c>
      <c r="C3666" s="57" t="n"/>
      <c r="D3666" s="57" t="n"/>
      <c r="E3666" s="57" t="n"/>
    </row>
    <row r="3667" ht="30" customHeight="1">
      <c r="A3667" s="58" t="inlineStr">
        <is>
          <t>Kết quả mong đợi</t>
        </is>
      </c>
      <c r="B3667" s="59" t="n"/>
      <c r="C3667" s="59" t="n"/>
      <c r="D3667" s="59" t="n"/>
      <c r="E3667" s="59" t="n"/>
    </row>
    <row r="3668" ht="44" customHeight="1">
      <c r="A3668" s="47" t="inlineStr">
        <is>
          <t>•</t>
        </is>
      </c>
      <c r="B3668" s="56" t="inlineStr">
        <is>
          <t>(A) Điều kiện tỷ lệ nhóm không xác định được → Chưa xét được; không coi [R=0] là không khớp để thành Không áp dụng hay chuyển xuống ưu tiên thấp hơn.</t>
        </is>
      </c>
      <c r="C3668" s="57" t="n"/>
      <c r="D3668" s="57" t="n"/>
      <c r="E3668" s="57" t="n"/>
    </row>
    <row r="3669" ht="30" customHeight="1">
      <c r="A3669" s="47" t="inlineStr">
        <is>
          <t>•</t>
        </is>
      </c>
      <c r="B3669" s="56" t="inlineStr">
        <is>
          <t>(B) [A] không xác định được → Chưa xét được; không coi [A=0] (nếu coi 0 thì [T=0], S01 Không đỏ — sai).</t>
        </is>
      </c>
      <c r="C3669" s="57" t="n"/>
      <c r="D3669" s="57" t="n"/>
      <c r="E3669" s="57" t="n"/>
    </row>
    <row r="3670" ht="30" customHeight="1">
      <c r="A3670" s="47" t="inlineStr">
        <is>
          <t>•</t>
        </is>
      </c>
      <c r="B3670" s="56" t="inlineStr">
        <is>
          <t>Cả hai: ngừng dấu đỏ cũ; không lấy nguồn khác.</t>
        </is>
      </c>
      <c r="C3670" s="57" t="n"/>
      <c r="D3670" s="57" t="n"/>
      <c r="E3670" s="57" t="n"/>
    </row>
    <row r="3671" ht="44" customHeight="1">
      <c r="A3671" s="47" t="inlineStr">
        <is>
          <t>Giữ nguyên</t>
        </is>
      </c>
      <c r="B3671" s="56" t="inlineStr">
        <is>
          <t>• Giữ điểm, cấu hình và đối tượng không đích theo expected;
• Chỉ thay phần thủ tục yêu cầu, không tự đổi oracle hoặc mở rộng phạm vi.</t>
        </is>
      </c>
      <c r="C3671" s="57" t="n"/>
      <c r="D3671" s="57" t="n"/>
      <c r="E3671" s="57" t="n"/>
    </row>
    <row r="3672" ht="61" customHeight="1">
      <c r="A3672" s="47" t="inlineStr">
        <is>
          <t>Quan sát tại</t>
        </is>
      </c>
      <c r="B3672" s="56" t="inlineStr">
        <is>
          <t>• Dùng trích xuất không lọc để thấy cả ô đối chứng. Trạng thái không có dấu đỏ cần đọc thêm trạng thái lưu;
• Output Excel/PDF dùng file thật.</t>
        </is>
      </c>
      <c r="C3672" s="57" t="n"/>
      <c r="D3672" s="57" t="n"/>
      <c r="E3672" s="57" t="n"/>
    </row>
    <row r="3673" ht="30" customHeight="1">
      <c r="A3673" s="58" t="inlineStr">
        <is>
          <t>Kết quả thực tế</t>
        </is>
      </c>
      <c r="B3673" s="59" t="n"/>
      <c r="C3673" s="59" t="n"/>
      <c r="D3673" s="59" t="n"/>
      <c r="E3673" s="59" t="n"/>
    </row>
    <row r="3674" ht="30" customHeight="1">
      <c r="A3674" s="60" t="inlineStr">
        <is>
          <t>TC-RS-CALC-031 / zero-maximum</t>
        </is>
      </c>
      <c r="B3674" s="36" t="n"/>
      <c r="C3674" s="36" t="n"/>
      <c r="D3674" s="36" t="n"/>
      <c r="E3674" s="36" t="n"/>
    </row>
    <row r="3675" ht="30" customHeight="1">
      <c r="A3675" s="47" t="inlineStr">
        <is>
          <t>Dữ liệu biến thể</t>
        </is>
      </c>
      <c r="B3675" s="56" t="inlineStr">
        <is>
          <t>Tổng điểm tối đa bằng 0</t>
        </is>
      </c>
      <c r="C3675" s="57" t="n"/>
      <c r="D3675" s="57" t="n"/>
      <c r="E3675" s="57" t="n"/>
    </row>
    <row r="3676" ht="30" customHeight="1">
      <c r="A3676" s="47" t="inlineStr">
        <is>
          <t>Trạng thái</t>
        </is>
      </c>
      <c r="B3676" s="61" t="inlineStr">
        <is>
          <t>Chưa thực hiện</t>
        </is>
      </c>
      <c r="C3676" s="57" t="n"/>
      <c r="D3676" s="57" t="n"/>
      <c r="E3676" s="57" t="n"/>
    </row>
    <row r="3677" ht="30" customHeight="1">
      <c r="A3677" s="62" t="inlineStr">
        <is>
          <t>Kết quả thực tế</t>
        </is>
      </c>
    </row>
    <row r="3678" ht="64" customHeight="1">
      <c r="A3678" s="63" t="inlineStr"/>
      <c r="B3678" s="64" t="n"/>
      <c r="C3678" s="64" t="n"/>
      <c r="D3678" s="64" t="n"/>
      <c r="E3678" s="65" t="n"/>
    </row>
    <row r="3679" ht="30" customHeight="1">
      <c r="A3679" s="62" t="inlineStr">
        <is>
          <t>Ảnh minh chứng</t>
        </is>
      </c>
    </row>
    <row r="3680" ht="90" customHeight="1">
      <c r="A3680" s="63" t="inlineStr"/>
      <c r="B3680" s="64" t="n"/>
      <c r="C3680" s="64" t="n"/>
      <c r="D3680" s="64" t="n"/>
      <c r="E3680" s="65" t="n"/>
    </row>
    <row r="3681" ht="12" customHeight="1">
      <c r="A3681" s="66" t="inlineStr"/>
    </row>
    <row r="3682" ht="30" customHeight="1">
      <c r="A3682" s="60" t="inlineStr">
        <is>
          <t>TC-RS-CALC-031 / zero-count</t>
        </is>
      </c>
      <c r="B3682" s="36" t="n"/>
      <c r="C3682" s="36" t="n"/>
      <c r="D3682" s="36" t="n"/>
      <c r="E3682" s="36" t="n"/>
    </row>
    <row r="3683" ht="30" customHeight="1">
      <c r="A3683" s="47" t="inlineStr">
        <is>
          <t>Dữ liệu biến thể</t>
        </is>
      </c>
      <c r="B3683" s="56" t="inlineStr">
        <is>
          <t>Số người bằng 0</t>
        </is>
      </c>
      <c r="C3683" s="57" t="n"/>
      <c r="D3683" s="57" t="n"/>
      <c r="E3683" s="57" t="n"/>
    </row>
    <row r="3684" ht="30" customHeight="1">
      <c r="A3684" s="47" t="inlineStr">
        <is>
          <t>Trạng thái</t>
        </is>
      </c>
      <c r="B3684" s="61" t="inlineStr">
        <is>
          <t>Chưa thực hiện</t>
        </is>
      </c>
      <c r="C3684" s="57" t="n"/>
      <c r="D3684" s="57" t="n"/>
      <c r="E3684" s="57" t="n"/>
    </row>
    <row r="3685" ht="30" customHeight="1">
      <c r="A3685" s="62" t="inlineStr">
        <is>
          <t>Kết quả thực tế</t>
        </is>
      </c>
    </row>
    <row r="3686" ht="64" customHeight="1">
      <c r="A3686" s="63" t="inlineStr"/>
      <c r="B3686" s="64" t="n"/>
      <c r="C3686" s="64" t="n"/>
      <c r="D3686" s="64" t="n"/>
      <c r="E3686" s="65" t="n"/>
    </row>
    <row r="3687" ht="30" customHeight="1">
      <c r="A3687" s="62" t="inlineStr">
        <is>
          <t>Ảnh minh chứng</t>
        </is>
      </c>
    </row>
    <row r="3688" ht="90" customHeight="1">
      <c r="A3688" s="63" t="inlineStr"/>
      <c r="B3688" s="64" t="n"/>
      <c r="C3688" s="64" t="n"/>
      <c r="D3688" s="64" t="n"/>
      <c r="E3688" s="65" t="n"/>
    </row>
    <row r="3689" ht="12" customHeight="1">
      <c r="A3689" s="66" t="inlineStr"/>
    </row>
    <row r="3690" ht="20" customHeight="1">
      <c r="A3690" s="66" t="inlineStr"/>
    </row>
    <row r="3691" ht="30" customHeight="1">
      <c r="A3691" s="46" t="inlineStr">
        <is>
          <t>TC-RS-CALC-032 — Tỷ lệ nhóm: tử số và mẫu số lấy cùng tập đóng góp</t>
        </is>
      </c>
      <c r="B3691" s="23" t="n"/>
      <c r="C3691" s="23" t="n"/>
      <c r="D3691" s="23" t="n"/>
      <c r="E3691" s="23" t="n"/>
    </row>
    <row r="3692" ht="30" customHeight="1">
      <c r="A3692" s="47" t="inlineStr">
        <is>
          <t>Trạng thái</t>
        </is>
      </c>
      <c r="B3692" s="61" t="inlineStr">
        <is>
          <t>Chưa thực hiện</t>
        </is>
      </c>
      <c r="C3692" s="57" t="n"/>
      <c r="D3692" s="57" t="n"/>
      <c r="E3692" s="57" t="n"/>
    </row>
    <row r="3693" ht="30" customHeight="1">
      <c r="A3693" s="47" t="inlineStr">
        <is>
          <t>Màn hình / chức năng</t>
        </is>
      </c>
      <c r="B3693" s="47" t="inlineStr">
        <is>
          <t>Nguồn tổng hợp</t>
        </is>
      </c>
      <c r="C3693" s="57" t="n"/>
      <c r="D3693" s="47" t="inlineStr">
        <is>
          <t>Đường dẫn</t>
        </is>
      </c>
      <c r="E3693" s="56" t="inlineStr">
        <is>
          <t>Chưa xác minh</t>
        </is>
      </c>
    </row>
    <row r="3694" ht="30" customHeight="1">
      <c r="A3694" s="58" t="inlineStr">
        <is>
          <t>Điều kiện kiểm thử</t>
        </is>
      </c>
      <c r="B3694" s="59" t="n"/>
      <c r="C3694" s="59" t="n"/>
      <c r="D3694" s="59" t="n"/>
      <c r="E3694" s="59" t="n"/>
    </row>
    <row r="3695" ht="44" customHeight="1">
      <c r="A3695" s="47" t="inlineStr">
        <is>
          <t>Cấu hình</t>
        </is>
      </c>
      <c r="B3695" s="56" t="inlineStr">
        <is>
          <t>• Quy tắc theo tỷ lệ điểm của nhóm từ 65% là quy tắc duy nhất. Nhóm tham chiếu có 3 học sinh: 60/100, 80/100 và một học sinh chưa có điểm (M=100).</t>
        </is>
      </c>
      <c r="C3695" s="57" t="n"/>
      <c r="D3695" s="57" t="n"/>
      <c r="E3695" s="57" t="n"/>
    </row>
    <row r="3696" ht="61" customHeight="1">
      <c r="A3696" s="47" t="inlineStr">
        <is>
          <t>Vai trò / quyền</t>
        </is>
      </c>
      <c r="B369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696" s="57" t="n"/>
      <c r="D3696" s="57" t="n"/>
      <c r="E3696" s="57" t="n"/>
    </row>
    <row r="3697" ht="44" customHeight="1">
      <c r="A3697" s="47" t="inlineStr">
        <is>
          <t>Dữ liệu test</t>
        </is>
      </c>
      <c r="B3697" s="56" t="inlineStr">
        <is>
          <t>• Quy tắc theo tỷ lệ điểm của nhóm từ 65%;
• S = 60</t>
        </is>
      </c>
      <c r="C3697" s="57" t="n"/>
      <c r="D3697" s="57" t="n"/>
      <c r="E3697" s="57" t="n"/>
    </row>
    <row r="3698" ht="30" customHeight="1">
      <c r="A3698" s="47" t="inlineStr">
        <is>
          <t>Trigger</t>
        </is>
      </c>
      <c r="B3698" s="56" t="inlineStr">
        <is>
          <t>• Chỉ xem/xuất không tự chạy xét.</t>
        </is>
      </c>
      <c r="C3698" s="57" t="n"/>
      <c r="D3698" s="57" t="n"/>
      <c r="E3698" s="57" t="n"/>
    </row>
    <row r="3699" ht="44" customHeight="1">
      <c r="A3699" s="47" t="inlineStr">
        <is>
          <t>Blocker</t>
        </is>
      </c>
      <c r="B3699" s="56" t="inlineStr">
        <is>
          <t>• G-PREP-UNASSESSED: Chưa có xác minh fixture, đường thực hiện và phép quan sát trên build của từng case chưa đánh giá.</t>
        </is>
      </c>
      <c r="C3699" s="57" t="n"/>
      <c r="D3699" s="57" t="n"/>
      <c r="E3699" s="57" t="n"/>
    </row>
    <row r="3700" ht="30" customHeight="1">
      <c r="A3700" s="58" t="inlineStr">
        <is>
          <t>Thao tác</t>
        </is>
      </c>
      <c r="B3700" s="59" t="n"/>
      <c r="C3700" s="59" t="n"/>
      <c r="D3700" s="59" t="n"/>
      <c r="E3700" s="59" t="n"/>
    </row>
    <row r="3701" ht="30" customHeight="1">
      <c r="A3701" s="47" t="inlineStr">
        <is>
          <t>Step 1</t>
        </is>
      </c>
      <c r="B3701" s="56" t="inlineStr">
        <is>
          <t>Chạy nút xanh; ghi tổng điểm và tổng điểm tối đa hiển thị ở kết quả tổng hợp.</t>
        </is>
      </c>
      <c r="C3701" s="57" t="n"/>
      <c r="D3701" s="57" t="n"/>
      <c r="E3701" s="57" t="n"/>
    </row>
    <row r="3702" ht="30" customHeight="1">
      <c r="A3702" s="47" t="inlineStr">
        <is>
          <t>Step 2</t>
        </is>
      </c>
      <c r="B3702" s="56" t="inlineStr">
        <is>
          <t>Chạy nút cam; xem kết quả S=60.</t>
        </is>
      </c>
      <c r="C3702" s="57" t="n"/>
      <c r="D3702" s="57" t="n"/>
      <c r="E3702" s="57" t="n"/>
    </row>
    <row r="3703" ht="44" customHeight="1">
      <c r="A3703" s="47" t="inlineStr">
        <is>
          <t>Reset</t>
        </is>
      </c>
      <c r="B3703" s="56" t="inlineStr">
        <is>
          <t>Trước mỗi biến thể, dựng lại điều kiện/dữ liệu đầu của case bằng đường được phép; giữ các reset/fixture độc lập đã nêu trong thủ tục.</t>
        </is>
      </c>
      <c r="C3703" s="57" t="n"/>
      <c r="D3703" s="57" t="n"/>
      <c r="E3703" s="57" t="n"/>
    </row>
    <row r="3704" ht="30" customHeight="1">
      <c r="A3704" s="58" t="inlineStr">
        <is>
          <t>Kết quả mong đợi</t>
        </is>
      </c>
      <c r="B3704" s="59" t="n"/>
      <c r="C3704" s="59" t="n"/>
      <c r="D3704" s="59" t="n"/>
      <c r="E3704" s="59" t="n"/>
    </row>
    <row r="3705" ht="30" customHeight="1">
      <c r="A3705" s="47" t="inlineStr">
        <is>
          <t>1.</t>
        </is>
      </c>
      <c r="B3705" s="56" t="inlineStr">
        <is>
          <t>Tổng điểm và tổng điểm tối đa lấy cùng tập học sinh có điểm theo cấu hình tổng hợp.</t>
        </is>
      </c>
      <c r="C3705" s="57" t="n"/>
      <c r="D3705" s="57" t="n"/>
      <c r="E3705" s="57" t="n"/>
    </row>
    <row r="3706" ht="44" customHeight="1">
      <c r="A3706" s="47" t="inlineStr">
        <is>
          <t>2.</t>
        </is>
      </c>
      <c r="B3706" s="56" t="inlineStr">
        <is>
          <t>Với cấu hình tổng hợp không tính học sinh chưa có điểm: [R=140/200×100=70%] → khớp [≥65%] → [T=70] → S=60 Đỏ. Ghép tổng điểm của 2 người với tổng tối đa của 3 người ([140/300=46.7%] → Không áp dụng) là sai.</t>
        </is>
      </c>
      <c r="C3706" s="57" t="n"/>
      <c r="D3706" s="57" t="n"/>
      <c r="E3706" s="57" t="n"/>
    </row>
    <row r="3707" ht="44" customHeight="1">
      <c r="A3707" s="47" t="inlineStr">
        <is>
          <t>Giữ nguyên</t>
        </is>
      </c>
      <c r="B3707" s="56" t="inlineStr">
        <is>
          <t>• Giữ điểm, cấu hình và đối tượng không đích theo expected;
• Chỉ thay phần thủ tục yêu cầu, không tự đổi oracle hoặc mở rộng phạm vi.</t>
        </is>
      </c>
      <c r="C3707" s="57" t="n"/>
      <c r="D3707" s="57" t="n"/>
      <c r="E3707" s="57" t="n"/>
    </row>
    <row r="3708" ht="61" customHeight="1">
      <c r="A3708" s="47" t="inlineStr">
        <is>
          <t>Quan sát tại</t>
        </is>
      </c>
      <c r="B3708" s="56" t="inlineStr">
        <is>
          <t>• Dùng trích xuất không lọc để thấy cả ô đối chứng. Trạng thái không có dấu đỏ cần đọc thêm trạng thái lưu;
• Output Excel/PDF dùng file thật.</t>
        </is>
      </c>
      <c r="C3708" s="57" t="n"/>
      <c r="D3708" s="57" t="n"/>
      <c r="E3708" s="57" t="n"/>
    </row>
    <row r="3709" ht="30" customHeight="1">
      <c r="A3709" s="58" t="inlineStr">
        <is>
          <t>Kết quả thực tế</t>
        </is>
      </c>
      <c r="B3709" s="59" t="n"/>
      <c r="C3709" s="59" t="n"/>
      <c r="D3709" s="59" t="n"/>
      <c r="E3709" s="59" t="n"/>
    </row>
    <row r="3710" ht="30" customHeight="1">
      <c r="A3710" s="47" t="inlineStr">
        <is>
          <t>Dữ liệu biến thể</t>
        </is>
      </c>
      <c r="B3710" s="56" t="inlineStr">
        <is>
          <t>Toàn bộ thủ tục theo đúng thứ tự; các đối chứng cùng fixture được kiểm trong cùng lượt, không bỏ bước</t>
        </is>
      </c>
      <c r="C3710" s="57" t="n"/>
      <c r="D3710" s="57" t="n"/>
      <c r="E3710" s="57" t="n"/>
    </row>
    <row r="3711" ht="30" customHeight="1">
      <c r="A3711" s="62" t="inlineStr">
        <is>
          <t>Kết quả thực tế</t>
        </is>
      </c>
    </row>
    <row r="3712" ht="64" customHeight="1">
      <c r="A3712" s="63" t="inlineStr"/>
      <c r="B3712" s="64" t="n"/>
      <c r="C3712" s="64" t="n"/>
      <c r="D3712" s="64" t="n"/>
      <c r="E3712" s="65" t="n"/>
    </row>
    <row r="3713" ht="30" customHeight="1">
      <c r="A3713" s="62" t="inlineStr">
        <is>
          <t>Ảnh minh chứng</t>
        </is>
      </c>
    </row>
    <row r="3714" ht="90" customHeight="1">
      <c r="A3714" s="63" t="inlineStr"/>
      <c r="B3714" s="64" t="n"/>
      <c r="C3714" s="64" t="n"/>
      <c r="D3714" s="64" t="n"/>
      <c r="E3714" s="65" t="n"/>
    </row>
    <row r="3715" ht="12" customHeight="1">
      <c r="A3715" s="66" t="inlineStr"/>
    </row>
    <row r="3716" ht="20" customHeight="1">
      <c r="A3716" s="66" t="inlineStr"/>
    </row>
    <row r="3717" ht="30" customHeight="1">
      <c r="A3717" s="46" t="inlineStr">
        <is>
          <t>TC-RS-ERR-016 — Chưa xét được: sửa nguồn nhưng chỉ lưu cấu hình vẫn chưa có kết luận; xét lại mới có</t>
        </is>
      </c>
      <c r="B3717" s="23" t="n"/>
      <c r="C3717" s="23" t="n"/>
      <c r="D3717" s="23" t="n"/>
      <c r="E3717" s="23" t="n"/>
    </row>
    <row r="3718" ht="30" customHeight="1">
      <c r="A3718" s="47" t="inlineStr">
        <is>
          <t>Trạng thái</t>
        </is>
      </c>
      <c r="B3718" s="61" t="inlineStr">
        <is>
          <t>Chưa thực hiện</t>
        </is>
      </c>
      <c r="C3718" s="57" t="n"/>
      <c r="D3718" s="57" t="n"/>
      <c r="E3718" s="57" t="n"/>
    </row>
    <row r="3719" ht="30" customHeight="1">
      <c r="A3719" s="47" t="inlineStr">
        <is>
          <t>Màn hình / chức năng</t>
        </is>
      </c>
      <c r="B3719" s="47" t="inlineStr">
        <is>
          <t>Nguồn tổng hợp</t>
        </is>
      </c>
      <c r="C3719" s="57" t="n"/>
      <c r="D3719" s="47" t="inlineStr">
        <is>
          <t>Đường dẫn</t>
        </is>
      </c>
      <c r="E3719" s="56" t="inlineStr">
        <is>
          <t>Chưa xác minh</t>
        </is>
      </c>
    </row>
    <row r="3720" ht="30" customHeight="1">
      <c r="A3720" s="58" t="inlineStr">
        <is>
          <t>Điều kiện kiểm thử</t>
        </is>
      </c>
      <c r="B3720" s="59" t="n"/>
      <c r="C3720" s="59" t="n"/>
      <c r="D3720" s="59" t="n"/>
      <c r="E3720" s="59" t="n"/>
    </row>
    <row r="3721" ht="44" customHeight="1">
      <c r="A3721" s="47" t="inlineStr">
        <is>
          <t>Cấu hình</t>
        </is>
      </c>
      <c r="B3721" s="56" t="inlineStr">
        <is>
          <t>• Ô S01 Chưa xét được (như case “Chưa có kết quả tổng hợp → Chưa xét được, không thay bằng 0 hay nhóm khác”: công thức [A×0.5], nguồn chưa tổng hợp). Nguồn không có bản chốt.</t>
        </is>
      </c>
      <c r="C3721" s="57" t="n"/>
      <c r="D3721" s="57" t="n"/>
      <c r="E3721" s="57" t="n"/>
    </row>
    <row r="3722" ht="61" customHeight="1">
      <c r="A3722" s="47" t="inlineStr">
        <is>
          <t>Vai trò / quyền</t>
        </is>
      </c>
      <c r="B372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722" s="57" t="n"/>
      <c r="D3722" s="57" t="n"/>
      <c r="E3722" s="57" t="n"/>
    </row>
    <row r="3723" ht="44" customHeight="1">
      <c r="A3723" s="47" t="inlineStr">
        <is>
          <t>Dữ liệu test</t>
        </is>
      </c>
      <c r="B3723" s="56" t="inlineStr">
        <is>
          <t>• Học sinh S01 (điểm 29);
• Nguồn sau tổng hợp có [A=62] (giá trị như bản tổng hợp mới nhất chưa chốt (trung bình 62))</t>
        </is>
      </c>
      <c r="C3723" s="57" t="n"/>
      <c r="D3723" s="57" t="n"/>
      <c r="E3723" s="57" t="n"/>
    </row>
    <row r="3724" ht="30" customHeight="1">
      <c r="A3724" s="47" t="inlineStr">
        <is>
          <t>Trigger</t>
        </is>
      </c>
      <c r="B3724" s="56" t="inlineStr">
        <is>
          <t>• Chỉ xem/xuất không tự chạy xét.</t>
        </is>
      </c>
      <c r="C3724" s="57" t="n"/>
      <c r="D3724" s="57" t="n"/>
      <c r="E3724" s="57" t="n"/>
    </row>
    <row r="3725" ht="44" customHeight="1">
      <c r="A3725" s="47" t="inlineStr">
        <is>
          <t>Blocker</t>
        </is>
      </c>
      <c r="B3725" s="56" t="inlineStr">
        <is>
          <t>• G-PREP-UNASSESSED: Chưa có xác minh fixture, đường thực hiện và phép quan sát trên build của từng case chưa đánh giá.</t>
        </is>
      </c>
      <c r="C3725" s="57" t="n"/>
      <c r="D3725" s="57" t="n"/>
      <c r="E3725" s="57" t="n"/>
    </row>
    <row r="3726" ht="30" customHeight="1">
      <c r="A3726" s="58" t="inlineStr">
        <is>
          <t>Thao tác</t>
        </is>
      </c>
      <c r="B3726" s="59" t="n"/>
      <c r="C3726" s="59" t="n"/>
      <c r="D3726" s="59" t="n"/>
      <c r="E3726" s="59" t="n"/>
    </row>
    <row r="3727" ht="44" customHeight="1">
      <c r="A3727" s="47" t="inlineStr">
        <is>
          <t>Step 1</t>
        </is>
      </c>
      <c r="B3727" s="56" t="inlineStr">
        <is>
          <t>Chạy Thực hiện tổng hợp（集計実行） cho nguồn để có [A=62]; mở lại và lưu thiết lập quy tắc (không đổi nội dung). Xem đầu ra.</t>
        </is>
      </c>
      <c r="C3727" s="57" t="n"/>
      <c r="D3727" s="57" t="n"/>
      <c r="E3727" s="57" t="n"/>
    </row>
    <row r="3728" ht="30" customHeight="1">
      <c r="A3728" s="47" t="inlineStr">
        <is>
          <t>Step 2</t>
        </is>
      </c>
      <c r="B3728" s="56" t="inlineStr">
        <is>
          <t>Chạy nút cam. Xem đầu ra.</t>
        </is>
      </c>
      <c r="C3728" s="57" t="n"/>
      <c r="D3728" s="57" t="n"/>
      <c r="E3728" s="57" t="n"/>
    </row>
    <row r="3729" ht="44" customHeight="1">
      <c r="A3729" s="47" t="inlineStr">
        <is>
          <t>Reset</t>
        </is>
      </c>
      <c r="B3729" s="56" t="inlineStr">
        <is>
          <t>Trước mỗi biến thể, dựng lại điều kiện/dữ liệu đầu của case bằng đường được phép; giữ các reset/fixture độc lập đã nêu trong thủ tục.</t>
        </is>
      </c>
      <c r="C3729" s="57" t="n"/>
      <c r="D3729" s="57" t="n"/>
      <c r="E3729" s="57" t="n"/>
    </row>
    <row r="3730" ht="30" customHeight="1">
      <c r="A3730" s="58" t="inlineStr">
        <is>
          <t>Kết quả mong đợi</t>
        </is>
      </c>
      <c r="B3730" s="59" t="n"/>
      <c r="C3730" s="59" t="n"/>
      <c r="D3730" s="59" t="n"/>
      <c r="E3730" s="59" t="n"/>
    </row>
    <row r="3731" ht="30" customHeight="1">
      <c r="A3731" s="47" t="inlineStr">
        <is>
          <t>1.</t>
        </is>
      </c>
      <c r="B3731" s="56" t="inlineStr">
        <is>
          <t>Vẫn Chưa xét được; không có dấu đỏ.</t>
        </is>
      </c>
      <c r="C3731" s="57" t="n"/>
      <c r="D3731" s="57" t="n"/>
      <c r="E3731" s="57" t="n"/>
    </row>
    <row r="3732" ht="30" customHeight="1">
      <c r="A3732" s="47" t="inlineStr">
        <is>
          <t>2.</t>
        </is>
      </c>
      <c r="B3732" s="56" t="inlineStr">
        <is>
          <t>[T=62×0.5=31] → S01=29 Đỏ.</t>
        </is>
      </c>
      <c r="C3732" s="57" t="n"/>
      <c r="D3732" s="57" t="n"/>
      <c r="E3732" s="57" t="n"/>
    </row>
    <row r="3733" ht="44" customHeight="1">
      <c r="A3733" s="47" t="inlineStr">
        <is>
          <t>Giữ nguyên</t>
        </is>
      </c>
      <c r="B3733" s="56" t="inlineStr">
        <is>
          <t>• Giữ điểm, cấu hình và đối tượng không đích theo expected;
• Chỉ thay phần thủ tục yêu cầu, không tự đổi oracle hoặc mở rộng phạm vi.</t>
        </is>
      </c>
      <c r="C3733" s="57" t="n"/>
      <c r="D3733" s="57" t="n"/>
      <c r="E3733" s="57" t="n"/>
    </row>
    <row r="3734" ht="61" customHeight="1">
      <c r="A3734" s="47" t="inlineStr">
        <is>
          <t>Quan sát tại</t>
        </is>
      </c>
      <c r="B3734" s="56" t="inlineStr">
        <is>
          <t>• Dùng trích xuất không lọc để thấy cả ô đối chứng. Trạng thái không có dấu đỏ cần đọc thêm trạng thái lưu;
• Output Excel/PDF dùng file thật.</t>
        </is>
      </c>
      <c r="C3734" s="57" t="n"/>
      <c r="D3734" s="57" t="n"/>
      <c r="E3734" s="57" t="n"/>
    </row>
    <row r="3735" ht="30" customHeight="1">
      <c r="A3735" s="58" t="inlineStr">
        <is>
          <t>Kết quả thực tế</t>
        </is>
      </c>
      <c r="B3735" s="59" t="n"/>
      <c r="C3735" s="59" t="n"/>
      <c r="D3735" s="59" t="n"/>
      <c r="E3735" s="59" t="n"/>
    </row>
    <row r="3736" ht="30" customHeight="1">
      <c r="A3736" s="47" t="inlineStr">
        <is>
          <t>Dữ liệu biến thể</t>
        </is>
      </c>
      <c r="B3736" s="56" t="inlineStr">
        <is>
          <t>Toàn bộ thủ tục theo đúng thứ tự; các đối chứng cùng fixture được kiểm trong cùng lượt, không bỏ bước</t>
        </is>
      </c>
      <c r="C3736" s="57" t="n"/>
      <c r="D3736" s="57" t="n"/>
      <c r="E3736" s="57" t="n"/>
    </row>
    <row r="3737" ht="30" customHeight="1">
      <c r="A3737" s="62" t="inlineStr">
        <is>
          <t>Kết quả thực tế</t>
        </is>
      </c>
    </row>
    <row r="3738" ht="64" customHeight="1">
      <c r="A3738" s="63" t="inlineStr"/>
      <c r="B3738" s="64" t="n"/>
      <c r="C3738" s="64" t="n"/>
      <c r="D3738" s="64" t="n"/>
      <c r="E3738" s="65" t="n"/>
    </row>
    <row r="3739" ht="30" customHeight="1">
      <c r="A3739" s="62" t="inlineStr">
        <is>
          <t>Ảnh minh chứng</t>
        </is>
      </c>
    </row>
    <row r="3740" ht="90" customHeight="1">
      <c r="A3740" s="63" t="inlineStr"/>
      <c r="B3740" s="64" t="n"/>
      <c r="C3740" s="64" t="n"/>
      <c r="D3740" s="64" t="n"/>
      <c r="E3740" s="65" t="n"/>
    </row>
    <row r="3741" ht="12" customHeight="1">
      <c r="A3741" s="66" t="inlineStr"/>
    </row>
    <row r="3742" ht="20" customHeight="1">
      <c r="A3742" s="66" t="inlineStr"/>
    </row>
    <row r="3743" ht="30" customHeight="1">
      <c r="A3743" s="46" t="inlineStr">
        <is>
          <t>TC-RS-BR-026 — Không fallback sang legacy khi rule mới thiếu hoặc không khớp dữ liệu</t>
        </is>
      </c>
      <c r="B3743" s="23" t="n"/>
      <c r="C3743" s="23" t="n"/>
      <c r="D3743" s="23" t="n"/>
      <c r="E3743" s="23" t="n"/>
    </row>
    <row r="3744" ht="30" customHeight="1">
      <c r="A3744" s="47" t="inlineStr">
        <is>
          <t>Trạng thái</t>
        </is>
      </c>
      <c r="B3744" s="56">
        <f>IF(0&gt;0,"Không đạt",IF(0=2,"Đạt",IF(SUMPRODUCT(--EXACT('Testcases'!B3763:B3771,"Không thực hiện"))=2,"Không thực hiện",IF(SUMPRODUCT(--EXACT('Testcases'!B3763:B3771,"Bị chặn"))&gt;0,"Bị chặn",IF(SUMPRODUCT(--EXACT('Testcases'!B3763:B3771,"Chưa thực hiện"))=2,"Chưa thực hiện","Chưa đủ kết luận")))))</f>
        <v/>
      </c>
      <c r="C3744" s="57" t="n"/>
      <c r="D3744" s="57" t="n"/>
      <c r="E3744" s="57" t="n"/>
    </row>
    <row r="3745" ht="30" customHeight="1">
      <c r="A3745" s="47" t="inlineStr">
        <is>
          <t>Màn hình / chức năng</t>
        </is>
      </c>
      <c r="B3745" s="47" t="inlineStr">
        <is>
          <t>Nguồn tổng hợp</t>
        </is>
      </c>
      <c r="C3745" s="57" t="n"/>
      <c r="D3745" s="47" t="inlineStr">
        <is>
          <t>Đường dẫn</t>
        </is>
      </c>
      <c r="E3745" s="56" t="inlineStr">
        <is>
          <t>Chưa xác minh</t>
        </is>
      </c>
    </row>
    <row r="3746" ht="30" customHeight="1">
      <c r="A3746" s="58" t="inlineStr">
        <is>
          <t>Điều kiện kiểm thử</t>
        </is>
      </c>
      <c r="B3746" s="59" t="n"/>
      <c r="C3746" s="59" t="n"/>
      <c r="D3746" s="59" t="n"/>
      <c r="E3746" s="59" t="n"/>
    </row>
    <row r="3747" ht="30" customHeight="1">
      <c r="A3747" s="47" t="inlineStr">
        <is>
          <t>Cấu hình</t>
        </is>
      </c>
      <c r="B3747" s="56" t="inlineStr">
        <is>
          <t>• Có rule mới thiếu nguồn/không khớp và kết quả legacy cũ của cùng ô.</t>
        </is>
      </c>
      <c r="C3747" s="57" t="n"/>
      <c r="D3747" s="57" t="n"/>
      <c r="E3747" s="57" t="n"/>
    </row>
    <row r="3748" ht="61" customHeight="1">
      <c r="A3748" s="47" t="inlineStr">
        <is>
          <t>Vai trò / quyền</t>
        </is>
      </c>
      <c r="B374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748" s="57" t="n"/>
      <c r="D3748" s="57" t="n"/>
      <c r="E3748" s="57" t="n"/>
    </row>
    <row r="3749" ht="30" customHeight="1">
      <c r="A3749" s="47" t="inlineStr">
        <is>
          <t>Dữ liệu test</t>
        </is>
      </c>
      <c r="B3749" s="56" t="inlineStr">
        <is>
          <t>• Có rule mới thiếu nguồn/không khớp và kết quả legacy cũ của cùng ô.</t>
        </is>
      </c>
      <c r="C3749" s="57" t="n"/>
      <c r="D3749" s="57" t="n"/>
      <c r="E3749" s="57" t="n"/>
    </row>
    <row r="3750" ht="30" customHeight="1">
      <c r="A3750" s="47" t="inlineStr">
        <is>
          <t>Trigger</t>
        </is>
      </c>
      <c r="B3750" s="56" t="inlineStr">
        <is>
          <t>• Chỉ xem/xuất không tự chạy xét.</t>
        </is>
      </c>
      <c r="C3750" s="57" t="n"/>
      <c r="D3750" s="57" t="n"/>
      <c r="E3750" s="57" t="n"/>
    </row>
    <row r="3751" ht="44" customHeight="1">
      <c r="A3751" s="47" t="inlineStr">
        <is>
          <t>Blocker</t>
        </is>
      </c>
      <c r="B3751" s="56" t="inlineStr">
        <is>
          <t>• G-PREP-UNASSESSED: Chưa có xác minh fixture, đường thực hiện và phép quan sát trên build của từng case chưa đánh giá.</t>
        </is>
      </c>
      <c r="C3751" s="57" t="n"/>
      <c r="D3751" s="57" t="n"/>
      <c r="E3751" s="57" t="n"/>
    </row>
    <row r="3752" ht="30" customHeight="1">
      <c r="A3752" s="58" t="inlineStr">
        <is>
          <t>Thao tác</t>
        </is>
      </c>
      <c r="B3752" s="59" t="n"/>
      <c r="C3752" s="59" t="n"/>
      <c r="D3752" s="59" t="n"/>
      <c r="E3752" s="59" t="n"/>
    </row>
    <row r="3753" ht="30" customHeight="1">
      <c r="A3753" s="47" t="inlineStr">
        <is>
          <t>Step 1</t>
        </is>
      </c>
      <c r="B3753" s="56" t="inlineStr">
        <is>
          <t>Chạy nút cam.</t>
        </is>
      </c>
      <c r="C3753" s="57" t="n"/>
      <c r="D3753" s="57" t="n"/>
      <c r="E3753" s="57" t="n"/>
    </row>
    <row r="3754" ht="30" customHeight="1">
      <c r="A3754" s="47" t="inlineStr">
        <is>
          <t>Step 2</t>
        </is>
      </c>
      <c r="B3754" s="56" t="inlineStr">
        <is>
          <t>Xem trạng thái ô và ba đầu ra.</t>
        </is>
      </c>
      <c r="C3754" s="57" t="n"/>
      <c r="D3754" s="57" t="n"/>
      <c r="E3754" s="57" t="n"/>
    </row>
    <row r="3755" ht="44" customHeight="1">
      <c r="A3755" s="47" t="inlineStr">
        <is>
          <t>Reset</t>
        </is>
      </c>
      <c r="B3755" s="56" t="inlineStr">
        <is>
          <t>Trước mỗi biến thể, dựng lại điều kiện/dữ liệu đầu của case bằng đường được phép; giữ các reset/fixture độc lập đã nêu trong thủ tục.</t>
        </is>
      </c>
      <c r="C3755" s="57" t="n"/>
      <c r="D3755" s="57" t="n"/>
      <c r="E3755" s="57" t="n"/>
    </row>
    <row r="3756" ht="30" customHeight="1">
      <c r="A3756" s="58" t="inlineStr">
        <is>
          <t>Kết quả mong đợi</t>
        </is>
      </c>
      <c r="B3756" s="59" t="n"/>
      <c r="C3756" s="59" t="n"/>
      <c r="D3756" s="59" t="n"/>
      <c r="E3756" s="59" t="n"/>
    </row>
    <row r="3757" ht="44" customHeight="1">
      <c r="A3757" s="47" t="inlineStr">
        <is>
          <t>•</t>
        </is>
      </c>
      <c r="B3757" s="56" t="inlineStr">
        <is>
          <t>Ô chuyển đúng trạng thái Chưa xét được/Không áp dụng theo nguyên nhân; không dùng legacy làm fallback và không tự ghi đè kết quả cũ ngoài chính sách trạng thái đã xác nhận.</t>
        </is>
      </c>
      <c r="C3757" s="57" t="n"/>
      <c r="D3757" s="57" t="n"/>
      <c r="E3757" s="57" t="n"/>
    </row>
    <row r="3758" ht="44" customHeight="1">
      <c r="A3758" s="47" t="inlineStr">
        <is>
          <t>Giữ nguyên</t>
        </is>
      </c>
      <c r="B3758" s="56" t="inlineStr">
        <is>
          <t>• Giữ điểm, cấu hình và đối tượng không đích theo expected;
• Chỉ thay phần thủ tục yêu cầu, không tự đổi oracle hoặc mở rộng phạm vi.</t>
        </is>
      </c>
      <c r="C3758" s="57" t="n"/>
      <c r="D3758" s="57" t="n"/>
      <c r="E3758" s="57" t="n"/>
    </row>
    <row r="3759" ht="61" customHeight="1">
      <c r="A3759" s="47" t="inlineStr">
        <is>
          <t>Quan sát tại</t>
        </is>
      </c>
      <c r="B3759" s="56" t="inlineStr">
        <is>
          <t>• Dùng trích xuất không lọc để thấy cả ô đối chứng. Trạng thái không có dấu đỏ cần đọc thêm trạng thái lưu;
• Output Excel/PDF dùng file thật.</t>
        </is>
      </c>
      <c r="C3759" s="57" t="n"/>
      <c r="D3759" s="57" t="n"/>
      <c r="E3759" s="57" t="n"/>
    </row>
    <row r="3760" ht="30" customHeight="1">
      <c r="A3760" s="58" t="inlineStr">
        <is>
          <t>Kết quả thực tế</t>
        </is>
      </c>
      <c r="B3760" s="59" t="n"/>
      <c r="C3760" s="59" t="n"/>
      <c r="D3760" s="59" t="n"/>
      <c r="E3760" s="59" t="n"/>
    </row>
    <row r="3761" ht="30" customHeight="1">
      <c r="A3761" s="60" t="inlineStr">
        <is>
          <t>TC-RS-BR-026 / no-match</t>
        </is>
      </c>
      <c r="B3761" s="36" t="n"/>
      <c r="C3761" s="36" t="n"/>
      <c r="D3761" s="36" t="n"/>
      <c r="E3761" s="36" t="n"/>
    </row>
    <row r="3762" ht="30" customHeight="1">
      <c r="A3762" s="47" t="inlineStr">
        <is>
          <t>Dữ liệu biến thể</t>
        </is>
      </c>
      <c r="B3762" s="56" t="inlineStr">
        <is>
          <t>Không quy tắc khớp</t>
        </is>
      </c>
      <c r="C3762" s="57" t="n"/>
      <c r="D3762" s="57" t="n"/>
      <c r="E3762" s="57" t="n"/>
    </row>
    <row r="3763" ht="30" customHeight="1">
      <c r="A3763" s="47" t="inlineStr">
        <is>
          <t>Trạng thái</t>
        </is>
      </c>
      <c r="B3763" s="61" t="inlineStr">
        <is>
          <t>Chưa thực hiện</t>
        </is>
      </c>
      <c r="C3763" s="57" t="n"/>
      <c r="D3763" s="57" t="n"/>
      <c r="E3763" s="57" t="n"/>
    </row>
    <row r="3764" ht="30" customHeight="1">
      <c r="A3764" s="62" t="inlineStr">
        <is>
          <t>Kết quả thực tế</t>
        </is>
      </c>
    </row>
    <row r="3765" ht="64" customHeight="1">
      <c r="A3765" s="63" t="inlineStr"/>
      <c r="B3765" s="64" t="n"/>
      <c r="C3765" s="64" t="n"/>
      <c r="D3765" s="64" t="n"/>
      <c r="E3765" s="65" t="n"/>
    </row>
    <row r="3766" ht="30" customHeight="1">
      <c r="A3766" s="62" t="inlineStr">
        <is>
          <t>Ảnh minh chứng</t>
        </is>
      </c>
    </row>
    <row r="3767" ht="90" customHeight="1">
      <c r="A3767" s="63" t="inlineStr"/>
      <c r="B3767" s="64" t="n"/>
      <c r="C3767" s="64" t="n"/>
      <c r="D3767" s="64" t="n"/>
      <c r="E3767" s="65" t="n"/>
    </row>
    <row r="3768" ht="12" customHeight="1">
      <c r="A3768" s="66" t="inlineStr"/>
    </row>
    <row r="3769" ht="30" customHeight="1">
      <c r="A3769" s="60" t="inlineStr">
        <is>
          <t>TC-RS-BR-026 / missing-input</t>
        </is>
      </c>
      <c r="B3769" s="36" t="n"/>
      <c r="C3769" s="36" t="n"/>
      <c r="D3769" s="36" t="n"/>
      <c r="E3769" s="36" t="n"/>
    </row>
    <row r="3770" ht="30" customHeight="1">
      <c r="A3770" s="47" t="inlineStr">
        <is>
          <t>Dữ liệu biến thể</t>
        </is>
      </c>
      <c r="B3770" s="56" t="inlineStr">
        <is>
          <t>Thiếu dữ liệu để xét</t>
        </is>
      </c>
      <c r="C3770" s="57" t="n"/>
      <c r="D3770" s="57" t="n"/>
      <c r="E3770" s="57" t="n"/>
    </row>
    <row r="3771" ht="30" customHeight="1">
      <c r="A3771" s="47" t="inlineStr">
        <is>
          <t>Trạng thái</t>
        </is>
      </c>
      <c r="B3771" s="61" t="inlineStr">
        <is>
          <t>Chưa thực hiện</t>
        </is>
      </c>
      <c r="C3771" s="57" t="n"/>
      <c r="D3771" s="57" t="n"/>
      <c r="E3771" s="57" t="n"/>
    </row>
    <row r="3772" ht="30" customHeight="1">
      <c r="A3772" s="62" t="inlineStr">
        <is>
          <t>Kết quả thực tế</t>
        </is>
      </c>
    </row>
    <row r="3773" ht="64" customHeight="1">
      <c r="A3773" s="63" t="inlineStr"/>
      <c r="B3773" s="64" t="n"/>
      <c r="C3773" s="64" t="n"/>
      <c r="D3773" s="64" t="n"/>
      <c r="E3773" s="65" t="n"/>
    </row>
    <row r="3774" ht="30" customHeight="1">
      <c r="A3774" s="62" t="inlineStr">
        <is>
          <t>Ảnh minh chứng</t>
        </is>
      </c>
    </row>
    <row r="3775" ht="90" customHeight="1">
      <c r="A3775" s="63" t="inlineStr"/>
      <c r="B3775" s="64" t="n"/>
      <c r="C3775" s="64" t="n"/>
      <c r="D3775" s="64" t="n"/>
      <c r="E3775" s="65" t="n"/>
    </row>
    <row r="3776" ht="12" customHeight="1">
      <c r="A3776" s="66" t="inlineStr"/>
    </row>
    <row r="3777" ht="20" customHeight="1">
      <c r="A3777" s="66" t="inlineStr"/>
    </row>
    <row r="3778" ht="30" customHeight="1">
      <c r="A3778" s="46" t="inlineStr">
        <is>
          <t>TC-RS-FUNC-016 — Đăng ký/sửa điểm trực tiếp ở màn lớp kích hoạt xét</t>
        </is>
      </c>
      <c r="B3778" s="23" t="n"/>
      <c r="C3778" s="23" t="n"/>
      <c r="D3778" s="23" t="n"/>
      <c r="E3778" s="23" t="n"/>
    </row>
    <row r="3779" ht="30" customHeight="1">
      <c r="A3779" s="47" t="inlineStr">
        <is>
          <t>Trạng thái</t>
        </is>
      </c>
      <c r="B3779" s="61" t="inlineStr">
        <is>
          <t>Chưa thực hiện</t>
        </is>
      </c>
      <c r="C3779" s="57" t="n"/>
      <c r="D3779" s="57" t="n"/>
      <c r="E3779" s="57" t="n"/>
    </row>
    <row r="3780" ht="30" customHeight="1">
      <c r="A3780" s="47" t="inlineStr">
        <is>
          <t>Màn hình / chức năng</t>
        </is>
      </c>
      <c r="B3780" s="47" t="inlineStr">
        <is>
          <t>Vòng đời kết quả</t>
        </is>
      </c>
      <c r="C3780" s="57" t="n"/>
      <c r="D3780" s="47" t="inlineStr">
        <is>
          <t>Đường dẫn</t>
        </is>
      </c>
      <c r="E3780" s="56" t="inlineStr">
        <is>
          <t>Chưa xác minh</t>
        </is>
      </c>
    </row>
    <row r="3781" ht="30" customHeight="1">
      <c r="A3781" s="58" t="inlineStr">
        <is>
          <t>Điều kiện kiểm thử</t>
        </is>
      </c>
      <c r="B3781" s="59" t="n"/>
      <c r="C3781" s="59" t="n"/>
      <c r="D3781" s="59" t="n"/>
      <c r="E3781" s="59" t="n"/>
    </row>
    <row r="3782" ht="44" customHeight="1">
      <c r="A3782" s="47" t="inlineStr">
        <is>
          <t>Cấu hình</t>
        </is>
      </c>
      <c r="B3782" s="56" t="inlineStr">
        <is>
          <t>• Mục số nguyên (M=100) có quy tắc “Cố định 30” (dưới 30);
• Mục số nguyên (M=100) không có quy tắc tính tự động.</t>
        </is>
      </c>
      <c r="C3782" s="57" t="n"/>
      <c r="D3782" s="57" t="n"/>
      <c r="E3782" s="57" t="n"/>
    </row>
    <row r="3783" ht="61" customHeight="1">
      <c r="A3783" s="47" t="inlineStr">
        <is>
          <t>Vai trò / quyền</t>
        </is>
      </c>
      <c r="B378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783" s="57" t="n"/>
      <c r="D3783" s="57" t="n"/>
      <c r="E3783" s="57" t="n"/>
    </row>
    <row r="3784" ht="44" customHeight="1">
      <c r="A3784" s="47" t="inlineStr">
        <is>
          <t>Dữ liệu test</t>
        </is>
      </c>
      <c r="B3784" s="56" t="inlineStr">
        <is>
          <t>• Mục số nguyên (M=100);
• Quy tắc “Cố định 30” (dưới 30), học sinh S01 (điểm 29), học sinh S03 (điểm 31)</t>
        </is>
      </c>
      <c r="C3784" s="57" t="n"/>
      <c r="D3784" s="57" t="n"/>
      <c r="E3784" s="57" t="n"/>
    </row>
    <row r="3785" ht="30" customHeight="1">
      <c r="A3785" s="47" t="inlineStr">
        <is>
          <t>Trigger</t>
        </is>
      </c>
      <c r="B3785" s="56" t="inlineStr">
        <is>
          <t>• Chỉ xem/xuất không tự chạy xét.</t>
        </is>
      </c>
      <c r="C3785" s="57" t="n"/>
      <c r="D3785" s="57" t="n"/>
      <c r="E3785" s="57" t="n"/>
    </row>
    <row r="3786" ht="44" customHeight="1">
      <c r="A3786" s="47" t="inlineStr">
        <is>
          <t>Blocker</t>
        </is>
      </c>
      <c r="B3786" s="56" t="inlineStr">
        <is>
          <t>• G-PREP-UNASSESSED: Chưa có xác minh fixture, đường thực hiện và phép quan sát trên build của từng case chưa đánh giá.</t>
        </is>
      </c>
      <c r="C3786" s="57" t="n"/>
      <c r="D3786" s="57" t="n"/>
      <c r="E3786" s="57" t="n"/>
    </row>
    <row r="3787" ht="30" customHeight="1">
      <c r="A3787" s="58" t="inlineStr">
        <is>
          <t>Thao tác</t>
        </is>
      </c>
      <c r="B3787" s="59" t="n"/>
      <c r="C3787" s="59" t="n"/>
      <c r="D3787" s="59" t="n"/>
      <c r="E3787" s="59" t="n"/>
    </row>
    <row r="3788" ht="30" customHeight="1">
      <c r="A3788" s="47" t="inlineStr">
        <is>
          <t>Step 1</t>
        </is>
      </c>
      <c r="B3788" s="56" t="inlineStr">
        <is>
          <t>Ở màn đăng ký điểm của lớp G-A, nhập S01=29, S03=31, lưu.</t>
        </is>
      </c>
      <c r="C3788" s="57" t="n"/>
      <c r="D3788" s="57" t="n"/>
      <c r="E3788" s="57" t="n"/>
    </row>
    <row r="3789" ht="30" customHeight="1">
      <c r="A3789" s="47" t="inlineStr">
        <is>
          <t>Step 2</t>
        </is>
      </c>
      <c r="B3789" s="56" t="inlineStr">
        <is>
          <t>Xem trích xuất.</t>
        </is>
      </c>
      <c r="C3789" s="57" t="n"/>
      <c r="D3789" s="57" t="n"/>
      <c r="E3789" s="57" t="n"/>
    </row>
    <row r="3790" ht="44" customHeight="1">
      <c r="A3790" s="47" t="inlineStr">
        <is>
          <t>Reset</t>
        </is>
      </c>
      <c r="B3790" s="56" t="inlineStr">
        <is>
          <t>Trước mỗi biến thể, dựng lại điều kiện/dữ liệu đầu của case bằng đường được phép; giữ các reset/fixture độc lập đã nêu trong thủ tục.</t>
        </is>
      </c>
      <c r="C3790" s="57" t="n"/>
      <c r="D3790" s="57" t="n"/>
      <c r="E3790" s="57" t="n"/>
    </row>
    <row r="3791" ht="30" customHeight="1">
      <c r="A3791" s="58" t="inlineStr">
        <is>
          <t>Kết quả mong đợi</t>
        </is>
      </c>
      <c r="B3791" s="59" t="n"/>
      <c r="C3791" s="59" t="n"/>
      <c r="D3791" s="59" t="n"/>
      <c r="E3791" s="59" t="n"/>
    </row>
    <row r="3792" ht="61" customHeight="1">
      <c r="A3792" s="47" t="inlineStr">
        <is>
          <t>•</t>
        </is>
      </c>
      <c r="B3792" s="56" t="inlineStr">
        <is>
          <t>Sau khi lưu thành công: S01 Đỏ, S03 Không đỏ. Đây là đường đăng ký trực tiếp với quy tắc cố định, nên không yêu cầu nguồn trung bình hoặc nút cam; không suy rộng kết luận này cho case dùng trung bình/tỷ lệ nhóm.</t>
        </is>
      </c>
      <c r="C3792" s="57" t="n"/>
      <c r="D3792" s="57" t="n"/>
      <c r="E3792" s="57" t="n"/>
    </row>
    <row r="3793" ht="44" customHeight="1">
      <c r="A3793" s="47" t="inlineStr">
        <is>
          <t>Giữ nguyên</t>
        </is>
      </c>
      <c r="B3793" s="56" t="inlineStr">
        <is>
          <t>• Giữ điểm, cấu hình và đối tượng không đích theo expected;
• Chỉ thay phần thủ tục yêu cầu, không tự đổi oracle hoặc mở rộng phạm vi.</t>
        </is>
      </c>
      <c r="C3793" s="57" t="n"/>
      <c r="D3793" s="57" t="n"/>
      <c r="E3793" s="57" t="n"/>
    </row>
    <row r="3794" ht="61" customHeight="1">
      <c r="A3794" s="47" t="inlineStr">
        <is>
          <t>Quan sát tại</t>
        </is>
      </c>
      <c r="B3794" s="56" t="inlineStr">
        <is>
          <t>• Dùng trích xuất không lọc để thấy cả ô đối chứng. Trạng thái không có dấu đỏ cần đọc thêm trạng thái lưu;
• Output Excel/PDF dùng file thật.</t>
        </is>
      </c>
      <c r="C3794" s="57" t="n"/>
      <c r="D3794" s="57" t="n"/>
      <c r="E3794" s="57" t="n"/>
    </row>
    <row r="3795" ht="30" customHeight="1">
      <c r="A3795" s="58" t="inlineStr">
        <is>
          <t>Kết quả thực tế</t>
        </is>
      </c>
      <c r="B3795" s="59" t="n"/>
      <c r="C3795" s="59" t="n"/>
      <c r="D3795" s="59" t="n"/>
      <c r="E3795" s="59" t="n"/>
    </row>
    <row r="3796" ht="30" customHeight="1">
      <c r="A3796" s="47" t="inlineStr">
        <is>
          <t>Dữ liệu biến thể</t>
        </is>
      </c>
      <c r="B3796" s="56" t="inlineStr">
        <is>
          <t>Toàn bộ thủ tục theo đúng thứ tự; các đối chứng cùng fixture được kiểm trong cùng lượt, không bỏ bước</t>
        </is>
      </c>
      <c r="C3796" s="57" t="n"/>
      <c r="D3796" s="57" t="n"/>
      <c r="E3796" s="57" t="n"/>
    </row>
    <row r="3797" ht="30" customHeight="1">
      <c r="A3797" s="62" t="inlineStr">
        <is>
          <t>Kết quả thực tế</t>
        </is>
      </c>
    </row>
    <row r="3798" ht="64" customHeight="1">
      <c r="A3798" s="63" t="inlineStr"/>
      <c r="B3798" s="64" t="n"/>
      <c r="C3798" s="64" t="n"/>
      <c r="D3798" s="64" t="n"/>
      <c r="E3798" s="65" t="n"/>
    </row>
    <row r="3799" ht="30" customHeight="1">
      <c r="A3799" s="62" t="inlineStr">
        <is>
          <t>Ảnh minh chứng</t>
        </is>
      </c>
    </row>
    <row r="3800" ht="90" customHeight="1">
      <c r="A3800" s="63" t="inlineStr"/>
      <c r="B3800" s="64" t="n"/>
      <c r="C3800" s="64" t="n"/>
      <c r="D3800" s="64" t="n"/>
      <c r="E3800" s="65" t="n"/>
    </row>
    <row r="3801" ht="12" customHeight="1">
      <c r="A3801" s="66" t="inlineStr"/>
    </row>
    <row r="3802" ht="20" customHeight="1">
      <c r="A3802" s="66" t="inlineStr"/>
    </row>
    <row r="3803" ht="30" customHeight="1">
      <c r="A3803" s="46" t="inlineStr">
        <is>
          <t>TC-RS-FUNC-017 — Nhập CSV điểm lớp học phần (NB) kích hoạt xét</t>
        </is>
      </c>
      <c r="B3803" s="23" t="n"/>
      <c r="C3803" s="23" t="n"/>
      <c r="D3803" s="23" t="n"/>
      <c r="E3803" s="23" t="n"/>
    </row>
    <row r="3804" ht="30" customHeight="1">
      <c r="A3804" s="47" t="inlineStr">
        <is>
          <t>Trạng thái</t>
        </is>
      </c>
      <c r="B3804" s="56">
        <f>IF(0&gt;0,"Không đạt",IF(0=2,"Đạt",IF(SUMPRODUCT(--EXACT('Testcases'!B3826:B3834,"Không thực hiện"))=2,"Không thực hiện",IF(SUMPRODUCT(--EXACT('Testcases'!B3826:B3834,"Bị chặn"))&gt;0,"Bị chặn",IF(SUMPRODUCT(--EXACT('Testcases'!B3826:B3834,"Chưa thực hiện"))=2,"Chưa thực hiện","Chưa đủ kết luận")))))</f>
        <v/>
      </c>
      <c r="C3804" s="57" t="n"/>
      <c r="D3804" s="57" t="n"/>
      <c r="E3804" s="57" t="n"/>
    </row>
    <row r="3805" ht="30" customHeight="1">
      <c r="A3805" s="47" t="inlineStr">
        <is>
          <t>Màn hình / chức năng</t>
        </is>
      </c>
      <c r="B3805" s="47" t="inlineStr">
        <is>
          <t>Vòng đời kết quả</t>
        </is>
      </c>
      <c r="C3805" s="57" t="n"/>
      <c r="D3805" s="47" t="inlineStr">
        <is>
          <t>Đường dẫn</t>
        </is>
      </c>
      <c r="E3805" s="56" t="inlineStr">
        <is>
          <t>Chưa xác minh</t>
        </is>
      </c>
    </row>
    <row r="3806" ht="30" customHeight="1">
      <c r="A3806" s="58" t="inlineStr">
        <is>
          <t>Điều kiện kiểm thử</t>
        </is>
      </c>
      <c r="B3806" s="59" t="n"/>
      <c r="C3806" s="59" t="n"/>
      <c r="D3806" s="59" t="n"/>
      <c r="E3806" s="59" t="n"/>
    </row>
    <row r="3807" ht="44" customHeight="1">
      <c r="A3807" s="47" t="inlineStr">
        <is>
          <t>Cấu hình</t>
        </is>
      </c>
      <c r="B3807" s="56" t="inlineStr">
        <is>
          <t>• Mục số nguyên (M=100) có quy tắc “Cố định 30” (dưới 30). Chạy hai lần: (a) trường có tính tự động, (b) trường không có tính tự động.</t>
        </is>
      </c>
      <c r="C3807" s="57" t="n"/>
      <c r="D3807" s="57" t="n"/>
      <c r="E3807" s="57" t="n"/>
    </row>
    <row r="3808" ht="61" customHeight="1">
      <c r="A3808" s="47" t="inlineStr">
        <is>
          <t>Vai trò / quyền</t>
        </is>
      </c>
      <c r="B380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808" s="57" t="n"/>
      <c r="D3808" s="57" t="n"/>
      <c r="E3808" s="57" t="n"/>
    </row>
    <row r="3809" ht="44" customHeight="1">
      <c r="A3809" s="47" t="inlineStr">
        <is>
          <t>Dữ liệu test</t>
        </is>
      </c>
      <c r="B3809" s="56" t="inlineStr">
        <is>
          <t>• Mục số nguyên (M=100);
• Quy tắc “Cố định 30” (dưới 30), học sinh S01 (điểm 29)</t>
        </is>
      </c>
      <c r="C3809" s="57" t="n"/>
      <c r="D3809" s="57" t="n"/>
      <c r="E3809" s="57" t="n"/>
    </row>
    <row r="3810" ht="30" customHeight="1">
      <c r="A3810" s="47" t="inlineStr">
        <is>
          <t>Trigger</t>
        </is>
      </c>
      <c r="B3810" s="56" t="inlineStr">
        <is>
          <t>• Chỉ xem/xuất không tự chạy xét.</t>
        </is>
      </c>
      <c r="C3810" s="57" t="n"/>
      <c r="D3810" s="57" t="n"/>
      <c r="E3810" s="57" t="n"/>
    </row>
    <row r="3811" ht="44" customHeight="1">
      <c r="A3811" s="47" t="inlineStr">
        <is>
          <t>Blocker</t>
        </is>
      </c>
      <c r="B3811" s="56" t="inlineStr">
        <is>
          <t>• G-PREP-UNASSESSED: Chưa có xác minh fixture, đường thực hiện và phép quan sát trên build của từng case chưa đánh giá.</t>
        </is>
      </c>
      <c r="C3811" s="57" t="n"/>
      <c r="D3811" s="57" t="n"/>
      <c r="E3811" s="57" t="n"/>
    </row>
    <row r="3812" ht="30" customHeight="1">
      <c r="A3812" s="58" t="inlineStr">
        <is>
          <t>Thao tác</t>
        </is>
      </c>
      <c r="B3812" s="59" t="n"/>
      <c r="C3812" s="59" t="n"/>
      <c r="D3812" s="59" t="n"/>
      <c r="E3812" s="59" t="n"/>
    </row>
    <row r="3813" ht="30" customHeight="1">
      <c r="A3813" s="47" t="inlineStr">
        <is>
          <t>Step 1</t>
        </is>
      </c>
      <c r="B3813" s="56" t="inlineStr">
        <is>
          <t>Mở Đăng ký thành tích bằng CSV（成績CSV登録） của lớp G-A, nhập CSV với S01=29.</t>
        </is>
      </c>
      <c r="C3813" s="57" t="n"/>
      <c r="D3813" s="57" t="n"/>
      <c r="E3813" s="57" t="n"/>
    </row>
    <row r="3814" ht="30" customHeight="1">
      <c r="A3814" s="47" t="inlineStr">
        <is>
          <t>Step 2</t>
        </is>
      </c>
      <c r="B3814" s="56" t="inlineStr">
        <is>
          <t>Xem kết quả ở trích xuất.</t>
        </is>
      </c>
      <c r="C3814" s="57" t="n"/>
      <c r="D3814" s="57" t="n"/>
      <c r="E3814" s="57" t="n"/>
    </row>
    <row r="3815" ht="30" customHeight="1">
      <c r="A3815" s="47" t="inlineStr">
        <is>
          <t>Step 3</t>
        </is>
      </c>
      <c r="B3815" s="56" t="inlineStr">
        <is>
          <t>Nhập lại CSV với S01=31, xem kết quả.</t>
        </is>
      </c>
      <c r="C3815" s="57" t="n"/>
      <c r="D3815" s="57" t="n"/>
      <c r="E3815" s="57" t="n"/>
    </row>
    <row r="3816" ht="44" customHeight="1">
      <c r="A3816" s="47" t="inlineStr">
        <is>
          <t>Reset</t>
        </is>
      </c>
      <c r="B3816" s="56" t="inlineStr">
        <is>
          <t>Trước mỗi biến thể, dựng lại điều kiện/dữ liệu đầu của case bằng đường được phép; giữ các reset/fixture độc lập đã nêu trong thủ tục.</t>
        </is>
      </c>
      <c r="C3816" s="57" t="n"/>
      <c r="D3816" s="57" t="n"/>
      <c r="E3816" s="57" t="n"/>
    </row>
    <row r="3817" ht="30" customHeight="1">
      <c r="A3817" s="58" t="inlineStr">
        <is>
          <t>Kết quả mong đợi</t>
        </is>
      </c>
      <c r="B3817" s="59" t="n"/>
      <c r="C3817" s="59" t="n"/>
      <c r="D3817" s="59" t="n"/>
      <c r="E3817" s="59" t="n"/>
    </row>
    <row r="3818" ht="30" customHeight="1">
      <c r="A3818" s="47" t="inlineStr">
        <is>
          <t>•</t>
        </is>
      </c>
      <c r="B3818" s="56" t="inlineStr">
        <is>
          <t>1–2. Nhập thành công → S01 được xét: Đỏ, ở cả (a) và (b) (không phụ thuộc việc trường có tính tự động).</t>
        </is>
      </c>
      <c r="C3818" s="57" t="n"/>
      <c r="D3818" s="57" t="n"/>
      <c r="E3818" s="57" t="n"/>
    </row>
    <row r="3819" ht="30" customHeight="1">
      <c r="A3819" s="47" t="inlineStr">
        <is>
          <t>3.</t>
        </is>
      </c>
      <c r="B3819" s="56" t="inlineStr">
        <is>
          <t>S01 Không đỏ; không còn dấu đỏ cũ.</t>
        </is>
      </c>
      <c r="C3819" s="57" t="n"/>
      <c r="D3819" s="57" t="n"/>
      <c r="E3819" s="57" t="n"/>
    </row>
    <row r="3820" ht="44" customHeight="1">
      <c r="A3820" s="47" t="inlineStr">
        <is>
          <t>•</t>
        </is>
      </c>
      <c r="B3820" s="56" t="inlineStr">
        <is>
          <t>Điểm và kết quả nhất quán theo ranh giới giao dịch hiện có (tiêu chí nghiệm thu “Lưu thành công và thông báo an toàn”).</t>
        </is>
      </c>
      <c r="C3820" s="57" t="n"/>
      <c r="D3820" s="57" t="n"/>
      <c r="E3820" s="57" t="n"/>
    </row>
    <row r="3821" ht="44" customHeight="1">
      <c r="A3821" s="47" t="inlineStr">
        <is>
          <t>Giữ nguyên</t>
        </is>
      </c>
      <c r="B3821" s="56" t="inlineStr">
        <is>
          <t>• Giữ điểm, cấu hình và đối tượng không đích theo expected;
• Chỉ thay phần thủ tục yêu cầu, không tự đổi oracle hoặc mở rộng phạm vi.</t>
        </is>
      </c>
      <c r="C3821" s="57" t="n"/>
      <c r="D3821" s="57" t="n"/>
      <c r="E3821" s="57" t="n"/>
    </row>
    <row r="3822" ht="61" customHeight="1">
      <c r="A3822" s="47" t="inlineStr">
        <is>
          <t>Quan sát tại</t>
        </is>
      </c>
      <c r="B3822" s="56" t="inlineStr">
        <is>
          <t>• Dùng trích xuất không lọc để thấy cả ô đối chứng. Trạng thái không có dấu đỏ cần đọc thêm trạng thái lưu;
• Output Excel/PDF dùng file thật.</t>
        </is>
      </c>
      <c r="C3822" s="57" t="n"/>
      <c r="D3822" s="57" t="n"/>
      <c r="E3822" s="57" t="n"/>
    </row>
    <row r="3823" ht="30" customHeight="1">
      <c r="A3823" s="58" t="inlineStr">
        <is>
          <t>Kết quả thực tế</t>
        </is>
      </c>
      <c r="B3823" s="59" t="n"/>
      <c r="C3823" s="59" t="n"/>
      <c r="D3823" s="59" t="n"/>
      <c r="E3823" s="59" t="n"/>
    </row>
    <row r="3824" ht="30" customHeight="1">
      <c r="A3824" s="60" t="inlineStr">
        <is>
          <t>TC-RS-FUNC-017 / auto-on</t>
        </is>
      </c>
      <c r="B3824" s="36" t="n"/>
      <c r="C3824" s="36" t="n"/>
      <c r="D3824" s="36" t="n"/>
      <c r="E3824" s="36" t="n"/>
    </row>
    <row r="3825" ht="30" customHeight="1">
      <c r="A3825" s="47" t="inlineStr">
        <is>
          <t>Dữ liệu biến thể</t>
        </is>
      </c>
      <c r="B3825" s="56" t="inlineStr">
        <is>
          <t>Trường có tính tự động, thực hiện toàn bộ chuỗi CSV</t>
        </is>
      </c>
      <c r="C3825" s="57" t="n"/>
      <c r="D3825" s="57" t="n"/>
      <c r="E3825" s="57" t="n"/>
    </row>
    <row r="3826" ht="30" customHeight="1">
      <c r="A3826" s="47" t="inlineStr">
        <is>
          <t>Trạng thái</t>
        </is>
      </c>
      <c r="B3826" s="61" t="inlineStr">
        <is>
          <t>Chưa thực hiện</t>
        </is>
      </c>
      <c r="C3826" s="57" t="n"/>
      <c r="D3826" s="57" t="n"/>
      <c r="E3826" s="57" t="n"/>
    </row>
    <row r="3827" ht="30" customHeight="1">
      <c r="A3827" s="62" t="inlineStr">
        <is>
          <t>Kết quả thực tế</t>
        </is>
      </c>
    </row>
    <row r="3828" ht="64" customHeight="1">
      <c r="A3828" s="63" t="inlineStr"/>
      <c r="B3828" s="64" t="n"/>
      <c r="C3828" s="64" t="n"/>
      <c r="D3828" s="64" t="n"/>
      <c r="E3828" s="65" t="n"/>
    </row>
    <row r="3829" ht="30" customHeight="1">
      <c r="A3829" s="62" t="inlineStr">
        <is>
          <t>Ảnh minh chứng</t>
        </is>
      </c>
    </row>
    <row r="3830" ht="90" customHeight="1">
      <c r="A3830" s="63" t="inlineStr"/>
      <c r="B3830" s="64" t="n"/>
      <c r="C3830" s="64" t="n"/>
      <c r="D3830" s="64" t="n"/>
      <c r="E3830" s="65" t="n"/>
    </row>
    <row r="3831" ht="12" customHeight="1">
      <c r="A3831" s="66" t="inlineStr"/>
    </row>
    <row r="3832" ht="30" customHeight="1">
      <c r="A3832" s="60" t="inlineStr">
        <is>
          <t>TC-RS-FUNC-017 / auto-off</t>
        </is>
      </c>
      <c r="B3832" s="36" t="n"/>
      <c r="C3832" s="36" t="n"/>
      <c r="D3832" s="36" t="n"/>
      <c r="E3832" s="36" t="n"/>
    </row>
    <row r="3833" ht="30" customHeight="1">
      <c r="A3833" s="47" t="inlineStr">
        <is>
          <t>Dữ liệu biến thể</t>
        </is>
      </c>
      <c r="B3833" s="56" t="inlineStr">
        <is>
          <t>Trường không có tính tự động, cùng chuỗi CSV</t>
        </is>
      </c>
      <c r="C3833" s="57" t="n"/>
      <c r="D3833" s="57" t="n"/>
      <c r="E3833" s="57" t="n"/>
    </row>
    <row r="3834" ht="30" customHeight="1">
      <c r="A3834" s="47" t="inlineStr">
        <is>
          <t>Trạng thái</t>
        </is>
      </c>
      <c r="B3834" s="61" t="inlineStr">
        <is>
          <t>Chưa thực hiện</t>
        </is>
      </c>
      <c r="C3834" s="57" t="n"/>
      <c r="D3834" s="57" t="n"/>
      <c r="E3834" s="57" t="n"/>
    </row>
    <row r="3835" ht="30" customHeight="1">
      <c r="A3835" s="62" t="inlineStr">
        <is>
          <t>Kết quả thực tế</t>
        </is>
      </c>
    </row>
    <row r="3836" ht="64" customHeight="1">
      <c r="A3836" s="63" t="inlineStr"/>
      <c r="B3836" s="64" t="n"/>
      <c r="C3836" s="64" t="n"/>
      <c r="D3836" s="64" t="n"/>
      <c r="E3836" s="65" t="n"/>
    </row>
    <row r="3837" ht="30" customHeight="1">
      <c r="A3837" s="62" t="inlineStr">
        <is>
          <t>Ảnh minh chứng</t>
        </is>
      </c>
    </row>
    <row r="3838" ht="90" customHeight="1">
      <c r="A3838" s="63" t="inlineStr"/>
      <c r="B3838" s="64" t="n"/>
      <c r="C3838" s="64" t="n"/>
      <c r="D3838" s="64" t="n"/>
      <c r="E3838" s="65" t="n"/>
    </row>
    <row r="3839" ht="12" customHeight="1">
      <c r="A3839" s="66" t="inlineStr"/>
    </row>
    <row r="3840" ht="20" customHeight="1">
      <c r="A3840" s="66" t="inlineStr"/>
    </row>
    <row r="3841" ht="30" customHeight="1">
      <c r="A3841" s="46" t="inlineStr">
        <is>
          <t>TC-RS-FUNC-018 — Liên kết kết quả chấm bài thi kích hoạt xét</t>
        </is>
      </c>
      <c r="B3841" s="23" t="n"/>
      <c r="C3841" s="23" t="n"/>
      <c r="D3841" s="23" t="n"/>
      <c r="E3841" s="23" t="n"/>
    </row>
    <row r="3842" ht="30" customHeight="1">
      <c r="A3842" s="47" t="inlineStr">
        <is>
          <t>Trạng thái</t>
        </is>
      </c>
      <c r="B3842" s="56">
        <f>IF(0&gt;0,"Không đạt",IF(0=2,"Đạt",IF(SUMPRODUCT(--EXACT('Testcases'!B3865:B3873,"Không thực hiện"))=2,"Không thực hiện",IF(SUMPRODUCT(--EXACT('Testcases'!B3865:B3873,"Bị chặn"))&gt;0,"Bị chặn",IF(SUMPRODUCT(--EXACT('Testcases'!B3865:B3873,"Chưa thực hiện"))=2,"Chưa thực hiện","Chưa đủ kết luận")))))</f>
        <v/>
      </c>
      <c r="C3842" s="57" t="n"/>
      <c r="D3842" s="57" t="n"/>
      <c r="E3842" s="57" t="n"/>
    </row>
    <row r="3843" ht="30" customHeight="1">
      <c r="A3843" s="47" t="inlineStr">
        <is>
          <t>Màn hình / chức năng</t>
        </is>
      </c>
      <c r="B3843" s="47" t="inlineStr">
        <is>
          <t>Vòng đời kết quả</t>
        </is>
      </c>
      <c r="C3843" s="57" t="n"/>
      <c r="D3843" s="47" t="inlineStr">
        <is>
          <t>Đường dẫn</t>
        </is>
      </c>
      <c r="E3843" s="56" t="inlineStr">
        <is>
          <t>Chưa xác minh</t>
        </is>
      </c>
    </row>
    <row r="3844" ht="30" customHeight="1">
      <c r="A3844" s="58" t="inlineStr">
        <is>
          <t>Điều kiện kiểm thử</t>
        </is>
      </c>
      <c r="B3844" s="59" t="n"/>
      <c r="C3844" s="59" t="n"/>
      <c r="D3844" s="59" t="n"/>
      <c r="E3844" s="59" t="n"/>
    </row>
    <row r="3845" ht="78" customHeight="1">
      <c r="A3845" s="47" t="inlineStr">
        <is>
          <t>Cấu hình</t>
        </is>
      </c>
      <c r="B3845" s="56" t="inlineStr">
        <is>
          <t>• Có bài thi đã chấm liên kết tới mục số nguyên (M=100) cho lớp G-A và lớp G-C;
• Quy tắc “Cố định 30” (dưới 30) trên mục số nguyên (M=100). G-A đủ thiết lập để AutoRating chạy. G-C được chuẩn bị để [createArgument] không trả lớp này (ví dụ chưa đăng ký thiết lập lớp học bắt buộc（入力必須の授業設定）), nên AutoRating bị bỏ qua.</t>
        </is>
      </c>
      <c r="C3845" s="57" t="n"/>
      <c r="D3845" s="57" t="n"/>
      <c r="E3845" s="57" t="n"/>
    </row>
    <row r="3846" ht="61" customHeight="1">
      <c r="A3846" s="47" t="inlineStr">
        <is>
          <t>Vai trò / quyền</t>
        </is>
      </c>
      <c r="B384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846" s="57" t="n"/>
      <c r="D3846" s="57" t="n"/>
      <c r="E3846" s="57" t="n"/>
    </row>
    <row r="3847" ht="44" customHeight="1">
      <c r="A3847" s="47" t="inlineStr">
        <is>
          <t>Dữ liệu test</t>
        </is>
      </c>
      <c r="B3847" s="56" t="inlineStr">
        <is>
          <t>• Mục số nguyên (M=100);
• Quy tắc “Cố định 30” (dưới 30), các lớp học phần G-A, G-B, G-C, học sinh S01 (điểm 29)</t>
        </is>
      </c>
      <c r="C3847" s="57" t="n"/>
      <c r="D3847" s="57" t="n"/>
      <c r="E3847" s="57" t="n"/>
    </row>
    <row r="3848" ht="30" customHeight="1">
      <c r="A3848" s="47" t="inlineStr">
        <is>
          <t>Trigger</t>
        </is>
      </c>
      <c r="B3848" s="56" t="inlineStr">
        <is>
          <t>• Chỉ xem/xuất không tự chạy xét.</t>
        </is>
      </c>
      <c r="C3848" s="57" t="n"/>
      <c r="D3848" s="57" t="n"/>
      <c r="E3848" s="57" t="n"/>
    </row>
    <row r="3849" ht="61" customHeight="1">
      <c r="A3849" s="47" t="inlineStr">
        <is>
          <t>Blocker</t>
        </is>
      </c>
      <c r="B3849" s="56" t="inlineStr">
        <is>
          <t>• G-PREP-TC-RS-FUNC-018: BLOCKED — seam liên kết kết quả chấm với AutoRating và fixture G-C bị bỏ qua phải được team cung cấp/quan sát trước khi chạy;
• Expected vẫn giữ nguyên.</t>
        </is>
      </c>
      <c r="C3849" s="57" t="n"/>
      <c r="D3849" s="57" t="n"/>
      <c r="E3849" s="57" t="n"/>
    </row>
    <row r="3850" ht="30" customHeight="1">
      <c r="A3850" s="58" t="inlineStr">
        <is>
          <t>Thao tác</t>
        </is>
      </c>
      <c r="B3850" s="59" t="n"/>
      <c r="C3850" s="59" t="n"/>
      <c r="D3850" s="59" t="n"/>
      <c r="E3850" s="59" t="n"/>
    </row>
    <row r="3851" ht="44" customHeight="1">
      <c r="A3851" s="47" t="inlineStr">
        <is>
          <t>Step 1</t>
        </is>
      </c>
      <c r="B3851" s="56" t="inlineStr">
        <is>
          <t>Liên kết kết quả chấm của G-A với S01=29 (quy tắc cố định quy tắc “Cố định 30” (dưới 30)), gồm trường hợp lớp không có quy tắc tính tự động.</t>
        </is>
      </c>
      <c r="C3851" s="57" t="n"/>
      <c r="D3851" s="57" t="n"/>
      <c r="E3851" s="57" t="n"/>
    </row>
    <row r="3852" ht="30" customHeight="1">
      <c r="A3852" s="47" t="inlineStr">
        <is>
          <t>Step 2</t>
        </is>
      </c>
      <c r="B3852" s="56" t="inlineStr">
        <is>
          <t>Liên kết kết quả chấm của G-C với một học sinh của G-C = 28.</t>
        </is>
      </c>
      <c r="C3852" s="57" t="n"/>
      <c r="D3852" s="57" t="n"/>
      <c r="E3852" s="57" t="n"/>
    </row>
    <row r="3853" ht="30" customHeight="1">
      <c r="A3853" s="47" t="inlineStr">
        <is>
          <t>Step 3</t>
        </is>
      </c>
      <c r="B3853" s="56" t="inlineStr">
        <is>
          <t>Xem điểm đã ghi và kết quả đỏ của hai lớp.</t>
        </is>
      </c>
      <c r="C3853" s="57" t="n"/>
      <c r="D3853" s="57" t="n"/>
      <c r="E3853" s="57" t="n"/>
    </row>
    <row r="3854" ht="30" customHeight="1">
      <c r="A3854" s="47" t="inlineStr">
        <is>
          <t>Step 4</t>
        </is>
      </c>
      <c r="B3854" s="56" t="inlineStr">
        <is>
          <t>(Tùy chọn) Lặp lại với quy tắc cần trung bình.</t>
        </is>
      </c>
      <c r="C3854" s="57" t="n"/>
      <c r="D3854" s="57" t="n"/>
      <c r="E3854" s="57" t="n"/>
    </row>
    <row r="3855" ht="44" customHeight="1">
      <c r="A3855" s="47" t="inlineStr">
        <is>
          <t>Reset</t>
        </is>
      </c>
      <c r="B3855" s="56" t="inlineStr">
        <is>
          <t>Trước mỗi biến thể, dựng lại điều kiện/dữ liệu đầu của case bằng đường được phép; giữ các reset/fixture độc lập đã nêu trong thủ tục.</t>
        </is>
      </c>
      <c r="C3855" s="57" t="n"/>
      <c r="D3855" s="57" t="n"/>
      <c r="E3855" s="57" t="n"/>
    </row>
    <row r="3856" ht="30" customHeight="1">
      <c r="A3856" s="58" t="inlineStr">
        <is>
          <t>Kết quả mong đợi</t>
        </is>
      </c>
      <c r="B3856" s="59" t="n"/>
      <c r="C3856" s="59" t="n"/>
      <c r="D3856" s="59" t="n"/>
      <c r="E3856" s="59" t="n"/>
    </row>
    <row r="3857" ht="30" customHeight="1">
      <c r="A3857" s="47" t="inlineStr">
        <is>
          <t>1.</t>
        </is>
      </c>
      <c r="B3857" s="56" t="inlineStr">
        <is>
          <t>S01 Đỏ.</t>
        </is>
      </c>
      <c r="C3857" s="57" t="n"/>
      <c r="D3857" s="57" t="n"/>
      <c r="E3857" s="57" t="n"/>
    </row>
    <row r="3858" ht="44" customHeight="1">
      <c r="A3858" s="47" t="inlineStr">
        <is>
          <t>•</t>
        </is>
      </c>
      <c r="B3858" s="56" t="inlineStr">
        <is>
          <t>2–3. Điểm 28 của G-C đã được ghi và ô đó được xét → Đỏ, dù AutoRating bị bỏ qua. Không có ô đã ghi nào ở G-C bị để lại không có kết quả.</t>
        </is>
      </c>
      <c r="C3858" s="57" t="n"/>
      <c r="D3858" s="57" t="n"/>
      <c r="E3858" s="57" t="n"/>
    </row>
    <row r="3859" ht="44" customHeight="1">
      <c r="A3859" s="47" t="inlineStr">
        <is>
          <t>4.</t>
        </is>
      </c>
      <c r="B3859" s="56" t="inlineStr">
        <is>
          <t>Quy tắc cần trung bình: liên kết không chạy tổng hợp thứ hạng nên trung bình có thể cũ — việc chấp nhận trung bình cũ chưa chốt, phần này TBD, không đánh PASS/FAIL.</t>
        </is>
      </c>
      <c r="C3859" s="57" t="n"/>
      <c r="D3859" s="57" t="n"/>
      <c r="E3859" s="57" t="n"/>
    </row>
    <row r="3860" ht="44" customHeight="1">
      <c r="A3860" s="47" t="inlineStr">
        <is>
          <t>Giữ nguyên</t>
        </is>
      </c>
      <c r="B3860" s="56" t="inlineStr">
        <is>
          <t>• Giữ điểm, cấu hình và đối tượng không đích theo expected;
• Chỉ thay phần thủ tục yêu cầu, không tự đổi oracle hoặc mở rộng phạm vi.</t>
        </is>
      </c>
      <c r="C3860" s="57" t="n"/>
      <c r="D3860" s="57" t="n"/>
      <c r="E3860" s="57" t="n"/>
    </row>
    <row r="3861" ht="61" customHeight="1">
      <c r="A3861" s="47" t="inlineStr">
        <is>
          <t>Quan sát tại</t>
        </is>
      </c>
      <c r="B3861" s="56" t="inlineStr">
        <is>
          <t>• Dùng trích xuất không lọc để thấy cả ô đối chứng. Trạng thái không có dấu đỏ cần đọc thêm trạng thái lưu;
• Output Excel/PDF dùng file thật.</t>
        </is>
      </c>
      <c r="C3861" s="57" t="n"/>
      <c r="D3861" s="57" t="n"/>
      <c r="E3861" s="57" t="n"/>
    </row>
    <row r="3862" ht="30" customHeight="1">
      <c r="A3862" s="58" t="inlineStr">
        <is>
          <t>Kết quả thực tế</t>
        </is>
      </c>
      <c r="B3862" s="59" t="n"/>
      <c r="C3862" s="59" t="n"/>
      <c r="D3862" s="59" t="n"/>
      <c r="E3862" s="59" t="n"/>
    </row>
    <row r="3863" ht="30" customHeight="1">
      <c r="A3863" s="60" t="inlineStr">
        <is>
          <t>TC-RS-FUNC-018 / linked</t>
        </is>
      </c>
      <c r="B3863" s="36" t="n"/>
      <c r="C3863" s="36" t="n"/>
      <c r="D3863" s="36" t="n"/>
      <c r="E3863" s="36" t="n"/>
    </row>
    <row r="3864" ht="30" customHeight="1">
      <c r="A3864" s="47" t="inlineStr">
        <is>
          <t>Dữ liệu biến thể</t>
        </is>
      </c>
      <c r="B3864" s="56" t="inlineStr">
        <is>
          <t>Liên kết điểm ở G-A</t>
        </is>
      </c>
      <c r="C3864" s="57" t="n"/>
      <c r="D3864" s="57" t="n"/>
      <c r="E3864" s="57" t="n"/>
    </row>
    <row r="3865" ht="30" customHeight="1">
      <c r="A3865" s="47" t="inlineStr">
        <is>
          <t>Trạng thái</t>
        </is>
      </c>
      <c r="B3865" s="61" t="inlineStr">
        <is>
          <t>Chưa thực hiện</t>
        </is>
      </c>
      <c r="C3865" s="57" t="n"/>
      <c r="D3865" s="57" t="n"/>
      <c r="E3865" s="57" t="n"/>
    </row>
    <row r="3866" ht="30" customHeight="1">
      <c r="A3866" s="62" t="inlineStr">
        <is>
          <t>Kết quả thực tế</t>
        </is>
      </c>
    </row>
    <row r="3867" ht="64" customHeight="1">
      <c r="A3867" s="63" t="inlineStr"/>
      <c r="B3867" s="64" t="n"/>
      <c r="C3867" s="64" t="n"/>
      <c r="D3867" s="64" t="n"/>
      <c r="E3867" s="65" t="n"/>
    </row>
    <row r="3868" ht="30" customHeight="1">
      <c r="A3868" s="62" t="inlineStr">
        <is>
          <t>Ảnh minh chứng</t>
        </is>
      </c>
    </row>
    <row r="3869" ht="90" customHeight="1">
      <c r="A3869" s="63" t="inlineStr"/>
      <c r="B3869" s="64" t="n"/>
      <c r="C3869" s="64" t="n"/>
      <c r="D3869" s="64" t="n"/>
      <c r="E3869" s="65" t="n"/>
    </row>
    <row r="3870" ht="12" customHeight="1">
      <c r="A3870" s="66" t="inlineStr"/>
    </row>
    <row r="3871" ht="30" customHeight="1">
      <c r="A3871" s="60" t="inlineStr">
        <is>
          <t>TC-RS-FUNC-018 / auto-skipped</t>
        </is>
      </c>
      <c r="B3871" s="36" t="n"/>
      <c r="C3871" s="36" t="n"/>
      <c r="D3871" s="36" t="n"/>
      <c r="E3871" s="36" t="n"/>
    </row>
    <row r="3872" ht="30" customHeight="1">
      <c r="A3872" s="47" t="inlineStr">
        <is>
          <t>Dữ liệu biến thể</t>
        </is>
      </c>
      <c r="B3872" s="56" t="inlineStr">
        <is>
          <t>Nhánh AutoRating bỏ qua ở G-C</t>
        </is>
      </c>
      <c r="C3872" s="57" t="n"/>
      <c r="D3872" s="57" t="n"/>
      <c r="E3872" s="57" t="n"/>
    </row>
    <row r="3873" ht="30" customHeight="1">
      <c r="A3873" s="47" t="inlineStr">
        <is>
          <t>Trạng thái</t>
        </is>
      </c>
      <c r="B3873" s="61" t="inlineStr">
        <is>
          <t>Chưa thực hiện</t>
        </is>
      </c>
      <c r="C3873" s="57" t="n"/>
      <c r="D3873" s="57" t="n"/>
      <c r="E3873" s="57" t="n"/>
    </row>
    <row r="3874" ht="30" customHeight="1">
      <c r="A3874" s="62" t="inlineStr">
        <is>
          <t>Kết quả thực tế</t>
        </is>
      </c>
    </row>
    <row r="3875" ht="64" customHeight="1">
      <c r="A3875" s="63" t="inlineStr"/>
      <c r="B3875" s="64" t="n"/>
      <c r="C3875" s="64" t="n"/>
      <c r="D3875" s="64" t="n"/>
      <c r="E3875" s="65" t="n"/>
    </row>
    <row r="3876" ht="30" customHeight="1">
      <c r="A3876" s="62" t="inlineStr">
        <is>
          <t>Ảnh minh chứng</t>
        </is>
      </c>
    </row>
    <row r="3877" ht="90" customHeight="1">
      <c r="A3877" s="63" t="inlineStr"/>
      <c r="B3877" s="64" t="n"/>
      <c r="C3877" s="64" t="n"/>
      <c r="D3877" s="64" t="n"/>
      <c r="E3877" s="65" t="n"/>
    </row>
    <row r="3878" ht="12" customHeight="1">
      <c r="A3878" s="66" t="inlineStr"/>
    </row>
    <row r="3879" ht="20" customHeight="1">
      <c r="A3879" s="66" t="inlineStr"/>
    </row>
    <row r="3880" ht="30" customHeight="1">
      <c r="A3880" s="46" t="inlineStr">
        <is>
          <t>TC-RS-FUNC-019 — Lưu lựa chọn điểm tối đa của lớp khi đăng ký điểm kích hoạt xét</t>
        </is>
      </c>
      <c r="B3880" s="23" t="n"/>
      <c r="C3880" s="23" t="n"/>
      <c r="D3880" s="23" t="n"/>
      <c r="E3880" s="23" t="n"/>
    </row>
    <row r="3881" ht="30" customHeight="1">
      <c r="A3881" s="47" t="inlineStr">
        <is>
          <t>Trạng thái</t>
        </is>
      </c>
      <c r="B3881" s="61" t="inlineStr">
        <is>
          <t>Chưa thực hiện</t>
        </is>
      </c>
      <c r="C3881" s="57" t="n"/>
      <c r="D3881" s="57" t="n"/>
      <c r="E3881" s="57" t="n"/>
    </row>
    <row r="3882" ht="30" customHeight="1">
      <c r="A3882" s="47" t="inlineStr">
        <is>
          <t>Màn hình / chức năng</t>
        </is>
      </c>
      <c r="B3882" s="47" t="inlineStr">
        <is>
          <t>Vòng đời kết quả</t>
        </is>
      </c>
      <c r="C3882" s="57" t="n"/>
      <c r="D3882" s="47" t="inlineStr">
        <is>
          <t>Đường dẫn</t>
        </is>
      </c>
      <c r="E3882" s="56" t="inlineStr">
        <is>
          <t>Chưa xác minh</t>
        </is>
      </c>
    </row>
    <row r="3883" ht="30" customHeight="1">
      <c r="A3883" s="58" t="inlineStr">
        <is>
          <t>Điều kiện kiểm thử</t>
        </is>
      </c>
      <c r="B3883" s="59" t="n"/>
      <c r="C3883" s="59" t="n"/>
      <c r="D3883" s="59" t="n"/>
      <c r="E3883" s="59" t="n"/>
    </row>
    <row r="3884" ht="44" customHeight="1">
      <c r="A3884" s="47" t="inlineStr">
        <is>
          <t>Cấu hình</t>
        </is>
      </c>
      <c r="B3884" s="56" t="inlineStr">
        <is>
          <t>• Mục điểm đơn vị (đơn vị U1 có M riêng 40) có quy tắc tỷ lệ 30% (30%). Lớp G-B chưa dùng lựa chọn lớp;
• S06 có điểm U1 = 14 (M=40 → T=12 → Không đỏ).</t>
        </is>
      </c>
      <c r="C3884" s="57" t="n"/>
      <c r="D3884" s="57" t="n"/>
      <c r="E3884" s="57" t="n"/>
    </row>
    <row r="3885" ht="61" customHeight="1">
      <c r="A3885" s="47" t="inlineStr">
        <is>
          <t>Vai trò / quyền</t>
        </is>
      </c>
      <c r="B388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885" s="57" t="n"/>
      <c r="D3885" s="57" t="n"/>
      <c r="E3885" s="57" t="n"/>
    </row>
    <row r="3886" ht="30" customHeight="1">
      <c r="A3886" s="47" t="inlineStr">
        <is>
          <t>Dữ liệu test</t>
        </is>
      </c>
      <c r="B3886" s="56" t="inlineStr">
        <is>
          <t>• Mục điểm đơn vị (đơn vị U1 có M riêng 40), quy tắc tỷ lệ 30%</t>
        </is>
      </c>
      <c r="C3886" s="57" t="n"/>
      <c r="D3886" s="57" t="n"/>
      <c r="E3886" s="57" t="n"/>
    </row>
    <row r="3887" ht="30" customHeight="1">
      <c r="A3887" s="47" t="inlineStr">
        <is>
          <t>Trigger</t>
        </is>
      </c>
      <c r="B3887" s="56" t="inlineStr">
        <is>
          <t>• Chỉ xem/xuất không tự chạy xét.</t>
        </is>
      </c>
      <c r="C3887" s="57" t="n"/>
      <c r="D3887" s="57" t="n"/>
      <c r="E3887" s="57" t="n"/>
    </row>
    <row r="3888" ht="44" customHeight="1">
      <c r="A3888" s="47" t="inlineStr">
        <is>
          <t>Blocker</t>
        </is>
      </c>
      <c r="B3888" s="56" t="inlineStr">
        <is>
          <t>• G-PREP-UNASSESSED: Chưa có xác minh fixture, đường thực hiện và phép quan sát trên build của từng case chưa đánh giá.</t>
        </is>
      </c>
      <c r="C3888" s="57" t="n"/>
      <c r="D3888" s="57" t="n"/>
      <c r="E3888" s="57" t="n"/>
    </row>
    <row r="3889" ht="30" customHeight="1">
      <c r="A3889" s="58" t="inlineStr">
        <is>
          <t>Thao tác</t>
        </is>
      </c>
      <c r="B3889" s="59" t="n"/>
      <c r="C3889" s="59" t="n"/>
      <c r="D3889" s="59" t="n"/>
      <c r="E3889" s="59" t="n"/>
    </row>
    <row r="3890" ht="30" customHeight="1">
      <c r="A3890" s="47" t="inlineStr">
        <is>
          <t>Step 1</t>
        </is>
      </c>
      <c r="B3890" s="56" t="inlineStr">
        <is>
          <t>Ở màn đăng ký điểm lớp G-B, chọn lựa chọn lớp M=50 cho U1, lưu.</t>
        </is>
      </c>
      <c r="C3890" s="57" t="n"/>
      <c r="D3890" s="57" t="n"/>
      <c r="E3890" s="57" t="n"/>
    </row>
    <row r="3891" ht="30" customHeight="1">
      <c r="A3891" s="47" t="inlineStr">
        <is>
          <t>Step 2</t>
        </is>
      </c>
      <c r="B3891" s="56" t="inlineStr">
        <is>
          <t>Xem kết quả S06.</t>
        </is>
      </c>
      <c r="C3891" s="57" t="n"/>
      <c r="D3891" s="57" t="n"/>
      <c r="E3891" s="57" t="n"/>
    </row>
    <row r="3892" ht="44" customHeight="1">
      <c r="A3892" s="47" t="inlineStr">
        <is>
          <t>Reset</t>
        </is>
      </c>
      <c r="B3892" s="56" t="inlineStr">
        <is>
          <t>Trước mỗi biến thể, dựng lại điều kiện/dữ liệu đầu của case bằng đường được phép; giữ các reset/fixture độc lập đã nêu trong thủ tục.</t>
        </is>
      </c>
      <c r="C3892" s="57" t="n"/>
      <c r="D3892" s="57" t="n"/>
      <c r="E3892" s="57" t="n"/>
    </row>
    <row r="3893" ht="30" customHeight="1">
      <c r="A3893" s="58" t="inlineStr">
        <is>
          <t>Kết quả mong đợi</t>
        </is>
      </c>
      <c r="B3893" s="59" t="n"/>
      <c r="C3893" s="59" t="n"/>
      <c r="D3893" s="59" t="n"/>
      <c r="E3893" s="59" t="n"/>
    </row>
    <row r="3894" ht="30" customHeight="1">
      <c r="A3894" s="47" t="inlineStr">
        <is>
          <t>•</t>
        </is>
      </c>
      <c r="B3894" s="56" t="inlineStr">
        <is>
          <t>Sau khi lưu thành công: M=50 → T=15 → S06=14 Đỏ.</t>
        </is>
      </c>
      <c r="C3894" s="57" t="n"/>
      <c r="D3894" s="57" t="n"/>
      <c r="E3894" s="57" t="n"/>
    </row>
    <row r="3895" ht="44" customHeight="1">
      <c r="A3895" s="47" t="inlineStr">
        <is>
          <t>Giữ nguyên</t>
        </is>
      </c>
      <c r="B3895" s="56" t="inlineStr">
        <is>
          <t>• Giữ điểm, cấu hình và đối tượng không đích theo expected;
• Chỉ thay phần thủ tục yêu cầu, không tự đổi oracle hoặc mở rộng phạm vi.</t>
        </is>
      </c>
      <c r="C3895" s="57" t="n"/>
      <c r="D3895" s="57" t="n"/>
      <c r="E3895" s="57" t="n"/>
    </row>
    <row r="3896" ht="61" customHeight="1">
      <c r="A3896" s="47" t="inlineStr">
        <is>
          <t>Quan sát tại</t>
        </is>
      </c>
      <c r="B3896" s="56" t="inlineStr">
        <is>
          <t>• Dùng trích xuất không lọc để thấy cả ô đối chứng. Trạng thái không có dấu đỏ cần đọc thêm trạng thái lưu;
• Output Excel/PDF dùng file thật.</t>
        </is>
      </c>
      <c r="C3896" s="57" t="n"/>
      <c r="D3896" s="57" t="n"/>
      <c r="E3896" s="57" t="n"/>
    </row>
    <row r="3897" ht="30" customHeight="1">
      <c r="A3897" s="58" t="inlineStr">
        <is>
          <t>Kết quả thực tế</t>
        </is>
      </c>
      <c r="B3897" s="59" t="n"/>
      <c r="C3897" s="59" t="n"/>
      <c r="D3897" s="59" t="n"/>
      <c r="E3897" s="59" t="n"/>
    </row>
    <row r="3898" ht="30" customHeight="1">
      <c r="A3898" s="47" t="inlineStr">
        <is>
          <t>Dữ liệu biến thể</t>
        </is>
      </c>
      <c r="B3898" s="56" t="inlineStr">
        <is>
          <t>Toàn bộ thủ tục theo đúng thứ tự; các đối chứng cùng fixture được kiểm trong cùng lượt, không bỏ bước</t>
        </is>
      </c>
      <c r="C3898" s="57" t="n"/>
      <c r="D3898" s="57" t="n"/>
      <c r="E3898" s="57" t="n"/>
    </row>
    <row r="3899" ht="30" customHeight="1">
      <c r="A3899" s="62" t="inlineStr">
        <is>
          <t>Kết quả thực tế</t>
        </is>
      </c>
    </row>
    <row r="3900" ht="64" customHeight="1">
      <c r="A3900" s="63" t="inlineStr"/>
      <c r="B3900" s="64" t="n"/>
      <c r="C3900" s="64" t="n"/>
      <c r="D3900" s="64" t="n"/>
      <c r="E3900" s="65" t="n"/>
    </row>
    <row r="3901" ht="30" customHeight="1">
      <c r="A3901" s="62" t="inlineStr">
        <is>
          <t>Ảnh minh chứng</t>
        </is>
      </c>
    </row>
    <row r="3902" ht="90" customHeight="1">
      <c r="A3902" s="63" t="inlineStr"/>
      <c r="B3902" s="64" t="n"/>
      <c r="C3902" s="64" t="n"/>
      <c r="D3902" s="64" t="n"/>
      <c r="E3902" s="65" t="n"/>
    </row>
    <row r="3903" ht="12" customHeight="1">
      <c r="A3903" s="66" t="inlineStr"/>
    </row>
    <row r="3904" ht="20" customHeight="1">
      <c r="A3904" s="66" t="inlineStr"/>
    </row>
    <row r="3905" ht="30" customHeight="1">
      <c r="A3905" s="46" t="inlineStr">
        <is>
          <t>TC-RS-FUNC-020 — Lưu Thiết lập điểm tối đa hàng loạt（満点一括設定） xếp hàng tính toán rồi mới có kết quả mới</t>
        </is>
      </c>
      <c r="B3905" s="23" t="n"/>
      <c r="C3905" s="23" t="n"/>
      <c r="D3905" s="23" t="n"/>
      <c r="E3905" s="23" t="n"/>
    </row>
    <row r="3906" ht="30" customHeight="1">
      <c r="A3906" s="47" t="inlineStr">
        <is>
          <t>Trạng thái</t>
        </is>
      </c>
      <c r="B3906" s="61" t="inlineStr">
        <is>
          <t>Chưa thực hiện</t>
        </is>
      </c>
      <c r="C3906" s="57" t="n"/>
      <c r="D3906" s="57" t="n"/>
      <c r="E3906" s="57" t="n"/>
    </row>
    <row r="3907" ht="30" customHeight="1">
      <c r="A3907" s="47" t="inlineStr">
        <is>
          <t>Màn hình / chức năng</t>
        </is>
      </c>
      <c r="B3907" s="47" t="inlineStr">
        <is>
          <t>Vòng đời kết quả</t>
        </is>
      </c>
      <c r="C3907" s="57" t="n"/>
      <c r="D3907" s="47" t="inlineStr">
        <is>
          <t>Đường dẫn</t>
        </is>
      </c>
      <c r="E3907" s="56" t="inlineStr">
        <is>
          <t>Chưa xác minh</t>
        </is>
      </c>
    </row>
    <row r="3908" ht="30" customHeight="1">
      <c r="A3908" s="58" t="inlineStr">
        <is>
          <t>Điều kiện kiểm thử</t>
        </is>
      </c>
      <c r="B3908" s="59" t="n"/>
      <c r="C3908" s="59" t="n"/>
      <c r="D3908" s="59" t="n"/>
      <c r="E3908" s="59" t="n"/>
    </row>
    <row r="3909" ht="78" customHeight="1">
      <c r="A3909" s="47" t="inlineStr">
        <is>
          <t>Cấu hình</t>
        </is>
      </c>
      <c r="B3909" s="56" t="inlineStr">
        <is>
          <t>• Trường có chức năng Thiết lập điểm tối đa hàng loạt（満点一括設定） ([/admin/grade/lesson_group/setting?setting_type=change_max_score]);
• Tài khoản có quyền chạy hàng loạt;
• Quy tắc tỷ lệ 30% trên mục điểm đơn vị (đơn vị U1 có M riêng 40).</t>
        </is>
      </c>
      <c r="C3909" s="57" t="n"/>
      <c r="D3909" s="57" t="n"/>
      <c r="E3909" s="57" t="n"/>
    </row>
    <row r="3910" ht="61" customHeight="1">
      <c r="A3910" s="47" t="inlineStr">
        <is>
          <t>Vai trò / quyền</t>
        </is>
      </c>
      <c r="B391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910" s="57" t="n"/>
      <c r="D3910" s="57" t="n"/>
      <c r="E3910" s="57" t="n"/>
    </row>
    <row r="3911" ht="30" customHeight="1">
      <c r="A3911" s="47" t="inlineStr">
        <is>
          <t>Dữ liệu test</t>
        </is>
      </c>
      <c r="B3911" s="56" t="inlineStr">
        <is>
          <t>• Mục điểm đơn vị (đơn vị U1 có M riêng 40), quy tắc tỷ lệ 30%</t>
        </is>
      </c>
      <c r="C3911" s="57" t="n"/>
      <c r="D3911" s="57" t="n"/>
      <c r="E3911" s="57" t="n"/>
    </row>
    <row r="3912" ht="30" customHeight="1">
      <c r="A3912" s="47" t="inlineStr">
        <is>
          <t>Trigger</t>
        </is>
      </c>
      <c r="B3912" s="56" t="inlineStr">
        <is>
          <t>• Chỉ xem/xuất không tự chạy xét.</t>
        </is>
      </c>
      <c r="C3912" s="57" t="n"/>
      <c r="D3912" s="57" t="n"/>
      <c r="E3912" s="57" t="n"/>
    </row>
    <row r="3913" ht="44" customHeight="1">
      <c r="A3913" s="47" t="inlineStr">
        <is>
          <t>Blocker</t>
        </is>
      </c>
      <c r="B3913" s="56" t="inlineStr">
        <is>
          <t>• G-PREP-UNASSESSED: Chưa có xác minh fixture, đường thực hiện và phép quan sát trên build của từng case chưa đánh giá.</t>
        </is>
      </c>
      <c r="C3913" s="57" t="n"/>
      <c r="D3913" s="57" t="n"/>
      <c r="E3913" s="57" t="n"/>
    </row>
    <row r="3914" ht="30" customHeight="1">
      <c r="A3914" s="58" t="inlineStr">
        <is>
          <t>Thao tác</t>
        </is>
      </c>
      <c r="B3914" s="59" t="n"/>
      <c r="C3914" s="59" t="n"/>
      <c r="D3914" s="59" t="n"/>
      <c r="E3914" s="59" t="n"/>
    </row>
    <row r="3915" ht="30" customHeight="1">
      <c r="A3915" s="47" t="inlineStr">
        <is>
          <t>Step 1</t>
        </is>
      </c>
      <c r="B3915" s="56" t="inlineStr">
        <is>
          <t>Lưu M=50 cho các lớp/kỳ được phép.</t>
        </is>
      </c>
      <c r="C3915" s="57" t="n"/>
      <c r="D3915" s="57" t="n"/>
      <c r="E3915" s="57" t="n"/>
    </row>
    <row r="3916" ht="30" customHeight="1">
      <c r="A3916" s="47" t="inlineStr">
        <is>
          <t>Step 2</t>
        </is>
      </c>
      <c r="B3916" s="56" t="inlineStr">
        <is>
          <t>Ngay sau khi lưu (trước khi batch xong), xem kết quả.</t>
        </is>
      </c>
      <c r="C3916" s="57" t="n"/>
      <c r="D3916" s="57" t="n"/>
      <c r="E3916" s="57" t="n"/>
    </row>
    <row r="3917" ht="30" customHeight="1">
      <c r="A3917" s="47" t="inlineStr">
        <is>
          <t>Step 3</t>
        </is>
      </c>
      <c r="B3917" s="56" t="inlineStr">
        <is>
          <t>Chờ batch hoàn tất, xem lại.</t>
        </is>
      </c>
      <c r="C3917" s="57" t="n"/>
      <c r="D3917" s="57" t="n"/>
      <c r="E3917" s="57" t="n"/>
    </row>
    <row r="3918" ht="44" customHeight="1">
      <c r="A3918" s="47" t="inlineStr">
        <is>
          <t>Reset</t>
        </is>
      </c>
      <c r="B3918" s="56" t="inlineStr">
        <is>
          <t>Trước mỗi biến thể, dựng lại điều kiện/dữ liệu đầu của case bằng đường được phép; giữ các reset/fixture độc lập đã nêu trong thủ tục.</t>
        </is>
      </c>
      <c r="C3918" s="57" t="n"/>
      <c r="D3918" s="57" t="n"/>
      <c r="E3918" s="57" t="n"/>
    </row>
    <row r="3919" ht="30" customHeight="1">
      <c r="A3919" s="58" t="inlineStr">
        <is>
          <t>Kết quả mong đợi</t>
        </is>
      </c>
      <c r="B3919" s="59" t="n"/>
      <c r="C3919" s="59" t="n"/>
      <c r="D3919" s="59" t="n"/>
      <c r="E3919" s="59" t="n"/>
    </row>
    <row r="3920" ht="30" customHeight="1">
      <c r="A3920" s="47" t="inlineStr">
        <is>
          <t>1.</t>
        </is>
      </c>
      <c r="B3920" s="56" t="inlineStr">
        <is>
          <t>Ngay sau khi lưu: kết quả cũ vẫn hiện; không báo "hoàn tất" khi mới xếp hàng.</t>
        </is>
      </c>
      <c r="C3920" s="57" t="n"/>
      <c r="D3920" s="57" t="n"/>
      <c r="E3920" s="57" t="n"/>
    </row>
    <row r="3921" ht="30" customHeight="1">
      <c r="A3921" s="47" t="inlineStr">
        <is>
          <t>2.</t>
        </is>
      </c>
      <c r="B3921" s="56" t="inlineStr">
        <is>
          <t>Sau batch thành công: kết quả theo M=50.</t>
        </is>
      </c>
      <c r="C3921" s="57" t="n"/>
      <c r="D3921" s="57" t="n"/>
      <c r="E3921" s="57" t="n"/>
    </row>
    <row r="3922" ht="44" customHeight="1">
      <c r="A3922" s="47" t="inlineStr">
        <is>
          <t>Giữ nguyên</t>
        </is>
      </c>
      <c r="B3922" s="56" t="inlineStr">
        <is>
          <t>• Giữ điểm, cấu hình và đối tượng không đích theo expected;
• Chỉ thay phần thủ tục yêu cầu, không tự đổi oracle hoặc mở rộng phạm vi.</t>
        </is>
      </c>
      <c r="C3922" s="57" t="n"/>
      <c r="D3922" s="57" t="n"/>
      <c r="E3922" s="57" t="n"/>
    </row>
    <row r="3923" ht="61" customHeight="1">
      <c r="A3923" s="47" t="inlineStr">
        <is>
          <t>Quan sát tại</t>
        </is>
      </c>
      <c r="B3923" s="56" t="inlineStr">
        <is>
          <t>• Dùng trích xuất không lọc để thấy cả ô đối chứng. Trạng thái không có dấu đỏ cần đọc thêm trạng thái lưu;
• Output Excel/PDF dùng file thật.</t>
        </is>
      </c>
      <c r="C3923" s="57" t="n"/>
      <c r="D3923" s="57" t="n"/>
      <c r="E3923" s="57" t="n"/>
    </row>
    <row r="3924" ht="30" customHeight="1">
      <c r="A3924" s="58" t="inlineStr">
        <is>
          <t>Kết quả thực tế</t>
        </is>
      </c>
      <c r="B3924" s="59" t="n"/>
      <c r="C3924" s="59" t="n"/>
      <c r="D3924" s="59" t="n"/>
      <c r="E3924" s="59" t="n"/>
    </row>
    <row r="3925" ht="30" customHeight="1">
      <c r="A3925" s="47" t="inlineStr">
        <is>
          <t>Dữ liệu biến thể</t>
        </is>
      </c>
      <c r="B3925" s="56" t="inlineStr">
        <is>
          <t>Toàn bộ thủ tục theo đúng thứ tự; các đối chứng cùng fixture được kiểm trong cùng lượt, không bỏ bước</t>
        </is>
      </c>
      <c r="C3925" s="57" t="n"/>
      <c r="D3925" s="57" t="n"/>
      <c r="E3925" s="57" t="n"/>
    </row>
    <row r="3926" ht="30" customHeight="1">
      <c r="A3926" s="62" t="inlineStr">
        <is>
          <t>Kết quả thực tế</t>
        </is>
      </c>
    </row>
    <row r="3927" ht="64" customHeight="1">
      <c r="A3927" s="63" t="inlineStr"/>
      <c r="B3927" s="64" t="n"/>
      <c r="C3927" s="64" t="n"/>
      <c r="D3927" s="64" t="n"/>
      <c r="E3927" s="65" t="n"/>
    </row>
    <row r="3928" ht="30" customHeight="1">
      <c r="A3928" s="62" t="inlineStr">
        <is>
          <t>Ảnh minh chứng</t>
        </is>
      </c>
    </row>
    <row r="3929" ht="90" customHeight="1">
      <c r="A3929" s="63" t="inlineStr"/>
      <c r="B3929" s="64" t="n"/>
      <c r="C3929" s="64" t="n"/>
      <c r="D3929" s="64" t="n"/>
      <c r="E3929" s="65" t="n"/>
    </row>
    <row r="3930" ht="12" customHeight="1">
      <c r="A3930" s="66" t="inlineStr"/>
    </row>
    <row r="3931" ht="20" customHeight="1">
      <c r="A3931" s="66" t="inlineStr"/>
    </row>
    <row r="3932" ht="30" customHeight="1">
      <c r="A3932" s="46" t="inlineStr">
        <is>
          <t>TC-RS-FUNC-021 — Trường chỉ có quy tắc đỏ (không có tính tự động) vẫn có đường chạy hàng loạt</t>
        </is>
      </c>
      <c r="B3932" s="23" t="n"/>
      <c r="C3932" s="23" t="n"/>
      <c r="D3932" s="23" t="n"/>
      <c r="E3932" s="23" t="n"/>
    </row>
    <row r="3933" ht="30" customHeight="1">
      <c r="A3933" s="47" t="inlineStr">
        <is>
          <t>Trạng thái</t>
        </is>
      </c>
      <c r="B3933" s="61" t="inlineStr">
        <is>
          <t>Chưa thực hiện</t>
        </is>
      </c>
      <c r="C3933" s="57" t="n"/>
      <c r="D3933" s="57" t="n"/>
      <c r="E3933" s="57" t="n"/>
    </row>
    <row r="3934" ht="30" customHeight="1">
      <c r="A3934" s="47" t="inlineStr">
        <is>
          <t>Màn hình / chức năng</t>
        </is>
      </c>
      <c r="B3934" s="47" t="inlineStr">
        <is>
          <t>Vòng đời kết quả</t>
        </is>
      </c>
      <c r="C3934" s="57" t="n"/>
      <c r="D3934" s="47" t="inlineStr">
        <is>
          <t>Đường dẫn</t>
        </is>
      </c>
      <c r="E3934" s="56" t="inlineStr">
        <is>
          <t>Chưa xác minh</t>
        </is>
      </c>
    </row>
    <row r="3935" ht="30" customHeight="1">
      <c r="A3935" s="58" t="inlineStr">
        <is>
          <t>Điều kiện kiểm thử</t>
        </is>
      </c>
      <c r="B3935" s="59" t="n"/>
      <c r="C3935" s="59" t="n"/>
      <c r="D3935" s="59" t="n"/>
      <c r="E3935" s="59" t="n"/>
    </row>
    <row r="3936" ht="44" customHeight="1">
      <c r="A3936" s="47" t="inlineStr">
        <is>
          <t>Cấu hình</t>
        </is>
      </c>
      <c r="B3936" s="56" t="inlineStr">
        <is>
          <t>• Trường không có quy tắc tính tự động nào đang hoạt động;
• Mục số nguyên (M=100) có quy tắc “Cố định 30” (dưới 30).</t>
        </is>
      </c>
      <c r="C3936" s="57" t="n"/>
      <c r="D3936" s="57" t="n"/>
      <c r="E3936" s="57" t="n"/>
    </row>
    <row r="3937" ht="61" customHeight="1">
      <c r="A3937" s="47" t="inlineStr">
        <is>
          <t>Vai trò / quyền</t>
        </is>
      </c>
      <c r="B393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937" s="57" t="n"/>
      <c r="D3937" s="57" t="n"/>
      <c r="E3937" s="57" t="n"/>
    </row>
    <row r="3938" ht="44" customHeight="1">
      <c r="A3938" s="47" t="inlineStr">
        <is>
          <t>Dữ liệu test</t>
        </is>
      </c>
      <c r="B3938" s="56" t="inlineStr">
        <is>
          <t>• Mục số nguyên (M=100);
• Quy tắc “Cố định 30” (dưới 30), tài khoản có quyền chạy hàng loạt</t>
        </is>
      </c>
      <c r="C3938" s="57" t="n"/>
      <c r="D3938" s="57" t="n"/>
      <c r="E3938" s="57" t="n"/>
    </row>
    <row r="3939" ht="30" customHeight="1">
      <c r="A3939" s="47" t="inlineStr">
        <is>
          <t>Trigger</t>
        </is>
      </c>
      <c r="B3939" s="56" t="inlineStr">
        <is>
          <t>• Chỉ xem/xuất không tự chạy xét.</t>
        </is>
      </c>
      <c r="C3939" s="57" t="n"/>
      <c r="D3939" s="57" t="n"/>
      <c r="E3939" s="57" t="n"/>
    </row>
    <row r="3940" ht="44" customHeight="1">
      <c r="A3940" s="47" t="inlineStr">
        <is>
          <t>Blocker</t>
        </is>
      </c>
      <c r="B3940" s="56" t="inlineStr">
        <is>
          <t>• G-PREP-UNASSESSED: Chưa có xác minh fixture, đường thực hiện và phép quan sát trên build của từng case chưa đánh giá.</t>
        </is>
      </c>
      <c r="C3940" s="57" t="n"/>
      <c r="D3940" s="57" t="n"/>
      <c r="E3940" s="57" t="n"/>
    </row>
    <row r="3941" ht="30" customHeight="1">
      <c r="A3941" s="58" t="inlineStr">
        <is>
          <t>Thao tác</t>
        </is>
      </c>
      <c r="B3941" s="59" t="n"/>
      <c r="C3941" s="59" t="n"/>
      <c r="D3941" s="59" t="n"/>
      <c r="E3941" s="59" t="n"/>
    </row>
    <row r="3942" ht="30" customHeight="1">
      <c r="A3942" s="47" t="inlineStr">
        <is>
          <t>Step 1</t>
        </is>
      </c>
      <c r="B3942" s="56" t="inlineStr">
        <is>
          <t>Mở Tổng hợp thành tích（成績集計） ([/admin/grade/grade_setting_system/grade_calc]).</t>
        </is>
      </c>
      <c r="C3942" s="57" t="n"/>
      <c r="D3942" s="57" t="n"/>
      <c r="E3942" s="57" t="n"/>
    </row>
    <row r="3943" ht="30" customHeight="1">
      <c r="A3943" s="47" t="inlineStr">
        <is>
          <t>Step 2</t>
        </is>
      </c>
      <c r="B3943" s="56" t="inlineStr">
        <is>
          <t>Tìm thao tác Thực hiện tính toán tự động（自動算出実行） cho Khối 1, kỳ 1学期期末 (cuối kỳ học kỳ 1).</t>
        </is>
      </c>
      <c r="C3943" s="57" t="n"/>
      <c r="D3943" s="57" t="n"/>
      <c r="E3943" s="57" t="n"/>
    </row>
    <row r="3944" ht="30" customHeight="1">
      <c r="A3944" s="47" t="inlineStr">
        <is>
          <t>Step 3</t>
        </is>
      </c>
      <c r="B3944" s="56" t="inlineStr">
        <is>
          <t>Chạy, chờ hoàn tất, xem kết quả.</t>
        </is>
      </c>
      <c r="C3944" s="57" t="n"/>
      <c r="D3944" s="57" t="n"/>
      <c r="E3944" s="57" t="n"/>
    </row>
    <row r="3945" ht="44" customHeight="1">
      <c r="A3945" s="47" t="inlineStr">
        <is>
          <t>Reset</t>
        </is>
      </c>
      <c r="B3945" s="56" t="inlineStr">
        <is>
          <t>Trước mỗi biến thể, dựng lại điều kiện/dữ liệu đầu của case bằng đường được phép; giữ các reset/fixture độc lập đã nêu trong thủ tục.</t>
        </is>
      </c>
      <c r="C3945" s="57" t="n"/>
      <c r="D3945" s="57" t="n"/>
      <c r="E3945" s="57" t="n"/>
    </row>
    <row r="3946" ht="30" customHeight="1">
      <c r="A3946" s="58" t="inlineStr">
        <is>
          <t>Kết quả mong đợi</t>
        </is>
      </c>
      <c r="B3946" s="59" t="n"/>
      <c r="C3946" s="59" t="n"/>
      <c r="D3946" s="59" t="n"/>
      <c r="E3946" s="59" t="n"/>
    </row>
    <row r="3947" ht="61" customHeight="1">
      <c r="A3947" s="47" t="inlineStr">
        <is>
          <t>•</t>
        </is>
      </c>
      <c r="B3947" s="56" t="inlineStr">
        <is>
          <t>Chạy được bằng thao tác hàng loạt hiện có (không có chế độ xét đỏ riêng); sau khi chạy, các ô được xét theo quy tắc “Cố định 30” (dưới 30). Nhãn/cách hiện nút cho trường không có tính tự động chưa chốt — không đánh giá phần này.</t>
        </is>
      </c>
      <c r="C3947" s="57" t="n"/>
      <c r="D3947" s="57" t="n"/>
      <c r="E3947" s="57" t="n"/>
    </row>
    <row r="3948" ht="44" customHeight="1">
      <c r="A3948" s="47" t="inlineStr">
        <is>
          <t>Giữ nguyên</t>
        </is>
      </c>
      <c r="B3948" s="56" t="inlineStr">
        <is>
          <t>• Giữ điểm, cấu hình và đối tượng không đích theo expected;
• Chỉ thay phần thủ tục yêu cầu, không tự đổi oracle hoặc mở rộng phạm vi.</t>
        </is>
      </c>
      <c r="C3948" s="57" t="n"/>
      <c r="D3948" s="57" t="n"/>
      <c r="E3948" s="57" t="n"/>
    </row>
    <row r="3949" ht="61" customHeight="1">
      <c r="A3949" s="47" t="inlineStr">
        <is>
          <t>Quan sát tại</t>
        </is>
      </c>
      <c r="B3949" s="56" t="inlineStr">
        <is>
          <t>• Dùng trích xuất không lọc để thấy cả ô đối chứng. Trạng thái không có dấu đỏ cần đọc thêm trạng thái lưu;
• Output Excel/PDF dùng file thật.</t>
        </is>
      </c>
      <c r="C3949" s="57" t="n"/>
      <c r="D3949" s="57" t="n"/>
      <c r="E3949" s="57" t="n"/>
    </row>
    <row r="3950" ht="30" customHeight="1">
      <c r="A3950" s="58" t="inlineStr">
        <is>
          <t>Kết quả thực tế</t>
        </is>
      </c>
      <c r="B3950" s="59" t="n"/>
      <c r="C3950" s="59" t="n"/>
      <c r="D3950" s="59" t="n"/>
      <c r="E3950" s="59" t="n"/>
    </row>
    <row r="3951" ht="30" customHeight="1">
      <c r="A3951" s="47" t="inlineStr">
        <is>
          <t>Dữ liệu biến thể</t>
        </is>
      </c>
      <c r="B3951" s="56" t="inlineStr">
        <is>
          <t>Toàn bộ thủ tục theo đúng thứ tự; các đối chứng cùng fixture được kiểm trong cùng lượt, không bỏ bước</t>
        </is>
      </c>
      <c r="C3951" s="57" t="n"/>
      <c r="D3951" s="57" t="n"/>
      <c r="E3951" s="57" t="n"/>
    </row>
    <row r="3952" ht="30" customHeight="1">
      <c r="A3952" s="62" t="inlineStr">
        <is>
          <t>Kết quả thực tế</t>
        </is>
      </c>
    </row>
    <row r="3953" ht="64" customHeight="1">
      <c r="A3953" s="63" t="inlineStr"/>
      <c r="B3953" s="64" t="n"/>
      <c r="C3953" s="64" t="n"/>
      <c r="D3953" s="64" t="n"/>
      <c r="E3953" s="65" t="n"/>
    </row>
    <row r="3954" ht="30" customHeight="1">
      <c r="A3954" s="62" t="inlineStr">
        <is>
          <t>Ảnh minh chứng</t>
        </is>
      </c>
    </row>
    <row r="3955" ht="90" customHeight="1">
      <c r="A3955" s="63" t="inlineStr"/>
      <c r="B3955" s="64" t="n"/>
      <c r="C3955" s="64" t="n"/>
      <c r="D3955" s="64" t="n"/>
      <c r="E3955" s="65" t="n"/>
    </row>
    <row r="3956" ht="12" customHeight="1">
      <c r="A3956" s="66" t="inlineStr"/>
    </row>
    <row r="3957" ht="20" customHeight="1">
      <c r="A3957" s="66" t="inlineStr"/>
    </row>
    <row r="3958" ht="30" customHeight="1">
      <c r="A3958" s="46" t="inlineStr">
        <is>
          <t>TC-RS-FUNC-035 — Nhập CSV đăng ký điểm lớp chủ nhiệm hàng loạt（HR成績CSV一括登録） kích hoạt xét</t>
        </is>
      </c>
      <c r="B3958" s="23" t="n"/>
      <c r="C3958" s="23" t="n"/>
      <c r="D3958" s="23" t="n"/>
      <c r="E3958" s="23" t="n"/>
    </row>
    <row r="3959" ht="30" customHeight="1">
      <c r="A3959" s="47" t="inlineStr">
        <is>
          <t>Trạng thái</t>
        </is>
      </c>
      <c r="B3959" s="56">
        <f>IF(0&gt;0,"Không đạt",IF(0=2,"Đạt",IF(SUMPRODUCT(--EXACT('Testcases'!B3978:B3986,"Không thực hiện"))=2,"Không thực hiện",IF(SUMPRODUCT(--EXACT('Testcases'!B3978:B3986,"Bị chặn"))&gt;0,"Bị chặn",IF(SUMPRODUCT(--EXACT('Testcases'!B3978:B3986,"Chưa thực hiện"))=2,"Chưa thực hiện","Chưa đủ kết luận")))))</f>
        <v/>
      </c>
      <c r="C3959" s="57" t="n"/>
      <c r="D3959" s="57" t="n"/>
      <c r="E3959" s="57" t="n"/>
    </row>
    <row r="3960" ht="30" customHeight="1">
      <c r="A3960" s="47" t="inlineStr">
        <is>
          <t>Màn hình / chức năng</t>
        </is>
      </c>
      <c r="B3960" s="47" t="inlineStr">
        <is>
          <t>Vòng đời kết quả</t>
        </is>
      </c>
      <c r="C3960" s="57" t="n"/>
      <c r="D3960" s="47" t="inlineStr">
        <is>
          <t>Đường dẫn</t>
        </is>
      </c>
      <c r="E3960" s="56" t="inlineStr">
        <is>
          <t>Chưa xác minh</t>
        </is>
      </c>
    </row>
    <row r="3961" ht="30" customHeight="1">
      <c r="A3961" s="58" t="inlineStr">
        <is>
          <t>Điều kiện kiểm thử</t>
        </is>
      </c>
      <c r="B3961" s="59" t="n"/>
      <c r="C3961" s="59" t="n"/>
      <c r="D3961" s="59" t="n"/>
      <c r="E3961" s="59" t="n"/>
    </row>
    <row r="3962" ht="44" customHeight="1">
      <c r="A3962" s="47" t="inlineStr">
        <is>
          <t>Cấu hình</t>
        </is>
      </c>
      <c r="B3962" s="56" t="inlineStr">
        <is>
          <t>• Mục số nguyên (M=100) có quy tắc “Cố định 30” (dưới 30). Chạy hai lần: (a) trường có tính tự động, (b) trường không có tính tự động.</t>
        </is>
      </c>
      <c r="C3962" s="57" t="n"/>
      <c r="D3962" s="57" t="n"/>
      <c r="E3962" s="57" t="n"/>
    </row>
    <row r="3963" ht="61" customHeight="1">
      <c r="A3963" s="47" t="inlineStr">
        <is>
          <t>Vai trò / quyền</t>
        </is>
      </c>
      <c r="B396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963" s="57" t="n"/>
      <c r="D3963" s="57" t="n"/>
      <c r="E3963" s="57" t="n"/>
    </row>
    <row r="3964" ht="44" customHeight="1">
      <c r="A3964" s="47" t="inlineStr">
        <is>
          <t>Dữ liệu test</t>
        </is>
      </c>
      <c r="B3964" s="56" t="inlineStr">
        <is>
          <t>• Mục số nguyên (M=100);
• Quy tắc “Cố định 30” (dưới 30), học sinh S01 (điểm 29)</t>
        </is>
      </c>
      <c r="C3964" s="57" t="n"/>
      <c r="D3964" s="57" t="n"/>
      <c r="E3964" s="57" t="n"/>
    </row>
    <row r="3965" ht="30" customHeight="1">
      <c r="A3965" s="47" t="inlineStr">
        <is>
          <t>Trigger</t>
        </is>
      </c>
      <c r="B3965" s="56" t="inlineStr">
        <is>
          <t>• Chỉ xem/xuất không tự chạy xét.</t>
        </is>
      </c>
      <c r="C3965" s="57" t="n"/>
      <c r="D3965" s="57" t="n"/>
      <c r="E3965" s="57" t="n"/>
    </row>
    <row r="3966" ht="146" customHeight="1">
      <c r="A3966" s="47" t="inlineStr">
        <is>
          <t>Blocker</t>
        </is>
      </c>
      <c r="B3966" s="56" t="inlineStr">
        <is>
          <t>• G-ORACLE-TC-RS-FUNC-035: Phần kỳ vọng chưa chốt trong bản nguồn: Theo đặc tả v2 mục 7.2 “Bảng sự kiện”: nhập thành công → S01 Đỏ. tài liệu chia công việc v2 chưa đưa đường ghi điểm “HR成績CSV一括登録 (đăng ký điểm hàng loạt bằng CSV)” vào đường được hỗ trợ;
•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
• G-PREP-UNASSESSED: Chưa có xác minh fixture, đường thực hiện và phép quan sát trên build của từng case chưa đánh giá.</t>
        </is>
      </c>
      <c r="C3966" s="57" t="n"/>
      <c r="D3966" s="57" t="n"/>
      <c r="E3966" s="57" t="n"/>
    </row>
    <row r="3967" ht="30" customHeight="1">
      <c r="A3967" s="58" t="inlineStr">
        <is>
          <t>Thao tác</t>
        </is>
      </c>
      <c r="B3967" s="59" t="n"/>
      <c r="C3967" s="59" t="n"/>
      <c r="D3967" s="59" t="n"/>
      <c r="E3967" s="59" t="n"/>
    </row>
    <row r="3968" ht="30" customHeight="1">
      <c r="A3968" s="47" t="inlineStr">
        <is>
          <t>Step 1</t>
        </is>
      </c>
      <c r="B3968" s="56" t="inlineStr">
        <is>
          <t>Nhập CSV đăng ký điểm lớp chủ nhiệm hàng loạt（HR成績CSV一括登録） với S01=28.</t>
        </is>
      </c>
      <c r="C3968" s="57" t="n"/>
      <c r="D3968" s="57" t="n"/>
      <c r="E3968" s="57" t="n"/>
    </row>
    <row r="3969" ht="30" customHeight="1">
      <c r="A3969" s="47" t="inlineStr">
        <is>
          <t>Step 2</t>
        </is>
      </c>
      <c r="B3969" s="56" t="inlineStr">
        <is>
          <t>Xem kết quả.</t>
        </is>
      </c>
      <c r="C3969" s="57" t="n"/>
      <c r="D3969" s="57" t="n"/>
      <c r="E3969" s="57" t="n"/>
    </row>
    <row r="3970" ht="44" customHeight="1">
      <c r="A3970" s="47" t="inlineStr">
        <is>
          <t>Reset</t>
        </is>
      </c>
      <c r="B3970" s="56" t="inlineStr">
        <is>
          <t>Trước mỗi biến thể, dựng lại điều kiện/dữ liệu đầu của case bằng đường được phép; giữ các reset/fixture độc lập đã nêu trong thủ tục.</t>
        </is>
      </c>
      <c r="C3970" s="57" t="n"/>
      <c r="D3970" s="57" t="n"/>
      <c r="E3970" s="57" t="n"/>
    </row>
    <row r="3971" ht="30" customHeight="1">
      <c r="A3971" s="58" t="inlineStr">
        <is>
          <t>Kết quả mong đợi</t>
        </is>
      </c>
      <c r="B3971" s="59" t="n"/>
      <c r="C3971" s="59" t="n"/>
      <c r="D3971" s="59" t="n"/>
      <c r="E3971" s="59" t="n"/>
    </row>
    <row r="3972" ht="95" customHeight="1">
      <c r="A3972" s="47" t="inlineStr">
        <is>
          <t>•</t>
        </is>
      </c>
      <c r="B3972" s="56" t="inlineStr">
        <is>
          <t>Theo đặc tả v2 mục 7.2 “Bảng sự kiện”: nhập thành công → S01 Đỏ. tài liệu chia công việc v2 chưa đưa đường ghi điểm “HR成績CSV一括登録 (đăng ký điểm hàng loạt bằng CSV)” vào đường được hỗ trợ; code đường ghi điểm “HR成績CSV一括登録 (đăng ký điểm hàng loạt bằng CSV)” chỉ xếp hàng khi trường dùng tính tự động (context điểm đỏ khoảng trống tích hợp “Không có công thức / điểm sửa tay”) — cần xác nhận đường ghi điểm “HR成績CSV一括登録 (đăng ký điểm hàng loạt bằng CSV)” có thuộc đợt không.</t>
        </is>
      </c>
      <c r="C3972" s="57" t="n"/>
      <c r="D3972" s="57" t="n"/>
      <c r="E3972" s="57" t="n"/>
    </row>
    <row r="3973" ht="44" customHeight="1">
      <c r="A3973" s="47" t="inlineStr">
        <is>
          <t>Giữ nguyên</t>
        </is>
      </c>
      <c r="B3973" s="56" t="inlineStr">
        <is>
          <t>• Giữ điểm, cấu hình và đối tượng không đích theo expected;
• Chỉ thay phần thủ tục yêu cầu, không tự đổi oracle hoặc mở rộng phạm vi.</t>
        </is>
      </c>
      <c r="C3973" s="57" t="n"/>
      <c r="D3973" s="57" t="n"/>
      <c r="E3973" s="57" t="n"/>
    </row>
    <row r="3974" ht="61" customHeight="1">
      <c r="A3974" s="47" t="inlineStr">
        <is>
          <t>Quan sát tại</t>
        </is>
      </c>
      <c r="B3974" s="56" t="inlineStr">
        <is>
          <t>• Dùng trích xuất không lọc để thấy cả ô đối chứng. Trạng thái không có dấu đỏ cần đọc thêm trạng thái lưu;
• Output Excel/PDF dùng file thật.</t>
        </is>
      </c>
      <c r="C3974" s="57" t="n"/>
      <c r="D3974" s="57" t="n"/>
      <c r="E3974" s="57" t="n"/>
    </row>
    <row r="3975" ht="30" customHeight="1">
      <c r="A3975" s="58" t="inlineStr">
        <is>
          <t>Kết quả thực tế</t>
        </is>
      </c>
      <c r="B3975" s="59" t="n"/>
      <c r="C3975" s="59" t="n"/>
      <c r="D3975" s="59" t="n"/>
      <c r="E3975" s="59" t="n"/>
    </row>
    <row r="3976" ht="30" customHeight="1">
      <c r="A3976" s="60" t="inlineStr">
        <is>
          <t>TC-RS-FUNC-035 / auto-on</t>
        </is>
      </c>
      <c r="B3976" s="36" t="n"/>
      <c r="C3976" s="36" t="n"/>
      <c r="D3976" s="36" t="n"/>
      <c r="E3976" s="36" t="n"/>
    </row>
    <row r="3977" ht="30" customHeight="1">
      <c r="A3977" s="47" t="inlineStr">
        <is>
          <t>Dữ liệu biến thể</t>
        </is>
      </c>
      <c r="B3977" s="56" t="inlineStr">
        <is>
          <t>Trường có tính tự động</t>
        </is>
      </c>
      <c r="C3977" s="57" t="n"/>
      <c r="D3977" s="57" t="n"/>
      <c r="E3977" s="57" t="n"/>
    </row>
    <row r="3978" ht="30" customHeight="1">
      <c r="A3978" s="47" t="inlineStr">
        <is>
          <t>Trạng thái</t>
        </is>
      </c>
      <c r="B3978" s="61" t="inlineStr">
        <is>
          <t>Chưa thực hiện</t>
        </is>
      </c>
      <c r="C3978" s="57" t="n"/>
      <c r="D3978" s="57" t="n"/>
      <c r="E3978" s="57" t="n"/>
    </row>
    <row r="3979" ht="30" customHeight="1">
      <c r="A3979" s="62" t="inlineStr">
        <is>
          <t>Kết quả thực tế</t>
        </is>
      </c>
    </row>
    <row r="3980" ht="64" customHeight="1">
      <c r="A3980" s="63" t="inlineStr"/>
      <c r="B3980" s="64" t="n"/>
      <c r="C3980" s="64" t="n"/>
      <c r="D3980" s="64" t="n"/>
      <c r="E3980" s="65" t="n"/>
    </row>
    <row r="3981" ht="30" customHeight="1">
      <c r="A3981" s="62" t="inlineStr">
        <is>
          <t>Ảnh minh chứng</t>
        </is>
      </c>
    </row>
    <row r="3982" ht="90" customHeight="1">
      <c r="A3982" s="63" t="inlineStr"/>
      <c r="B3982" s="64" t="n"/>
      <c r="C3982" s="64" t="n"/>
      <c r="D3982" s="64" t="n"/>
      <c r="E3982" s="65" t="n"/>
    </row>
    <row r="3983" ht="12" customHeight="1">
      <c r="A3983" s="66" t="inlineStr"/>
    </row>
    <row r="3984" ht="30" customHeight="1">
      <c r="A3984" s="60" t="inlineStr">
        <is>
          <t>TC-RS-FUNC-035 / auto-off</t>
        </is>
      </c>
      <c r="B3984" s="36" t="n"/>
      <c r="C3984" s="36" t="n"/>
      <c r="D3984" s="36" t="n"/>
      <c r="E3984" s="36" t="n"/>
    </row>
    <row r="3985" ht="30" customHeight="1">
      <c r="A3985" s="47" t="inlineStr">
        <is>
          <t>Dữ liệu biến thể</t>
        </is>
      </c>
      <c r="B3985" s="56" t="inlineStr">
        <is>
          <t>Trường không có tính tự động</t>
        </is>
      </c>
      <c r="C3985" s="57" t="n"/>
      <c r="D3985" s="57" t="n"/>
      <c r="E3985" s="57" t="n"/>
    </row>
    <row r="3986" ht="30" customHeight="1">
      <c r="A3986" s="47" t="inlineStr">
        <is>
          <t>Trạng thái</t>
        </is>
      </c>
      <c r="B3986" s="61" t="inlineStr">
        <is>
          <t>Chưa thực hiện</t>
        </is>
      </c>
      <c r="C3986" s="57" t="n"/>
      <c r="D3986" s="57" t="n"/>
      <c r="E3986" s="57" t="n"/>
    </row>
    <row r="3987" ht="30" customHeight="1">
      <c r="A3987" s="62" t="inlineStr">
        <is>
          <t>Kết quả thực tế</t>
        </is>
      </c>
    </row>
    <row r="3988" ht="64" customHeight="1">
      <c r="A3988" s="63" t="inlineStr"/>
      <c r="B3988" s="64" t="n"/>
      <c r="C3988" s="64" t="n"/>
      <c r="D3988" s="64" t="n"/>
      <c r="E3988" s="65" t="n"/>
    </row>
    <row r="3989" ht="30" customHeight="1">
      <c r="A3989" s="62" t="inlineStr">
        <is>
          <t>Ảnh minh chứng</t>
        </is>
      </c>
    </row>
    <row r="3990" ht="90" customHeight="1">
      <c r="A3990" s="63" t="inlineStr"/>
      <c r="B3990" s="64" t="n"/>
      <c r="C3990" s="64" t="n"/>
      <c r="D3990" s="64" t="n"/>
      <c r="E3990" s="65" t="n"/>
    </row>
    <row r="3991" ht="12" customHeight="1">
      <c r="A3991" s="66" t="inlineStr"/>
    </row>
    <row r="3992" ht="20" customHeight="1">
      <c r="A3992" s="66" t="inlineStr"/>
    </row>
    <row r="3993" ht="30" customHeight="1">
      <c r="A3993" s="46" t="inlineStr">
        <is>
          <t>TC-RS-BR-015 — Lưu cấu hình không xét; kết quả trước giữ tới lần chạy lại</t>
        </is>
      </c>
      <c r="B3993" s="23" t="n"/>
      <c r="C3993" s="23" t="n"/>
      <c r="D3993" s="23" t="n"/>
      <c r="E3993" s="23" t="n"/>
    </row>
    <row r="3994" ht="30" customHeight="1">
      <c r="A3994" s="47" t="inlineStr">
        <is>
          <t>Trạng thái</t>
        </is>
      </c>
      <c r="B3994" s="61" t="inlineStr">
        <is>
          <t>Chưa thực hiện</t>
        </is>
      </c>
      <c r="C3994" s="57" t="n"/>
      <c r="D3994" s="57" t="n"/>
      <c r="E3994" s="57" t="n"/>
    </row>
    <row r="3995" ht="30" customHeight="1">
      <c r="A3995" s="47" t="inlineStr">
        <is>
          <t>Màn hình / chức năng</t>
        </is>
      </c>
      <c r="B3995" s="47" t="inlineStr">
        <is>
          <t>Vòng đời kết quả</t>
        </is>
      </c>
      <c r="C3995" s="57" t="n"/>
      <c r="D3995" s="47" t="inlineStr">
        <is>
          <t>Đường dẫn</t>
        </is>
      </c>
      <c r="E3995" s="56" t="inlineStr">
        <is>
          <t>Chưa xác minh</t>
        </is>
      </c>
    </row>
    <row r="3996" ht="30" customHeight="1">
      <c r="A3996" s="58" t="inlineStr">
        <is>
          <t>Điều kiện kiểm thử</t>
        </is>
      </c>
      <c r="B3996" s="59" t="n"/>
      <c r="C3996" s="59" t="n"/>
      <c r="D3996" s="59" t="n"/>
      <c r="E3996" s="59" t="n"/>
    </row>
    <row r="3997" ht="44" customHeight="1">
      <c r="A3997" s="47" t="inlineStr">
        <is>
          <t>Cấu hình</t>
        </is>
      </c>
      <c r="B3997" s="56" t="inlineStr">
        <is>
          <t>• Quy tắc “Cố định 30” (dưới 30);
• S03 sửa thành 32 và đã xét → Không đỏ.</t>
        </is>
      </c>
      <c r="C3997" s="57" t="n"/>
      <c r="D3997" s="57" t="n"/>
      <c r="E3997" s="57" t="n"/>
    </row>
    <row r="3998" ht="61" customHeight="1">
      <c r="A3998" s="47" t="inlineStr">
        <is>
          <t>Vai trò / quyền</t>
        </is>
      </c>
      <c r="B399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3998" s="57" t="n"/>
      <c r="D3998" s="57" t="n"/>
      <c r="E3998" s="57" t="n"/>
    </row>
    <row r="3999" ht="30" customHeight="1">
      <c r="A3999" s="47" t="inlineStr">
        <is>
          <t>Dữ liệu test</t>
        </is>
      </c>
      <c r="B3999" s="56" t="inlineStr">
        <is>
          <t>• Quy tắc “Cố định 30” (dưới 30)</t>
        </is>
      </c>
      <c r="C3999" s="57" t="n"/>
      <c r="D3999" s="57" t="n"/>
      <c r="E3999" s="57" t="n"/>
    </row>
    <row r="4000" ht="30" customHeight="1">
      <c r="A4000" s="47" t="inlineStr">
        <is>
          <t>Trigger</t>
        </is>
      </c>
      <c r="B4000" s="56" t="inlineStr">
        <is>
          <t>• Chỉ xem/xuất không tự chạy xét.</t>
        </is>
      </c>
      <c r="C4000" s="57" t="n"/>
      <c r="D4000" s="57" t="n"/>
      <c r="E4000" s="57" t="n"/>
    </row>
    <row r="4001" ht="44" customHeight="1">
      <c r="A4001" s="47" t="inlineStr">
        <is>
          <t>Blocker</t>
        </is>
      </c>
      <c r="B4001" s="56" t="inlineStr">
        <is>
          <t>• G-PREP-UNASSESSED: Chưa có xác minh fixture, đường thực hiện và phép quan sát trên build của từng case chưa đánh giá.</t>
        </is>
      </c>
      <c r="C4001" s="57" t="n"/>
      <c r="D4001" s="57" t="n"/>
      <c r="E4001" s="57" t="n"/>
    </row>
    <row r="4002" ht="30" customHeight="1">
      <c r="A4002" s="58" t="inlineStr">
        <is>
          <t>Thao tác</t>
        </is>
      </c>
      <c r="B4002" s="59" t="n"/>
      <c r="C4002" s="59" t="n"/>
      <c r="D4002" s="59" t="n"/>
      <c r="E4002" s="59" t="n"/>
    </row>
    <row r="4003" ht="30" customHeight="1">
      <c r="A4003" s="47" t="inlineStr">
        <is>
          <t>Step 1</t>
        </is>
      </c>
      <c r="B4003" s="56" t="inlineStr">
        <is>
          <t>Đổi ngưỡng thành 35 [&lt;], lưu.</t>
        </is>
      </c>
      <c r="C4003" s="57" t="n"/>
      <c r="D4003" s="57" t="n"/>
      <c r="E4003" s="57" t="n"/>
    </row>
    <row r="4004" ht="30" customHeight="1">
      <c r="A4004" s="47" t="inlineStr">
        <is>
          <t>Step 2</t>
        </is>
      </c>
      <c r="B4004" s="56" t="inlineStr">
        <is>
          <t>Xem ba đầu ra.</t>
        </is>
      </c>
      <c r="C4004" s="57" t="n"/>
      <c r="D4004" s="57" t="n"/>
      <c r="E4004" s="57" t="n"/>
    </row>
    <row r="4005" ht="30" customHeight="1">
      <c r="A4005" s="47" t="inlineStr">
        <is>
          <t>Step 3</t>
        </is>
      </c>
      <c r="B4005" s="56" t="inlineStr">
        <is>
          <t>Đổi thứ tự quy tắc/đổi nguồn (nếu có), lưu, xem lại.</t>
        </is>
      </c>
      <c r="C4005" s="57" t="n"/>
      <c r="D4005" s="57" t="n"/>
      <c r="E4005" s="57" t="n"/>
    </row>
    <row r="4006" ht="44" customHeight="1">
      <c r="A4006" s="47" t="inlineStr">
        <is>
          <t>Step 4</t>
        </is>
      </c>
      <c r="B4006" s="56" t="inlineStr">
        <is>
          <t>Chỉ đổi dấu ([&lt;35] → [≤35]), lưu, xem lại. Nếu công thức thuộc đợt phát hành: chỉ đổi công thức của một quy tắc công thức, lưu, xem lại.</t>
        </is>
      </c>
      <c r="C4006" s="57" t="n"/>
      <c r="D4006" s="57" t="n"/>
      <c r="E4006" s="57" t="n"/>
    </row>
    <row r="4007" ht="30" customHeight="1">
      <c r="A4007" s="47" t="inlineStr">
        <is>
          <t>Step 5</t>
        </is>
      </c>
      <c r="B4007" s="56" t="inlineStr">
        <is>
          <t>Chạy lại (đăng ký lại điểm S03 hoặc nút cam), xem ba đầu ra.</t>
        </is>
      </c>
      <c r="C4007" s="57" t="n"/>
      <c r="D4007" s="57" t="n"/>
      <c r="E4007" s="57" t="n"/>
    </row>
    <row r="4008" ht="44" customHeight="1">
      <c r="A4008" s="47" t="inlineStr">
        <is>
          <t>Reset</t>
        </is>
      </c>
      <c r="B4008" s="56" t="inlineStr">
        <is>
          <t>Trước mỗi biến thể, dựng lại điều kiện/dữ liệu đầu của case bằng đường được phép; giữ các reset/fixture độc lập đã nêu trong thủ tục.</t>
        </is>
      </c>
      <c r="C4008" s="57" t="n"/>
      <c r="D4008" s="57" t="n"/>
      <c r="E4008" s="57" t="n"/>
    </row>
    <row r="4009" ht="30" customHeight="1">
      <c r="A4009" s="58" t="inlineStr">
        <is>
          <t>Kết quả mong đợi</t>
        </is>
      </c>
      <c r="B4009" s="59" t="n"/>
      <c r="C4009" s="59" t="n"/>
      <c r="D4009" s="59" t="n"/>
      <c r="E4009" s="59" t="n"/>
    </row>
    <row r="4010" ht="30" customHeight="1">
      <c r="A4010" s="47" t="inlineStr">
        <is>
          <t>1.</t>
        </is>
      </c>
      <c r="B4010" s="56" t="inlineStr">
        <is>
          <t>Sau lưu: không báo "đã cập nhật điểm đỏ học sinh"; có hướng dẫn chạy lại.</t>
        </is>
      </c>
      <c r="C4010" s="57" t="n"/>
      <c r="D4010" s="57" t="n"/>
      <c r="E4010" s="57" t="n"/>
    </row>
    <row r="4011" ht="30" customHeight="1">
      <c r="A4011" s="47" t="inlineStr">
        <is>
          <t>•</t>
        </is>
      </c>
      <c r="B4011" s="56" t="inlineStr">
        <is>
          <t>2–4. S03 vẫn Không đỏ theo kết quả trước; hiệu ứng hiển thị trước đó giữ nguyên.</t>
        </is>
      </c>
      <c r="C4011" s="57" t="n"/>
      <c r="D4011" s="57" t="n"/>
      <c r="E4011" s="57" t="n"/>
    </row>
    <row r="4012" ht="30" customHeight="1">
      <c r="A4012" s="47" t="inlineStr">
        <is>
          <t>5.</t>
        </is>
      </c>
      <c r="B4012" s="56" t="inlineStr">
        <is>
          <t>Sau chạy lại thành công: S03 Đỏ.</t>
        </is>
      </c>
      <c r="C4012" s="57" t="n"/>
      <c r="D4012" s="57" t="n"/>
      <c r="E4012" s="57" t="n"/>
    </row>
    <row r="4013" ht="44" customHeight="1">
      <c r="A4013" s="47" t="inlineStr">
        <is>
          <t>Giữ nguyên</t>
        </is>
      </c>
      <c r="B4013" s="56" t="inlineStr">
        <is>
          <t>• Giữ điểm, cấu hình và đối tượng không đích theo expected;
• Chỉ thay phần thủ tục yêu cầu, không tự đổi oracle hoặc mở rộng phạm vi.</t>
        </is>
      </c>
      <c r="C4013" s="57" t="n"/>
      <c r="D4013" s="57" t="n"/>
      <c r="E4013" s="57" t="n"/>
    </row>
    <row r="4014" ht="61" customHeight="1">
      <c r="A4014" s="47" t="inlineStr">
        <is>
          <t>Quan sát tại</t>
        </is>
      </c>
      <c r="B4014" s="56" t="inlineStr">
        <is>
          <t>• Dùng trích xuất không lọc để thấy cả ô đối chứng. Trạng thái không có dấu đỏ cần đọc thêm trạng thái lưu;
• Output Excel/PDF dùng file thật.</t>
        </is>
      </c>
      <c r="C4014" s="57" t="n"/>
      <c r="D4014" s="57" t="n"/>
      <c r="E4014" s="57" t="n"/>
    </row>
    <row r="4015" ht="30" customHeight="1">
      <c r="A4015" s="58" t="inlineStr">
        <is>
          <t>Kết quả thực tế</t>
        </is>
      </c>
      <c r="B4015" s="59" t="n"/>
      <c r="C4015" s="59" t="n"/>
      <c r="D4015" s="59" t="n"/>
      <c r="E4015" s="59" t="n"/>
    </row>
    <row r="4016" ht="30" customHeight="1">
      <c r="A4016" s="47" t="inlineStr">
        <is>
          <t>Dữ liệu biến thể</t>
        </is>
      </c>
      <c r="B4016" s="56" t="inlineStr">
        <is>
          <t>Toàn bộ thủ tục theo đúng thứ tự; các đối chứng cùng fixture được kiểm trong cùng lượt, không bỏ bước</t>
        </is>
      </c>
      <c r="C4016" s="57" t="n"/>
      <c r="D4016" s="57" t="n"/>
      <c r="E4016" s="57" t="n"/>
    </row>
    <row r="4017" ht="30" customHeight="1">
      <c r="A4017" s="62" t="inlineStr">
        <is>
          <t>Kết quả thực tế</t>
        </is>
      </c>
    </row>
    <row r="4018" ht="64" customHeight="1">
      <c r="A4018" s="63" t="inlineStr"/>
      <c r="B4018" s="64" t="n"/>
      <c r="C4018" s="64" t="n"/>
      <c r="D4018" s="64" t="n"/>
      <c r="E4018" s="65" t="n"/>
    </row>
    <row r="4019" ht="30" customHeight="1">
      <c r="A4019" s="62" t="inlineStr">
        <is>
          <t>Ảnh minh chứng</t>
        </is>
      </c>
    </row>
    <row r="4020" ht="90" customHeight="1">
      <c r="A4020" s="63" t="inlineStr"/>
      <c r="B4020" s="64" t="n"/>
      <c r="C4020" s="64" t="n"/>
      <c r="D4020" s="64" t="n"/>
      <c r="E4020" s="65" t="n"/>
    </row>
    <row r="4021" ht="12" customHeight="1">
      <c r="A4021" s="66" t="inlineStr"/>
    </row>
    <row r="4022" ht="20" customHeight="1">
      <c r="A4022" s="66" t="inlineStr"/>
    </row>
    <row r="4023" ht="30" customHeight="1">
      <c r="A4023" s="46" t="inlineStr">
        <is>
          <t>TC-RS-BR-016 — Sửa điểm 29 → 40 được lưu và xét trong cùng lượt</t>
        </is>
      </c>
      <c r="B4023" s="23" t="n"/>
      <c r="C4023" s="23" t="n"/>
      <c r="D4023" s="23" t="n"/>
      <c r="E4023" s="23" t="n"/>
    </row>
    <row r="4024" ht="30" customHeight="1">
      <c r="A4024" s="47" t="inlineStr">
        <is>
          <t>Trạng thái</t>
        </is>
      </c>
      <c r="B4024" s="61" t="inlineStr">
        <is>
          <t>Chưa thực hiện</t>
        </is>
      </c>
      <c r="C4024" s="57" t="n"/>
      <c r="D4024" s="57" t="n"/>
      <c r="E4024" s="57" t="n"/>
    </row>
    <row r="4025" ht="30" customHeight="1">
      <c r="A4025" s="47" t="inlineStr">
        <is>
          <t>Màn hình / chức năng</t>
        </is>
      </c>
      <c r="B4025" s="47" t="inlineStr">
        <is>
          <t>Vòng đời kết quả</t>
        </is>
      </c>
      <c r="C4025" s="57" t="n"/>
      <c r="D4025" s="47" t="inlineStr">
        <is>
          <t>Đường dẫn</t>
        </is>
      </c>
      <c r="E4025" s="56" t="inlineStr">
        <is>
          <t>Chưa xác minh</t>
        </is>
      </c>
    </row>
    <row r="4026" ht="30" customHeight="1">
      <c r="A4026" s="58" t="inlineStr">
        <is>
          <t>Điều kiện kiểm thử</t>
        </is>
      </c>
      <c r="B4026" s="59" t="n"/>
      <c r="C4026" s="59" t="n"/>
      <c r="D4026" s="59" t="n"/>
      <c r="E4026" s="59" t="n"/>
    </row>
    <row r="4027" ht="44" customHeight="1">
      <c r="A4027" s="47" t="inlineStr">
        <is>
          <t>Cấu hình</t>
        </is>
      </c>
      <c r="B4027" s="56" t="inlineStr">
        <is>
          <t>• Quy tắc “Cố định 30” (dưới 30);
• S01=29 Đỏ.</t>
        </is>
      </c>
      <c r="C4027" s="57" t="n"/>
      <c r="D4027" s="57" t="n"/>
      <c r="E4027" s="57" t="n"/>
    </row>
    <row r="4028" ht="61" customHeight="1">
      <c r="A4028" s="47" t="inlineStr">
        <is>
          <t>Vai trò / quyền</t>
        </is>
      </c>
      <c r="B402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028" s="57" t="n"/>
      <c r="D4028" s="57" t="n"/>
      <c r="E4028" s="57" t="n"/>
    </row>
    <row r="4029" ht="44" customHeight="1">
      <c r="A4029" s="47" t="inlineStr">
        <is>
          <t>Dữ liệu test</t>
        </is>
      </c>
      <c r="B4029" s="56" t="inlineStr">
        <is>
          <t>• Quy tắc “Cố định 30” (dưới 30);
• Học sinh S01 (điểm 29)</t>
        </is>
      </c>
      <c r="C4029" s="57" t="n"/>
      <c r="D4029" s="57" t="n"/>
      <c r="E4029" s="57" t="n"/>
    </row>
    <row r="4030" ht="30" customHeight="1">
      <c r="A4030" s="47" t="inlineStr">
        <is>
          <t>Trigger</t>
        </is>
      </c>
      <c r="B4030" s="56" t="inlineStr">
        <is>
          <t>• Chỉ xem/xuất không tự chạy xét.</t>
        </is>
      </c>
      <c r="C4030" s="57" t="n"/>
      <c r="D4030" s="57" t="n"/>
      <c r="E4030" s="57" t="n"/>
    </row>
    <row r="4031" ht="44" customHeight="1">
      <c r="A4031" s="47" t="inlineStr">
        <is>
          <t>Blocker</t>
        </is>
      </c>
      <c r="B4031" s="56" t="inlineStr">
        <is>
          <t>• G-PREP-UNASSESSED: Chưa có xác minh fixture, đường thực hiện và phép quan sát trên build của từng case chưa đánh giá.</t>
        </is>
      </c>
      <c r="C4031" s="57" t="n"/>
      <c r="D4031" s="57" t="n"/>
      <c r="E4031" s="57" t="n"/>
    </row>
    <row r="4032" ht="30" customHeight="1">
      <c r="A4032" s="58" t="inlineStr">
        <is>
          <t>Thao tác</t>
        </is>
      </c>
      <c r="B4032" s="59" t="n"/>
      <c r="C4032" s="59" t="n"/>
      <c r="D4032" s="59" t="n"/>
      <c r="E4032" s="59" t="n"/>
    </row>
    <row r="4033" ht="30" customHeight="1">
      <c r="A4033" s="47" t="inlineStr">
        <is>
          <t>Step 1</t>
        </is>
      </c>
      <c r="B4033" s="56" t="inlineStr">
        <is>
          <t>Sửa S01 thành 40, lưu thành công.</t>
        </is>
      </c>
      <c r="C4033" s="57" t="n"/>
      <c r="D4033" s="57" t="n"/>
      <c r="E4033" s="57" t="n"/>
    </row>
    <row r="4034" ht="30" customHeight="1">
      <c r="A4034" s="47" t="inlineStr">
        <is>
          <t>Step 2</t>
        </is>
      </c>
      <c r="B4034" s="56" t="inlineStr">
        <is>
          <t>Xem ba đầu ra ngay sau đó.</t>
        </is>
      </c>
      <c r="C4034" s="57" t="n"/>
      <c r="D4034" s="57" t="n"/>
      <c r="E4034" s="57" t="n"/>
    </row>
    <row r="4035" ht="44" customHeight="1">
      <c r="A4035" s="47" t="inlineStr">
        <is>
          <t>Reset</t>
        </is>
      </c>
      <c r="B4035" s="56" t="inlineStr">
        <is>
          <t>Trước mỗi biến thể, dựng lại điều kiện/dữ liệu đầu của case bằng đường được phép; giữ các reset/fixture độc lập đã nêu trong thủ tục.</t>
        </is>
      </c>
      <c r="C4035" s="57" t="n"/>
      <c r="D4035" s="57" t="n"/>
      <c r="E4035" s="57" t="n"/>
    </row>
    <row r="4036" ht="30" customHeight="1">
      <c r="A4036" s="58" t="inlineStr">
        <is>
          <t>Kết quả mong đợi</t>
        </is>
      </c>
      <c r="B4036" s="59" t="n"/>
      <c r="C4036" s="59" t="n"/>
      <c r="D4036" s="59" t="n"/>
      <c r="E4036" s="59" t="n"/>
    </row>
    <row r="4037" ht="30" customHeight="1">
      <c r="A4037" s="47" t="inlineStr">
        <is>
          <t>•</t>
        </is>
      </c>
      <c r="B4037" s="56" t="inlineStr">
        <is>
          <t>S01 Không đỏ; không cần bật một chế độ thủ công/tự động riêng.</t>
        </is>
      </c>
      <c r="C4037" s="57" t="n"/>
      <c r="D4037" s="57" t="n"/>
      <c r="E4037" s="57" t="n"/>
    </row>
    <row r="4038" ht="44" customHeight="1">
      <c r="A4038" s="47" t="inlineStr">
        <is>
          <t>Giữ nguyên</t>
        </is>
      </c>
      <c r="B4038" s="56" t="inlineStr">
        <is>
          <t>• Giữ điểm, cấu hình và đối tượng không đích theo expected;
• Chỉ thay phần thủ tục yêu cầu, không tự đổi oracle hoặc mở rộng phạm vi.</t>
        </is>
      </c>
      <c r="C4038" s="57" t="n"/>
      <c r="D4038" s="57" t="n"/>
      <c r="E4038" s="57" t="n"/>
    </row>
    <row r="4039" ht="61" customHeight="1">
      <c r="A4039" s="47" t="inlineStr">
        <is>
          <t>Quan sát tại</t>
        </is>
      </c>
      <c r="B4039" s="56" t="inlineStr">
        <is>
          <t>• Dùng trích xuất không lọc để thấy cả ô đối chứng. Trạng thái không có dấu đỏ cần đọc thêm trạng thái lưu;
• Output Excel/PDF dùng file thật.</t>
        </is>
      </c>
      <c r="C4039" s="57" t="n"/>
      <c r="D4039" s="57" t="n"/>
      <c r="E4039" s="57" t="n"/>
    </row>
    <row r="4040" ht="30" customHeight="1">
      <c r="A4040" s="58" t="inlineStr">
        <is>
          <t>Kết quả thực tế</t>
        </is>
      </c>
      <c r="B4040" s="59" t="n"/>
      <c r="C4040" s="59" t="n"/>
      <c r="D4040" s="59" t="n"/>
      <c r="E4040" s="59" t="n"/>
    </row>
    <row r="4041" ht="30" customHeight="1">
      <c r="A4041" s="47" t="inlineStr">
        <is>
          <t>Dữ liệu biến thể</t>
        </is>
      </c>
      <c r="B4041" s="56" t="inlineStr">
        <is>
          <t>Toàn bộ thủ tục theo đúng thứ tự; các đối chứng cùng fixture được kiểm trong cùng lượt, không bỏ bước</t>
        </is>
      </c>
      <c r="C4041" s="57" t="n"/>
      <c r="D4041" s="57" t="n"/>
      <c r="E4041" s="57" t="n"/>
    </row>
    <row r="4042" ht="30" customHeight="1">
      <c r="A4042" s="62" t="inlineStr">
        <is>
          <t>Kết quả thực tế</t>
        </is>
      </c>
    </row>
    <row r="4043" ht="64" customHeight="1">
      <c r="A4043" s="63" t="inlineStr"/>
      <c r="B4043" s="64" t="n"/>
      <c r="C4043" s="64" t="n"/>
      <c r="D4043" s="64" t="n"/>
      <c r="E4043" s="65" t="n"/>
    </row>
    <row r="4044" ht="30" customHeight="1">
      <c r="A4044" s="62" t="inlineStr">
        <is>
          <t>Ảnh minh chứng</t>
        </is>
      </c>
    </row>
    <row r="4045" ht="90" customHeight="1">
      <c r="A4045" s="63" t="inlineStr"/>
      <c r="B4045" s="64" t="n"/>
      <c r="C4045" s="64" t="n"/>
      <c r="D4045" s="64" t="n"/>
      <c r="E4045" s="65" t="n"/>
    </row>
    <row r="4046" ht="12" customHeight="1">
      <c r="A4046" s="66" t="inlineStr"/>
    </row>
    <row r="4047" ht="20" customHeight="1">
      <c r="A4047" s="66" t="inlineStr"/>
    </row>
    <row r="4048" ht="30" customHeight="1">
      <c r="A4048" s="46" t="inlineStr">
        <is>
          <t>TC-RS-BR-017 — Chạy lại không tạo được ngưỡng hợp lệ → Chưa xét được, ngừng kết quả cũ, giữ điểm</t>
        </is>
      </c>
      <c r="B4048" s="23" t="n"/>
      <c r="C4048" s="23" t="n"/>
      <c r="D4048" s="23" t="n"/>
      <c r="E4048" s="23" t="n"/>
    </row>
    <row r="4049" ht="30" customHeight="1">
      <c r="A4049" s="47" t="inlineStr">
        <is>
          <t>Trạng thái</t>
        </is>
      </c>
      <c r="B4049" s="56">
        <f>IF(0&gt;0,"Không đạt",IF(0=3,"Đạt",IF(SUMPRODUCT(--EXACT('Testcases'!B4070:B4086,"Không thực hiện"))=3,"Không thực hiện",IF(SUMPRODUCT(--EXACT('Testcases'!B4070:B4086,"Bị chặn"))&gt;0,"Bị chặn",IF(SUMPRODUCT(--EXACT('Testcases'!B4070:B4086,"Chưa thực hiện"))=3,"Chưa thực hiện","Chưa đủ kết luận")))))</f>
        <v/>
      </c>
      <c r="C4049" s="57" t="n"/>
      <c r="D4049" s="57" t="n"/>
      <c r="E4049" s="57" t="n"/>
    </row>
    <row r="4050" ht="30" customHeight="1">
      <c r="A4050" s="47" t="inlineStr">
        <is>
          <t>Màn hình / chức năng</t>
        </is>
      </c>
      <c r="B4050" s="47" t="inlineStr">
        <is>
          <t>Vòng đời kết quả</t>
        </is>
      </c>
      <c r="C4050" s="57" t="n"/>
      <c r="D4050" s="47" t="inlineStr">
        <is>
          <t>Đường dẫn</t>
        </is>
      </c>
      <c r="E4050" s="56" t="inlineStr">
        <is>
          <t>Chưa xác minh</t>
        </is>
      </c>
    </row>
    <row r="4051" ht="30" customHeight="1">
      <c r="A4051" s="58" t="inlineStr">
        <is>
          <t>Điều kiện kiểm thử</t>
        </is>
      </c>
      <c r="B4051" s="59" t="n"/>
      <c r="C4051" s="59" t="n"/>
      <c r="D4051" s="59" t="n"/>
      <c r="E4051" s="59" t="n"/>
    </row>
    <row r="4052" ht="30" customHeight="1">
      <c r="A4052" s="47" t="inlineStr">
        <is>
          <t>Cấu hình</t>
        </is>
      </c>
      <c r="B4052" s="56" t="inlineStr">
        <is>
          <t>• Ô S01=29 Đỏ theo công thức [A×0.5] (nguồn bản tổng hợp mới nhất chưa chốt (trung bình 62)).</t>
        </is>
      </c>
      <c r="C4052" s="57" t="n"/>
      <c r="D4052" s="57" t="n"/>
      <c r="E4052" s="57" t="n"/>
    </row>
    <row r="4053" ht="61" customHeight="1">
      <c r="A4053" s="47" t="inlineStr">
        <is>
          <t>Vai trò / quyền</t>
        </is>
      </c>
      <c r="B405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053" s="57" t="n"/>
      <c r="D4053" s="57" t="n"/>
      <c r="E4053" s="57" t="n"/>
    </row>
    <row r="4054" ht="61" customHeight="1">
      <c r="A4054" s="47" t="inlineStr">
        <is>
          <t>Dữ liệu test</t>
        </is>
      </c>
      <c r="B4054" s="56" t="inlineStr">
        <is>
          <t>• Mục có M không hợp lệ, quy tắc công thức 100 ÷ trung bình, bản tổng hợp mới nhất chưa chốt (trung bình 62);
• Học sinh S01 (điểm 29), nguồn chưa có kết quả tổng hợp</t>
        </is>
      </c>
      <c r="C4054" s="57" t="n"/>
      <c r="D4054" s="57" t="n"/>
      <c r="E4054" s="57" t="n"/>
    </row>
    <row r="4055" ht="30" customHeight="1">
      <c r="A4055" s="47" t="inlineStr">
        <is>
          <t>Trigger</t>
        </is>
      </c>
      <c r="B4055" s="56" t="inlineStr">
        <is>
          <t>• Chỉ xem/xuất không tự chạy xét.</t>
        </is>
      </c>
      <c r="C4055" s="57" t="n"/>
      <c r="D4055" s="57" t="n"/>
      <c r="E4055" s="57" t="n"/>
    </row>
    <row r="4056" ht="44" customHeight="1">
      <c r="A4056" s="47" t="inlineStr">
        <is>
          <t>Blocker</t>
        </is>
      </c>
      <c r="B4056" s="56" t="inlineStr">
        <is>
          <t>• G-PREP-UNASSESSED: Chưa có xác minh fixture, đường thực hiện và phép quan sát trên build của từng case chưa đánh giá.</t>
        </is>
      </c>
      <c r="C4056" s="57" t="n"/>
      <c r="D4056" s="57" t="n"/>
      <c r="E4056" s="57" t="n"/>
    </row>
    <row r="4057" ht="30" customHeight="1">
      <c r="A4057" s="58" t="inlineStr">
        <is>
          <t>Thao tác</t>
        </is>
      </c>
      <c r="B4057" s="59" t="n"/>
      <c r="C4057" s="59" t="n"/>
      <c r="D4057" s="59" t="n"/>
      <c r="E4057" s="59" t="n"/>
    </row>
    <row r="4058" ht="44" customHeight="1">
      <c r="A4058" s="47" t="inlineStr">
        <is>
          <t>Step 1</t>
        </is>
      </c>
      <c r="B4058" s="56" t="inlineStr">
        <is>
          <t>Từ baseline độc lập, xác nhận S01=29 đang Đỏ; tạo biến thể (a) bằng cách đổi nguồn sang nguồn chưa có kết quả tổng hợp (không có tổng hợp), lưu, chạy lại.</t>
        </is>
      </c>
      <c r="C4058" s="57" t="n"/>
      <c r="D4058" s="57" t="n"/>
      <c r="E4058" s="57" t="n"/>
    </row>
    <row r="4059" ht="44" customHeight="1">
      <c r="A4059" s="47" t="inlineStr">
        <is>
          <t>Step 2</t>
        </is>
      </c>
      <c r="B4059" s="56" t="inlineStr">
        <is>
          <t>Khôi phục/rebuild baseline S01=29 Đỏ; tạo biến thể (b) bằng quy tắc tỷ lệ với M không hợp lệ (mục có M không hợp lệ), rồi chạy lại.</t>
        </is>
      </c>
      <c r="C4059" s="57" t="n"/>
      <c r="D4059" s="57" t="n"/>
      <c r="E4059" s="57" t="n"/>
    </row>
    <row r="4060" ht="44" customHeight="1">
      <c r="A4060" s="47" t="inlineStr">
        <is>
          <t>Step 3</t>
        </is>
      </c>
      <c r="B4060" s="56" t="inlineStr">
        <is>
          <t>Khôi phục/rebuild baseline S01=29 Đỏ; tạo biến thể (c) bằng quy tắc công thức 100 ÷ trung bình với [A=0], rồi chạy lại.</t>
        </is>
      </c>
      <c r="C4060" s="57" t="n"/>
      <c r="D4060" s="57" t="n"/>
      <c r="E4060" s="57" t="n"/>
    </row>
    <row r="4061" ht="30" customHeight="1">
      <c r="A4061" s="47" t="inlineStr">
        <is>
          <t>Step 4</t>
        </is>
      </c>
      <c r="B4061" s="56" t="inlineStr">
        <is>
          <t>Sau mỗi biến thể: xem ba đầu ra và điểm S01.</t>
        </is>
      </c>
      <c r="C4061" s="57" t="n"/>
      <c r="D4061" s="57" t="n"/>
      <c r="E4061" s="57" t="n"/>
    </row>
    <row r="4062" ht="44" customHeight="1">
      <c r="A4062" s="47" t="inlineStr">
        <is>
          <t>Reset</t>
        </is>
      </c>
      <c r="B4062" s="56" t="inlineStr">
        <is>
          <t>Trước mỗi biến thể, dựng lại điều kiện/dữ liệu đầu của case bằng đường được phép; giữ các reset/fixture độc lập đã nêu trong thủ tục.</t>
        </is>
      </c>
      <c r="C4062" s="57" t="n"/>
      <c r="D4062" s="57" t="n"/>
      <c r="E4062" s="57" t="n"/>
    </row>
    <row r="4063" ht="30" customHeight="1">
      <c r="A4063" s="58" t="inlineStr">
        <is>
          <t>Kết quả mong đợi</t>
        </is>
      </c>
      <c r="B4063" s="59" t="n"/>
      <c r="C4063" s="59" t="n"/>
      <c r="D4063" s="59" t="n"/>
      <c r="E4063" s="59" t="n"/>
    </row>
    <row r="4064" ht="44" customHeight="1">
      <c r="A4064" s="47" t="inlineStr">
        <is>
          <t>•</t>
        </is>
      </c>
      <c r="B4064" s="56" t="inlineStr">
        <is>
          <t>Mỗi biến thể: trạng thái Chưa xét được; dấu/lọc đỏ cũ ngừng ở cả ba đầu ra; điểm S01 vẫn 29; không đi xuống quy tắc thấp hơn; không bật lại ngưỡng cũ [red_score].</t>
        </is>
      </c>
      <c r="C4064" s="57" t="n"/>
      <c r="D4064" s="57" t="n"/>
      <c r="E4064" s="57" t="n"/>
    </row>
    <row r="4065" ht="44" customHeight="1">
      <c r="A4065" s="47" t="inlineStr">
        <is>
          <t>Giữ nguyên</t>
        </is>
      </c>
      <c r="B4065" s="56" t="inlineStr">
        <is>
          <t>• Giữ điểm, cấu hình và đối tượng không đích theo expected;
• Chỉ thay phần thủ tục yêu cầu, không tự đổi oracle hoặc mở rộng phạm vi.</t>
        </is>
      </c>
      <c r="C4065" s="57" t="n"/>
      <c r="D4065" s="57" t="n"/>
      <c r="E4065" s="57" t="n"/>
    </row>
    <row r="4066" ht="61" customHeight="1">
      <c r="A4066" s="47" t="inlineStr">
        <is>
          <t>Quan sát tại</t>
        </is>
      </c>
      <c r="B4066" s="56" t="inlineStr">
        <is>
          <t>• Dùng trích xuất không lọc để thấy cả ô đối chứng. Trạng thái không có dấu đỏ cần đọc thêm trạng thái lưu;
• Output Excel/PDF dùng file thật.</t>
        </is>
      </c>
      <c r="C4066" s="57" t="n"/>
      <c r="D4066" s="57" t="n"/>
      <c r="E4066" s="57" t="n"/>
    </row>
    <row r="4067" ht="30" customHeight="1">
      <c r="A4067" s="58" t="inlineStr">
        <is>
          <t>Kết quả thực tế</t>
        </is>
      </c>
      <c r="B4067" s="59" t="n"/>
      <c r="C4067" s="59" t="n"/>
      <c r="D4067" s="59" t="n"/>
      <c r="E4067" s="59" t="n"/>
    </row>
    <row r="4068" ht="30" customHeight="1">
      <c r="A4068" s="60" t="inlineStr">
        <is>
          <t>TC-RS-BR-017 / invalid-M</t>
        </is>
      </c>
      <c r="B4068" s="36" t="n"/>
      <c r="C4068" s="36" t="n"/>
      <c r="D4068" s="36" t="n"/>
      <c r="E4068" s="36" t="n"/>
    </row>
    <row r="4069" ht="30" customHeight="1">
      <c r="A4069" s="47" t="inlineStr">
        <is>
          <t>Dữ liệu biến thể</t>
        </is>
      </c>
      <c r="B4069" s="56" t="inlineStr">
        <is>
          <t>Nhánh invalid-M trong thủ tục và Expected của case; thực hiện các bước chuẩn bị chung trước nhánh</t>
        </is>
      </c>
      <c r="C4069" s="57" t="n"/>
      <c r="D4069" s="57" t="n"/>
      <c r="E4069" s="57" t="n"/>
    </row>
    <row r="4070" ht="30" customHeight="1">
      <c r="A4070" s="47" t="inlineStr">
        <is>
          <t>Trạng thái</t>
        </is>
      </c>
      <c r="B4070" s="61" t="inlineStr">
        <is>
          <t>Chưa thực hiện</t>
        </is>
      </c>
      <c r="C4070" s="57" t="n"/>
      <c r="D4070" s="57" t="n"/>
      <c r="E4070" s="57" t="n"/>
    </row>
    <row r="4071" ht="30" customHeight="1">
      <c r="A4071" s="62" t="inlineStr">
        <is>
          <t>Kết quả thực tế</t>
        </is>
      </c>
    </row>
    <row r="4072" ht="64" customHeight="1">
      <c r="A4072" s="63" t="inlineStr"/>
      <c r="B4072" s="64" t="n"/>
      <c r="C4072" s="64" t="n"/>
      <c r="D4072" s="64" t="n"/>
      <c r="E4072" s="65" t="n"/>
    </row>
    <row r="4073" ht="30" customHeight="1">
      <c r="A4073" s="62" t="inlineStr">
        <is>
          <t>Ảnh minh chứng</t>
        </is>
      </c>
    </row>
    <row r="4074" ht="90" customHeight="1">
      <c r="A4074" s="63" t="inlineStr"/>
      <c r="B4074" s="64" t="n"/>
      <c r="C4074" s="64" t="n"/>
      <c r="D4074" s="64" t="n"/>
      <c r="E4074" s="65" t="n"/>
    </row>
    <row r="4075" ht="12" customHeight="1">
      <c r="A4075" s="66" t="inlineStr"/>
    </row>
    <row r="4076" ht="30" customHeight="1">
      <c r="A4076" s="60" t="inlineStr">
        <is>
          <t>TC-RS-BR-017 / missing-source</t>
        </is>
      </c>
      <c r="B4076" s="36" t="n"/>
      <c r="C4076" s="36" t="n"/>
      <c r="D4076" s="36" t="n"/>
      <c r="E4076" s="36" t="n"/>
    </row>
    <row r="4077" ht="30" customHeight="1">
      <c r="A4077" s="47" t="inlineStr">
        <is>
          <t>Dữ liệu biến thể</t>
        </is>
      </c>
      <c r="B4077" s="56" t="inlineStr">
        <is>
          <t>Nhánh missing-source trong thủ tục và Expected của case; thực hiện các bước chuẩn bị chung trước nhánh</t>
        </is>
      </c>
      <c r="C4077" s="57" t="n"/>
      <c r="D4077" s="57" t="n"/>
      <c r="E4077" s="57" t="n"/>
    </row>
    <row r="4078" ht="30" customHeight="1">
      <c r="A4078" s="47" t="inlineStr">
        <is>
          <t>Trạng thái</t>
        </is>
      </c>
      <c r="B4078" s="61" t="inlineStr">
        <is>
          <t>Chưa thực hiện</t>
        </is>
      </c>
      <c r="C4078" s="57" t="n"/>
      <c r="D4078" s="57" t="n"/>
      <c r="E4078" s="57" t="n"/>
    </row>
    <row r="4079" ht="30" customHeight="1">
      <c r="A4079" s="62" t="inlineStr">
        <is>
          <t>Kết quả thực tế</t>
        </is>
      </c>
    </row>
    <row r="4080" ht="64" customHeight="1">
      <c r="A4080" s="63" t="inlineStr"/>
      <c r="B4080" s="64" t="n"/>
      <c r="C4080" s="64" t="n"/>
      <c r="D4080" s="64" t="n"/>
      <c r="E4080" s="65" t="n"/>
    </row>
    <row r="4081" ht="30" customHeight="1">
      <c r="A4081" s="62" t="inlineStr">
        <is>
          <t>Ảnh minh chứng</t>
        </is>
      </c>
    </row>
    <row r="4082" ht="90" customHeight="1">
      <c r="A4082" s="63" t="inlineStr"/>
      <c r="B4082" s="64" t="n"/>
      <c r="C4082" s="64" t="n"/>
      <c r="D4082" s="64" t="n"/>
      <c r="E4082" s="65" t="n"/>
    </row>
    <row r="4083" ht="12" customHeight="1">
      <c r="A4083" s="66" t="inlineStr"/>
    </row>
    <row r="4084" ht="30" customHeight="1">
      <c r="A4084" s="60" t="inlineStr">
        <is>
          <t>TC-RS-BR-017 / invalid-formula</t>
        </is>
      </c>
      <c r="B4084" s="36" t="n"/>
      <c r="C4084" s="36" t="n"/>
      <c r="D4084" s="36" t="n"/>
      <c r="E4084" s="36" t="n"/>
    </row>
    <row r="4085" ht="30" customHeight="1">
      <c r="A4085" s="47" t="inlineStr">
        <is>
          <t>Dữ liệu biến thể</t>
        </is>
      </c>
      <c r="B4085" s="56" t="inlineStr">
        <is>
          <t>Nhánh invalid-formula trong thủ tục và Expected của case; thực hiện các bước chuẩn bị chung trước nhánh</t>
        </is>
      </c>
      <c r="C4085" s="57" t="n"/>
      <c r="D4085" s="57" t="n"/>
      <c r="E4085" s="57" t="n"/>
    </row>
    <row r="4086" ht="30" customHeight="1">
      <c r="A4086" s="47" t="inlineStr">
        <is>
          <t>Trạng thái</t>
        </is>
      </c>
      <c r="B4086" s="61" t="inlineStr">
        <is>
          <t>Chưa thực hiện</t>
        </is>
      </c>
      <c r="C4086" s="57" t="n"/>
      <c r="D4086" s="57" t="n"/>
      <c r="E4086" s="57" t="n"/>
    </row>
    <row r="4087" ht="30" customHeight="1">
      <c r="A4087" s="62" t="inlineStr">
        <is>
          <t>Kết quả thực tế</t>
        </is>
      </c>
    </row>
    <row r="4088" ht="64" customHeight="1">
      <c r="A4088" s="63" t="inlineStr"/>
      <c r="B4088" s="64" t="n"/>
      <c r="C4088" s="64" t="n"/>
      <c r="D4088" s="64" t="n"/>
      <c r="E4088" s="65" t="n"/>
    </row>
    <row r="4089" ht="30" customHeight="1">
      <c r="A4089" s="62" t="inlineStr">
        <is>
          <t>Ảnh minh chứng</t>
        </is>
      </c>
    </row>
    <row r="4090" ht="90" customHeight="1">
      <c r="A4090" s="63" t="inlineStr"/>
      <c r="B4090" s="64" t="n"/>
      <c r="C4090" s="64" t="n"/>
      <c r="D4090" s="64" t="n"/>
      <c r="E4090" s="65" t="n"/>
    </row>
    <row r="4091" ht="12" customHeight="1">
      <c r="A4091" s="66" t="inlineStr"/>
    </row>
    <row r="4092" ht="20" customHeight="1">
      <c r="A4092" s="66" t="inlineStr"/>
    </row>
    <row r="4093" ht="30" customHeight="1">
      <c r="A4093" s="46" t="inlineStr">
        <is>
          <t>TC-RS-BR-018 — Đổi phạm vi làm ô không còn quy tắc áp dụng: giữ khi chưa chạy; chạy lại → Không áp dụng</t>
        </is>
      </c>
      <c r="B4093" s="23" t="n"/>
      <c r="C4093" s="23" t="n"/>
      <c r="D4093" s="23" t="n"/>
      <c r="E4093" s="23" t="n"/>
    </row>
    <row r="4094" ht="30" customHeight="1">
      <c r="A4094" s="47" t="inlineStr">
        <is>
          <t>Trạng thái</t>
        </is>
      </c>
      <c r="B4094" s="61" t="inlineStr">
        <is>
          <t>Chưa thực hiện</t>
        </is>
      </c>
      <c r="C4094" s="57" t="n"/>
      <c r="D4094" s="57" t="n"/>
      <c r="E4094" s="57" t="n"/>
    </row>
    <row r="4095" ht="30" customHeight="1">
      <c r="A4095" s="47" t="inlineStr">
        <is>
          <t>Màn hình / chức năng</t>
        </is>
      </c>
      <c r="B4095" s="47" t="inlineStr">
        <is>
          <t>Vòng đời kết quả</t>
        </is>
      </c>
      <c r="C4095" s="57" t="n"/>
      <c r="D4095" s="47" t="inlineStr">
        <is>
          <t>Đường dẫn</t>
        </is>
      </c>
      <c r="E4095" s="56" t="inlineStr">
        <is>
          <t>Chưa xác minh</t>
        </is>
      </c>
    </row>
    <row r="4096" ht="30" customHeight="1">
      <c r="A4096" s="58" t="inlineStr">
        <is>
          <t>Điều kiện kiểm thử</t>
        </is>
      </c>
      <c r="B4096" s="59" t="n"/>
      <c r="C4096" s="59" t="n"/>
      <c r="D4096" s="59" t="n"/>
      <c r="E4096" s="59" t="n"/>
    </row>
    <row r="4097" ht="44" customHeight="1">
      <c r="A4097" s="47" t="inlineStr">
        <is>
          <t>Cấu hình</t>
        </is>
      </c>
      <c r="B4097" s="56" t="inlineStr">
        <is>
          <t>• Quy tắc lọc lớp G-A;
• S01 (G-A) = 29 Đỏ.</t>
        </is>
      </c>
      <c r="C4097" s="57" t="n"/>
      <c r="D4097" s="57" t="n"/>
      <c r="E4097" s="57" t="n"/>
    </row>
    <row r="4098" ht="61" customHeight="1">
      <c r="A4098" s="47" t="inlineStr">
        <is>
          <t>Vai trò / quyền</t>
        </is>
      </c>
      <c r="B409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098" s="57" t="n"/>
      <c r="D4098" s="57" t="n"/>
      <c r="E4098" s="57" t="n"/>
    </row>
    <row r="4099" ht="30" customHeight="1">
      <c r="A4099" s="47" t="inlineStr">
        <is>
          <t>Dữ liệu test</t>
        </is>
      </c>
      <c r="B4099" s="56" t="inlineStr">
        <is>
          <t>• Học sinh S01 (điểm 29)</t>
        </is>
      </c>
      <c r="C4099" s="57" t="n"/>
      <c r="D4099" s="57" t="n"/>
      <c r="E4099" s="57" t="n"/>
    </row>
    <row r="4100" ht="30" customHeight="1">
      <c r="A4100" s="47" t="inlineStr">
        <is>
          <t>Trigger</t>
        </is>
      </c>
      <c r="B4100" s="56" t="inlineStr">
        <is>
          <t>• Chỉ xem/xuất không tự chạy xét.</t>
        </is>
      </c>
      <c r="C4100" s="57" t="n"/>
      <c r="D4100" s="57" t="n"/>
      <c r="E4100" s="57" t="n"/>
    </row>
    <row r="4101" ht="44" customHeight="1">
      <c r="A4101" s="47" t="inlineStr">
        <is>
          <t>Blocker</t>
        </is>
      </c>
      <c r="B4101" s="56" t="inlineStr">
        <is>
          <t>• G-PREP-UNASSESSED: Chưa có xác minh fixture, đường thực hiện và phép quan sát trên build của từng case chưa đánh giá.</t>
        </is>
      </c>
      <c r="C4101" s="57" t="n"/>
      <c r="D4101" s="57" t="n"/>
      <c r="E4101" s="57" t="n"/>
    </row>
    <row r="4102" ht="30" customHeight="1">
      <c r="A4102" s="58" t="inlineStr">
        <is>
          <t>Thao tác</t>
        </is>
      </c>
      <c r="B4102" s="59" t="n"/>
      <c r="C4102" s="59" t="n"/>
      <c r="D4102" s="59" t="n"/>
      <c r="E4102" s="59" t="n"/>
    </row>
    <row r="4103" ht="30" customHeight="1">
      <c r="A4103" s="47" t="inlineStr">
        <is>
          <t>Step 1</t>
        </is>
      </c>
      <c r="B4103" s="56" t="inlineStr">
        <is>
          <t>Đổi bộ lọc sang lớp G-B, lưu. Xem đầu ra.</t>
        </is>
      </c>
      <c r="C4103" s="57" t="n"/>
      <c r="D4103" s="57" t="n"/>
      <c r="E4103" s="57" t="n"/>
    </row>
    <row r="4104" ht="30" customHeight="1">
      <c r="A4104" s="47" t="inlineStr">
        <is>
          <t>Step 2</t>
        </is>
      </c>
      <c r="B4104" s="56" t="inlineStr">
        <is>
          <t>Chạy lại. Xem đầu ra.</t>
        </is>
      </c>
      <c r="C4104" s="57" t="n"/>
      <c r="D4104" s="57" t="n"/>
      <c r="E4104" s="57" t="n"/>
    </row>
    <row r="4105" ht="44" customHeight="1">
      <c r="A4105" s="47" t="inlineStr">
        <is>
          <t>Reset</t>
        </is>
      </c>
      <c r="B4105" s="56" t="inlineStr">
        <is>
          <t>Trước mỗi biến thể, dựng lại điều kiện/dữ liệu đầu của case bằng đường được phép; giữ các reset/fixture độc lập đã nêu trong thủ tục.</t>
        </is>
      </c>
      <c r="C4105" s="57" t="n"/>
      <c r="D4105" s="57" t="n"/>
      <c r="E4105" s="57" t="n"/>
    </row>
    <row r="4106" ht="30" customHeight="1">
      <c r="A4106" s="58" t="inlineStr">
        <is>
          <t>Kết quả mong đợi</t>
        </is>
      </c>
      <c r="B4106" s="59" t="n"/>
      <c r="C4106" s="59" t="n"/>
      <c r="D4106" s="59" t="n"/>
      <c r="E4106" s="59" t="n"/>
    </row>
    <row r="4107" ht="30" customHeight="1">
      <c r="A4107" s="47" t="inlineStr">
        <is>
          <t>1.</t>
        </is>
      </c>
      <c r="B4107" s="56" t="inlineStr">
        <is>
          <t>S01 vẫn Đỏ (kết quả trước).</t>
        </is>
      </c>
      <c r="C4107" s="57" t="n"/>
      <c r="D4107" s="57" t="n"/>
      <c r="E4107" s="57" t="n"/>
    </row>
    <row r="4108" ht="30" customHeight="1">
      <c r="A4108" s="47" t="inlineStr">
        <is>
          <t>2.</t>
        </is>
      </c>
      <c r="B4108" s="56" t="inlineStr">
        <is>
          <t>S01 Không áp dụng; ngừng dấu/lọc đỏ cũ; điểm giữ nguyên.</t>
        </is>
      </c>
      <c r="C4108" s="57" t="n"/>
      <c r="D4108" s="57" t="n"/>
      <c r="E4108" s="57" t="n"/>
    </row>
    <row r="4109" ht="44" customHeight="1">
      <c r="A4109" s="47" t="inlineStr">
        <is>
          <t>Giữ nguyên</t>
        </is>
      </c>
      <c r="B4109" s="56" t="inlineStr">
        <is>
          <t>• Giữ điểm, cấu hình và đối tượng không đích theo expected;
• Chỉ thay phần thủ tục yêu cầu, không tự đổi oracle hoặc mở rộng phạm vi.</t>
        </is>
      </c>
      <c r="C4109" s="57" t="n"/>
      <c r="D4109" s="57" t="n"/>
      <c r="E4109" s="57" t="n"/>
    </row>
    <row r="4110" ht="61" customHeight="1">
      <c r="A4110" s="47" t="inlineStr">
        <is>
          <t>Quan sát tại</t>
        </is>
      </c>
      <c r="B4110" s="56" t="inlineStr">
        <is>
          <t>• Dùng trích xuất không lọc để thấy cả ô đối chứng. Trạng thái không có dấu đỏ cần đọc thêm trạng thái lưu;
• Output Excel/PDF dùng file thật.</t>
        </is>
      </c>
      <c r="C4110" s="57" t="n"/>
      <c r="D4110" s="57" t="n"/>
      <c r="E4110" s="57" t="n"/>
    </row>
    <row r="4111" ht="30" customHeight="1">
      <c r="A4111" s="58" t="inlineStr">
        <is>
          <t>Kết quả thực tế</t>
        </is>
      </c>
      <c r="B4111" s="59" t="n"/>
      <c r="C4111" s="59" t="n"/>
      <c r="D4111" s="59" t="n"/>
      <c r="E4111" s="59" t="n"/>
    </row>
    <row r="4112" ht="30" customHeight="1">
      <c r="A4112" s="47" t="inlineStr">
        <is>
          <t>Dữ liệu biến thể</t>
        </is>
      </c>
      <c r="B4112" s="56" t="inlineStr">
        <is>
          <t>Toàn bộ thủ tục theo đúng thứ tự; các đối chứng cùng fixture được kiểm trong cùng lượt, không bỏ bước</t>
        </is>
      </c>
      <c r="C4112" s="57" t="n"/>
      <c r="D4112" s="57" t="n"/>
      <c r="E4112" s="57" t="n"/>
    </row>
    <row r="4113" ht="30" customHeight="1">
      <c r="A4113" s="62" t="inlineStr">
        <is>
          <t>Kết quả thực tế</t>
        </is>
      </c>
    </row>
    <row r="4114" ht="64" customHeight="1">
      <c r="A4114" s="63" t="inlineStr"/>
      <c r="B4114" s="64" t="n"/>
      <c r="C4114" s="64" t="n"/>
      <c r="D4114" s="64" t="n"/>
      <c r="E4114" s="65" t="n"/>
    </row>
    <row r="4115" ht="30" customHeight="1">
      <c r="A4115" s="62" t="inlineStr">
        <is>
          <t>Ảnh minh chứng</t>
        </is>
      </c>
    </row>
    <row r="4116" ht="90" customHeight="1">
      <c r="A4116" s="63" t="inlineStr"/>
      <c r="B4116" s="64" t="n"/>
      <c r="C4116" s="64" t="n"/>
      <c r="D4116" s="64" t="n"/>
      <c r="E4116" s="65" t="n"/>
    </row>
    <row r="4117" ht="12" customHeight="1">
      <c r="A4117" s="66" t="inlineStr"/>
    </row>
    <row r="4118" ht="20" customHeight="1">
      <c r="A4118" s="66" t="inlineStr"/>
    </row>
    <row r="4119" ht="30" customHeight="1">
      <c r="A4119" s="46" t="inlineStr">
        <is>
          <t>TC-RS-BR-019 — Xóa quy tắc cuối: giữ kết quả tới lần chạy lại; chạy lại → Không áp dụng</t>
        </is>
      </c>
      <c r="B4119" s="23" t="n"/>
      <c r="C4119" s="23" t="n"/>
      <c r="D4119" s="23" t="n"/>
      <c r="E4119" s="23" t="n"/>
    </row>
    <row r="4120" ht="30" customHeight="1">
      <c r="A4120" s="47" t="inlineStr">
        <is>
          <t>Trạng thái</t>
        </is>
      </c>
      <c r="B4120" s="56">
        <f>IF(0&gt;0,"Không đạt",IF(0=2,"Đạt",IF(SUMPRODUCT(--EXACT('Testcases'!B4142:B4150,"Không thực hiện"))=2,"Không thực hiện",IF(SUMPRODUCT(--EXACT('Testcases'!B4142:B4150,"Bị chặn"))&gt;0,"Bị chặn",IF(SUMPRODUCT(--EXACT('Testcases'!B4142:B4150,"Chưa thực hiện"))=2,"Chưa thực hiện","Chưa đủ kết luận")))))</f>
        <v/>
      </c>
      <c r="C4120" s="57" t="n"/>
      <c r="D4120" s="57" t="n"/>
      <c r="E4120" s="57" t="n"/>
    </row>
    <row r="4121" ht="30" customHeight="1">
      <c r="A4121" s="47" t="inlineStr">
        <is>
          <t>Màn hình / chức năng</t>
        </is>
      </c>
      <c r="B4121" s="47" t="inlineStr">
        <is>
          <t>Vòng đời kết quả</t>
        </is>
      </c>
      <c r="C4121" s="57" t="n"/>
      <c r="D4121" s="47" t="inlineStr">
        <is>
          <t>Đường dẫn</t>
        </is>
      </c>
      <c r="E4121" s="56" t="inlineStr">
        <is>
          <t>Chưa xác minh</t>
        </is>
      </c>
    </row>
    <row r="4122" ht="30" customHeight="1">
      <c r="A4122" s="58" t="inlineStr">
        <is>
          <t>Điều kiện kiểm thử</t>
        </is>
      </c>
      <c r="B4122" s="59" t="n"/>
      <c r="C4122" s="59" t="n"/>
      <c r="D4122" s="59" t="n"/>
      <c r="E4122" s="59" t="n"/>
    </row>
    <row r="4123" ht="61" customHeight="1">
      <c r="A4123" s="47" t="inlineStr">
        <is>
          <t>Cấu hình</t>
        </is>
      </c>
      <c r="B4123" s="56" t="inlineStr">
        <is>
          <t>• Mục số nguyên (M=100) chỉ có quy tắc “Cố định 30” (dưới 30);
• S01=29 Đỏ. Trích xuất cấu hình trích xuất: lọc, ký hiệu “*” phía trước, tô màu, công khai [*] trước, phiếu cấu hình phiếu điểm: ký tự “※” phía trước đã cấu hình.</t>
        </is>
      </c>
      <c r="C4123" s="57" t="n"/>
      <c r="D4123" s="57" t="n"/>
      <c r="E4123" s="57" t="n"/>
    </row>
    <row r="4124" ht="61" customHeight="1">
      <c r="A4124" s="47" t="inlineStr">
        <is>
          <t>Vai trò / quyền</t>
        </is>
      </c>
      <c r="B412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124" s="57" t="n"/>
      <c r="D4124" s="57" t="n"/>
      <c r="E4124" s="57" t="n"/>
    </row>
    <row r="4125" ht="61" customHeight="1">
      <c r="A4125" s="47" t="inlineStr">
        <is>
          <t>Dữ liệu test</t>
        </is>
      </c>
      <c r="B4125" s="56" t="inlineStr">
        <is>
          <t>• Mục số nguyên (M=100), quy tắc “Cố định 30” (dưới 30);
• Học sinh S01 (điểm 29), cấu hình trích xuất: lọc, ký hiệu “*” phía trước, tô màu, cấu hình công khai: “*” phía trước, cấu hình phiếu điểm: ký tự “※” phía trước</t>
        </is>
      </c>
      <c r="C4125" s="57" t="n"/>
      <c r="D4125" s="57" t="n"/>
      <c r="E4125" s="57" t="n"/>
    </row>
    <row r="4126" ht="30" customHeight="1">
      <c r="A4126" s="47" t="inlineStr">
        <is>
          <t>Trigger</t>
        </is>
      </c>
      <c r="B4126" s="56" t="inlineStr">
        <is>
          <t>• Chỉ xem/xuất không tự chạy xét.</t>
        </is>
      </c>
      <c r="C4126" s="57" t="n"/>
      <c r="D4126" s="57" t="n"/>
      <c r="E4126" s="57" t="n"/>
    </row>
    <row r="4127" ht="44" customHeight="1">
      <c r="A4127" s="47" t="inlineStr">
        <is>
          <t>Blocker</t>
        </is>
      </c>
      <c r="B4127" s="56" t="inlineStr">
        <is>
          <t>• G-PREP-UNASSESSED: Chưa có xác minh fixture, đường thực hiện và phép quan sát trên build của từng case chưa đánh giá.</t>
        </is>
      </c>
      <c r="C4127" s="57" t="n"/>
      <c r="D4127" s="57" t="n"/>
      <c r="E4127" s="57" t="n"/>
    </row>
    <row r="4128" ht="30" customHeight="1">
      <c r="A4128" s="58" t="inlineStr">
        <is>
          <t>Thao tác</t>
        </is>
      </c>
      <c r="B4128" s="59" t="n"/>
      <c r="C4128" s="59" t="n"/>
      <c r="D4128" s="59" t="n"/>
      <c r="E4128" s="59" t="n"/>
    </row>
    <row r="4129" ht="30" customHeight="1">
      <c r="A4129" s="47" t="inlineStr">
        <is>
          <t>Step 1</t>
        </is>
      </c>
      <c r="B4129" s="56" t="inlineStr">
        <is>
          <t>Xóa quy tắc “Cố định 30” (dưới 30) (quy tắc cuối).</t>
        </is>
      </c>
      <c r="C4129" s="57" t="n"/>
      <c r="D4129" s="57" t="n"/>
      <c r="E4129" s="57" t="n"/>
    </row>
    <row r="4130" ht="30" customHeight="1">
      <c r="A4130" s="47" t="inlineStr">
        <is>
          <t>Step 2</t>
        </is>
      </c>
      <c r="B4130" s="56" t="inlineStr">
        <is>
          <t>Xem ba đầu ra.</t>
        </is>
      </c>
      <c r="C4130" s="57" t="n"/>
      <c r="D4130" s="57" t="n"/>
      <c r="E4130" s="57" t="n"/>
    </row>
    <row r="4131" ht="30" customHeight="1">
      <c r="A4131" s="47" t="inlineStr">
        <is>
          <t>Step 3</t>
        </is>
      </c>
      <c r="B4131" s="56" t="inlineStr">
        <is>
          <t>Chạy lại bằng đăng ký điểm lớp G-A hoặc chạy hàng loạt.</t>
        </is>
      </c>
      <c r="C4131" s="57" t="n"/>
      <c r="D4131" s="57" t="n"/>
      <c r="E4131" s="57" t="n"/>
    </row>
    <row r="4132" ht="30" customHeight="1">
      <c r="A4132" s="47" t="inlineStr">
        <is>
          <t>Step 4</t>
        </is>
      </c>
      <c r="B4132" s="56" t="inlineStr">
        <is>
          <t>Xem ba đầu ra và cấu hình trình bày đầu ra.</t>
        </is>
      </c>
      <c r="C4132" s="57" t="n"/>
      <c r="D4132" s="57" t="n"/>
      <c r="E4132" s="57" t="n"/>
    </row>
    <row r="4133" ht="44" customHeight="1">
      <c r="A4133" s="47" t="inlineStr">
        <is>
          <t>Reset</t>
        </is>
      </c>
      <c r="B4133" s="56" t="inlineStr">
        <is>
          <t>Trước mỗi biến thể, dựng lại điều kiện/dữ liệu đầu của case bằng đường được phép; giữ các reset/fixture độc lập đã nêu trong thủ tục.</t>
        </is>
      </c>
      <c r="C4133" s="57" t="n"/>
      <c r="D4133" s="57" t="n"/>
      <c r="E4133" s="57" t="n"/>
    </row>
    <row r="4134" ht="30" customHeight="1">
      <c r="A4134" s="58" t="inlineStr">
        <is>
          <t>Kết quả mong đợi</t>
        </is>
      </c>
      <c r="B4134" s="59" t="n"/>
      <c r="C4134" s="59" t="n"/>
      <c r="D4134" s="59" t="n"/>
      <c r="E4134" s="59" t="n"/>
    </row>
    <row r="4135" ht="30" customHeight="1">
      <c r="A4135" s="47" t="inlineStr">
        <is>
          <t>•</t>
        </is>
      </c>
      <c r="B4135" s="56" t="inlineStr">
        <is>
          <t>1–2. Danh sách rỗng nhưng S01 vẫn hiện dấu đỏ/thỏa lọc ở ba đầu ra.</t>
        </is>
      </c>
      <c r="C4135" s="57" t="n"/>
      <c r="D4135" s="57" t="n"/>
      <c r="E4135" s="57" t="n"/>
    </row>
    <row r="4136" ht="44" customHeight="1">
      <c r="A4136" s="47" t="inlineStr">
        <is>
          <t>•</t>
        </is>
      </c>
      <c r="B4136" s="56" t="inlineStr">
        <is>
          <t>3–4. Lần chạy xét cả mục đã hết quy tắc: S01 Không áp dụng, ngừng dấu/lọc; điểm giữ nguyên. Cấu hình trình bày đỏ đã lưu ở đầu ra không bị xóa như tác dụng phụ.</t>
        </is>
      </c>
      <c r="C4136" s="57" t="n"/>
      <c r="D4136" s="57" t="n"/>
      <c r="E4136" s="57" t="n"/>
    </row>
    <row r="4137" ht="44" customHeight="1">
      <c r="A4137" s="47" t="inlineStr">
        <is>
          <t>Giữ nguyên</t>
        </is>
      </c>
      <c r="B4137" s="56" t="inlineStr">
        <is>
          <t>• Giữ điểm, cấu hình và đối tượng không đích theo expected;
• Chỉ thay phần thủ tục yêu cầu, không tự đổi oracle hoặc mở rộng phạm vi.</t>
        </is>
      </c>
      <c r="C4137" s="57" t="n"/>
      <c r="D4137" s="57" t="n"/>
      <c r="E4137" s="57" t="n"/>
    </row>
    <row r="4138" ht="61" customHeight="1">
      <c r="A4138" s="47" t="inlineStr">
        <is>
          <t>Quan sát tại</t>
        </is>
      </c>
      <c r="B4138" s="56" t="inlineStr">
        <is>
          <t>• Dùng trích xuất không lọc để thấy cả ô đối chứng. Trạng thái không có dấu đỏ cần đọc thêm trạng thái lưu;
• Output Excel/PDF dùng file thật.</t>
        </is>
      </c>
      <c r="C4138" s="57" t="n"/>
      <c r="D4138" s="57" t="n"/>
      <c r="E4138" s="57" t="n"/>
    </row>
    <row r="4139" ht="30" customHeight="1">
      <c r="A4139" s="58" t="inlineStr">
        <is>
          <t>Kết quả thực tế</t>
        </is>
      </c>
      <c r="B4139" s="59" t="n"/>
      <c r="C4139" s="59" t="n"/>
      <c r="D4139" s="59" t="n"/>
      <c r="E4139" s="59" t="n"/>
    </row>
    <row r="4140" ht="30" customHeight="1">
      <c r="A4140" s="60" t="inlineStr">
        <is>
          <t>TC-RS-BR-019 / registration</t>
        </is>
      </c>
      <c r="B4140" s="36" t="n"/>
      <c r="C4140" s="36" t="n"/>
      <c r="D4140" s="36" t="n"/>
      <c r="E4140" s="36" t="n"/>
    </row>
    <row r="4141" ht="30" customHeight="1">
      <c r="A4141" s="47" t="inlineStr">
        <is>
          <t>Dữ liệu biến thể</t>
        </is>
      </c>
      <c r="B4141" s="56" t="inlineStr">
        <is>
          <t>Chạy lại bằng đăng ký điểm</t>
        </is>
      </c>
      <c r="C4141" s="57" t="n"/>
      <c r="D4141" s="57" t="n"/>
      <c r="E4141" s="57" t="n"/>
    </row>
    <row r="4142" ht="30" customHeight="1">
      <c r="A4142" s="47" t="inlineStr">
        <is>
          <t>Trạng thái</t>
        </is>
      </c>
      <c r="B4142" s="61" t="inlineStr">
        <is>
          <t>Chưa thực hiện</t>
        </is>
      </c>
      <c r="C4142" s="57" t="n"/>
      <c r="D4142" s="57" t="n"/>
      <c r="E4142" s="57" t="n"/>
    </row>
    <row r="4143" ht="30" customHeight="1">
      <c r="A4143" s="62" t="inlineStr">
        <is>
          <t>Kết quả thực tế</t>
        </is>
      </c>
    </row>
    <row r="4144" ht="64" customHeight="1">
      <c r="A4144" s="63" t="inlineStr"/>
      <c r="B4144" s="64" t="n"/>
      <c r="C4144" s="64" t="n"/>
      <c r="D4144" s="64" t="n"/>
      <c r="E4144" s="65" t="n"/>
    </row>
    <row r="4145" ht="30" customHeight="1">
      <c r="A4145" s="62" t="inlineStr">
        <is>
          <t>Ảnh minh chứng</t>
        </is>
      </c>
    </row>
    <row r="4146" ht="90" customHeight="1">
      <c r="A4146" s="63" t="inlineStr"/>
      <c r="B4146" s="64" t="n"/>
      <c r="C4146" s="64" t="n"/>
      <c r="D4146" s="64" t="n"/>
      <c r="E4146" s="65" t="n"/>
    </row>
    <row r="4147" ht="12" customHeight="1">
      <c r="A4147" s="66" t="inlineStr"/>
    </row>
    <row r="4148" ht="30" customHeight="1">
      <c r="A4148" s="60" t="inlineStr">
        <is>
          <t>TC-RS-BR-019 / batch</t>
        </is>
      </c>
      <c r="B4148" s="36" t="n"/>
      <c r="C4148" s="36" t="n"/>
      <c r="D4148" s="36" t="n"/>
      <c r="E4148" s="36" t="n"/>
    </row>
    <row r="4149" ht="30" customHeight="1">
      <c r="A4149" s="47" t="inlineStr">
        <is>
          <t>Dữ liệu biến thể</t>
        </is>
      </c>
      <c r="B4149" s="56" t="inlineStr">
        <is>
          <t>Chạy lại bằng nút cam, reset baseline trước lượt này</t>
        </is>
      </c>
      <c r="C4149" s="57" t="n"/>
      <c r="D4149" s="57" t="n"/>
      <c r="E4149" s="57" t="n"/>
    </row>
    <row r="4150" ht="30" customHeight="1">
      <c r="A4150" s="47" t="inlineStr">
        <is>
          <t>Trạng thái</t>
        </is>
      </c>
      <c r="B4150" s="61" t="inlineStr">
        <is>
          <t>Chưa thực hiện</t>
        </is>
      </c>
      <c r="C4150" s="57" t="n"/>
      <c r="D4150" s="57" t="n"/>
      <c r="E4150" s="57" t="n"/>
    </row>
    <row r="4151" ht="30" customHeight="1">
      <c r="A4151" s="62" t="inlineStr">
        <is>
          <t>Kết quả thực tế</t>
        </is>
      </c>
    </row>
    <row r="4152" ht="64" customHeight="1">
      <c r="A4152" s="63" t="inlineStr"/>
      <c r="B4152" s="64" t="n"/>
      <c r="C4152" s="64" t="n"/>
      <c r="D4152" s="64" t="n"/>
      <c r="E4152" s="65" t="n"/>
    </row>
    <row r="4153" ht="30" customHeight="1">
      <c r="A4153" s="62" t="inlineStr">
        <is>
          <t>Ảnh minh chứng</t>
        </is>
      </c>
    </row>
    <row r="4154" ht="90" customHeight="1">
      <c r="A4154" s="63" t="inlineStr"/>
      <c r="B4154" s="64" t="n"/>
      <c r="C4154" s="64" t="n"/>
      <c r="D4154" s="64" t="n"/>
      <c r="E4154" s="65" t="n"/>
    </row>
    <row r="4155" ht="12" customHeight="1">
      <c r="A4155" s="66" t="inlineStr"/>
    </row>
    <row r="4156" ht="20" customHeight="1">
      <c r="A4156" s="66" t="inlineStr"/>
    </row>
    <row r="4157" ht="30" customHeight="1">
      <c r="A4157" s="46" t="inlineStr">
        <is>
          <t>TC-RS-BR-020 — Xóa điểm thành trống → Không có điểm, bỏ dấu đỏ cũ</t>
        </is>
      </c>
      <c r="B4157" s="23" t="n"/>
      <c r="C4157" s="23" t="n"/>
      <c r="D4157" s="23" t="n"/>
      <c r="E4157" s="23" t="n"/>
    </row>
    <row r="4158" ht="30" customHeight="1">
      <c r="A4158" s="47" t="inlineStr">
        <is>
          <t>Trạng thái</t>
        </is>
      </c>
      <c r="B4158" s="61" t="inlineStr">
        <is>
          <t>Chưa thực hiện</t>
        </is>
      </c>
      <c r="C4158" s="57" t="n"/>
      <c r="D4158" s="57" t="n"/>
      <c r="E4158" s="57" t="n"/>
    </row>
    <row r="4159" ht="30" customHeight="1">
      <c r="A4159" s="47" t="inlineStr">
        <is>
          <t>Màn hình / chức năng</t>
        </is>
      </c>
      <c r="B4159" s="47" t="inlineStr">
        <is>
          <t>Vòng đời kết quả</t>
        </is>
      </c>
      <c r="C4159" s="57" t="n"/>
      <c r="D4159" s="47" t="inlineStr">
        <is>
          <t>Đường dẫn</t>
        </is>
      </c>
      <c r="E4159" s="56" t="inlineStr">
        <is>
          <t>Chưa xác minh</t>
        </is>
      </c>
    </row>
    <row r="4160" ht="30" customHeight="1">
      <c r="A4160" s="58" t="inlineStr">
        <is>
          <t>Điều kiện kiểm thử</t>
        </is>
      </c>
      <c r="B4160" s="59" t="n"/>
      <c r="C4160" s="59" t="n"/>
      <c r="D4160" s="59" t="n"/>
      <c r="E4160" s="59" t="n"/>
    </row>
    <row r="4161" ht="30" customHeight="1">
      <c r="A4161" s="47" t="inlineStr">
        <is>
          <t>Cấu hình</t>
        </is>
      </c>
      <c r="B4161" s="56" t="inlineStr">
        <is>
          <t>• S01=29 Đỏ.</t>
        </is>
      </c>
      <c r="C4161" s="57" t="n"/>
      <c r="D4161" s="57" t="n"/>
      <c r="E4161" s="57" t="n"/>
    </row>
    <row r="4162" ht="61" customHeight="1">
      <c r="A4162" s="47" t="inlineStr">
        <is>
          <t>Vai trò / quyền</t>
        </is>
      </c>
      <c r="B416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162" s="57" t="n"/>
      <c r="D4162" s="57" t="n"/>
      <c r="E4162" s="57" t="n"/>
    </row>
    <row r="4163" ht="30" customHeight="1">
      <c r="A4163" s="47" t="inlineStr">
        <is>
          <t>Dữ liệu test</t>
        </is>
      </c>
      <c r="B4163" s="56" t="inlineStr">
        <is>
          <t>• Học sinh S01 (điểm 29), cấu hình trích xuất: lọc, ký hiệu “*” phía trước, tô màu</t>
        </is>
      </c>
      <c r="C4163" s="57" t="n"/>
      <c r="D4163" s="57" t="n"/>
      <c r="E4163" s="57" t="n"/>
    </row>
    <row r="4164" ht="30" customHeight="1">
      <c r="A4164" s="47" t="inlineStr">
        <is>
          <t>Trigger</t>
        </is>
      </c>
      <c r="B4164" s="56" t="inlineStr">
        <is>
          <t>• Chỉ xem/xuất không tự chạy xét.</t>
        </is>
      </c>
      <c r="C4164" s="57" t="n"/>
      <c r="D4164" s="57" t="n"/>
      <c r="E4164" s="57" t="n"/>
    </row>
    <row r="4165" ht="44" customHeight="1">
      <c r="A4165" s="47" t="inlineStr">
        <is>
          <t>Blocker</t>
        </is>
      </c>
      <c r="B4165" s="56" t="inlineStr">
        <is>
          <t>• G-PREP-UNASSESSED: Chưa có xác minh fixture, đường thực hiện và phép quan sát trên build của từng case chưa đánh giá.</t>
        </is>
      </c>
      <c r="C4165" s="57" t="n"/>
      <c r="D4165" s="57" t="n"/>
      <c r="E4165" s="57" t="n"/>
    </row>
    <row r="4166" ht="30" customHeight="1">
      <c r="A4166" s="58" t="inlineStr">
        <is>
          <t>Thao tác</t>
        </is>
      </c>
      <c r="B4166" s="59" t="n"/>
      <c r="C4166" s="59" t="n"/>
      <c r="D4166" s="59" t="n"/>
      <c r="E4166" s="59" t="n"/>
    </row>
    <row r="4167" ht="30" customHeight="1">
      <c r="A4167" s="47" t="inlineStr">
        <is>
          <t>Step 1</t>
        </is>
      </c>
      <c r="B4167" s="56" t="inlineStr">
        <is>
          <t>Xóa điểm S01 thành trống, lưu.</t>
        </is>
      </c>
      <c r="C4167" s="57" t="n"/>
      <c r="D4167" s="57" t="n"/>
      <c r="E4167" s="57" t="n"/>
    </row>
    <row r="4168" ht="30" customHeight="1">
      <c r="A4168" s="47" t="inlineStr">
        <is>
          <t>Step 2</t>
        </is>
      </c>
      <c r="B4168" s="56" t="inlineStr">
        <is>
          <t>Xem ba đầu ra, chạy trích xuất có lọc đỏ.</t>
        </is>
      </c>
      <c r="C4168" s="57" t="n"/>
      <c r="D4168" s="57" t="n"/>
      <c r="E4168" s="57" t="n"/>
    </row>
    <row r="4169" ht="44" customHeight="1">
      <c r="A4169" s="47" t="inlineStr">
        <is>
          <t>Reset</t>
        </is>
      </c>
      <c r="B4169" s="56" t="inlineStr">
        <is>
          <t>Trước mỗi biến thể, dựng lại điều kiện/dữ liệu đầu của case bằng đường được phép; giữ các reset/fixture độc lập đã nêu trong thủ tục.</t>
        </is>
      </c>
      <c r="C4169" s="57" t="n"/>
      <c r="D4169" s="57" t="n"/>
      <c r="E4169" s="57" t="n"/>
    </row>
    <row r="4170" ht="30" customHeight="1">
      <c r="A4170" s="58" t="inlineStr">
        <is>
          <t>Kết quả mong đợi</t>
        </is>
      </c>
      <c r="B4170" s="59" t="n"/>
      <c r="C4170" s="59" t="n"/>
      <c r="D4170" s="59" t="n"/>
      <c r="E4170" s="59" t="n"/>
    </row>
    <row r="4171" ht="30" customHeight="1">
      <c r="A4171" s="47" t="inlineStr">
        <is>
          <t>•</t>
        </is>
      </c>
      <c r="B4171" s="56" t="inlineStr">
        <is>
          <t>S01 Không có điểm; không còn dấu đỏ; không thỏa lọc đỏ nhờ ô này. Không cần chờ chạy lại.</t>
        </is>
      </c>
      <c r="C4171" s="57" t="n"/>
      <c r="D4171" s="57" t="n"/>
      <c r="E4171" s="57" t="n"/>
    </row>
    <row r="4172" ht="44" customHeight="1">
      <c r="A4172" s="47" t="inlineStr">
        <is>
          <t>Giữ nguyên</t>
        </is>
      </c>
      <c r="B4172" s="56" t="inlineStr">
        <is>
          <t>• Giữ điểm, cấu hình và đối tượng không đích theo expected;
• Chỉ thay phần thủ tục yêu cầu, không tự đổi oracle hoặc mở rộng phạm vi.</t>
        </is>
      </c>
      <c r="C4172" s="57" t="n"/>
      <c r="D4172" s="57" t="n"/>
      <c r="E4172" s="57" t="n"/>
    </row>
    <row r="4173" ht="61" customHeight="1">
      <c r="A4173" s="47" t="inlineStr">
        <is>
          <t>Quan sát tại</t>
        </is>
      </c>
      <c r="B4173" s="56" t="inlineStr">
        <is>
          <t>• Dùng trích xuất không lọc để thấy cả ô đối chứng. Trạng thái không có dấu đỏ cần đọc thêm trạng thái lưu;
• Output Excel/PDF dùng file thật.</t>
        </is>
      </c>
      <c r="C4173" s="57" t="n"/>
      <c r="D4173" s="57" t="n"/>
      <c r="E4173" s="57" t="n"/>
    </row>
    <row r="4174" ht="30" customHeight="1">
      <c r="A4174" s="58" t="inlineStr">
        <is>
          <t>Kết quả thực tế</t>
        </is>
      </c>
      <c r="B4174" s="59" t="n"/>
      <c r="C4174" s="59" t="n"/>
      <c r="D4174" s="59" t="n"/>
      <c r="E4174" s="59" t="n"/>
    </row>
    <row r="4175" ht="30" customHeight="1">
      <c r="A4175" s="47" t="inlineStr">
        <is>
          <t>Dữ liệu biến thể</t>
        </is>
      </c>
      <c r="B4175" s="56" t="inlineStr">
        <is>
          <t>Toàn bộ thủ tục theo đúng thứ tự; các đối chứng cùng fixture được kiểm trong cùng lượt, không bỏ bước</t>
        </is>
      </c>
      <c r="C4175" s="57" t="n"/>
      <c r="D4175" s="57" t="n"/>
      <c r="E4175" s="57" t="n"/>
    </row>
    <row r="4176" ht="30" customHeight="1">
      <c r="A4176" s="62" t="inlineStr">
        <is>
          <t>Kết quả thực tế</t>
        </is>
      </c>
    </row>
    <row r="4177" ht="64" customHeight="1">
      <c r="A4177" s="63" t="inlineStr"/>
      <c r="B4177" s="64" t="n"/>
      <c r="C4177" s="64" t="n"/>
      <c r="D4177" s="64" t="n"/>
      <c r="E4177" s="65" t="n"/>
    </row>
    <row r="4178" ht="30" customHeight="1">
      <c r="A4178" s="62" t="inlineStr">
        <is>
          <t>Ảnh minh chứng</t>
        </is>
      </c>
    </row>
    <row r="4179" ht="90" customHeight="1">
      <c r="A4179" s="63" t="inlineStr"/>
      <c r="B4179" s="64" t="n"/>
      <c r="C4179" s="64" t="n"/>
      <c r="D4179" s="64" t="n"/>
      <c r="E4179" s="65" t="n"/>
    </row>
    <row r="4180" ht="12" customHeight="1">
      <c r="A4180" s="66" t="inlineStr"/>
    </row>
    <row r="4181" ht="20" customHeight="1">
      <c r="A4181" s="66" t="inlineStr"/>
    </row>
    <row r="4182" ht="30" customHeight="1">
      <c r="A4182" s="46" t="inlineStr">
        <is>
          <t>TC-RS-BR-021 — Tổng hợp lại hoặc đổi nhóm tham chiếu không tự xét lại</t>
        </is>
      </c>
      <c r="B4182" s="23" t="n"/>
      <c r="C4182" s="23" t="n"/>
      <c r="D4182" s="23" t="n"/>
      <c r="E4182" s="23" t="n"/>
    </row>
    <row r="4183" ht="30" customHeight="1">
      <c r="A4183" s="47" t="inlineStr">
        <is>
          <t>Trạng thái</t>
        </is>
      </c>
      <c r="B4183" s="61" t="inlineStr">
        <is>
          <t>Chưa thực hiện</t>
        </is>
      </c>
      <c r="C4183" s="57" t="n"/>
      <c r="D4183" s="57" t="n"/>
      <c r="E4183" s="57" t="n"/>
    </row>
    <row r="4184" ht="30" customHeight="1">
      <c r="A4184" s="47" t="inlineStr">
        <is>
          <t>Màn hình / chức năng</t>
        </is>
      </c>
      <c r="B4184" s="47" t="inlineStr">
        <is>
          <t>Vòng đời kết quả</t>
        </is>
      </c>
      <c r="C4184" s="57" t="n"/>
      <c r="D4184" s="47" t="inlineStr">
        <is>
          <t>Đường dẫn</t>
        </is>
      </c>
      <c r="E4184" s="56" t="inlineStr">
        <is>
          <t>Chưa xác minh</t>
        </is>
      </c>
    </row>
    <row r="4185" ht="30" customHeight="1">
      <c r="A4185" s="58" t="inlineStr">
        <is>
          <t>Điều kiện kiểm thử</t>
        </is>
      </c>
      <c r="B4185" s="59" t="n"/>
      <c r="C4185" s="59" t="n"/>
      <c r="D4185" s="59" t="n"/>
      <c r="E4185" s="59" t="n"/>
    </row>
    <row r="4186" ht="44" customHeight="1">
      <c r="A4186" s="47" t="inlineStr">
        <is>
          <t>Cấu hình</t>
        </is>
      </c>
      <c r="B4186" s="56" t="inlineStr">
        <is>
          <t>• Công thức [A×0.5], [A=50] → [T=25];
• Học sinh điểm 24 Đỏ.</t>
        </is>
      </c>
      <c r="C4186" s="57" t="n"/>
      <c r="D4186" s="57" t="n"/>
      <c r="E4186" s="57" t="n"/>
    </row>
    <row r="4187" ht="61" customHeight="1">
      <c r="A4187" s="47" t="inlineStr">
        <is>
          <t>Vai trò / quyền</t>
        </is>
      </c>
      <c r="B418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187" s="57" t="n"/>
      <c r="D4187" s="57" t="n"/>
      <c r="E4187" s="57" t="n"/>
    </row>
    <row r="4188" ht="30" customHeight="1">
      <c r="A4188" s="47" t="inlineStr">
        <is>
          <t>Dữ liệu test</t>
        </is>
      </c>
      <c r="B4188" s="56" t="inlineStr">
        <is>
          <t>• Bản tổng hợp mới nhất chưa chốt (trung bình 62)</t>
        </is>
      </c>
      <c r="C4188" s="57" t="n"/>
      <c r="D4188" s="57" t="n"/>
      <c r="E4188" s="57" t="n"/>
    </row>
    <row r="4189" ht="30" customHeight="1">
      <c r="A4189" s="47" t="inlineStr">
        <is>
          <t>Trigger</t>
        </is>
      </c>
      <c r="B4189" s="56" t="inlineStr">
        <is>
          <t>• Chỉ xem/xuất không tự chạy xét.</t>
        </is>
      </c>
      <c r="C4189" s="57" t="n"/>
      <c r="D4189" s="57" t="n"/>
      <c r="E4189" s="57" t="n"/>
    </row>
    <row r="4190" ht="44" customHeight="1">
      <c r="A4190" s="47" t="inlineStr">
        <is>
          <t>Blocker</t>
        </is>
      </c>
      <c r="B4190" s="56" t="inlineStr">
        <is>
          <t>• G-PREP-UNASSESSED: Chưa có xác minh fixture, đường thực hiện và phép quan sát trên build của từng case chưa đánh giá.</t>
        </is>
      </c>
      <c r="C4190" s="57" t="n"/>
      <c r="D4190" s="57" t="n"/>
      <c r="E4190" s="57" t="n"/>
    </row>
    <row r="4191" ht="30" customHeight="1">
      <c r="A4191" s="58" t="inlineStr">
        <is>
          <t>Thao tác</t>
        </is>
      </c>
      <c r="B4191" s="59" t="n"/>
      <c r="C4191" s="59" t="n"/>
      <c r="D4191" s="59" t="n"/>
      <c r="E4191" s="59" t="n"/>
    </row>
    <row r="4192" ht="30" customHeight="1">
      <c r="A4192" s="47" t="inlineStr">
        <is>
          <t>Step 1</t>
        </is>
      </c>
      <c r="B4192" s="56" t="inlineStr">
        <is>
          <t>Sửa điểm nhóm để trung bình mới là 40, bấm Thực hiện tổng hợp（集計実行）.</t>
        </is>
      </c>
      <c r="C4192" s="57" t="n"/>
      <c r="D4192" s="57" t="n"/>
      <c r="E4192" s="57" t="n"/>
    </row>
    <row r="4193" ht="30" customHeight="1">
      <c r="A4193" s="47" t="inlineStr">
        <is>
          <t>Step 2</t>
        </is>
      </c>
      <c r="B4193" s="56" t="inlineStr">
        <is>
          <t>Xem kết quả học sinh 24.</t>
        </is>
      </c>
      <c r="C4193" s="57" t="n"/>
      <c r="D4193" s="57" t="n"/>
      <c r="E4193" s="57" t="n"/>
    </row>
    <row r="4194" ht="30" customHeight="1">
      <c r="A4194" s="47" t="inlineStr">
        <is>
          <t>Step 3</t>
        </is>
      </c>
      <c r="B4194" s="56" t="inlineStr">
        <is>
          <t>Bấm Thực hiện tính toán tự động（自動算出実行）, xem lại.</t>
        </is>
      </c>
      <c r="C4194" s="57" t="n"/>
      <c r="D4194" s="57" t="n"/>
      <c r="E4194" s="57" t="n"/>
    </row>
    <row r="4195" ht="44" customHeight="1">
      <c r="A4195" s="47" t="inlineStr">
        <is>
          <t>Reset</t>
        </is>
      </c>
      <c r="B4195" s="56" t="inlineStr">
        <is>
          <t>Trước mỗi biến thể, dựng lại điều kiện/dữ liệu đầu của case bằng đường được phép; giữ các reset/fixture độc lập đã nêu trong thủ tục.</t>
        </is>
      </c>
      <c r="C4195" s="57" t="n"/>
      <c r="D4195" s="57" t="n"/>
      <c r="E4195" s="57" t="n"/>
    </row>
    <row r="4196" ht="30" customHeight="1">
      <c r="A4196" s="58" t="inlineStr">
        <is>
          <t>Kết quả mong đợi</t>
        </is>
      </c>
      <c r="B4196" s="59" t="n"/>
      <c r="C4196" s="59" t="n"/>
      <c r="D4196" s="59" t="n"/>
      <c r="E4196" s="59" t="n"/>
    </row>
    <row r="4197" ht="30" customHeight="1">
      <c r="A4197" s="47" t="inlineStr">
        <is>
          <t>•</t>
        </is>
      </c>
      <c r="B4197" s="56" t="inlineStr">
        <is>
          <t>1–2. Vẫn Đỏ theo kết quả trước (không tự xét lại).</t>
        </is>
      </c>
      <c r="C4197" s="57" t="n"/>
      <c r="D4197" s="57" t="n"/>
      <c r="E4197" s="57" t="n"/>
    </row>
    <row r="4198" ht="30" customHeight="1">
      <c r="A4198" s="47" t="inlineStr">
        <is>
          <t>3.</t>
        </is>
      </c>
      <c r="B4198" s="56" t="inlineStr">
        <is>
          <t>[A=40] → [T=20] → 24 Không đỏ.</t>
        </is>
      </c>
      <c r="C4198" s="57" t="n"/>
      <c r="D4198" s="57" t="n"/>
      <c r="E4198" s="57" t="n"/>
    </row>
    <row r="4199" ht="44" customHeight="1">
      <c r="A4199" s="47" t="inlineStr">
        <is>
          <t>Giữ nguyên</t>
        </is>
      </c>
      <c r="B4199" s="56" t="inlineStr">
        <is>
          <t>• Giữ điểm, cấu hình và đối tượng không đích theo expected;
• Chỉ thay phần thủ tục yêu cầu, không tự đổi oracle hoặc mở rộng phạm vi.</t>
        </is>
      </c>
      <c r="C4199" s="57" t="n"/>
      <c r="D4199" s="57" t="n"/>
      <c r="E4199" s="57" t="n"/>
    </row>
    <row r="4200" ht="61" customHeight="1">
      <c r="A4200" s="47" t="inlineStr">
        <is>
          <t>Quan sát tại</t>
        </is>
      </c>
      <c r="B4200" s="56" t="inlineStr">
        <is>
          <t>• Dùng trích xuất không lọc để thấy cả ô đối chứng. Trạng thái không có dấu đỏ cần đọc thêm trạng thái lưu;
• Output Excel/PDF dùng file thật.</t>
        </is>
      </c>
      <c r="C4200" s="57" t="n"/>
      <c r="D4200" s="57" t="n"/>
      <c r="E4200" s="57" t="n"/>
    </row>
    <row r="4201" ht="30" customHeight="1">
      <c r="A4201" s="58" t="inlineStr">
        <is>
          <t>Kết quả thực tế</t>
        </is>
      </c>
      <c r="B4201" s="59" t="n"/>
      <c r="C4201" s="59" t="n"/>
      <c r="D4201" s="59" t="n"/>
      <c r="E4201" s="59" t="n"/>
    </row>
    <row r="4202" ht="30" customHeight="1">
      <c r="A4202" s="47" t="inlineStr">
        <is>
          <t>Dữ liệu biến thể</t>
        </is>
      </c>
      <c r="B4202" s="56" t="inlineStr">
        <is>
          <t>Toàn bộ thủ tục theo đúng thứ tự; các đối chứng cùng fixture được kiểm trong cùng lượt, không bỏ bước</t>
        </is>
      </c>
      <c r="C4202" s="57" t="n"/>
      <c r="D4202" s="57" t="n"/>
      <c r="E4202" s="57" t="n"/>
    </row>
    <row r="4203" ht="30" customHeight="1">
      <c r="A4203" s="62" t="inlineStr">
        <is>
          <t>Kết quả thực tế</t>
        </is>
      </c>
    </row>
    <row r="4204" ht="64" customHeight="1">
      <c r="A4204" s="63" t="inlineStr"/>
      <c r="B4204" s="64" t="n"/>
      <c r="C4204" s="64" t="n"/>
      <c r="D4204" s="64" t="n"/>
      <c r="E4204" s="65" t="n"/>
    </row>
    <row r="4205" ht="30" customHeight="1">
      <c r="A4205" s="62" t="inlineStr">
        <is>
          <t>Ảnh minh chứng</t>
        </is>
      </c>
    </row>
    <row r="4206" ht="90" customHeight="1">
      <c r="A4206" s="63" t="inlineStr"/>
      <c r="B4206" s="64" t="n"/>
      <c r="C4206" s="64" t="n"/>
      <c r="D4206" s="64" t="n"/>
      <c r="E4206" s="65" t="n"/>
    </row>
    <row r="4207" ht="12" customHeight="1">
      <c r="A4207" s="66" t="inlineStr"/>
    </row>
    <row r="4208" ht="20" customHeight="1">
      <c r="A4208" s="66" t="inlineStr"/>
    </row>
    <row r="4209" ht="30" customHeight="1">
      <c r="A4209" s="46" t="inlineStr">
        <is>
          <t>TC-RS-BR-022 — Đổi M ở Thiết lập điểm tối đa（満点設定） hoặc Giá trị tối đa（最大値） không tự xét lại</t>
        </is>
      </c>
      <c r="B4209" s="23" t="n"/>
      <c r="C4209" s="23" t="n"/>
      <c r="D4209" s="23" t="n"/>
      <c r="E4209" s="23" t="n"/>
    </row>
    <row r="4210" ht="30" customHeight="1">
      <c r="A4210" s="47" t="inlineStr">
        <is>
          <t>Trạng thái</t>
        </is>
      </c>
      <c r="B4210" s="61" t="inlineStr">
        <is>
          <t>Chưa thực hiện</t>
        </is>
      </c>
      <c r="C4210" s="57" t="n"/>
      <c r="D4210" s="57" t="n"/>
      <c r="E4210" s="57" t="n"/>
    </row>
    <row r="4211" ht="30" customHeight="1">
      <c r="A4211" s="47" t="inlineStr">
        <is>
          <t>Màn hình / chức năng</t>
        </is>
      </c>
      <c r="B4211" s="47" t="inlineStr">
        <is>
          <t>Vòng đời kết quả</t>
        </is>
      </c>
      <c r="C4211" s="57" t="n"/>
      <c r="D4211" s="47" t="inlineStr">
        <is>
          <t>Đường dẫn</t>
        </is>
      </c>
      <c r="E4211" s="56" t="inlineStr">
        <is>
          <t>Chưa xác minh</t>
        </is>
      </c>
    </row>
    <row r="4212" ht="30" customHeight="1">
      <c r="A4212" s="58" t="inlineStr">
        <is>
          <t>Điều kiện kiểm thử</t>
        </is>
      </c>
      <c r="B4212" s="59" t="n"/>
      <c r="C4212" s="59" t="n"/>
      <c r="D4212" s="59" t="n"/>
      <c r="E4212" s="59" t="n"/>
    </row>
    <row r="4213" ht="44" customHeight="1">
      <c r="A4213" s="47" t="inlineStr">
        <is>
          <t>Cấu hình</t>
        </is>
      </c>
      <c r="B4213" s="56" t="inlineStr">
        <is>
          <t>• Mục số nguyên (M=100) có quy tắc tỷ lệ 30% (30%);
• S03 = 31, [M=100] → [T=30] → Không đỏ.</t>
        </is>
      </c>
      <c r="C4213" s="57" t="n"/>
      <c r="D4213" s="57" t="n"/>
      <c r="E4213" s="57" t="n"/>
    </row>
    <row r="4214" ht="61" customHeight="1">
      <c r="A4214" s="47" t="inlineStr">
        <is>
          <t>Vai trò / quyền</t>
        </is>
      </c>
      <c r="B421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214" s="57" t="n"/>
      <c r="D4214" s="57" t="n"/>
      <c r="E4214" s="57" t="n"/>
    </row>
    <row r="4215" ht="44" customHeight="1">
      <c r="A4215" s="47" t="inlineStr">
        <is>
          <t>Dữ liệu test</t>
        </is>
      </c>
      <c r="B4215" s="56" t="inlineStr">
        <is>
          <t>• Mục số nguyên (M=100);
• Quy tắc tỷ lệ 30%</t>
        </is>
      </c>
      <c r="C4215" s="57" t="n"/>
      <c r="D4215" s="57" t="n"/>
      <c r="E4215" s="57" t="n"/>
    </row>
    <row r="4216" ht="30" customHeight="1">
      <c r="A4216" s="47" t="inlineStr">
        <is>
          <t>Trigger</t>
        </is>
      </c>
      <c r="B4216" s="56" t="inlineStr">
        <is>
          <t>• Chỉ xem/xuất không tự chạy xét.</t>
        </is>
      </c>
      <c r="C4216" s="57" t="n"/>
      <c r="D4216" s="57" t="n"/>
      <c r="E4216" s="57" t="n"/>
    </row>
    <row r="4217" ht="44" customHeight="1">
      <c r="A4217" s="47" t="inlineStr">
        <is>
          <t>Blocker</t>
        </is>
      </c>
      <c r="B4217" s="56" t="inlineStr">
        <is>
          <t>• G-PREP-UNASSESSED: Chưa có xác minh fixture, đường thực hiện và phép quan sát trên build của từng case chưa đánh giá.</t>
        </is>
      </c>
      <c r="C4217" s="57" t="n"/>
      <c r="D4217" s="57" t="n"/>
      <c r="E4217" s="57" t="n"/>
    </row>
    <row r="4218" ht="30" customHeight="1">
      <c r="A4218" s="58" t="inlineStr">
        <is>
          <t>Thao tác</t>
        </is>
      </c>
      <c r="B4218" s="59" t="n"/>
      <c r="C4218" s="59" t="n"/>
      <c r="D4218" s="59" t="n"/>
      <c r="E4218" s="59" t="n"/>
    </row>
    <row r="4219" ht="44" customHeight="1">
      <c r="A4219" s="47" t="inlineStr">
        <is>
          <t>Step 1</t>
        </is>
      </c>
      <c r="B4219" s="56" t="inlineStr">
        <is>
          <t>Sửa Giá trị tối đa（最大値） của mục số nguyên (M=100) ở Thiết lập ô nhập（入力欄設定） thành 200, lưu. Xem kết quả.</t>
        </is>
      </c>
      <c r="C4219" s="57" t="n"/>
      <c r="D4219" s="57" t="n"/>
      <c r="E4219" s="57" t="n"/>
    </row>
    <row r="4220" ht="44" customHeight="1">
      <c r="A4220" s="47" t="inlineStr">
        <is>
          <t>Step 2</t>
        </is>
      </c>
      <c r="B4220" s="56" t="inlineStr">
        <is>
          <t>Lưu một định nghĩa lựa chọn ở Thiết lập điểm tối đa（満点設定） ([/admin/grade_report_setting/manage/detail/option/register/change_max_score]) (chưa gán cho lớp). Xem kết quả.</t>
        </is>
      </c>
      <c r="C4220" s="57" t="n"/>
      <c r="D4220" s="57" t="n"/>
      <c r="E4220" s="57" t="n"/>
    </row>
    <row r="4221" ht="30" customHeight="1">
      <c r="A4221" s="47" t="inlineStr">
        <is>
          <t>Step 3</t>
        </is>
      </c>
      <c r="B4221" s="56" t="inlineStr">
        <is>
          <t>Đăng ký lại điểm S03. Xem kết quả.</t>
        </is>
      </c>
      <c r="C4221" s="57" t="n"/>
      <c r="D4221" s="57" t="n"/>
      <c r="E4221" s="57" t="n"/>
    </row>
    <row r="4222" ht="44" customHeight="1">
      <c r="A4222" s="47" t="inlineStr">
        <is>
          <t>Reset</t>
        </is>
      </c>
      <c r="B4222" s="56" t="inlineStr">
        <is>
          <t>Trước mỗi biến thể, dựng lại điều kiện/dữ liệu đầu của case bằng đường được phép; giữ các reset/fixture độc lập đã nêu trong thủ tục.</t>
        </is>
      </c>
      <c r="C4222" s="57" t="n"/>
      <c r="D4222" s="57" t="n"/>
      <c r="E4222" s="57" t="n"/>
    </row>
    <row r="4223" ht="30" customHeight="1">
      <c r="A4223" s="58" t="inlineStr">
        <is>
          <t>Kết quả mong đợi</t>
        </is>
      </c>
      <c r="B4223" s="59" t="n"/>
      <c r="C4223" s="59" t="n"/>
      <c r="D4223" s="59" t="n"/>
      <c r="E4223" s="59" t="n"/>
    </row>
    <row r="4224" ht="30" customHeight="1">
      <c r="A4224" s="47" t="inlineStr">
        <is>
          <t>•</t>
        </is>
      </c>
      <c r="B4224" s="56" t="inlineStr">
        <is>
          <t>1–2. S03 vẫn Không đỏ (kết quả trước).</t>
        </is>
      </c>
      <c r="C4224" s="57" t="n"/>
      <c r="D4224" s="57" t="n"/>
      <c r="E4224" s="57" t="n"/>
    </row>
    <row r="4225" ht="30" customHeight="1">
      <c r="A4225" s="47" t="inlineStr">
        <is>
          <t>3.</t>
        </is>
      </c>
      <c r="B4225" s="56" t="inlineStr">
        <is>
          <t>[M=200] → [T=60] → S03=31 Đỏ.</t>
        </is>
      </c>
      <c r="C4225" s="57" t="n"/>
      <c r="D4225" s="57" t="n"/>
      <c r="E4225" s="57" t="n"/>
    </row>
    <row r="4226" ht="44" customHeight="1">
      <c r="A4226" s="47" t="inlineStr">
        <is>
          <t>Giữ nguyên</t>
        </is>
      </c>
      <c r="B4226" s="56" t="inlineStr">
        <is>
          <t>• Giữ điểm, cấu hình và đối tượng không đích theo expected;
• Chỉ thay phần thủ tục yêu cầu, không tự đổi oracle hoặc mở rộng phạm vi.</t>
        </is>
      </c>
      <c r="C4226" s="57" t="n"/>
      <c r="D4226" s="57" t="n"/>
      <c r="E4226" s="57" t="n"/>
    </row>
    <row r="4227" ht="61" customHeight="1">
      <c r="A4227" s="47" t="inlineStr">
        <is>
          <t>Quan sát tại</t>
        </is>
      </c>
      <c r="B4227" s="56" t="inlineStr">
        <is>
          <t>• Dùng trích xuất không lọc để thấy cả ô đối chứng. Trạng thái không có dấu đỏ cần đọc thêm trạng thái lưu;
• Output Excel/PDF dùng file thật.</t>
        </is>
      </c>
      <c r="C4227" s="57" t="n"/>
      <c r="D4227" s="57" t="n"/>
      <c r="E4227" s="57" t="n"/>
    </row>
    <row r="4228" ht="30" customHeight="1">
      <c r="A4228" s="58" t="inlineStr">
        <is>
          <t>Kết quả thực tế</t>
        </is>
      </c>
      <c r="B4228" s="59" t="n"/>
      <c r="C4228" s="59" t="n"/>
      <c r="D4228" s="59" t="n"/>
      <c r="E4228" s="59" t="n"/>
    </row>
    <row r="4229" ht="30" customHeight="1">
      <c r="A4229" s="47" t="inlineStr">
        <is>
          <t>Dữ liệu biến thể</t>
        </is>
      </c>
      <c r="B4229" s="56" t="inlineStr">
        <is>
          <t>Toàn bộ thủ tục theo đúng thứ tự; các đối chứng cùng fixture được kiểm trong cùng lượt, không bỏ bước</t>
        </is>
      </c>
      <c r="C4229" s="57" t="n"/>
      <c r="D4229" s="57" t="n"/>
      <c r="E4229" s="57" t="n"/>
    </row>
    <row r="4230" ht="30" customHeight="1">
      <c r="A4230" s="62" t="inlineStr">
        <is>
          <t>Kết quả thực tế</t>
        </is>
      </c>
    </row>
    <row r="4231" ht="64" customHeight="1">
      <c r="A4231" s="63" t="inlineStr"/>
      <c r="B4231" s="64" t="n"/>
      <c r="C4231" s="64" t="n"/>
      <c r="D4231" s="64" t="n"/>
      <c r="E4231" s="65" t="n"/>
    </row>
    <row r="4232" ht="30" customHeight="1">
      <c r="A4232" s="62" t="inlineStr">
        <is>
          <t>Ảnh minh chứng</t>
        </is>
      </c>
    </row>
    <row r="4233" ht="90" customHeight="1">
      <c r="A4233" s="63" t="inlineStr"/>
      <c r="B4233" s="64" t="n"/>
      <c r="C4233" s="64" t="n"/>
      <c r="D4233" s="64" t="n"/>
      <c r="E4233" s="65" t="n"/>
    </row>
    <row r="4234" ht="12" customHeight="1">
      <c r="A4234" s="66" t="inlineStr"/>
    </row>
    <row r="4235" ht="20" customHeight="1">
      <c r="A4235" s="66" t="inlineStr"/>
    </row>
    <row r="4236" ht="30" customHeight="1">
      <c r="A4236" s="46" t="inlineStr">
        <is>
          <t>TC-RS-BR-023 — Nút xanh Thực hiện tổng hợp（集計実行） không xét điểm đỏ</t>
        </is>
      </c>
      <c r="B4236" s="23" t="n"/>
      <c r="C4236" s="23" t="n"/>
      <c r="D4236" s="23" t="n"/>
      <c r="E4236" s="23" t="n"/>
    </row>
    <row r="4237" ht="30" customHeight="1">
      <c r="A4237" s="47" t="inlineStr">
        <is>
          <t>Trạng thái</t>
        </is>
      </c>
      <c r="B4237" s="61" t="inlineStr">
        <is>
          <t>Chưa thực hiện</t>
        </is>
      </c>
      <c r="C4237" s="57" t="n"/>
      <c r="D4237" s="57" t="n"/>
      <c r="E4237" s="57" t="n"/>
    </row>
    <row r="4238" ht="30" customHeight="1">
      <c r="A4238" s="47" t="inlineStr">
        <is>
          <t>Màn hình / chức năng</t>
        </is>
      </c>
      <c r="B4238" s="47" t="inlineStr">
        <is>
          <t>Vòng đời kết quả</t>
        </is>
      </c>
      <c r="C4238" s="57" t="n"/>
      <c r="D4238" s="47" t="inlineStr">
        <is>
          <t>Đường dẫn</t>
        </is>
      </c>
      <c r="E4238" s="56" t="inlineStr">
        <is>
          <t>Chưa xác minh</t>
        </is>
      </c>
    </row>
    <row r="4239" ht="30" customHeight="1">
      <c r="A4239" s="58" t="inlineStr">
        <is>
          <t>Điều kiện kiểm thử</t>
        </is>
      </c>
      <c r="B4239" s="59" t="n"/>
      <c r="C4239" s="59" t="n"/>
      <c r="D4239" s="59" t="n"/>
      <c r="E4239" s="59" t="n"/>
    </row>
    <row r="4240" ht="44" customHeight="1">
      <c r="A4240" s="47" t="inlineStr">
        <is>
          <t>Cấu hình</t>
        </is>
      </c>
      <c r="B4240" s="56" t="inlineStr">
        <is>
          <t>• Quy tắc “Cố định 30” (dưới 30) vừa đổi từ 30 thành 35 và lưu;
• S03=32 Không đỏ (kết quả trước).</t>
        </is>
      </c>
      <c r="C4240" s="57" t="n"/>
      <c r="D4240" s="57" t="n"/>
      <c r="E4240" s="57" t="n"/>
    </row>
    <row r="4241" ht="61" customHeight="1">
      <c r="A4241" s="47" t="inlineStr">
        <is>
          <t>Vai trò / quyền</t>
        </is>
      </c>
      <c r="B424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241" s="57" t="n"/>
      <c r="D4241" s="57" t="n"/>
      <c r="E4241" s="57" t="n"/>
    </row>
    <row r="4242" ht="30" customHeight="1">
      <c r="A4242" s="47" t="inlineStr">
        <is>
          <t>Dữ liệu test</t>
        </is>
      </c>
      <c r="B4242" s="56" t="inlineStr">
        <is>
          <t>• Quy tắc “Cố định 30” (dưới 30)</t>
        </is>
      </c>
      <c r="C4242" s="57" t="n"/>
      <c r="D4242" s="57" t="n"/>
      <c r="E4242" s="57" t="n"/>
    </row>
    <row r="4243" ht="30" customHeight="1">
      <c r="A4243" s="47" t="inlineStr">
        <is>
          <t>Trigger</t>
        </is>
      </c>
      <c r="B4243" s="56" t="inlineStr">
        <is>
          <t>• Chỉ xem/xuất không tự chạy xét.</t>
        </is>
      </c>
      <c r="C4243" s="57" t="n"/>
      <c r="D4243" s="57" t="n"/>
      <c r="E4243" s="57" t="n"/>
    </row>
    <row r="4244" ht="44" customHeight="1">
      <c r="A4244" s="47" t="inlineStr">
        <is>
          <t>Blocker</t>
        </is>
      </c>
      <c r="B4244" s="56" t="inlineStr">
        <is>
          <t>• G-PREP-UNASSESSED: Chưa có xác minh fixture, đường thực hiện và phép quan sát trên build của từng case chưa đánh giá.</t>
        </is>
      </c>
      <c r="C4244" s="57" t="n"/>
      <c r="D4244" s="57" t="n"/>
      <c r="E4244" s="57" t="n"/>
    </row>
    <row r="4245" ht="30" customHeight="1">
      <c r="A4245" s="58" t="inlineStr">
        <is>
          <t>Thao tác</t>
        </is>
      </c>
      <c r="B4245" s="59" t="n"/>
      <c r="C4245" s="59" t="n"/>
      <c r="D4245" s="59" t="n"/>
      <c r="E4245" s="59" t="n"/>
    </row>
    <row r="4246" ht="30" customHeight="1">
      <c r="A4246" s="47" t="inlineStr">
        <is>
          <t>Step 1</t>
        </is>
      </c>
      <c r="B4246" s="56" t="inlineStr">
        <is>
          <t>Bấm Thực hiện tổng hợp（集計実行）, chờ hoàn tất.</t>
        </is>
      </c>
      <c r="C4246" s="57" t="n"/>
      <c r="D4246" s="57" t="n"/>
      <c r="E4246" s="57" t="n"/>
    </row>
    <row r="4247" ht="30" customHeight="1">
      <c r="A4247" s="47" t="inlineStr">
        <is>
          <t>Step 2</t>
        </is>
      </c>
      <c r="B4247" s="56" t="inlineStr">
        <is>
          <t>Xem kết quả S03.</t>
        </is>
      </c>
      <c r="C4247" s="57" t="n"/>
      <c r="D4247" s="57" t="n"/>
      <c r="E4247" s="57" t="n"/>
    </row>
    <row r="4248" ht="44" customHeight="1">
      <c r="A4248" s="47" t="inlineStr">
        <is>
          <t>Reset</t>
        </is>
      </c>
      <c r="B4248" s="56" t="inlineStr">
        <is>
          <t>Trước mỗi biến thể, dựng lại điều kiện/dữ liệu đầu của case bằng đường được phép; giữ các reset/fixture độc lập đã nêu trong thủ tục.</t>
        </is>
      </c>
      <c r="C4248" s="57" t="n"/>
      <c r="D4248" s="57" t="n"/>
      <c r="E4248" s="57" t="n"/>
    </row>
    <row r="4249" ht="30" customHeight="1">
      <c r="A4249" s="58" t="inlineStr">
        <is>
          <t>Kết quả mong đợi</t>
        </is>
      </c>
      <c r="B4249" s="59" t="n"/>
      <c r="C4249" s="59" t="n"/>
      <c r="D4249" s="59" t="n"/>
      <c r="E4249" s="59" t="n"/>
    </row>
    <row r="4250" ht="30" customHeight="1">
      <c r="A4250" s="47" t="inlineStr">
        <is>
          <t>•</t>
        </is>
      </c>
      <c r="B4250" s="56" t="inlineStr">
        <is>
          <t>S03 vẫn Không đỏ.</t>
        </is>
      </c>
      <c r="C4250" s="57" t="n"/>
      <c r="D4250" s="57" t="n"/>
      <c r="E4250" s="57" t="n"/>
    </row>
    <row r="4251" ht="44" customHeight="1">
      <c r="A4251" s="47" t="inlineStr">
        <is>
          <t>Giữ nguyên</t>
        </is>
      </c>
      <c r="B4251" s="56" t="inlineStr">
        <is>
          <t>• Giữ điểm, cấu hình và đối tượng không đích theo expected;
• Chỉ thay phần thủ tục yêu cầu, không tự đổi oracle hoặc mở rộng phạm vi.</t>
        </is>
      </c>
      <c r="C4251" s="57" t="n"/>
      <c r="D4251" s="57" t="n"/>
      <c r="E4251" s="57" t="n"/>
    </row>
    <row r="4252" ht="61" customHeight="1">
      <c r="A4252" s="47" t="inlineStr">
        <is>
          <t>Quan sát tại</t>
        </is>
      </c>
      <c r="B4252" s="56" t="inlineStr">
        <is>
          <t>• Dùng trích xuất không lọc để thấy cả ô đối chứng. Trạng thái không có dấu đỏ cần đọc thêm trạng thái lưu;
• Output Excel/PDF dùng file thật.</t>
        </is>
      </c>
      <c r="C4252" s="57" t="n"/>
      <c r="D4252" s="57" t="n"/>
      <c r="E4252" s="57" t="n"/>
    </row>
    <row r="4253" ht="30" customHeight="1">
      <c r="A4253" s="58" t="inlineStr">
        <is>
          <t>Kết quả thực tế</t>
        </is>
      </c>
      <c r="B4253" s="59" t="n"/>
      <c r="C4253" s="59" t="n"/>
      <c r="D4253" s="59" t="n"/>
      <c r="E4253" s="59" t="n"/>
    </row>
    <row r="4254" ht="30" customHeight="1">
      <c r="A4254" s="47" t="inlineStr">
        <is>
          <t>Dữ liệu biến thể</t>
        </is>
      </c>
      <c r="B4254" s="56" t="inlineStr">
        <is>
          <t>Toàn bộ thủ tục theo đúng thứ tự; các đối chứng cùng fixture được kiểm trong cùng lượt, không bỏ bước</t>
        </is>
      </c>
      <c r="C4254" s="57" t="n"/>
      <c r="D4254" s="57" t="n"/>
      <c r="E4254" s="57" t="n"/>
    </row>
    <row r="4255" ht="30" customHeight="1">
      <c r="A4255" s="62" t="inlineStr">
        <is>
          <t>Kết quả thực tế</t>
        </is>
      </c>
    </row>
    <row r="4256" ht="64" customHeight="1">
      <c r="A4256" s="63" t="inlineStr"/>
      <c r="B4256" s="64" t="n"/>
      <c r="C4256" s="64" t="n"/>
      <c r="D4256" s="64" t="n"/>
      <c r="E4256" s="65" t="n"/>
    </row>
    <row r="4257" ht="30" customHeight="1">
      <c r="A4257" s="62" t="inlineStr">
        <is>
          <t>Ảnh minh chứng</t>
        </is>
      </c>
    </row>
    <row r="4258" ht="90" customHeight="1">
      <c r="A4258" s="63" t="inlineStr"/>
      <c r="B4258" s="64" t="n"/>
      <c r="C4258" s="64" t="n"/>
      <c r="D4258" s="64" t="n"/>
      <c r="E4258" s="65" t="n"/>
    </row>
    <row r="4259" ht="12" customHeight="1">
      <c r="A4259" s="66" t="inlineStr"/>
    </row>
    <row r="4260" ht="20" customHeight="1">
      <c r="A4260" s="66" t="inlineStr"/>
    </row>
    <row r="4261" ht="30" customHeight="1">
      <c r="A4261" s="46" t="inlineStr">
        <is>
          <t>TC-RS-BR-024 — Xem, xuất, công khai, in lại không kích hoạt xét</t>
        </is>
      </c>
      <c r="B4261" s="23" t="n"/>
      <c r="C4261" s="23" t="n"/>
      <c r="D4261" s="23" t="n"/>
      <c r="E4261" s="23" t="n"/>
    </row>
    <row r="4262" ht="30" customHeight="1">
      <c r="A4262" s="47" t="inlineStr">
        <is>
          <t>Trạng thái</t>
        </is>
      </c>
      <c r="B4262" s="56">
        <f>IF(0&gt;0,"Không đạt",IF(0=5,"Đạt",IF(SUMPRODUCT(--EXACT('Testcases'!B4282:B4314,"Không thực hiện"))=5,"Không thực hiện",IF(SUMPRODUCT(--EXACT('Testcases'!B4282:B4314,"Bị chặn"))&gt;0,"Bị chặn",IF(SUMPRODUCT(--EXACT('Testcases'!B4282:B4314,"Chưa thực hiện"))=5,"Chưa thực hiện","Chưa đủ kết luận")))))</f>
        <v/>
      </c>
      <c r="C4262" s="57" t="n"/>
      <c r="D4262" s="57" t="n"/>
      <c r="E4262" s="57" t="n"/>
    </row>
    <row r="4263" ht="30" customHeight="1">
      <c r="A4263" s="47" t="inlineStr">
        <is>
          <t>Màn hình / chức năng</t>
        </is>
      </c>
      <c r="B4263" s="47" t="inlineStr">
        <is>
          <t>Vòng đời kết quả</t>
        </is>
      </c>
      <c r="C4263" s="57" t="n"/>
      <c r="D4263" s="47" t="inlineStr">
        <is>
          <t>Đường dẫn</t>
        </is>
      </c>
      <c r="E4263" s="56" t="inlineStr">
        <is>
          <t>Chưa xác minh</t>
        </is>
      </c>
    </row>
    <row r="4264" ht="30" customHeight="1">
      <c r="A4264" s="58" t="inlineStr">
        <is>
          <t>Điều kiện kiểm thử</t>
        </is>
      </c>
      <c r="B4264" s="59" t="n"/>
      <c r="C4264" s="59" t="n"/>
      <c r="D4264" s="59" t="n"/>
      <c r="E4264" s="59" t="n"/>
    </row>
    <row r="4265" ht="61" customHeight="1">
      <c r="A4265" s="47" t="inlineStr">
        <is>
          <t>Cấu hình</t>
        </is>
      </c>
      <c r="B4265" s="56" t="inlineStr">
        <is>
          <t>• Như case “Lưu cấu hình không xét;
• Kết quả trước giữ tới lần chạy lại” bước 1 (đã lưu [&lt;35], chưa chạy lại;
• S03=32 Không đỏ).</t>
        </is>
      </c>
      <c r="C4265" s="57" t="n"/>
      <c r="D4265" s="57" t="n"/>
      <c r="E4265" s="57" t="n"/>
    </row>
    <row r="4266" ht="61" customHeight="1">
      <c r="A4266" s="47" t="inlineStr">
        <is>
          <t>Vai trò / quyền</t>
        </is>
      </c>
      <c r="B426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266" s="57" t="n"/>
      <c r="D4266" s="57" t="n"/>
      <c r="E4266" s="57" t="n"/>
    </row>
    <row r="4267" ht="44" customHeight="1">
      <c r="A4267" s="47" t="inlineStr">
        <is>
          <t>Dữ liệu test</t>
        </is>
      </c>
      <c r="B4267" s="56" t="inlineStr">
        <is>
          <t>• Cấu hình trích xuất: lọc, ký hiệu “*” phía trước, tô màu, cấu hình công khai: “*” phía trước, cấu hình phiếu điểm: ký tự “※” phía trước</t>
        </is>
      </c>
      <c r="C4267" s="57" t="n"/>
      <c r="D4267" s="57" t="n"/>
      <c r="E4267" s="57" t="n"/>
    </row>
    <row r="4268" ht="30" customHeight="1">
      <c r="A4268" s="47" t="inlineStr">
        <is>
          <t>Trigger</t>
        </is>
      </c>
      <c r="B4268" s="56" t="inlineStr">
        <is>
          <t>• Chỉ xem/xuất không tự chạy xét.</t>
        </is>
      </c>
      <c r="C4268" s="57" t="n"/>
      <c r="D4268" s="57" t="n"/>
      <c r="E4268" s="57" t="n"/>
    </row>
    <row r="4269" ht="44" customHeight="1">
      <c r="A4269" s="47" t="inlineStr">
        <is>
          <t>Blocker</t>
        </is>
      </c>
      <c r="B4269" s="56" t="inlineStr">
        <is>
          <t>• G-PREP-UNASSESSED: Chưa có xác minh fixture, đường thực hiện và phép quan sát trên build của từng case chưa đánh giá.</t>
        </is>
      </c>
      <c r="C4269" s="57" t="n"/>
      <c r="D4269" s="57" t="n"/>
      <c r="E4269" s="57" t="n"/>
    </row>
    <row r="4270" ht="30" customHeight="1">
      <c r="A4270" s="58" t="inlineStr">
        <is>
          <t>Thao tác</t>
        </is>
      </c>
      <c r="B4270" s="59" t="n"/>
      <c r="C4270" s="59" t="n"/>
      <c r="D4270" s="59" t="n"/>
      <c r="E4270" s="59" t="n"/>
    </row>
    <row r="4271" ht="30" customHeight="1">
      <c r="A4271" s="47" t="inlineStr">
        <is>
          <t>Step 1</t>
        </is>
      </c>
      <c r="B4271" s="56" t="inlineStr">
        <is>
          <t>Chạy trích xuất, xuất Excel.</t>
        </is>
      </c>
      <c r="C4271" s="57" t="n"/>
      <c r="D4271" s="57" t="n"/>
      <c r="E4271" s="57" t="n"/>
    </row>
    <row r="4272" ht="30" customHeight="1">
      <c r="A4272" s="47" t="inlineStr">
        <is>
          <t>Step 2</t>
        </is>
      </c>
      <c r="B4272" s="56" t="inlineStr">
        <is>
          <t>Mở màn công khai học sinh, tải PDF công khai.</t>
        </is>
      </c>
      <c r="C4272" s="57" t="n"/>
      <c r="D4272" s="57" t="n"/>
      <c r="E4272" s="57" t="n"/>
    </row>
    <row r="4273" ht="30" customHeight="1">
      <c r="A4273" s="47" t="inlineStr">
        <is>
          <t>Step 3</t>
        </is>
      </c>
      <c r="B4273" s="56" t="inlineStr">
        <is>
          <t>Xuất PDF phiếu.</t>
        </is>
      </c>
      <c r="C4273" s="57" t="n"/>
      <c r="D4273" s="57" t="n"/>
      <c r="E4273" s="57" t="n"/>
    </row>
    <row r="4274" ht="44" customHeight="1">
      <c r="A4274" s="47" t="inlineStr">
        <is>
          <t>Reset</t>
        </is>
      </c>
      <c r="B4274" s="56" t="inlineStr">
        <is>
          <t>Trước mỗi biến thể, dựng lại điều kiện/dữ liệu đầu của case bằng đường được phép; giữ các reset/fixture độc lập đã nêu trong thủ tục.</t>
        </is>
      </c>
      <c r="C4274" s="57" t="n"/>
      <c r="D4274" s="57" t="n"/>
      <c r="E4274" s="57" t="n"/>
    </row>
    <row r="4275" ht="30" customHeight="1">
      <c r="A4275" s="58" t="inlineStr">
        <is>
          <t>Kết quả mong đợi</t>
        </is>
      </c>
      <c r="B4275" s="59" t="n"/>
      <c r="C4275" s="59" t="n"/>
      <c r="D4275" s="59" t="n"/>
      <c r="E4275" s="59" t="n"/>
    </row>
    <row r="4276" ht="44" customHeight="1">
      <c r="A4276" s="47" t="inlineStr">
        <is>
          <t>•</t>
        </is>
      </c>
      <c r="B4276" s="56" t="inlineStr">
        <is>
          <t>S03 vẫn Không đỏ ở mọi đầu ra; không có lượt xét mới (thời điểm kết quả không đổi); không có lượt tổng hợp mới (lượt/thời điểm tổng hợp mới nhất không đổi).</t>
        </is>
      </c>
      <c r="C4276" s="57" t="n"/>
      <c r="D4276" s="57" t="n"/>
      <c r="E4276" s="57" t="n"/>
    </row>
    <row r="4277" ht="44" customHeight="1">
      <c r="A4277" s="47" t="inlineStr">
        <is>
          <t>Giữ nguyên</t>
        </is>
      </c>
      <c r="B4277" s="56" t="inlineStr">
        <is>
          <t>• Giữ điểm, cấu hình và đối tượng không đích theo expected;
• Chỉ thay phần thủ tục yêu cầu, không tự đổi oracle hoặc mở rộng phạm vi.</t>
        </is>
      </c>
      <c r="C4277" s="57" t="n"/>
      <c r="D4277" s="57" t="n"/>
      <c r="E4277" s="57" t="n"/>
    </row>
    <row r="4278" ht="61" customHeight="1">
      <c r="A4278" s="47" t="inlineStr">
        <is>
          <t>Quan sát tại</t>
        </is>
      </c>
      <c r="B4278" s="56" t="inlineStr">
        <is>
          <t>• Dùng trích xuất không lọc để thấy cả ô đối chứng. Trạng thái không có dấu đỏ cần đọc thêm trạng thái lưu;
• Output Excel/PDF dùng file thật.</t>
        </is>
      </c>
      <c r="C4278" s="57" t="n"/>
      <c r="D4278" s="57" t="n"/>
      <c r="E4278" s="57" t="n"/>
    </row>
    <row r="4279" ht="30" customHeight="1">
      <c r="A4279" s="58" t="inlineStr">
        <is>
          <t>Kết quả thực tế</t>
        </is>
      </c>
      <c r="B4279" s="59" t="n"/>
      <c r="C4279" s="59" t="n"/>
      <c r="D4279" s="59" t="n"/>
      <c r="E4279" s="59" t="n"/>
    </row>
    <row r="4280" ht="30" customHeight="1">
      <c r="A4280" s="60" t="inlineStr">
        <is>
          <t>TC-RS-BR-024 / extract</t>
        </is>
      </c>
      <c r="B4280" s="36" t="n"/>
      <c r="C4280" s="36" t="n"/>
      <c r="D4280" s="36" t="n"/>
      <c r="E4280" s="36" t="n"/>
    </row>
    <row r="4281" ht="30" customHeight="1">
      <c r="A4281" s="47" t="inlineStr">
        <is>
          <t>Dữ liệu biến thể</t>
        </is>
      </c>
      <c r="B4281" s="56" t="inlineStr">
        <is>
          <t>Trích xuất màn</t>
        </is>
      </c>
      <c r="C4281" s="57" t="n"/>
      <c r="D4281" s="57" t="n"/>
      <c r="E4281" s="57" t="n"/>
    </row>
    <row r="4282" ht="30" customHeight="1">
      <c r="A4282" s="47" t="inlineStr">
        <is>
          <t>Trạng thái</t>
        </is>
      </c>
      <c r="B4282" s="61" t="inlineStr">
        <is>
          <t>Chưa thực hiện</t>
        </is>
      </c>
      <c r="C4282" s="57" t="n"/>
      <c r="D4282" s="57" t="n"/>
      <c r="E4282" s="57" t="n"/>
    </row>
    <row r="4283" ht="30" customHeight="1">
      <c r="A4283" s="62" t="inlineStr">
        <is>
          <t>Kết quả thực tế</t>
        </is>
      </c>
    </row>
    <row r="4284" ht="64" customHeight="1">
      <c r="A4284" s="63" t="inlineStr"/>
      <c r="B4284" s="64" t="n"/>
      <c r="C4284" s="64" t="n"/>
      <c r="D4284" s="64" t="n"/>
      <c r="E4284" s="65" t="n"/>
    </row>
    <row r="4285" ht="30" customHeight="1">
      <c r="A4285" s="62" t="inlineStr">
        <is>
          <t>Ảnh minh chứng</t>
        </is>
      </c>
    </row>
    <row r="4286" ht="90" customHeight="1">
      <c r="A4286" s="63" t="inlineStr"/>
      <c r="B4286" s="64" t="n"/>
      <c r="C4286" s="64" t="n"/>
      <c r="D4286" s="64" t="n"/>
      <c r="E4286" s="65" t="n"/>
    </row>
    <row r="4287" ht="12" customHeight="1">
      <c r="A4287" s="66" t="inlineStr"/>
    </row>
    <row r="4288" ht="30" customHeight="1">
      <c r="A4288" s="60" t="inlineStr">
        <is>
          <t>TC-RS-BR-024 / excel</t>
        </is>
      </c>
      <c r="B4288" s="36" t="n"/>
      <c r="C4288" s="36" t="n"/>
      <c r="D4288" s="36" t="n"/>
      <c r="E4288" s="36" t="n"/>
    </row>
    <row r="4289" ht="30" customHeight="1">
      <c r="A4289" s="47" t="inlineStr">
        <is>
          <t>Dữ liệu biến thể</t>
        </is>
      </c>
      <c r="B4289" s="56" t="inlineStr">
        <is>
          <t>File Excel</t>
        </is>
      </c>
      <c r="C4289" s="57" t="n"/>
      <c r="D4289" s="57" t="n"/>
      <c r="E4289" s="57" t="n"/>
    </row>
    <row r="4290" ht="30" customHeight="1">
      <c r="A4290" s="47" t="inlineStr">
        <is>
          <t>Trạng thái</t>
        </is>
      </c>
      <c r="B4290" s="61" t="inlineStr">
        <is>
          <t>Chưa thực hiện</t>
        </is>
      </c>
      <c r="C4290" s="57" t="n"/>
      <c r="D4290" s="57" t="n"/>
      <c r="E4290" s="57" t="n"/>
    </row>
    <row r="4291" ht="30" customHeight="1">
      <c r="A4291" s="62" t="inlineStr">
        <is>
          <t>Kết quả thực tế</t>
        </is>
      </c>
    </row>
    <row r="4292" ht="64" customHeight="1">
      <c r="A4292" s="63" t="inlineStr"/>
      <c r="B4292" s="64" t="n"/>
      <c r="C4292" s="64" t="n"/>
      <c r="D4292" s="64" t="n"/>
      <c r="E4292" s="65" t="n"/>
    </row>
    <row r="4293" ht="30" customHeight="1">
      <c r="A4293" s="62" t="inlineStr">
        <is>
          <t>Ảnh minh chứng</t>
        </is>
      </c>
    </row>
    <row r="4294" ht="90" customHeight="1">
      <c r="A4294" s="63" t="inlineStr"/>
      <c r="B4294" s="64" t="n"/>
      <c r="C4294" s="64" t="n"/>
      <c r="D4294" s="64" t="n"/>
      <c r="E4294" s="65" t="n"/>
    </row>
    <row r="4295" ht="12" customHeight="1">
      <c r="A4295" s="66" t="inlineStr"/>
    </row>
    <row r="4296" ht="30" customHeight="1">
      <c r="A4296" s="60" t="inlineStr">
        <is>
          <t>TC-RS-BR-024 / publish-web</t>
        </is>
      </c>
      <c r="B4296" s="36" t="n"/>
      <c r="C4296" s="36" t="n"/>
      <c r="D4296" s="36" t="n"/>
      <c r="E4296" s="36" t="n"/>
    </row>
    <row r="4297" ht="30" customHeight="1">
      <c r="A4297" s="47" t="inlineStr">
        <is>
          <t>Dữ liệu biến thể</t>
        </is>
      </c>
      <c r="B4297" s="56" t="inlineStr">
        <is>
          <t>Màn công khai</t>
        </is>
      </c>
      <c r="C4297" s="57" t="n"/>
      <c r="D4297" s="57" t="n"/>
      <c r="E4297" s="57" t="n"/>
    </row>
    <row r="4298" ht="30" customHeight="1">
      <c r="A4298" s="47" t="inlineStr">
        <is>
          <t>Trạng thái</t>
        </is>
      </c>
      <c r="B4298" s="61" t="inlineStr">
        <is>
          <t>Chưa thực hiện</t>
        </is>
      </c>
      <c r="C4298" s="57" t="n"/>
      <c r="D4298" s="57" t="n"/>
      <c r="E4298" s="57" t="n"/>
    </row>
    <row r="4299" ht="30" customHeight="1">
      <c r="A4299" s="62" t="inlineStr">
        <is>
          <t>Kết quả thực tế</t>
        </is>
      </c>
    </row>
    <row r="4300" ht="64" customHeight="1">
      <c r="A4300" s="63" t="inlineStr"/>
      <c r="B4300" s="64" t="n"/>
      <c r="C4300" s="64" t="n"/>
      <c r="D4300" s="64" t="n"/>
      <c r="E4300" s="65" t="n"/>
    </row>
    <row r="4301" ht="30" customHeight="1">
      <c r="A4301" s="62" t="inlineStr">
        <is>
          <t>Ảnh minh chứng</t>
        </is>
      </c>
    </row>
    <row r="4302" ht="90" customHeight="1">
      <c r="A4302" s="63" t="inlineStr"/>
      <c r="B4302" s="64" t="n"/>
      <c r="C4302" s="64" t="n"/>
      <c r="D4302" s="64" t="n"/>
      <c r="E4302" s="65" t="n"/>
    </row>
    <row r="4303" ht="12" customHeight="1">
      <c r="A4303" s="66" t="inlineStr"/>
    </row>
    <row r="4304" ht="30" customHeight="1">
      <c r="A4304" s="60" t="inlineStr">
        <is>
          <t>TC-RS-BR-024 / publish-pdf</t>
        </is>
      </c>
      <c r="B4304" s="36" t="n"/>
      <c r="C4304" s="36" t="n"/>
      <c r="D4304" s="36" t="n"/>
      <c r="E4304" s="36" t="n"/>
    </row>
    <row r="4305" ht="30" customHeight="1">
      <c r="A4305" s="47" t="inlineStr">
        <is>
          <t>Dữ liệu biến thể</t>
        </is>
      </c>
      <c r="B4305" s="56" t="inlineStr">
        <is>
          <t>PDF công khai</t>
        </is>
      </c>
      <c r="C4305" s="57" t="n"/>
      <c r="D4305" s="57" t="n"/>
      <c r="E4305" s="57" t="n"/>
    </row>
    <row r="4306" ht="30" customHeight="1">
      <c r="A4306" s="47" t="inlineStr">
        <is>
          <t>Trạng thái</t>
        </is>
      </c>
      <c r="B4306" s="61" t="inlineStr">
        <is>
          <t>Chưa thực hiện</t>
        </is>
      </c>
      <c r="C4306" s="57" t="n"/>
      <c r="D4306" s="57" t="n"/>
      <c r="E4306" s="57" t="n"/>
    </row>
    <row r="4307" ht="30" customHeight="1">
      <c r="A4307" s="62" t="inlineStr">
        <is>
          <t>Kết quả thực tế</t>
        </is>
      </c>
    </row>
    <row r="4308" ht="64" customHeight="1">
      <c r="A4308" s="63" t="inlineStr"/>
      <c r="B4308" s="64" t="n"/>
      <c r="C4308" s="64" t="n"/>
      <c r="D4308" s="64" t="n"/>
      <c r="E4308" s="65" t="n"/>
    </row>
    <row r="4309" ht="30" customHeight="1">
      <c r="A4309" s="62" t="inlineStr">
        <is>
          <t>Ảnh minh chứng</t>
        </is>
      </c>
    </row>
    <row r="4310" ht="90" customHeight="1">
      <c r="A4310" s="63" t="inlineStr"/>
      <c r="B4310" s="64" t="n"/>
      <c r="C4310" s="64" t="n"/>
      <c r="D4310" s="64" t="n"/>
      <c r="E4310" s="65" t="n"/>
    </row>
    <row r="4311" ht="12" customHeight="1">
      <c r="A4311" s="66" t="inlineStr"/>
    </row>
    <row r="4312" ht="30" customHeight="1">
      <c r="A4312" s="60" t="inlineStr">
        <is>
          <t>TC-RS-BR-024 / report</t>
        </is>
      </c>
      <c r="B4312" s="36" t="n"/>
      <c r="C4312" s="36" t="n"/>
      <c r="D4312" s="36" t="n"/>
      <c r="E4312" s="36" t="n"/>
    </row>
    <row r="4313" ht="30" customHeight="1">
      <c r="A4313" s="47" t="inlineStr">
        <is>
          <t>Dữ liệu biến thể</t>
        </is>
      </c>
      <c r="B4313" s="56" t="inlineStr">
        <is>
          <t>Phiếu điểm</t>
        </is>
      </c>
      <c r="C4313" s="57" t="n"/>
      <c r="D4313" s="57" t="n"/>
      <c r="E4313" s="57" t="n"/>
    </row>
    <row r="4314" ht="30" customHeight="1">
      <c r="A4314" s="47" t="inlineStr">
        <is>
          <t>Trạng thái</t>
        </is>
      </c>
      <c r="B4314" s="61" t="inlineStr">
        <is>
          <t>Chưa thực hiện</t>
        </is>
      </c>
      <c r="C4314" s="57" t="n"/>
      <c r="D4314" s="57" t="n"/>
      <c r="E4314" s="57" t="n"/>
    </row>
    <row r="4315" ht="30" customHeight="1">
      <c r="A4315" s="62" t="inlineStr">
        <is>
          <t>Kết quả thực tế</t>
        </is>
      </c>
    </row>
    <row r="4316" ht="64" customHeight="1">
      <c r="A4316" s="63" t="inlineStr"/>
      <c r="B4316" s="64" t="n"/>
      <c r="C4316" s="64" t="n"/>
      <c r="D4316" s="64" t="n"/>
      <c r="E4316" s="65" t="n"/>
    </row>
    <row r="4317" ht="30" customHeight="1">
      <c r="A4317" s="62" t="inlineStr">
        <is>
          <t>Ảnh minh chứng</t>
        </is>
      </c>
    </row>
    <row r="4318" ht="90" customHeight="1">
      <c r="A4318" s="63" t="inlineStr"/>
      <c r="B4318" s="64" t="n"/>
      <c r="C4318" s="64" t="n"/>
      <c r="D4318" s="64" t="n"/>
      <c r="E4318" s="65" t="n"/>
    </row>
    <row r="4319" ht="12" customHeight="1">
      <c r="A4319" s="66" t="inlineStr"/>
    </row>
    <row r="4320" ht="20" customHeight="1">
      <c r="A4320" s="66" t="inlineStr"/>
    </row>
    <row r="4321" ht="30" customHeight="1">
      <c r="A4321" s="46" t="inlineStr">
        <is>
          <t>TC-RS-BR-027 — Chạy lại nhiều lần cho cùng kết quả, không nhân đôi dấu</t>
        </is>
      </c>
      <c r="B4321" s="23" t="n"/>
      <c r="C4321" s="23" t="n"/>
      <c r="D4321" s="23" t="n"/>
      <c r="E4321" s="23" t="n"/>
    </row>
    <row r="4322" ht="30" customHeight="1">
      <c r="A4322" s="47" t="inlineStr">
        <is>
          <t>Trạng thái</t>
        </is>
      </c>
      <c r="B4322" s="61" t="inlineStr">
        <is>
          <t>Chưa thực hiện</t>
        </is>
      </c>
      <c r="C4322" s="57" t="n"/>
      <c r="D4322" s="57" t="n"/>
      <c r="E4322" s="57" t="n"/>
    </row>
    <row r="4323" ht="30" customHeight="1">
      <c r="A4323" s="47" t="inlineStr">
        <is>
          <t>Màn hình / chức năng</t>
        </is>
      </c>
      <c r="B4323" s="47" t="inlineStr">
        <is>
          <t>Vòng đời kết quả</t>
        </is>
      </c>
      <c r="C4323" s="57" t="n"/>
      <c r="D4323" s="47" t="inlineStr">
        <is>
          <t>Đường dẫn</t>
        </is>
      </c>
      <c r="E4323" s="56" t="inlineStr">
        <is>
          <t>Chưa xác minh</t>
        </is>
      </c>
    </row>
    <row r="4324" ht="30" customHeight="1">
      <c r="A4324" s="58" t="inlineStr">
        <is>
          <t>Điều kiện kiểm thử</t>
        </is>
      </c>
      <c r="B4324" s="59" t="n"/>
      <c r="C4324" s="59" t="n"/>
      <c r="D4324" s="59" t="n"/>
      <c r="E4324" s="59" t="n"/>
    </row>
    <row r="4325" ht="61" customHeight="1">
      <c r="A4325" s="47" t="inlineStr">
        <is>
          <t>Cấu hình</t>
        </is>
      </c>
      <c r="B4325" s="56" t="inlineStr">
        <is>
          <t>• Quy tắc “Cố định 30” (dưới 30);
• S01=29 Đỏ;
• Trích xuất cấu hình trích xuất chỉ ký hiệu (“※” trước, “!” sau) ([※], [!]).</t>
        </is>
      </c>
      <c r="C4325" s="57" t="n"/>
      <c r="D4325" s="57" t="n"/>
      <c r="E4325" s="57" t="n"/>
    </row>
    <row r="4326" ht="61" customHeight="1">
      <c r="A4326" s="47" t="inlineStr">
        <is>
          <t>Vai trò / quyền</t>
        </is>
      </c>
      <c r="B432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326" s="57" t="n"/>
      <c r="D4326" s="57" t="n"/>
      <c r="E4326" s="57" t="n"/>
    </row>
    <row r="4327" ht="44" customHeight="1">
      <c r="A4327" s="47" t="inlineStr">
        <is>
          <t>Dữ liệu test</t>
        </is>
      </c>
      <c r="B4327" s="56" t="inlineStr">
        <is>
          <t>• Quy tắc “Cố định 30” (dưới 30);
• Học sinh S01 (điểm 29), cấu hình trích xuất chỉ ký hiệu (“※” trước, “!” sau)</t>
        </is>
      </c>
      <c r="C4327" s="57" t="n"/>
      <c r="D4327" s="57" t="n"/>
      <c r="E4327" s="57" t="n"/>
    </row>
    <row r="4328" ht="30" customHeight="1">
      <c r="A4328" s="47" t="inlineStr">
        <is>
          <t>Trigger</t>
        </is>
      </c>
      <c r="B4328" s="56" t="inlineStr">
        <is>
          <t>• Chỉ xem/xuất không tự chạy xét.</t>
        </is>
      </c>
      <c r="C4328" s="57" t="n"/>
      <c r="D4328" s="57" t="n"/>
      <c r="E4328" s="57" t="n"/>
    </row>
    <row r="4329" ht="44" customHeight="1">
      <c r="A4329" s="47" t="inlineStr">
        <is>
          <t>Blocker</t>
        </is>
      </c>
      <c r="B4329" s="56" t="inlineStr">
        <is>
          <t>• G-PREP-UNASSESSED: Chưa có xác minh fixture, đường thực hiện và phép quan sát trên build của từng case chưa đánh giá.</t>
        </is>
      </c>
      <c r="C4329" s="57" t="n"/>
      <c r="D4329" s="57" t="n"/>
      <c r="E4329" s="57" t="n"/>
    </row>
    <row r="4330" ht="30" customHeight="1">
      <c r="A4330" s="58" t="inlineStr">
        <is>
          <t>Thao tác</t>
        </is>
      </c>
      <c r="B4330" s="59" t="n"/>
      <c r="C4330" s="59" t="n"/>
      <c r="D4330" s="59" t="n"/>
      <c r="E4330" s="59" t="n"/>
    </row>
    <row r="4331" ht="30" customHeight="1">
      <c r="A4331" s="47" t="inlineStr">
        <is>
          <t>Step 1</t>
        </is>
      </c>
      <c r="B4331" s="56" t="inlineStr">
        <is>
          <t>Chạy nút cam 3 lần liên tiếp (chờ mỗi lần hoàn tất).</t>
        </is>
      </c>
      <c r="C4331" s="57" t="n"/>
      <c r="D4331" s="57" t="n"/>
      <c r="E4331" s="57" t="n"/>
    </row>
    <row r="4332" ht="30" customHeight="1">
      <c r="A4332" s="47" t="inlineStr">
        <is>
          <t>Step 2</t>
        </is>
      </c>
      <c r="B4332" s="56" t="inlineStr">
        <is>
          <t>Xem trích xuất; SELECT số kết quả hiện hành của ô S01 (khi có schema).</t>
        </is>
      </c>
      <c r="C4332" s="57" t="n"/>
      <c r="D4332" s="57" t="n"/>
      <c r="E4332" s="57" t="n"/>
    </row>
    <row r="4333" ht="44" customHeight="1">
      <c r="A4333" s="47" t="inlineStr">
        <is>
          <t>Reset</t>
        </is>
      </c>
      <c r="B4333" s="56" t="inlineStr">
        <is>
          <t>Trước mỗi biến thể, dựng lại điều kiện/dữ liệu đầu của case bằng đường được phép; giữ các reset/fixture độc lập đã nêu trong thủ tục.</t>
        </is>
      </c>
      <c r="C4333" s="57" t="n"/>
      <c r="D4333" s="57" t="n"/>
      <c r="E4333" s="57" t="n"/>
    </row>
    <row r="4334" ht="30" customHeight="1">
      <c r="A4334" s="58" t="inlineStr">
        <is>
          <t>Kết quả mong đợi</t>
        </is>
      </c>
      <c r="B4334" s="59" t="n"/>
      <c r="C4334" s="59" t="n"/>
      <c r="D4334" s="59" t="n"/>
      <c r="E4334" s="59" t="n"/>
    </row>
    <row r="4335" ht="30" customHeight="1">
      <c r="A4335" s="47" t="inlineStr">
        <is>
          <t>•</t>
        </is>
      </c>
      <c r="B4335" s="56" t="inlineStr">
        <is>
          <t>Ô S01 hiện [※29!] (không [※※29!!]); chỉ một kết quả hiện hành cho ô.</t>
        </is>
      </c>
      <c r="C4335" s="57" t="n"/>
      <c r="D4335" s="57" t="n"/>
      <c r="E4335" s="57" t="n"/>
    </row>
    <row r="4336" ht="44" customHeight="1">
      <c r="A4336" s="47" t="inlineStr">
        <is>
          <t>Giữ nguyên</t>
        </is>
      </c>
      <c r="B4336" s="56" t="inlineStr">
        <is>
          <t>• Giữ điểm, cấu hình và đối tượng không đích theo expected;
• Chỉ thay phần thủ tục yêu cầu, không tự đổi oracle hoặc mở rộng phạm vi.</t>
        </is>
      </c>
      <c r="C4336" s="57" t="n"/>
      <c r="D4336" s="57" t="n"/>
      <c r="E4336" s="57" t="n"/>
    </row>
    <row r="4337" ht="61" customHeight="1">
      <c r="A4337" s="47" t="inlineStr">
        <is>
          <t>Quan sát tại</t>
        </is>
      </c>
      <c r="B4337" s="56" t="inlineStr">
        <is>
          <t>• Dùng trích xuất không lọc để thấy cả ô đối chứng. Trạng thái không có dấu đỏ cần đọc thêm trạng thái lưu;
• Output Excel/PDF dùng file thật.</t>
        </is>
      </c>
      <c r="C4337" s="57" t="n"/>
      <c r="D4337" s="57" t="n"/>
      <c r="E4337" s="57" t="n"/>
    </row>
    <row r="4338" ht="30" customHeight="1">
      <c r="A4338" s="58" t="inlineStr">
        <is>
          <t>Kết quả thực tế</t>
        </is>
      </c>
      <c r="B4338" s="59" t="n"/>
      <c r="C4338" s="59" t="n"/>
      <c r="D4338" s="59" t="n"/>
      <c r="E4338" s="59" t="n"/>
    </row>
    <row r="4339" ht="30" customHeight="1">
      <c r="A4339" s="47" t="inlineStr">
        <is>
          <t>Dữ liệu biến thể</t>
        </is>
      </c>
      <c r="B4339" s="56" t="inlineStr">
        <is>
          <t>Toàn bộ thủ tục theo đúng thứ tự; các đối chứng cùng fixture được kiểm trong cùng lượt, không bỏ bước</t>
        </is>
      </c>
      <c r="C4339" s="57" t="n"/>
      <c r="D4339" s="57" t="n"/>
      <c r="E4339" s="57" t="n"/>
    </row>
    <row r="4340" ht="30" customHeight="1">
      <c r="A4340" s="62" t="inlineStr">
        <is>
          <t>Kết quả thực tế</t>
        </is>
      </c>
    </row>
    <row r="4341" ht="64" customHeight="1">
      <c r="A4341" s="63" t="inlineStr"/>
      <c r="B4341" s="64" t="n"/>
      <c r="C4341" s="64" t="n"/>
      <c r="D4341" s="64" t="n"/>
      <c r="E4341" s="65" t="n"/>
    </row>
    <row r="4342" ht="30" customHeight="1">
      <c r="A4342" s="62" t="inlineStr">
        <is>
          <t>Ảnh minh chứng</t>
        </is>
      </c>
    </row>
    <row r="4343" ht="90" customHeight="1">
      <c r="A4343" s="63" t="inlineStr"/>
      <c r="B4343" s="64" t="n"/>
      <c r="C4343" s="64" t="n"/>
      <c r="D4343" s="64" t="n"/>
      <c r="E4343" s="65" t="n"/>
    </row>
    <row r="4344" ht="12" customHeight="1">
      <c r="A4344" s="66" t="inlineStr"/>
    </row>
    <row r="4345" ht="20" customHeight="1">
      <c r="A4345" s="66" t="inlineStr"/>
    </row>
    <row r="4346" ht="30" customHeight="1">
      <c r="A4346" s="46" t="inlineStr">
        <is>
          <t>TC-RS-BR-037 — Xóa hoặc thôi dùng điểm đơn vị thì ngừng kết quả đỏ cũ của ô đó</t>
        </is>
      </c>
      <c r="B4346" s="23" t="n"/>
      <c r="C4346" s="23" t="n"/>
      <c r="D4346" s="23" t="n"/>
      <c r="E4346" s="23" t="n"/>
    </row>
    <row r="4347" ht="30" customHeight="1">
      <c r="A4347" s="47" t="inlineStr">
        <is>
          <t>Trạng thái</t>
        </is>
      </c>
      <c r="B4347" s="56">
        <f>IF(0&gt;0,"Không đạt",IF(0=2,"Đạt",IF(SUMPRODUCT(--EXACT('Testcases'!B4369:B4377,"Không thực hiện"))=2,"Không thực hiện",IF(SUMPRODUCT(--EXACT('Testcases'!B4369:B4377,"Bị chặn"))&gt;0,"Bị chặn",IF(SUMPRODUCT(--EXACT('Testcases'!B4369:B4377,"Chưa thực hiện"))=2,"Chưa thực hiện","Chưa đủ kết luận")))))</f>
        <v/>
      </c>
      <c r="C4347" s="57" t="n"/>
      <c r="D4347" s="57" t="n"/>
      <c r="E4347" s="57" t="n"/>
    </row>
    <row r="4348" ht="30" customHeight="1">
      <c r="A4348" s="47" t="inlineStr">
        <is>
          <t>Màn hình / chức năng</t>
        </is>
      </c>
      <c r="B4348" s="47" t="inlineStr">
        <is>
          <t>Vòng đời kết quả</t>
        </is>
      </c>
      <c r="C4348" s="57" t="n"/>
      <c r="D4348" s="47" t="inlineStr">
        <is>
          <t>Đường dẫn</t>
        </is>
      </c>
      <c r="E4348" s="56" t="inlineStr">
        <is>
          <t>Chưa xác minh</t>
        </is>
      </c>
    </row>
    <row r="4349" ht="30" customHeight="1">
      <c r="A4349" s="58" t="inlineStr">
        <is>
          <t>Điều kiện kiểm thử</t>
        </is>
      </c>
      <c r="B4349" s="59" t="n"/>
      <c r="C4349" s="59" t="n"/>
      <c r="D4349" s="59" t="n"/>
      <c r="E4349" s="59" t="n"/>
    </row>
    <row r="4350" ht="61" customHeight="1">
      <c r="A4350" s="47" t="inlineStr">
        <is>
          <t>Cấu hình</t>
        </is>
      </c>
      <c r="B4350" s="56" t="inlineStr">
        <is>
          <t>• Mục điểm đơn vị (đơn vị U1 có M riêng 40) có quy tắc “Cố định 30” (dưới 30). S06 (G-B): U1 = 25, U2 = 35 đã đăng ký;
• U1 đang Đỏ, U2 Không đỏ (như case “Ô điểm đơn vị được xét riêng theo từng đơn vị”).</t>
        </is>
      </c>
      <c r="C4350" s="57" t="n"/>
      <c r="D4350" s="57" t="n"/>
      <c r="E4350" s="57" t="n"/>
    </row>
    <row r="4351" ht="61" customHeight="1">
      <c r="A4351" s="47" t="inlineStr">
        <is>
          <t>Vai trò / quyền</t>
        </is>
      </c>
      <c r="B435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351" s="57" t="n"/>
      <c r="D4351" s="57" t="n"/>
      <c r="E4351" s="57" t="n"/>
    </row>
    <row r="4352" ht="78" customHeight="1">
      <c r="A4352" s="47" t="inlineStr">
        <is>
          <t>Dữ liệu test</t>
        </is>
      </c>
      <c r="B4352" s="56" t="inlineStr">
        <is>
          <t>• Mục điểm đơn vị (đơn vị U1 có M riêng 40);
• Quy tắc “Cố định 30” (dưới 30);
• Các lớp học phần G-A, G-B, G-C;
• Học sinh S06 (điểm dự kiến 24)</t>
        </is>
      </c>
      <c r="C4352" s="57" t="n"/>
      <c r="D4352" s="57" t="n"/>
      <c r="E4352" s="57" t="n"/>
    </row>
    <row r="4353" ht="30" customHeight="1">
      <c r="A4353" s="47" t="inlineStr">
        <is>
          <t>Trigger</t>
        </is>
      </c>
      <c r="B4353" s="56" t="inlineStr">
        <is>
          <t>• Chỉ xem/xuất không tự chạy xét.</t>
        </is>
      </c>
      <c r="C4353" s="57" t="n"/>
      <c r="D4353" s="57" t="n"/>
      <c r="E4353" s="57" t="n"/>
    </row>
    <row r="4354" ht="44" customHeight="1">
      <c r="A4354" s="47" t="inlineStr">
        <is>
          <t>Blocker</t>
        </is>
      </c>
      <c r="B4354" s="56" t="inlineStr">
        <is>
          <t>• G-PREP-UNASSESSED: Chưa có xác minh fixture, đường thực hiện và phép quan sát trên build của từng case chưa đánh giá.</t>
        </is>
      </c>
      <c r="C4354" s="57" t="n"/>
      <c r="D4354" s="57" t="n"/>
      <c r="E4354" s="57" t="n"/>
    </row>
    <row r="4355" ht="30" customHeight="1">
      <c r="A4355" s="58" t="inlineStr">
        <is>
          <t>Thao tác</t>
        </is>
      </c>
      <c r="B4355" s="59" t="n"/>
      <c r="C4355" s="59" t="n"/>
      <c r="D4355" s="59" t="n"/>
      <c r="E4355" s="59" t="n"/>
    </row>
    <row r="4356" ht="30" customHeight="1">
      <c r="A4356" s="47" t="inlineStr">
        <is>
          <t>Step 1</t>
        </is>
      </c>
      <c r="B4356" s="56" t="inlineStr">
        <is>
          <t>Xác nhận U1 Đỏ ở ba đầu ra.</t>
        </is>
      </c>
      <c r="C4356" s="57" t="n"/>
      <c r="D4356" s="57" t="n"/>
      <c r="E4356" s="57" t="n"/>
    </row>
    <row r="4357" ht="30" customHeight="1">
      <c r="A4357" s="47" t="inlineStr">
        <is>
          <t>Step 2</t>
        </is>
      </c>
      <c r="B4357" s="56" t="inlineStr">
        <is>
          <t>Biến thể (a): xóa điểm U1 của S06 thành trống rồi lưu.</t>
        </is>
      </c>
      <c r="C4357" s="57" t="n"/>
      <c r="D4357" s="57" t="n"/>
      <c r="E4357" s="57" t="n"/>
    </row>
    <row r="4358" ht="44" customHeight="1">
      <c r="A4358" s="47" t="inlineStr">
        <is>
          <t>Step 3</t>
        </is>
      </c>
      <c r="B4358" s="56" t="inlineStr">
        <is>
          <t>Khôi phục/rebuild fixture U1 Đỏ, U2 Không đỏ; biến thể (b): thôi dùng đơn vị U1 cho lớp G-B theo thao tác hiện có (nếu màn hỗ trợ), rồi đăng ký lại hoặc chạy nút cam cho G-B.</t>
        </is>
      </c>
      <c r="C4358" s="57" t="n"/>
      <c r="D4358" s="57" t="n"/>
      <c r="E4358" s="57" t="n"/>
    </row>
    <row r="4359" ht="30" customHeight="1">
      <c r="A4359" s="47" t="inlineStr">
        <is>
          <t>Step 4</t>
        </is>
      </c>
      <c r="B4359" s="56" t="inlineStr">
        <is>
          <t>Xem ba đầu ra và bộ lọc đỏ của trích xuất.</t>
        </is>
      </c>
      <c r="C4359" s="57" t="n"/>
      <c r="D4359" s="57" t="n"/>
      <c r="E4359" s="57" t="n"/>
    </row>
    <row r="4360" ht="44" customHeight="1">
      <c r="A4360" s="47" t="inlineStr">
        <is>
          <t>Reset</t>
        </is>
      </c>
      <c r="B4360" s="56" t="inlineStr">
        <is>
          <t>Trước mỗi biến thể, dựng lại điều kiện/dữ liệu đầu của case bằng đường được phép; giữ các reset/fixture độc lập đã nêu trong thủ tục.</t>
        </is>
      </c>
      <c r="C4360" s="57" t="n"/>
      <c r="D4360" s="57" t="n"/>
      <c r="E4360" s="57" t="n"/>
    </row>
    <row r="4361" ht="30" customHeight="1">
      <c r="A4361" s="58" t="inlineStr">
        <is>
          <t>Kết quả mong đợi</t>
        </is>
      </c>
      <c r="B4361" s="59" t="n"/>
      <c r="C4361" s="59" t="n"/>
      <c r="D4361" s="59" t="n"/>
      <c r="E4361" s="59" t="n"/>
    </row>
    <row r="4362" ht="44" customHeight="1">
      <c r="A4362" s="47" t="inlineStr">
        <is>
          <t>1.</t>
        </is>
      </c>
      <c r="B4362" s="56" t="inlineStr">
        <is>
          <t>Mỗi biến thể dùng fixture độc lập. Sau (a) hoặc (b), ô U1 của S06 trong fixture tương ứng không còn dấu đỏ ở ba đầu ra; bộ lọc đỏ không giữ S06 chỉ vì U1 cũ.</t>
        </is>
      </c>
      <c r="C4362" s="57" t="n"/>
      <c r="D4362" s="57" t="n"/>
      <c r="E4362" s="57" t="n"/>
    </row>
    <row r="4363" ht="30" customHeight="1">
      <c r="A4363" s="47" t="inlineStr">
        <is>
          <t>2.</t>
        </is>
      </c>
      <c r="B4363" s="56" t="inlineStr">
        <is>
          <t>U2 giữ kết quả Không đỏ; không bị gộp hay xét lại sai.</t>
        </is>
      </c>
      <c r="C4363" s="57" t="n"/>
      <c r="D4363" s="57" t="n"/>
      <c r="E4363" s="57" t="n"/>
    </row>
    <row r="4364" ht="44" customHeight="1">
      <c r="A4364" s="47" t="inlineStr">
        <is>
          <t>Giữ nguyên</t>
        </is>
      </c>
      <c r="B4364" s="56" t="inlineStr">
        <is>
          <t>• Giữ điểm, cấu hình và đối tượng không đích theo expected;
• Chỉ thay phần thủ tục yêu cầu, không tự đổi oracle hoặc mở rộng phạm vi.</t>
        </is>
      </c>
      <c r="C4364" s="57" t="n"/>
      <c r="D4364" s="57" t="n"/>
      <c r="E4364" s="57" t="n"/>
    </row>
    <row r="4365" ht="61" customHeight="1">
      <c r="A4365" s="47" t="inlineStr">
        <is>
          <t>Quan sát tại</t>
        </is>
      </c>
      <c r="B4365" s="56" t="inlineStr">
        <is>
          <t>• Dùng trích xuất không lọc để thấy cả ô đối chứng. Trạng thái không có dấu đỏ cần đọc thêm trạng thái lưu;
• Output Excel/PDF dùng file thật.</t>
        </is>
      </c>
      <c r="C4365" s="57" t="n"/>
      <c r="D4365" s="57" t="n"/>
      <c r="E4365" s="57" t="n"/>
    </row>
    <row r="4366" ht="30" customHeight="1">
      <c r="A4366" s="58" t="inlineStr">
        <is>
          <t>Kết quả thực tế</t>
        </is>
      </c>
      <c r="B4366" s="59" t="n"/>
      <c r="C4366" s="59" t="n"/>
      <c r="D4366" s="59" t="n"/>
      <c r="E4366" s="59" t="n"/>
    </row>
    <row r="4367" ht="30" customHeight="1">
      <c r="A4367" s="60" t="inlineStr">
        <is>
          <t>TC-RS-BR-037 / delete-unit</t>
        </is>
      </c>
      <c r="B4367" s="36" t="n"/>
      <c r="C4367" s="36" t="n"/>
      <c r="D4367" s="36" t="n"/>
      <c r="E4367" s="36" t="n"/>
    </row>
    <row r="4368" ht="30" customHeight="1">
      <c r="A4368" s="47" t="inlineStr">
        <is>
          <t>Dữ liệu biến thể</t>
        </is>
      </c>
      <c r="B4368" s="56" t="inlineStr">
        <is>
          <t>Nhánh delete-unit trong thủ tục và Expected của case; thực hiện các bước chuẩn bị chung trước nhánh</t>
        </is>
      </c>
      <c r="C4368" s="57" t="n"/>
      <c r="D4368" s="57" t="n"/>
      <c r="E4368" s="57" t="n"/>
    </row>
    <row r="4369" ht="30" customHeight="1">
      <c r="A4369" s="47" t="inlineStr">
        <is>
          <t>Trạng thái</t>
        </is>
      </c>
      <c r="B4369" s="61" t="inlineStr">
        <is>
          <t>Chưa thực hiện</t>
        </is>
      </c>
      <c r="C4369" s="57" t="n"/>
      <c r="D4369" s="57" t="n"/>
      <c r="E4369" s="57" t="n"/>
    </row>
    <row r="4370" ht="30" customHeight="1">
      <c r="A4370" s="62" t="inlineStr">
        <is>
          <t>Kết quả thực tế</t>
        </is>
      </c>
    </row>
    <row r="4371" ht="64" customHeight="1">
      <c r="A4371" s="63" t="inlineStr"/>
      <c r="B4371" s="64" t="n"/>
      <c r="C4371" s="64" t="n"/>
      <c r="D4371" s="64" t="n"/>
      <c r="E4371" s="65" t="n"/>
    </row>
    <row r="4372" ht="30" customHeight="1">
      <c r="A4372" s="62" t="inlineStr">
        <is>
          <t>Ảnh minh chứng</t>
        </is>
      </c>
    </row>
    <row r="4373" ht="90" customHeight="1">
      <c r="A4373" s="63" t="inlineStr"/>
      <c r="B4373" s="64" t="n"/>
      <c r="C4373" s="64" t="n"/>
      <c r="D4373" s="64" t="n"/>
      <c r="E4373" s="65" t="n"/>
    </row>
    <row r="4374" ht="12" customHeight="1">
      <c r="A4374" s="66" t="inlineStr"/>
    </row>
    <row r="4375" ht="30" customHeight="1">
      <c r="A4375" s="60" t="inlineStr">
        <is>
          <t>TC-RS-BR-037 / disable-unit</t>
        </is>
      </c>
      <c r="B4375" s="36" t="n"/>
      <c r="C4375" s="36" t="n"/>
      <c r="D4375" s="36" t="n"/>
      <c r="E4375" s="36" t="n"/>
    </row>
    <row r="4376" ht="30" customHeight="1">
      <c r="A4376" s="47" t="inlineStr">
        <is>
          <t>Dữ liệu biến thể</t>
        </is>
      </c>
      <c r="B4376" s="56" t="inlineStr">
        <is>
          <t>Nhánh disable-unit trong thủ tục và Expected của case; thực hiện các bước chuẩn bị chung trước nhánh</t>
        </is>
      </c>
      <c r="C4376" s="57" t="n"/>
      <c r="D4376" s="57" t="n"/>
      <c r="E4376" s="57" t="n"/>
    </row>
    <row r="4377" ht="30" customHeight="1">
      <c r="A4377" s="47" t="inlineStr">
        <is>
          <t>Trạng thái</t>
        </is>
      </c>
      <c r="B4377" s="61" t="inlineStr">
        <is>
          <t>Chưa thực hiện</t>
        </is>
      </c>
      <c r="C4377" s="57" t="n"/>
      <c r="D4377" s="57" t="n"/>
      <c r="E4377" s="57" t="n"/>
    </row>
    <row r="4378" ht="30" customHeight="1">
      <c r="A4378" s="62" t="inlineStr">
        <is>
          <t>Kết quả thực tế</t>
        </is>
      </c>
    </row>
    <row r="4379" ht="64" customHeight="1">
      <c r="A4379" s="63" t="inlineStr"/>
      <c r="B4379" s="64" t="n"/>
      <c r="C4379" s="64" t="n"/>
      <c r="D4379" s="64" t="n"/>
      <c r="E4379" s="65" t="n"/>
    </row>
    <row r="4380" ht="30" customHeight="1">
      <c r="A4380" s="62" t="inlineStr">
        <is>
          <t>Ảnh minh chứng</t>
        </is>
      </c>
    </row>
    <row r="4381" ht="90" customHeight="1">
      <c r="A4381" s="63" t="inlineStr"/>
      <c r="B4381" s="64" t="n"/>
      <c r="C4381" s="64" t="n"/>
      <c r="D4381" s="64" t="n"/>
      <c r="E4381" s="65" t="n"/>
    </row>
    <row r="4382" ht="12" customHeight="1">
      <c r="A4382" s="66" t="inlineStr"/>
    </row>
    <row r="4383" ht="20" customHeight="1">
      <c r="A4383" s="66" t="inlineStr"/>
    </row>
    <row r="4384" ht="30" customHeight="1">
      <c r="A4384" s="46" t="inlineStr">
        <is>
          <t>TC-RS-ERR-012 — Nhập CSV lựa chọn điểm tối đa của lớp</t>
        </is>
      </c>
      <c r="B4384" s="23" t="n"/>
      <c r="C4384" s="23" t="n"/>
      <c r="D4384" s="23" t="n"/>
      <c r="E4384" s="23" t="n"/>
    </row>
    <row r="4385" ht="30" customHeight="1">
      <c r="A4385" s="47" t="inlineStr">
        <is>
          <t>Trạng thái</t>
        </is>
      </c>
      <c r="B4385" s="61" t="inlineStr">
        <is>
          <t>Chưa thực hiện</t>
        </is>
      </c>
      <c r="C4385" s="57" t="n"/>
      <c r="D4385" s="57" t="n"/>
      <c r="E4385" s="57" t="n"/>
    </row>
    <row r="4386" ht="30" customHeight="1">
      <c r="A4386" s="47" t="inlineStr">
        <is>
          <t>Màn hình / chức năng</t>
        </is>
      </c>
      <c r="B4386" s="47" t="inlineStr">
        <is>
          <t>Vòng đời kết quả</t>
        </is>
      </c>
      <c r="C4386" s="57" t="n"/>
      <c r="D4386" s="47" t="inlineStr">
        <is>
          <t>Đường dẫn</t>
        </is>
      </c>
      <c r="E4386" s="56" t="inlineStr">
        <is>
          <t>Chưa xác minh</t>
        </is>
      </c>
    </row>
    <row r="4387" ht="30" customHeight="1">
      <c r="A4387" s="58" t="inlineStr">
        <is>
          <t>Điều kiện kiểm thử</t>
        </is>
      </c>
      <c r="B4387" s="59" t="n"/>
      <c r="C4387" s="59" t="n"/>
      <c r="D4387" s="59" t="n"/>
      <c r="E4387" s="59" t="n"/>
    </row>
    <row r="4388" ht="44" customHeight="1">
      <c r="A4388" s="47" t="inlineStr">
        <is>
          <t>Cấu hình</t>
        </is>
      </c>
      <c r="B4388" s="56" t="inlineStr">
        <is>
          <t>• Mục điểm đơn vị (đơn vị U1 có M riêng 40), quy tắc tỷ lệ 30% (30%);
• S06 U1=14 Không đỏ với M=40.</t>
        </is>
      </c>
      <c r="C4388" s="57" t="n"/>
      <c r="D4388" s="57" t="n"/>
      <c r="E4388" s="57" t="n"/>
    </row>
    <row r="4389" ht="61" customHeight="1">
      <c r="A4389" s="47" t="inlineStr">
        <is>
          <t>Vai trò / quyền</t>
        </is>
      </c>
      <c r="B438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389" s="57" t="n"/>
      <c r="D4389" s="57" t="n"/>
      <c r="E4389" s="57" t="n"/>
    </row>
    <row r="4390" ht="44" customHeight="1">
      <c r="A4390" s="47" t="inlineStr">
        <is>
          <t>Dữ liệu test</t>
        </is>
      </c>
      <c r="B4390" s="56" t="inlineStr">
        <is>
          <t>• Mục điểm đơn vị (đơn vị U1 có M riêng 40), quy tắc tỷ lệ 30%;
• CSV gán lựa chọn M=50 cho lớp G-B</t>
        </is>
      </c>
      <c r="C4390" s="57" t="n"/>
      <c r="D4390" s="57" t="n"/>
      <c r="E4390" s="57" t="n"/>
    </row>
    <row r="4391" ht="30" customHeight="1">
      <c r="A4391" s="47" t="inlineStr">
        <is>
          <t>Trigger</t>
        </is>
      </c>
      <c r="B4391" s="56" t="inlineStr">
        <is>
          <t>• Chỉ xem/xuất không tự chạy xét.</t>
        </is>
      </c>
      <c r="C4391" s="57" t="n"/>
      <c r="D4391" s="57" t="n"/>
      <c r="E4391" s="57" t="n"/>
    </row>
    <row r="4392" ht="78" customHeight="1">
      <c r="A4392" s="47" t="inlineStr">
        <is>
          <t>Blocker</t>
        </is>
      </c>
      <c r="B4392" s="56" t="inlineStr">
        <is>
          <t>• G-ORACLE-TC-RS-ERR-012: Phần kỳ vọng chưa chốt trong bản nguồn: TBD (chưa chốt): có cần xét lại ngay ([T=15] → Đỏ) hay giữ kết quả trước tới lần chạy lại. Ghi hành vi thực tế.
• G-PREP-UNASSESSED: Chưa có xác minh fixture, đường thực hiện và phép quan sát trên build của từng case chưa đánh giá.</t>
        </is>
      </c>
      <c r="C4392" s="57" t="n"/>
      <c r="D4392" s="57" t="n"/>
      <c r="E4392" s="57" t="n"/>
    </row>
    <row r="4393" ht="30" customHeight="1">
      <c r="A4393" s="58" t="inlineStr">
        <is>
          <t>Thao tác</t>
        </is>
      </c>
      <c r="B4393" s="59" t="n"/>
      <c r="C4393" s="59" t="n"/>
      <c r="D4393" s="59" t="n"/>
      <c r="E4393" s="59" t="n"/>
    </row>
    <row r="4394" ht="30" customHeight="1">
      <c r="A4394" s="47" t="inlineStr">
        <is>
          <t>Step 1</t>
        </is>
      </c>
      <c r="B4394" s="56" t="inlineStr">
        <is>
          <t>Nhập CSV lựa chọn điểm tối đa.</t>
        </is>
      </c>
      <c r="C4394" s="57" t="n"/>
      <c r="D4394" s="57" t="n"/>
      <c r="E4394" s="57" t="n"/>
    </row>
    <row r="4395" ht="30" customHeight="1">
      <c r="A4395" s="47" t="inlineStr">
        <is>
          <t>Step 2</t>
        </is>
      </c>
      <c r="B4395" s="56" t="inlineStr">
        <is>
          <t>Xem kết quả S06 U1.</t>
        </is>
      </c>
      <c r="C4395" s="57" t="n"/>
      <c r="D4395" s="57" t="n"/>
      <c r="E4395" s="57" t="n"/>
    </row>
    <row r="4396" ht="44" customHeight="1">
      <c r="A4396" s="47" t="inlineStr">
        <is>
          <t>Reset</t>
        </is>
      </c>
      <c r="B4396" s="56" t="inlineStr">
        <is>
          <t>Trước mỗi biến thể, dựng lại điều kiện/dữ liệu đầu của case bằng đường được phép; giữ các reset/fixture độc lập đã nêu trong thủ tục.</t>
        </is>
      </c>
      <c r="C4396" s="57" t="n"/>
      <c r="D4396" s="57" t="n"/>
      <c r="E4396" s="57" t="n"/>
    </row>
    <row r="4397" ht="30" customHeight="1">
      <c r="A4397" s="58" t="inlineStr">
        <is>
          <t>Kết quả mong đợi</t>
        </is>
      </c>
      <c r="B4397" s="59" t="n"/>
      <c r="C4397" s="59" t="n"/>
      <c r="D4397" s="59" t="n"/>
      <c r="E4397" s="59" t="n"/>
    </row>
    <row r="4398" ht="44" customHeight="1">
      <c r="A4398" s="47" t="inlineStr">
        <is>
          <t>•</t>
        </is>
      </c>
      <c r="B4398" s="56" t="inlineStr">
        <is>
          <t>TBD (chưa chốt): có cần xét lại ngay ([T=15] → Đỏ) hay giữ kết quả trước tới lần chạy lại. Ghi hành vi thực tế.</t>
        </is>
      </c>
      <c r="C4398" s="57" t="n"/>
      <c r="D4398" s="57" t="n"/>
      <c r="E4398" s="57" t="n"/>
    </row>
    <row r="4399" ht="44" customHeight="1">
      <c r="A4399" s="47" t="inlineStr">
        <is>
          <t>Giữ nguyên</t>
        </is>
      </c>
      <c r="B4399" s="56" t="inlineStr">
        <is>
          <t>• Giữ điểm, cấu hình và đối tượng không đích theo expected;
• Chỉ thay phần thủ tục yêu cầu, không tự đổi oracle hoặc mở rộng phạm vi.</t>
        </is>
      </c>
      <c r="C4399" s="57" t="n"/>
      <c r="D4399" s="57" t="n"/>
      <c r="E4399" s="57" t="n"/>
    </row>
    <row r="4400" ht="61" customHeight="1">
      <c r="A4400" s="47" t="inlineStr">
        <is>
          <t>Quan sát tại</t>
        </is>
      </c>
      <c r="B4400" s="56" t="inlineStr">
        <is>
          <t>• Dùng trích xuất không lọc để thấy cả ô đối chứng. Trạng thái không có dấu đỏ cần đọc thêm trạng thái lưu;
• Output Excel/PDF dùng file thật.</t>
        </is>
      </c>
      <c r="C4400" s="57" t="n"/>
      <c r="D4400" s="57" t="n"/>
      <c r="E4400" s="57" t="n"/>
    </row>
    <row r="4401" ht="30" customHeight="1">
      <c r="A4401" s="58" t="inlineStr">
        <is>
          <t>Kết quả thực tế</t>
        </is>
      </c>
      <c r="B4401" s="59" t="n"/>
      <c r="C4401" s="59" t="n"/>
      <c r="D4401" s="59" t="n"/>
      <c r="E4401" s="59" t="n"/>
    </row>
    <row r="4402" ht="30" customHeight="1">
      <c r="A4402" s="47" t="inlineStr">
        <is>
          <t>Dữ liệu biến thể</t>
        </is>
      </c>
      <c r="B4402" s="56" t="inlineStr">
        <is>
          <t>Toàn bộ thủ tục theo đúng thứ tự; các đối chứng cùng fixture được kiểm trong cùng lượt, không bỏ bước</t>
        </is>
      </c>
      <c r="C4402" s="57" t="n"/>
      <c r="D4402" s="57" t="n"/>
      <c r="E4402" s="57" t="n"/>
    </row>
    <row r="4403" ht="30" customHeight="1">
      <c r="A4403" s="62" t="inlineStr">
        <is>
          <t>Kết quả thực tế</t>
        </is>
      </c>
    </row>
    <row r="4404" ht="64" customHeight="1">
      <c r="A4404" s="63" t="inlineStr"/>
      <c r="B4404" s="64" t="n"/>
      <c r="C4404" s="64" t="n"/>
      <c r="D4404" s="64" t="n"/>
      <c r="E4404" s="65" t="n"/>
    </row>
    <row r="4405" ht="30" customHeight="1">
      <c r="A4405" s="62" t="inlineStr">
        <is>
          <t>Ảnh minh chứng</t>
        </is>
      </c>
    </row>
    <row r="4406" ht="90" customHeight="1">
      <c r="A4406" s="63" t="inlineStr"/>
      <c r="B4406" s="64" t="n"/>
      <c r="C4406" s="64" t="n"/>
      <c r="D4406" s="64" t="n"/>
      <c r="E4406" s="65" t="n"/>
    </row>
    <row r="4407" ht="12" customHeight="1">
      <c r="A4407" s="66" t="inlineStr"/>
    </row>
    <row r="4408" ht="20" customHeight="1">
      <c r="A4408" s="66" t="inlineStr"/>
    </row>
    <row r="4409" ht="30" customHeight="1">
      <c r="A4409" s="46" t="inlineStr">
        <is>
          <t>TC-RS-ERR-015 — Bản ghi điểm bị xóa rồi tạo lại không kế thừa kết quả cũ</t>
        </is>
      </c>
      <c r="B4409" s="23" t="n"/>
      <c r="C4409" s="23" t="n"/>
      <c r="D4409" s="23" t="n"/>
      <c r="E4409" s="23" t="n"/>
    </row>
    <row r="4410" ht="30" customHeight="1">
      <c r="A4410" s="47" t="inlineStr">
        <is>
          <t>Trạng thái</t>
        </is>
      </c>
      <c r="B4410" s="56">
        <f>IF(0&gt;0,"Không đạt",IF(0=3,"Đạt",IF(SUMPRODUCT(--EXACT('Testcases'!B4434:B4450,"Không thực hiện"))=3,"Không thực hiện",IF(SUMPRODUCT(--EXACT('Testcases'!B4434:B4450,"Bị chặn"))&gt;0,"Bị chặn",IF(SUMPRODUCT(--EXACT('Testcases'!B4434:B4450,"Chưa thực hiện"))=3,"Chưa thực hiện","Chưa đủ kết luận")))))</f>
        <v/>
      </c>
      <c r="C4410" s="57" t="n"/>
      <c r="D4410" s="57" t="n"/>
      <c r="E4410" s="57" t="n"/>
    </row>
    <row r="4411" ht="30" customHeight="1">
      <c r="A4411" s="47" t="inlineStr">
        <is>
          <t>Màn hình / chức năng</t>
        </is>
      </c>
      <c r="B4411" s="47" t="inlineStr">
        <is>
          <t>Vòng đời kết quả</t>
        </is>
      </c>
      <c r="C4411" s="57" t="n"/>
      <c r="D4411" s="47" t="inlineStr">
        <is>
          <t>Đường dẫn</t>
        </is>
      </c>
      <c r="E4411" s="56" t="inlineStr">
        <is>
          <t>Chưa xác minh</t>
        </is>
      </c>
    </row>
    <row r="4412" ht="30" customHeight="1">
      <c r="A4412" s="58" t="inlineStr">
        <is>
          <t>Điều kiện kiểm thử</t>
        </is>
      </c>
      <c r="B4412" s="59" t="n"/>
      <c r="C4412" s="59" t="n"/>
      <c r="D4412" s="59" t="n"/>
      <c r="E4412" s="59" t="n"/>
    </row>
    <row r="4413" ht="30" customHeight="1">
      <c r="A4413" s="47" t="inlineStr">
        <is>
          <t>Cấu hình</t>
        </is>
      </c>
      <c r="B4413" s="56" t="inlineStr">
        <is>
          <t>• S01 Đỏ ở mục điểm đơn vị (đơn vị U1 có M riêng 40) U1.</t>
        </is>
      </c>
      <c r="C4413" s="57" t="n"/>
      <c r="D4413" s="57" t="n"/>
      <c r="E4413" s="57" t="n"/>
    </row>
    <row r="4414" ht="61" customHeight="1">
      <c r="A4414" s="47" t="inlineStr">
        <is>
          <t>Vai trò / quyền</t>
        </is>
      </c>
      <c r="B441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414" s="57" t="n"/>
      <c r="D4414" s="57" t="n"/>
      <c r="E4414" s="57" t="n"/>
    </row>
    <row r="4415" ht="30" customHeight="1">
      <c r="A4415" s="47" t="inlineStr">
        <is>
          <t>Dữ liệu test</t>
        </is>
      </c>
      <c r="B4415" s="56" t="inlineStr">
        <is>
          <t>• Mục điểm đơn vị (đơn vị U1 có M riêng 40)</t>
        </is>
      </c>
      <c r="C4415" s="57" t="n"/>
      <c r="D4415" s="57" t="n"/>
      <c r="E4415" s="57" t="n"/>
    </row>
    <row r="4416" ht="30" customHeight="1">
      <c r="A4416" s="47" t="inlineStr">
        <is>
          <t>Trigger</t>
        </is>
      </c>
      <c r="B4416" s="56" t="inlineStr">
        <is>
          <t>• Chỉ xem/xuất không tự chạy xét.</t>
        </is>
      </c>
      <c r="C4416" s="57" t="n"/>
      <c r="D4416" s="57" t="n"/>
      <c r="E4416" s="57" t="n"/>
    </row>
    <row r="4417" ht="44" customHeight="1">
      <c r="A4417" s="47" t="inlineStr">
        <is>
          <t>Blocker</t>
        </is>
      </c>
      <c r="B4417" s="56" t="inlineStr">
        <is>
          <t>• G-PREP-UNASSESSED: Chưa có xác minh fixture, đường thực hiện và phép quan sát trên build của từng case chưa đánh giá.</t>
        </is>
      </c>
      <c r="C4417" s="57" t="n"/>
      <c r="D4417" s="57" t="n"/>
      <c r="E4417" s="57" t="n"/>
    </row>
    <row r="4418" ht="30" customHeight="1">
      <c r="A4418" s="58" t="inlineStr">
        <is>
          <t>Thao tác</t>
        </is>
      </c>
      <c r="B4418" s="59" t="n"/>
      <c r="C4418" s="59" t="n"/>
      <c r="D4418" s="59" t="n"/>
      <c r="E4418" s="59" t="n"/>
    </row>
    <row r="4419" ht="30" customHeight="1">
      <c r="A4419" s="47" t="inlineStr">
        <is>
          <t>Step 1</t>
        </is>
      </c>
      <c r="B4419" s="56" t="inlineStr">
        <is>
          <t>Bỏ sử dụng đơn vị U1 cho lớp (hoặc thay khung điểm theo thao tác hiện có) để ô bị xóa/ngừng hoạt động.</t>
        </is>
      </c>
      <c r="C4419" s="57" t="n"/>
      <c r="D4419" s="57" t="n"/>
      <c r="E4419" s="57" t="n"/>
    </row>
    <row r="4420" ht="30" customHeight="1">
      <c r="A4420" s="47" t="inlineStr">
        <is>
          <t>Step 2</t>
        </is>
      </c>
      <c r="B4420" s="56" t="inlineStr">
        <is>
          <t>Tạo lại ô, nhập 35, lưu.</t>
        </is>
      </c>
      <c r="C4420" s="57" t="n"/>
      <c r="D4420" s="57" t="n"/>
      <c r="E4420" s="57" t="n"/>
    </row>
    <row r="4421" ht="30" customHeight="1">
      <c r="A4421" s="47" t="inlineStr">
        <is>
          <t>Step 3</t>
        </is>
      </c>
      <c r="B4421" s="56" t="inlineStr">
        <is>
          <t>Xem đầu ra.</t>
        </is>
      </c>
      <c r="C4421" s="57" t="n"/>
      <c r="D4421" s="57" t="n"/>
      <c r="E4421" s="57" t="n"/>
    </row>
    <row r="4422" ht="61" customHeight="1">
      <c r="A4422" s="47" t="inlineStr">
        <is>
          <t>Step 4</t>
        </is>
      </c>
      <c r="B4422" s="56" t="inlineStr">
        <is>
          <t>Đưa ô về Đỏ (nhập 29, lưu). Xóa ô (hoặc xóa mềm theo thao tác hiện có), rồi kích hoạt lại/tạo lại ô với cùng giá trị 29 nhưng không qua đường xét (nếu có thao tác như vậy, ví dụ khôi phục); xem đầu ra. Sau đó đăng ký lại điểm và xem.</t>
        </is>
      </c>
      <c r="C4422" s="57" t="n"/>
      <c r="D4422" s="57" t="n"/>
      <c r="E4422" s="57" t="n"/>
    </row>
    <row r="4423" ht="44" customHeight="1">
      <c r="A4423" s="47" t="inlineStr">
        <is>
          <t>Step 5</t>
        </is>
      </c>
      <c r="B4423" s="56" t="inlineStr">
        <is>
          <t>Bắt đầu batch cho lớp khi ô đang Đỏ; khi batch chưa xong, xóa ô rồi tạo lại và nhập 35. Chờ batch cũ xong, xem đầu ra và SELECT.</t>
        </is>
      </c>
      <c r="C4423" s="57" t="n"/>
      <c r="D4423" s="57" t="n"/>
      <c r="E4423" s="57" t="n"/>
    </row>
    <row r="4424" ht="44" customHeight="1">
      <c r="A4424" s="47" t="inlineStr">
        <is>
          <t>Reset</t>
        </is>
      </c>
      <c r="B4424" s="56" t="inlineStr">
        <is>
          <t>Trước mỗi biến thể, dựng lại điều kiện/dữ liệu đầu của case bằng đường được phép; giữ các reset/fixture độc lập đã nêu trong thủ tục.</t>
        </is>
      </c>
      <c r="C4424" s="57" t="n"/>
      <c r="D4424" s="57" t="n"/>
      <c r="E4424" s="57" t="n"/>
    </row>
    <row r="4425" ht="30" customHeight="1">
      <c r="A4425" s="58" t="inlineStr">
        <is>
          <t>Kết quả mong đợi</t>
        </is>
      </c>
      <c r="B4425" s="59" t="n"/>
      <c r="C4425" s="59" t="n"/>
      <c r="D4425" s="59" t="n"/>
      <c r="E4425" s="59" t="n"/>
    </row>
    <row r="4426" ht="44" customHeight="1">
      <c r="A4426" s="47" t="inlineStr">
        <is>
          <t>•</t>
        </is>
      </c>
      <c r="B4426" s="56" t="inlineStr">
        <is>
          <t>Sau bước 1: không còn dấu đỏ của ô cũ. Sau bước 2: ô mới được xét theo 35 → Không đỏ; không mang kết quả Đỏ cũ.</t>
        </is>
      </c>
      <c r="C4426" s="57" t="n"/>
      <c r="D4426" s="57" t="n"/>
      <c r="E4426" s="57" t="n"/>
    </row>
    <row r="4427" ht="44" customHeight="1">
      <c r="A4427" s="47" t="inlineStr">
        <is>
          <t>4.</t>
        </is>
      </c>
      <c r="B4427" s="56" t="inlineStr">
        <is>
          <t>Kích hoạt lại/nhập lại cùng giá trị không làm kết quả Đỏ trước khi xóa sống lại; ô chỉ có kết quả của lần xét sau khi tạo lại.</t>
        </is>
      </c>
      <c r="C4427" s="57" t="n"/>
      <c r="D4427" s="57" t="n"/>
      <c r="E4427" s="57" t="n"/>
    </row>
    <row r="4428" ht="78" customHeight="1">
      <c r="A4428" s="47" t="inlineStr">
        <is>
          <t>5.</t>
        </is>
      </c>
      <c r="B4428" s="56" t="inlineStr">
        <is>
          <t>Lượt batch cũ không ghi kết quả vào ô đã tạo lại; ô giữ kết quả của lần đăng ký 35 (Không đỏ). (PROPOSED theo thiết kế DB v2 mục 4.4 “Cập nhật và hiệu lực kết quả”, mục 6.3 “Xóa/tạo lại, nguồn tham chiếu và lỗi”) Khi xóa: [cell_generation] mới, [judgment_status]=4 và thông tin quy tắc/ngưỡng/nguồn cũ bị xóa trong cùng transaction; dòng điều khiển được giữ; tạo lại dùng thế hệ mới.</t>
        </is>
      </c>
      <c r="C4428" s="57" t="n"/>
      <c r="D4428" s="57" t="n"/>
      <c r="E4428" s="57" t="n"/>
    </row>
    <row r="4429" ht="44" customHeight="1">
      <c r="A4429" s="47" t="inlineStr">
        <is>
          <t>Giữ nguyên</t>
        </is>
      </c>
      <c r="B4429" s="56" t="inlineStr">
        <is>
          <t>• Giữ điểm, cấu hình và đối tượng không đích theo expected;
• Chỉ thay phần thủ tục yêu cầu, không tự đổi oracle hoặc mở rộng phạm vi.</t>
        </is>
      </c>
      <c r="C4429" s="57" t="n"/>
      <c r="D4429" s="57" t="n"/>
      <c r="E4429" s="57" t="n"/>
    </row>
    <row r="4430" ht="61" customHeight="1">
      <c r="A4430" s="47" t="inlineStr">
        <is>
          <t>Quan sát tại</t>
        </is>
      </c>
      <c r="B4430" s="56" t="inlineStr">
        <is>
          <t>• Dùng trích xuất không lọc để thấy cả ô đối chứng. Trạng thái không có dấu đỏ cần đọc thêm trạng thái lưu;
• Output Excel/PDF dùng file thật.</t>
        </is>
      </c>
      <c r="C4430" s="57" t="n"/>
      <c r="D4430" s="57" t="n"/>
      <c r="E4430" s="57" t="n"/>
    </row>
    <row r="4431" ht="30" customHeight="1">
      <c r="A4431" s="58" t="inlineStr">
        <is>
          <t>Kết quả thực tế</t>
        </is>
      </c>
      <c r="B4431" s="59" t="n"/>
      <c r="C4431" s="59" t="n"/>
      <c r="D4431" s="59" t="n"/>
      <c r="E4431" s="59" t="n"/>
    </row>
    <row r="4432" ht="30" customHeight="1">
      <c r="A4432" s="60" t="inlineStr">
        <is>
          <t>TC-RS-ERR-015 / recreate35</t>
        </is>
      </c>
      <c r="B4432" s="36" t="n"/>
      <c r="C4432" s="36" t="n"/>
      <c r="D4432" s="36" t="n"/>
      <c r="E4432" s="36" t="n"/>
    </row>
    <row r="4433" ht="30" customHeight="1">
      <c r="A4433" s="47" t="inlineStr">
        <is>
          <t>Dữ liệu biến thể</t>
        </is>
      </c>
      <c r="B4433" s="56" t="inlineStr">
        <is>
          <t>Bước 1–3 xóa rồi tạo lại 35</t>
        </is>
      </c>
      <c r="C4433" s="57" t="n"/>
      <c r="D4433" s="57" t="n"/>
      <c r="E4433" s="57" t="n"/>
    </row>
    <row r="4434" ht="30" customHeight="1">
      <c r="A4434" s="47" t="inlineStr">
        <is>
          <t>Trạng thái</t>
        </is>
      </c>
      <c r="B4434" s="61" t="inlineStr">
        <is>
          <t>Chưa thực hiện</t>
        </is>
      </c>
      <c r="C4434" s="57" t="n"/>
      <c r="D4434" s="57" t="n"/>
      <c r="E4434" s="57" t="n"/>
    </row>
    <row r="4435" ht="30" customHeight="1">
      <c r="A4435" s="62" t="inlineStr">
        <is>
          <t>Kết quả thực tế</t>
        </is>
      </c>
    </row>
    <row r="4436" ht="64" customHeight="1">
      <c r="A4436" s="63" t="inlineStr"/>
      <c r="B4436" s="64" t="n"/>
      <c r="C4436" s="64" t="n"/>
      <c r="D4436" s="64" t="n"/>
      <c r="E4436" s="65" t="n"/>
    </row>
    <row r="4437" ht="30" customHeight="1">
      <c r="A4437" s="62" t="inlineStr">
        <is>
          <t>Ảnh minh chứng</t>
        </is>
      </c>
    </row>
    <row r="4438" ht="90" customHeight="1">
      <c r="A4438" s="63" t="inlineStr"/>
      <c r="B4438" s="64" t="n"/>
      <c r="C4438" s="64" t="n"/>
      <c r="D4438" s="64" t="n"/>
      <c r="E4438" s="65" t="n"/>
    </row>
    <row r="4439" ht="12" customHeight="1">
      <c r="A4439" s="66" t="inlineStr"/>
    </row>
    <row r="4440" ht="30" customHeight="1">
      <c r="A4440" s="60" t="inlineStr">
        <is>
          <t>TC-RS-ERR-015 / same29</t>
        </is>
      </c>
      <c r="B4440" s="36" t="n"/>
      <c r="C4440" s="36" t="n"/>
      <c r="D4440" s="36" t="n"/>
      <c r="E4440" s="36" t="n"/>
    </row>
    <row r="4441" ht="30" customHeight="1">
      <c r="A4441" s="47" t="inlineStr">
        <is>
          <t>Dữ liệu biến thể</t>
        </is>
      </c>
      <c r="B4441" s="56" t="inlineStr">
        <is>
          <t>Bước 4 xóa rồi khôi phục cùng 29</t>
        </is>
      </c>
      <c r="C4441" s="57" t="n"/>
      <c r="D4441" s="57" t="n"/>
      <c r="E4441" s="57" t="n"/>
    </row>
    <row r="4442" ht="30" customHeight="1">
      <c r="A4442" s="47" t="inlineStr">
        <is>
          <t>Trạng thái</t>
        </is>
      </c>
      <c r="B4442" s="61" t="inlineStr">
        <is>
          <t>Chưa thực hiện</t>
        </is>
      </c>
      <c r="C4442" s="57" t="n"/>
      <c r="D4442" s="57" t="n"/>
      <c r="E4442" s="57" t="n"/>
    </row>
    <row r="4443" ht="30" customHeight="1">
      <c r="A4443" s="62" t="inlineStr">
        <is>
          <t>Kết quả thực tế</t>
        </is>
      </c>
    </row>
    <row r="4444" ht="64" customHeight="1">
      <c r="A4444" s="63" t="inlineStr"/>
      <c r="B4444" s="64" t="n"/>
      <c r="C4444" s="64" t="n"/>
      <c r="D4444" s="64" t="n"/>
      <c r="E4444" s="65" t="n"/>
    </row>
    <row r="4445" ht="30" customHeight="1">
      <c r="A4445" s="62" t="inlineStr">
        <is>
          <t>Ảnh minh chứng</t>
        </is>
      </c>
    </row>
    <row r="4446" ht="90" customHeight="1">
      <c r="A4446" s="63" t="inlineStr"/>
      <c r="B4446" s="64" t="n"/>
      <c r="C4446" s="64" t="n"/>
      <c r="D4446" s="64" t="n"/>
      <c r="E4446" s="65" t="n"/>
    </row>
    <row r="4447" ht="12" customHeight="1">
      <c r="A4447" s="66" t="inlineStr"/>
    </row>
    <row r="4448" ht="30" customHeight="1">
      <c r="A4448" s="60" t="inlineStr">
        <is>
          <t>TC-RS-ERR-015 / old-batch</t>
        </is>
      </c>
      <c r="B4448" s="36" t="n"/>
      <c r="C4448" s="36" t="n"/>
      <c r="D4448" s="36" t="n"/>
      <c r="E4448" s="36" t="n"/>
    </row>
    <row r="4449" ht="30" customHeight="1">
      <c r="A4449" s="47" t="inlineStr">
        <is>
          <t>Dữ liệu biến thể</t>
        </is>
      </c>
      <c r="B4449" s="56" t="inlineStr">
        <is>
          <t>Bước 5 batch cũ sau tạo lại</t>
        </is>
      </c>
      <c r="C4449" s="57" t="n"/>
      <c r="D4449" s="57" t="n"/>
      <c r="E4449" s="57" t="n"/>
    </row>
    <row r="4450" ht="30" customHeight="1">
      <c r="A4450" s="47" t="inlineStr">
        <is>
          <t>Trạng thái</t>
        </is>
      </c>
      <c r="B4450" s="61" t="inlineStr">
        <is>
          <t>Chưa thực hiện</t>
        </is>
      </c>
      <c r="C4450" s="57" t="n"/>
      <c r="D4450" s="57" t="n"/>
      <c r="E4450" s="57" t="n"/>
    </row>
    <row r="4451" ht="30" customHeight="1">
      <c r="A4451" s="62" t="inlineStr">
        <is>
          <t>Kết quả thực tế</t>
        </is>
      </c>
    </row>
    <row r="4452" ht="64" customHeight="1">
      <c r="A4452" s="63" t="inlineStr"/>
      <c r="B4452" s="64" t="n"/>
      <c r="C4452" s="64" t="n"/>
      <c r="D4452" s="64" t="n"/>
      <c r="E4452" s="65" t="n"/>
    </row>
    <row r="4453" ht="30" customHeight="1">
      <c r="A4453" s="62" t="inlineStr">
        <is>
          <t>Ảnh minh chứng</t>
        </is>
      </c>
    </row>
    <row r="4454" ht="90" customHeight="1">
      <c r="A4454" s="63" t="inlineStr"/>
      <c r="B4454" s="64" t="n"/>
      <c r="C4454" s="64" t="n"/>
      <c r="D4454" s="64" t="n"/>
      <c r="E4454" s="65" t="n"/>
    </row>
    <row r="4455" ht="12" customHeight="1">
      <c r="A4455" s="66" t="inlineStr"/>
    </row>
    <row r="4456" ht="20" customHeight="1">
      <c r="A4456" s="66" t="inlineStr"/>
    </row>
    <row r="4457" ht="30" customHeight="1">
      <c r="A4457" s="46" t="inlineStr">
        <is>
          <t>TC-RS-FUNC-022 — Trích xuất thành tích（成績抽出）: các tùy chọn đỏ được lưu và mở lại đúng</t>
        </is>
      </c>
      <c r="B4457" s="23" t="n"/>
      <c r="C4457" s="23" t="n"/>
      <c r="D4457" s="23" t="n"/>
      <c r="E4457" s="23" t="n"/>
    </row>
    <row r="4458" ht="30" customHeight="1">
      <c r="A4458" s="47" t="inlineStr">
        <is>
          <t>Trạng thái</t>
        </is>
      </c>
      <c r="B4458" s="56">
        <f>IF(0&gt;0,"Không đạt",IF(0=3,"Đạt",IF(SUMPRODUCT(--EXACT('Testcases'!B4485:B4501,"Không thực hiện"))=3,"Không thực hiện",IF(SUMPRODUCT(--EXACT('Testcases'!B4485:B4501,"Bị chặn"))&gt;0,"Bị chặn",IF(SUMPRODUCT(--EXACT('Testcases'!B4485:B4501,"Chưa thực hiện"))=3,"Chưa thực hiện","Chưa đủ kết luận")))))</f>
        <v/>
      </c>
      <c r="C4458" s="57" t="n"/>
      <c r="D4458" s="57" t="n"/>
      <c r="E4458" s="57" t="n"/>
    </row>
    <row r="4459" ht="30" customHeight="1">
      <c r="A4459" s="47" t="inlineStr">
        <is>
          <t>Màn hình / chức năng</t>
        </is>
      </c>
      <c r="B4459" s="47" t="inlineStr">
        <is>
          <t>Trích xuất thành tích（成績抽出）</t>
        </is>
      </c>
      <c r="C4459" s="57" t="n"/>
      <c r="D4459" s="47" t="inlineStr">
        <is>
          <t>Đường dẫn</t>
        </is>
      </c>
      <c r="E4459" s="56" t="inlineStr">
        <is>
          <t>Chưa xác minh</t>
        </is>
      </c>
    </row>
    <row r="4460" ht="30" customHeight="1">
      <c r="A4460" s="58" t="inlineStr">
        <is>
          <t>Điều kiện kiểm thử</t>
        </is>
      </c>
      <c r="B4460" s="59" t="n"/>
      <c r="C4460" s="59" t="n"/>
      <c r="D4460" s="59" t="n"/>
      <c r="E4460" s="59" t="n"/>
    </row>
    <row r="4461" ht="44" customHeight="1">
      <c r="A4461" s="47" t="inlineStr">
        <is>
          <t>Cấu hình</t>
        </is>
      </c>
      <c r="B4461" s="56" t="inlineStr">
        <is>
          <t>• Mục số nguyên (M=100) có quy tắc “Cố định 30” (dưới 30). Đăng nhập tài khoản phụ trách đầu ra (trích xuất, công khai, phiếu điểm).</t>
        </is>
      </c>
      <c r="C4461" s="57" t="n"/>
      <c r="D4461" s="57" t="n"/>
      <c r="E4461" s="57" t="n"/>
    </row>
    <row r="4462" ht="61" customHeight="1">
      <c r="A4462" s="47" t="inlineStr">
        <is>
          <t>Vai trò / quyền</t>
        </is>
      </c>
      <c r="B446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462" s="57" t="n"/>
      <c r="D4462" s="57" t="n"/>
      <c r="E4462" s="57" t="n"/>
    </row>
    <row r="4463" ht="61" customHeight="1">
      <c r="A4463" s="47" t="inlineStr">
        <is>
          <t>Dữ liệu test</t>
        </is>
      </c>
      <c r="B4463" s="56" t="inlineStr">
        <is>
          <t>• Mục số nguyên (M=100), quy tắc “Cố định 30” (dưới 30);
• Cấu hình trích xuất: lọc, ký hiệu “*” phía trước, tô màu, cấu hình trích xuất chỉ ký hiệu (“※” trước, “!” sau)</t>
        </is>
      </c>
      <c r="C4463" s="57" t="n"/>
      <c r="D4463" s="57" t="n"/>
      <c r="E4463" s="57" t="n"/>
    </row>
    <row r="4464" ht="30" customHeight="1">
      <c r="A4464" s="47" t="inlineStr">
        <is>
          <t>Trigger</t>
        </is>
      </c>
      <c r="B4464" s="56" t="inlineStr">
        <is>
          <t>• Chỉ xem/xuất không tự chạy xét.</t>
        </is>
      </c>
      <c r="C4464" s="57" t="n"/>
      <c r="D4464" s="57" t="n"/>
      <c r="E4464" s="57" t="n"/>
    </row>
    <row r="4465" ht="44" customHeight="1">
      <c r="A4465" s="47" t="inlineStr">
        <is>
          <t>Blocker</t>
        </is>
      </c>
      <c r="B4465" s="56" t="inlineStr">
        <is>
          <t>• G-PREP-UNASSESSED: Chưa có xác minh fixture, đường thực hiện và phép quan sát trên build của từng case chưa đánh giá.</t>
        </is>
      </c>
      <c r="C4465" s="57" t="n"/>
      <c r="D4465" s="57" t="n"/>
      <c r="E4465" s="57" t="n"/>
    </row>
    <row r="4466" ht="30" customHeight="1">
      <c r="A4466" s="58" t="inlineStr">
        <is>
          <t>Thao tác</t>
        </is>
      </c>
      <c r="B4466" s="59" t="n"/>
      <c r="C4466" s="59" t="n"/>
      <c r="D4466" s="59" t="n"/>
      <c r="E4466" s="59" t="n"/>
    </row>
    <row r="4467" ht="44" customHeight="1">
      <c r="A4467" s="47" t="inlineStr">
        <is>
          <t>Step 1</t>
        </is>
      </c>
      <c r="B4467" s="56" t="inlineStr">
        <is>
          <t>Mở thiết lập hiển thị của trích xuất, khung Thiết lập chi tiết thông tin lớp học（授業情報の詳細設定）, phần điều kiện đỏ.</t>
        </is>
      </c>
      <c r="C4467" s="57" t="n"/>
      <c r="D4467" s="57" t="n"/>
      <c r="E4467" s="57" t="n"/>
    </row>
    <row r="4468" ht="30" customHeight="1">
      <c r="A4468" s="47" t="inlineStr">
        <is>
          <t>Step 2</t>
        </is>
      </c>
      <c r="B4468" s="56" t="inlineStr">
        <is>
          <t>Cấu hình cấu hình trích xuất: lọc, ký hiệu “*” phía trước, tô màu, lưu, mở lại.</t>
        </is>
      </c>
      <c r="C4468" s="57" t="n"/>
      <c r="D4468" s="57" t="n"/>
      <c r="E4468" s="57" t="n"/>
    </row>
    <row r="4469" ht="30" customHeight="1">
      <c r="A4469" s="47" t="inlineStr">
        <is>
          <t>Step 3</t>
        </is>
      </c>
      <c r="B4469" s="56" t="inlineStr">
        <is>
          <t>Cấu hình cấu hình trích xuất chỉ ký hiệu (“※” trước, “!” sau) (hai ký hiệu cùng bật), lưu, mở lại.</t>
        </is>
      </c>
      <c r="C4469" s="57" t="n"/>
      <c r="D4469" s="57" t="n"/>
      <c r="E4469" s="57" t="n"/>
    </row>
    <row r="4470" ht="44" customHeight="1">
      <c r="A4470" s="47" t="inlineStr">
        <is>
          <t>Step 4</t>
        </is>
      </c>
      <c r="B4470" s="56" t="inlineStr">
        <is>
          <t>(PROPOSED) Chạy SELECT cột [extract_setting] của dòng [grade_extract_conf] tương ứng mẫu vừa lưu, lọc theo trường/năm test.</t>
        </is>
      </c>
      <c r="C4470" s="57" t="n"/>
      <c r="D4470" s="57" t="n"/>
      <c r="E4470" s="57" t="n"/>
    </row>
    <row r="4471" ht="44" customHeight="1">
      <c r="A4471" s="47" t="inlineStr">
        <is>
          <t>Step 5</t>
        </is>
      </c>
      <c r="B4471" s="56" t="inlineStr">
        <is>
          <t>(PROPOSED) Nếu màn có chức năng sao chép thiết lập trích xuất hiện có: sao chép mẫu cấu hình trích xuất: lọc, ký hiệu “*” phía trước, tô màu, mở bản sao.</t>
        </is>
      </c>
      <c r="C4471" s="57" t="n"/>
      <c r="D4471" s="57" t="n"/>
      <c r="E4471" s="57" t="n"/>
    </row>
    <row r="4472" ht="44" customHeight="1">
      <c r="A4472" s="47" t="inlineStr">
        <is>
          <t>Reset</t>
        </is>
      </c>
      <c r="B4472" s="56" t="inlineStr">
        <is>
          <t>Trước mỗi biến thể, dựng lại điều kiện/dữ liệu đầu của case bằng đường được phép; giữ các reset/fixture độc lập đã nêu trong thủ tục.</t>
        </is>
      </c>
      <c r="C4472" s="57" t="n"/>
      <c r="D4472" s="57" t="n"/>
      <c r="E4472" s="57" t="n"/>
    </row>
    <row r="4473" ht="30" customHeight="1">
      <c r="A4473" s="58" t="inlineStr">
        <is>
          <t>Kết quả mong đợi</t>
        </is>
      </c>
      <c r="B4473" s="59" t="n"/>
      <c r="C4473" s="59" t="n"/>
      <c r="D4473" s="59" t="n"/>
      <c r="E4473" s="59" t="n"/>
    </row>
    <row r="4474" ht="30" customHeight="1">
      <c r="A4474" s="47" t="inlineStr">
        <is>
          <t>1.</t>
        </is>
      </c>
      <c r="B4474" s="56" t="inlineStr">
        <is>
          <t>Có bốn tùy chọn độc lập: lọc học sinh có điểm đỏ, ký hiệu phía trước, ký hiệu phía sau, tô màu ô.</t>
        </is>
      </c>
      <c r="C4474" s="57" t="n"/>
      <c r="D4474" s="57" t="n"/>
      <c r="E4474" s="57" t="n"/>
    </row>
    <row r="4475" ht="30" customHeight="1">
      <c r="A4475" s="47" t="inlineStr">
        <is>
          <t>2.</t>
        </is>
      </c>
      <c r="B4475" s="56" t="inlineStr">
        <is>
          <t>Ký hiệu trước và sau cùng bật được.</t>
        </is>
      </c>
      <c r="C4475" s="57" t="n"/>
      <c r="D4475" s="57" t="n"/>
      <c r="E4475" s="57" t="n"/>
    </row>
    <row r="4476" ht="30" customHeight="1">
      <c r="A4476" s="47" t="inlineStr">
        <is>
          <t>3.</t>
        </is>
      </c>
      <c r="B4476" s="56" t="inlineStr">
        <is>
          <t>Màu chỉ chọn từ bảng màu hiện có (không có bộ chọn màu tự do).</t>
        </is>
      </c>
      <c r="C4476" s="57" t="n"/>
      <c r="D4476" s="57" t="n"/>
      <c r="E4476" s="57" t="n"/>
    </row>
    <row r="4477" ht="30" customHeight="1">
      <c r="A4477" s="47" t="inlineStr">
        <is>
          <t>4.</t>
        </is>
      </c>
      <c r="B4477" s="56" t="inlineStr">
        <is>
          <t>Mở lại giữ đúng giá trị.</t>
        </is>
      </c>
      <c r="C4477" s="57" t="n"/>
      <c r="D4477" s="57" t="n"/>
      <c r="E4477" s="57" t="n"/>
    </row>
    <row r="4478" ht="61" customHeight="1">
      <c r="A4478" s="47" t="inlineStr">
        <is>
          <t>5.</t>
        </is>
      </c>
      <c r="B4478" s="56" t="inlineStr">
        <is>
          <t>(PROPOSED) JSON [extract_setting] chứa phần điều kiện đỏ với các khóa [use_target_extract], [use_prefix_mark], [prefix_mark], [use_suffix_mark], [suffix_mark], [use_cell_coloring], [cell_color] khớp giá trị trên màn; không có cột/bảng mới cho thiết lập này.</t>
        </is>
      </c>
      <c r="C4478" s="57" t="n"/>
      <c r="D4478" s="57" t="n"/>
      <c r="E4478" s="57" t="n"/>
    </row>
    <row r="4479" ht="30" customHeight="1">
      <c r="A4479" s="47" t="inlineStr">
        <is>
          <t>6.</t>
        </is>
      </c>
      <c r="B4479" s="56" t="inlineStr">
        <is>
          <t>(PROPOSED) Bản sao giữ nguyên bốn tùy chọn, ký hiệu và màu.</t>
        </is>
      </c>
      <c r="C4479" s="57" t="n"/>
      <c r="D4479" s="57" t="n"/>
      <c r="E4479" s="57" t="n"/>
    </row>
    <row r="4480" ht="44" customHeight="1">
      <c r="A4480" s="47" t="inlineStr">
        <is>
          <t>Giữ nguyên</t>
        </is>
      </c>
      <c r="B4480" s="56" t="inlineStr">
        <is>
          <t>• Giữ điểm, cấu hình và đối tượng không đích theo expected;
• Chỉ thay phần thủ tục yêu cầu, không tự đổi oracle hoặc mở rộng phạm vi.</t>
        </is>
      </c>
      <c r="C4480" s="57" t="n"/>
      <c r="D4480" s="57" t="n"/>
      <c r="E4480" s="57" t="n"/>
    </row>
    <row r="4481" ht="61" customHeight="1">
      <c r="A4481" s="47" t="inlineStr">
        <is>
          <t>Quan sát tại</t>
        </is>
      </c>
      <c r="B4481" s="56" t="inlineStr">
        <is>
          <t>• Dùng trích xuất không lọc để thấy cả ô đối chứng. Trạng thái không có dấu đỏ cần đọc thêm trạng thái lưu;
• Output Excel/PDF dùng file thật.</t>
        </is>
      </c>
      <c r="C4481" s="57" t="n"/>
      <c r="D4481" s="57" t="n"/>
      <c r="E4481" s="57" t="n"/>
    </row>
    <row r="4482" ht="30" customHeight="1">
      <c r="A4482" s="58" t="inlineStr">
        <is>
          <t>Kết quả thực tế</t>
        </is>
      </c>
      <c r="B4482" s="59" t="n"/>
      <c r="C4482" s="59" t="n"/>
      <c r="D4482" s="59" t="n"/>
      <c r="E4482" s="59" t="n"/>
    </row>
    <row r="4483" ht="30" customHeight="1">
      <c r="A4483" s="60" t="inlineStr">
        <is>
          <t>TC-RS-FUNC-022 / filter-color</t>
        </is>
      </c>
      <c r="B4483" s="36" t="n"/>
      <c r="C4483" s="36" t="n"/>
      <c r="D4483" s="36" t="n"/>
      <c r="E4483" s="36" t="n"/>
    </row>
    <row r="4484" ht="30" customHeight="1">
      <c r="A4484" s="47" t="inlineStr">
        <is>
          <t>Dữ liệu biến thể</t>
        </is>
      </c>
      <c r="B4484" s="56" t="inlineStr">
        <is>
          <t>Cấu hình lọc và màu</t>
        </is>
      </c>
      <c r="C4484" s="57" t="n"/>
      <c r="D4484" s="57" t="n"/>
      <c r="E4484" s="57" t="n"/>
    </row>
    <row r="4485" ht="30" customHeight="1">
      <c r="A4485" s="47" t="inlineStr">
        <is>
          <t>Trạng thái</t>
        </is>
      </c>
      <c r="B4485" s="61" t="inlineStr">
        <is>
          <t>Chưa thực hiện</t>
        </is>
      </c>
      <c r="C4485" s="57" t="n"/>
      <c r="D4485" s="57" t="n"/>
      <c r="E4485" s="57" t="n"/>
    </row>
    <row r="4486" ht="30" customHeight="1">
      <c r="A4486" s="62" t="inlineStr">
        <is>
          <t>Kết quả thực tế</t>
        </is>
      </c>
    </row>
    <row r="4487" ht="64" customHeight="1">
      <c r="A4487" s="63" t="inlineStr"/>
      <c r="B4487" s="64" t="n"/>
      <c r="C4487" s="64" t="n"/>
      <c r="D4487" s="64" t="n"/>
      <c r="E4487" s="65" t="n"/>
    </row>
    <row r="4488" ht="30" customHeight="1">
      <c r="A4488" s="62" t="inlineStr">
        <is>
          <t>Ảnh minh chứng</t>
        </is>
      </c>
    </row>
    <row r="4489" ht="90" customHeight="1">
      <c r="A4489" s="63" t="inlineStr"/>
      <c r="B4489" s="64" t="n"/>
      <c r="C4489" s="64" t="n"/>
      <c r="D4489" s="64" t="n"/>
      <c r="E4489" s="65" t="n"/>
    </row>
    <row r="4490" ht="12" customHeight="1">
      <c r="A4490" s="66" t="inlineStr"/>
    </row>
    <row r="4491" ht="30" customHeight="1">
      <c r="A4491" s="60" t="inlineStr">
        <is>
          <t>TC-RS-FUNC-022 / prefix-suffix</t>
        </is>
      </c>
      <c r="B4491" s="36" t="n"/>
      <c r="C4491" s="36" t="n"/>
      <c r="D4491" s="36" t="n"/>
      <c r="E4491" s="36" t="n"/>
    </row>
    <row r="4492" ht="30" customHeight="1">
      <c r="A4492" s="47" t="inlineStr">
        <is>
          <t>Dữ liệu biến thể</t>
        </is>
      </c>
      <c r="B4492" s="56" t="inlineStr">
        <is>
          <t>Cấu hình ký hiệu trước/sau</t>
        </is>
      </c>
      <c r="C4492" s="57" t="n"/>
      <c r="D4492" s="57" t="n"/>
      <c r="E4492" s="57" t="n"/>
    </row>
    <row r="4493" ht="30" customHeight="1">
      <c r="A4493" s="47" t="inlineStr">
        <is>
          <t>Trạng thái</t>
        </is>
      </c>
      <c r="B4493" s="61" t="inlineStr">
        <is>
          <t>Chưa thực hiện</t>
        </is>
      </c>
      <c r="C4493" s="57" t="n"/>
      <c r="D4493" s="57" t="n"/>
      <c r="E4493" s="57" t="n"/>
    </row>
    <row r="4494" ht="30" customHeight="1">
      <c r="A4494" s="62" t="inlineStr">
        <is>
          <t>Kết quả thực tế</t>
        </is>
      </c>
    </row>
    <row r="4495" ht="64" customHeight="1">
      <c r="A4495" s="63" t="inlineStr"/>
      <c r="B4495" s="64" t="n"/>
      <c r="C4495" s="64" t="n"/>
      <c r="D4495" s="64" t="n"/>
      <c r="E4495" s="65" t="n"/>
    </row>
    <row r="4496" ht="30" customHeight="1">
      <c r="A4496" s="62" t="inlineStr">
        <is>
          <t>Ảnh minh chứng</t>
        </is>
      </c>
    </row>
    <row r="4497" ht="90" customHeight="1">
      <c r="A4497" s="63" t="inlineStr"/>
      <c r="B4497" s="64" t="n"/>
      <c r="C4497" s="64" t="n"/>
      <c r="D4497" s="64" t="n"/>
      <c r="E4497" s="65" t="n"/>
    </row>
    <row r="4498" ht="12" customHeight="1">
      <c r="A4498" s="66" t="inlineStr"/>
    </row>
    <row r="4499" ht="30" customHeight="1">
      <c r="A4499" s="60" t="inlineStr">
        <is>
          <t>TC-RS-FUNC-022 / copy</t>
        </is>
      </c>
      <c r="B4499" s="36" t="n"/>
      <c r="C4499" s="36" t="n"/>
      <c r="D4499" s="36" t="n"/>
      <c r="E4499" s="36" t="n"/>
    </row>
    <row r="4500" ht="30" customHeight="1">
      <c r="A4500" s="47" t="inlineStr">
        <is>
          <t>Dữ liệu biến thể</t>
        </is>
      </c>
      <c r="B4500" s="56" t="inlineStr">
        <is>
          <t>Sao chép cấu hình theo phần đề xuất</t>
        </is>
      </c>
      <c r="C4500" s="57" t="n"/>
      <c r="D4500" s="57" t="n"/>
      <c r="E4500" s="57" t="n"/>
    </row>
    <row r="4501" ht="30" customHeight="1">
      <c r="A4501" s="47" t="inlineStr">
        <is>
          <t>Trạng thái</t>
        </is>
      </c>
      <c r="B4501" s="61" t="inlineStr">
        <is>
          <t>Chưa thực hiện</t>
        </is>
      </c>
      <c r="C4501" s="57" t="n"/>
      <c r="D4501" s="57" t="n"/>
      <c r="E4501" s="57" t="n"/>
    </row>
    <row r="4502" ht="30" customHeight="1">
      <c r="A4502" s="62" t="inlineStr">
        <is>
          <t>Kết quả thực tế</t>
        </is>
      </c>
    </row>
    <row r="4503" ht="64" customHeight="1">
      <c r="A4503" s="63" t="inlineStr"/>
      <c r="B4503" s="64" t="n"/>
      <c r="C4503" s="64" t="n"/>
      <c r="D4503" s="64" t="n"/>
      <c r="E4503" s="65" t="n"/>
    </row>
    <row r="4504" ht="30" customHeight="1">
      <c r="A4504" s="62" t="inlineStr">
        <is>
          <t>Ảnh minh chứng</t>
        </is>
      </c>
    </row>
    <row r="4505" ht="90" customHeight="1">
      <c r="A4505" s="63" t="inlineStr"/>
      <c r="B4505" s="64" t="n"/>
      <c r="C4505" s="64" t="n"/>
      <c r="D4505" s="64" t="n"/>
      <c r="E4505" s="65" t="n"/>
    </row>
    <row r="4506" ht="12" customHeight="1">
      <c r="A4506" s="66" t="inlineStr"/>
    </row>
    <row r="4507" ht="20" customHeight="1">
      <c r="A4507" s="66" t="inlineStr"/>
    </row>
    <row r="4508" ht="30" customHeight="1">
      <c r="A4508" s="46" t="inlineStr">
        <is>
          <t>TC-RS-FUNC-023 — Trích xuất: lọc giữ học sinh có ít nhất một ô đỏ trong phạm vi đang xét</t>
        </is>
      </c>
      <c r="B4508" s="23" t="n"/>
      <c r="C4508" s="23" t="n"/>
      <c r="D4508" s="23" t="n"/>
      <c r="E4508" s="23" t="n"/>
    </row>
    <row r="4509" ht="30" customHeight="1">
      <c r="A4509" s="47" t="inlineStr">
        <is>
          <t>Trạng thái</t>
        </is>
      </c>
      <c r="B4509" s="56">
        <f>IF(0&gt;0,"Không đạt",IF(0=7,"Đạt",IF(SUMPRODUCT(--EXACT('Testcases'!B4537:B4585,"Không thực hiện"))=7,"Không thực hiện",IF(SUMPRODUCT(--EXACT('Testcases'!B4537:B4585,"Bị chặn"))&gt;0,"Bị chặn",IF(SUMPRODUCT(--EXACT('Testcases'!B4537:B4585,"Chưa thực hiện"))=7,"Chưa thực hiện","Chưa đủ kết luận")))))</f>
        <v/>
      </c>
      <c r="C4509" s="57" t="n"/>
      <c r="D4509" s="57" t="n"/>
      <c r="E4509" s="57" t="n"/>
    </row>
    <row r="4510" ht="30" customHeight="1">
      <c r="A4510" s="47" t="inlineStr">
        <is>
          <t>Màn hình / chức năng</t>
        </is>
      </c>
      <c r="B4510" s="47" t="inlineStr">
        <is>
          <t>Trích xuất thành tích（成績抽出）</t>
        </is>
      </c>
      <c r="C4510" s="57" t="n"/>
      <c r="D4510" s="47" t="inlineStr">
        <is>
          <t>Đường dẫn</t>
        </is>
      </c>
      <c r="E4510" s="56" t="inlineStr">
        <is>
          <t>Chưa xác minh</t>
        </is>
      </c>
    </row>
    <row r="4511" ht="30" customHeight="1">
      <c r="A4511" s="58" t="inlineStr">
        <is>
          <t>Điều kiện kiểm thử</t>
        </is>
      </c>
      <c r="B4511" s="59" t="n"/>
      <c r="C4511" s="59" t="n"/>
      <c r="D4511" s="59" t="n"/>
      <c r="E4511" s="59" t="n"/>
    </row>
    <row r="4512" ht="61" customHeight="1">
      <c r="A4512" s="47" t="inlineStr">
        <is>
          <t>Cấu hình</t>
        </is>
      </c>
      <c r="B4512" s="56" t="inlineStr">
        <is>
          <t>• Kết quả đã xét: S10 Toán 24 Đỏ và Ngữ văn 20 Đỏ trong cùng phạm vi;
• S03 Không đỏ ở mọi môn. S10 có thêm ô Toán ở một thời điểm khác, Không đỏ. S06 có mục điểm đơn vị (đơn vị U1 có M riêng 40) U1 = 25 Đỏ, U2 = 35 Không đỏ.</t>
        </is>
      </c>
      <c r="C4512" s="57" t="n"/>
      <c r="D4512" s="57" t="n"/>
      <c r="E4512" s="57" t="n"/>
    </row>
    <row r="4513" ht="61" customHeight="1">
      <c r="A4513" s="47" t="inlineStr">
        <is>
          <t>Vai trò / quyền</t>
        </is>
      </c>
      <c r="B451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513" s="57" t="n"/>
      <c r="D4513" s="57" t="n"/>
      <c r="E4513" s="57" t="n"/>
    </row>
    <row r="4514" ht="61" customHeight="1">
      <c r="A4514" s="47" t="inlineStr">
        <is>
          <t>Dữ liệu test</t>
        </is>
      </c>
      <c r="B4514" s="56" t="inlineStr">
        <is>
          <t>• Học sinh S10 (học lớp G-B và G-C), học sinh S03 (điểm 31), học sinh S06 (điểm dự kiến 24), mục điểm đơn vị (đơn vị U1 có M riêng 40), quy tắc “Cố định 30” (dưới 30), cấu hình trích xuất: lọc, ký hiệu “*” phía trước, tô màu, cấu hình trích xuất chỉ ký hiệu (“※” trước, “!” sau)</t>
        </is>
      </c>
      <c r="C4514" s="57" t="n"/>
      <c r="D4514" s="57" t="n"/>
      <c r="E4514" s="57" t="n"/>
    </row>
    <row r="4515" ht="30" customHeight="1">
      <c r="A4515" s="47" t="inlineStr">
        <is>
          <t>Trigger</t>
        </is>
      </c>
      <c r="B4515" s="56" t="inlineStr">
        <is>
          <t>• Chỉ xem/xuất không tự chạy xét.</t>
        </is>
      </c>
      <c r="C4515" s="57" t="n"/>
      <c r="D4515" s="57" t="n"/>
      <c r="E4515" s="57" t="n"/>
    </row>
    <row r="4516" ht="44" customHeight="1">
      <c r="A4516" s="47" t="inlineStr">
        <is>
          <t>Blocker</t>
        </is>
      </c>
      <c r="B4516" s="56" t="inlineStr">
        <is>
          <t>• G-PREP-UNASSESSED: Chưa có xác minh fixture, đường thực hiện và phép quan sát trên build của từng case chưa đánh giá.</t>
        </is>
      </c>
      <c r="C4516" s="57" t="n"/>
      <c r="D4516" s="57" t="n"/>
      <c r="E4516" s="57" t="n"/>
    </row>
    <row r="4517" ht="30" customHeight="1">
      <c r="A4517" s="58" t="inlineStr">
        <is>
          <t>Thao tác</t>
        </is>
      </c>
      <c r="B4517" s="59" t="n"/>
      <c r="C4517" s="59" t="n"/>
      <c r="D4517" s="59" t="n"/>
      <c r="E4517" s="59" t="n"/>
    </row>
    <row r="4518" ht="44" customHeight="1">
      <c r="A4518" s="47" t="inlineStr">
        <is>
          <t>Step 1</t>
        </is>
      </c>
      <c r="B4518" s="56" t="inlineStr">
        <is>
          <t>Chạy trích xuất với cấu hình trích xuất: lọc, ký hiệu “*” phía trước, tô màu, phạm vi gồm Toán và Ngữ văn.</t>
        </is>
      </c>
      <c r="C4518" s="57" t="n"/>
      <c r="D4518" s="57" t="n"/>
      <c r="E4518" s="57" t="n"/>
    </row>
    <row r="4519" ht="30" customHeight="1">
      <c r="A4519" s="47" t="inlineStr">
        <is>
          <t>Step 2</t>
        </is>
      </c>
      <c r="B4519" s="56" t="inlineStr">
        <is>
          <t>Chạy lại với phạm vi chỉ Ngữ văn.</t>
        </is>
      </c>
      <c r="C4519" s="57" t="n"/>
      <c r="D4519" s="57" t="n"/>
      <c r="E4519" s="57" t="n"/>
    </row>
    <row r="4520" ht="30" customHeight="1">
      <c r="A4520" s="47" t="inlineStr">
        <is>
          <t>Step 3</t>
        </is>
      </c>
      <c r="B4520" s="56" t="inlineStr">
        <is>
          <t>Chạy với cấu hình trích xuất chỉ ký hiệu (“※” trước, “!” sau) (lọc tắt).</t>
        </is>
      </c>
      <c r="C4520" s="57" t="n"/>
      <c r="D4520" s="57" t="n"/>
      <c r="E4520" s="57" t="n"/>
    </row>
    <row r="4521" ht="44" customHeight="1">
      <c r="A4521" s="47" t="inlineStr">
        <is>
          <t>Step 4</t>
        </is>
      </c>
      <c r="B4521" s="56" t="inlineStr">
        <is>
          <t>Với cấu hình trích xuất: lọc, ký hiệu “*” phía trước, tô màu, chọn thời điểm khác thời điểm có ô Toán Đỏ của S10 (ô Toán của thời điểm đó Không đỏ).</t>
        </is>
      </c>
      <c r="C4521" s="57" t="n"/>
      <c r="D4521" s="57" t="n"/>
      <c r="E4521" s="57" t="n"/>
    </row>
    <row r="4522" ht="44" customHeight="1">
      <c r="A4522" s="47" t="inlineStr">
        <is>
          <t>Step 5</t>
        </is>
      </c>
      <c r="B4522" s="56" t="inlineStr">
        <is>
          <t>Với cấu hình trích xuất: lọc, ký hiệu “*” phía trước, tô màu và mục điểm đơn vị (đơn vị U1 có M riêng 40): S06 có U1 Đỏ, U2 Không đỏ; chọn phạm vi chỉ U2.</t>
        </is>
      </c>
      <c r="C4522" s="57" t="n"/>
      <c r="D4522" s="57" t="n"/>
      <c r="E4522" s="57" t="n"/>
    </row>
    <row r="4523" ht="30" customHeight="1">
      <c r="A4523" s="47" t="inlineStr">
        <is>
          <t>Step 6</t>
        </is>
      </c>
      <c r="B4523" s="56" t="inlineStr">
        <is>
          <t>Xóa thành công ô Toán của S10, chạy lại lọc với cả Toán và Ngữ văn.</t>
        </is>
      </c>
      <c r="C4523" s="57" t="n"/>
      <c r="D4523" s="57" t="n"/>
      <c r="E4523" s="57" t="n"/>
    </row>
    <row r="4524" ht="44" customHeight="1">
      <c r="A4524" s="47" t="inlineStr">
        <is>
          <t>Reset</t>
        </is>
      </c>
      <c r="B4524" s="56" t="inlineStr">
        <is>
          <t>Trước mỗi biến thể, dựng lại điều kiện/dữ liệu đầu của case bằng đường được phép; giữ các reset/fixture độc lập đã nêu trong thủ tục.</t>
        </is>
      </c>
      <c r="C4524" s="57" t="n"/>
      <c r="D4524" s="57" t="n"/>
      <c r="E4524" s="57" t="n"/>
    </row>
    <row r="4525" ht="30" customHeight="1">
      <c r="A4525" s="58" t="inlineStr">
        <is>
          <t>Kết quả mong đợi</t>
        </is>
      </c>
      <c r="B4525" s="59" t="n"/>
      <c r="C4525" s="59" t="n"/>
      <c r="D4525" s="59" t="n"/>
      <c r="E4525" s="59" t="n"/>
    </row>
    <row r="4526" ht="30" customHeight="1">
      <c r="A4526" s="47" t="inlineStr">
        <is>
          <t>1.</t>
        </is>
      </c>
      <c r="B4526" s="56" t="inlineStr">
        <is>
          <t>Bước 1: S10 có trong danh sách, S03 không.</t>
        </is>
      </c>
      <c r="C4526" s="57" t="n"/>
      <c r="D4526" s="57" t="n"/>
      <c r="E4526" s="57" t="n"/>
    </row>
    <row r="4527" ht="30" customHeight="1">
      <c r="A4527" s="47" t="inlineStr">
        <is>
          <t>2.</t>
        </is>
      </c>
      <c r="B4527" s="56" t="inlineStr">
        <is>
          <t>Bước 2: S10 vẫn có trong danh sách nhờ Ngữ văn 20 Đỏ; không được loại S10 chỉ vì ô Toán ngoài phạm vi.</t>
        </is>
      </c>
      <c r="C4527" s="57" t="n"/>
      <c r="D4527" s="57" t="n"/>
      <c r="E4527" s="57" t="n"/>
    </row>
    <row r="4528" ht="30" customHeight="1">
      <c r="A4528" s="47" t="inlineStr">
        <is>
          <t>3.</t>
        </is>
      </c>
      <c r="B4528" s="56" t="inlineStr">
        <is>
          <t>Bước 3: danh sách không bị lọc theo đỏ (chỉ bật ký hiệu không giới hạn học sinh).</t>
        </is>
      </c>
      <c r="C4528" s="57" t="n"/>
      <c r="D4528" s="57" t="n"/>
      <c r="E4528" s="57" t="n"/>
    </row>
    <row r="4529" ht="30" customHeight="1">
      <c r="A4529" s="47" t="inlineStr">
        <is>
          <t>4.</t>
        </is>
      </c>
      <c r="B4529" s="56" t="inlineStr">
        <is>
          <t>Bước 4: S10 không có trong danh sách; ô đỏ ở thời điểm khác không giúp thỏa điều kiện.</t>
        </is>
      </c>
      <c r="C4529" s="57" t="n"/>
      <c r="D4529" s="57" t="n"/>
      <c r="E4529" s="57" t="n"/>
    </row>
    <row r="4530" ht="30" customHeight="1">
      <c r="A4530" s="47" t="inlineStr">
        <is>
          <t>5.</t>
        </is>
      </c>
      <c r="B4530" s="56" t="inlineStr">
        <is>
          <t>Bước 5: S06 không có trong danh sách; ô đỏ của U1 ngoài phạm vi đơn vị.</t>
        </is>
      </c>
      <c r="C4530" s="57" t="n"/>
      <c r="D4530" s="57" t="n"/>
      <c r="E4530" s="57" t="n"/>
    </row>
    <row r="4531" ht="30" customHeight="1">
      <c r="A4531" s="47" t="inlineStr">
        <is>
          <t>6.</t>
        </is>
      </c>
      <c r="B4531" s="56" t="inlineStr">
        <is>
          <t>S10 vẫn có trong danh sách nhờ Ngữ văn 20 Đỏ; ô Toán đã xóa không còn dấu đỏ.</t>
        </is>
      </c>
      <c r="C4531" s="57" t="n"/>
      <c r="D4531" s="57" t="n"/>
      <c r="E4531" s="57" t="n"/>
    </row>
    <row r="4532" ht="44" customHeight="1">
      <c r="A4532" s="47" t="inlineStr">
        <is>
          <t>Giữ nguyên</t>
        </is>
      </c>
      <c r="B4532" s="56" t="inlineStr">
        <is>
          <t>• Giữ điểm, cấu hình và đối tượng không đích theo expected;
• Chỉ thay phần thủ tục yêu cầu, không tự đổi oracle hoặc mở rộng phạm vi.</t>
        </is>
      </c>
      <c r="C4532" s="57" t="n"/>
      <c r="D4532" s="57" t="n"/>
      <c r="E4532" s="57" t="n"/>
    </row>
    <row r="4533" ht="61" customHeight="1">
      <c r="A4533" s="47" t="inlineStr">
        <is>
          <t>Quan sát tại</t>
        </is>
      </c>
      <c r="B4533" s="56" t="inlineStr">
        <is>
          <t>• Dùng trích xuất không lọc để thấy cả ô đối chứng. Trạng thái không có dấu đỏ cần đọc thêm trạng thái lưu;
• Output Excel/PDF dùng file thật.</t>
        </is>
      </c>
      <c r="C4533" s="57" t="n"/>
      <c r="D4533" s="57" t="n"/>
      <c r="E4533" s="57" t="n"/>
    </row>
    <row r="4534" ht="30" customHeight="1">
      <c r="A4534" s="58" t="inlineStr">
        <is>
          <t>Kết quả thực tế</t>
        </is>
      </c>
      <c r="B4534" s="59" t="n"/>
      <c r="C4534" s="59" t="n"/>
      <c r="D4534" s="59" t="n"/>
      <c r="E4534" s="59" t="n"/>
    </row>
    <row r="4535" ht="30" customHeight="1">
      <c r="A4535" s="60" t="inlineStr">
        <is>
          <t>TC-RS-FUNC-023 / multi-red-scope</t>
        </is>
      </c>
      <c r="B4535" s="36" t="n"/>
      <c r="C4535" s="36" t="n"/>
      <c r="D4535" s="36" t="n"/>
      <c r="E4535" s="36" t="n"/>
    </row>
    <row r="4536" ht="30" customHeight="1">
      <c r="A4536" s="47" t="inlineStr">
        <is>
          <t>Dữ liệu biến thể</t>
        </is>
      </c>
      <c r="B4536" s="56" t="inlineStr">
        <is>
          <t>Bước 1, S10 có hai ô đỏ trong phạm vi</t>
        </is>
      </c>
      <c r="C4536" s="57" t="n"/>
      <c r="D4536" s="57" t="n"/>
      <c r="E4536" s="57" t="n"/>
    </row>
    <row r="4537" ht="30" customHeight="1">
      <c r="A4537" s="47" t="inlineStr">
        <is>
          <t>Trạng thái</t>
        </is>
      </c>
      <c r="B4537" s="61" t="inlineStr">
        <is>
          <t>Chưa thực hiện</t>
        </is>
      </c>
      <c r="C4537" s="57" t="n"/>
      <c r="D4537" s="57" t="n"/>
      <c r="E4537" s="57" t="n"/>
    </row>
    <row r="4538" ht="30" customHeight="1">
      <c r="A4538" s="62" t="inlineStr">
        <is>
          <t>Kết quả thực tế</t>
        </is>
      </c>
    </row>
    <row r="4539" ht="64" customHeight="1">
      <c r="A4539" s="63" t="inlineStr"/>
      <c r="B4539" s="64" t="n"/>
      <c r="C4539" s="64" t="n"/>
      <c r="D4539" s="64" t="n"/>
      <c r="E4539" s="65" t="n"/>
    </row>
    <row r="4540" ht="30" customHeight="1">
      <c r="A4540" s="62" t="inlineStr">
        <is>
          <t>Ảnh minh chứng</t>
        </is>
      </c>
    </row>
    <row r="4541" ht="90" customHeight="1">
      <c r="A4541" s="63" t="inlineStr"/>
      <c r="B4541" s="64" t="n"/>
      <c r="C4541" s="64" t="n"/>
      <c r="D4541" s="64" t="n"/>
      <c r="E4541" s="65" t="n"/>
    </row>
    <row r="4542" ht="12" customHeight="1">
      <c r="A4542" s="66" t="inlineStr"/>
    </row>
    <row r="4543" ht="30" customHeight="1">
      <c r="A4543" s="60" t="inlineStr">
        <is>
          <t>TC-RS-FUNC-023 / one-red-in-scope</t>
        </is>
      </c>
      <c r="B4543" s="36" t="n"/>
      <c r="C4543" s="36" t="n"/>
      <c r="D4543" s="36" t="n"/>
      <c r="E4543" s="36" t="n"/>
    </row>
    <row r="4544" ht="30" customHeight="1">
      <c r="A4544" s="47" t="inlineStr">
        <is>
          <t>Dữ liệu biến thể</t>
        </is>
      </c>
      <c r="B4544" s="56" t="inlineStr">
        <is>
          <t>Bước 2, S10 chỉ còn Ngữ văn trong phạm vi</t>
        </is>
      </c>
      <c r="C4544" s="57" t="n"/>
      <c r="D4544" s="57" t="n"/>
      <c r="E4544" s="57" t="n"/>
    </row>
    <row r="4545" ht="30" customHeight="1">
      <c r="A4545" s="47" t="inlineStr">
        <is>
          <t>Trạng thái</t>
        </is>
      </c>
      <c r="B4545" s="61" t="inlineStr">
        <is>
          <t>Chưa thực hiện</t>
        </is>
      </c>
      <c r="C4545" s="57" t="n"/>
      <c r="D4545" s="57" t="n"/>
      <c r="E4545" s="57" t="n"/>
    </row>
    <row r="4546" ht="30" customHeight="1">
      <c r="A4546" s="62" t="inlineStr">
        <is>
          <t>Kết quả thực tế</t>
        </is>
      </c>
    </row>
    <row r="4547" ht="64" customHeight="1">
      <c r="A4547" s="63" t="inlineStr"/>
      <c r="B4547" s="64" t="n"/>
      <c r="C4547" s="64" t="n"/>
      <c r="D4547" s="64" t="n"/>
      <c r="E4547" s="65" t="n"/>
    </row>
    <row r="4548" ht="30" customHeight="1">
      <c r="A4548" s="62" t="inlineStr">
        <is>
          <t>Ảnh minh chứng</t>
        </is>
      </c>
    </row>
    <row r="4549" ht="90" customHeight="1">
      <c r="A4549" s="63" t="inlineStr"/>
      <c r="B4549" s="64" t="n"/>
      <c r="C4549" s="64" t="n"/>
      <c r="D4549" s="64" t="n"/>
      <c r="E4549" s="65" t="n"/>
    </row>
    <row r="4550" ht="12" customHeight="1">
      <c r="A4550" s="66" t="inlineStr"/>
    </row>
    <row r="4551" ht="30" customHeight="1">
      <c r="A4551" s="60" t="inlineStr">
        <is>
          <t>TC-RS-FUNC-023 / no-red-in-scope</t>
        </is>
      </c>
      <c r="B4551" s="36" t="n"/>
      <c r="C4551" s="36" t="n"/>
      <c r="D4551" s="36" t="n"/>
      <c r="E4551" s="36" t="n"/>
    </row>
    <row r="4552" ht="30" customHeight="1">
      <c r="A4552" s="47" t="inlineStr">
        <is>
          <t>Dữ liệu biến thể</t>
        </is>
      </c>
      <c r="B4552" s="56" t="inlineStr">
        <is>
          <t>Đối chứng S03 của bước 1, không ô nào đỏ</t>
        </is>
      </c>
      <c r="C4552" s="57" t="n"/>
      <c r="D4552" s="57" t="n"/>
      <c r="E4552" s="57" t="n"/>
    </row>
    <row r="4553" ht="30" customHeight="1">
      <c r="A4553" s="47" t="inlineStr">
        <is>
          <t>Trạng thái</t>
        </is>
      </c>
      <c r="B4553" s="61" t="inlineStr">
        <is>
          <t>Chưa thực hiện</t>
        </is>
      </c>
      <c r="C4553" s="57" t="n"/>
      <c r="D4553" s="57" t="n"/>
      <c r="E4553" s="57" t="n"/>
    </row>
    <row r="4554" ht="30" customHeight="1">
      <c r="A4554" s="62" t="inlineStr">
        <is>
          <t>Kết quả thực tế</t>
        </is>
      </c>
    </row>
    <row r="4555" ht="64" customHeight="1">
      <c r="A4555" s="63" t="inlineStr"/>
      <c r="B4555" s="64" t="n"/>
      <c r="C4555" s="64" t="n"/>
      <c r="D4555" s="64" t="n"/>
      <c r="E4555" s="65" t="n"/>
    </row>
    <row r="4556" ht="30" customHeight="1">
      <c r="A4556" s="62" t="inlineStr">
        <is>
          <t>Ảnh minh chứng</t>
        </is>
      </c>
    </row>
    <row r="4557" ht="90" customHeight="1">
      <c r="A4557" s="63" t="inlineStr"/>
      <c r="B4557" s="64" t="n"/>
      <c r="C4557" s="64" t="n"/>
      <c r="D4557" s="64" t="n"/>
      <c r="E4557" s="65" t="n"/>
    </row>
    <row r="4558" ht="12" customHeight="1">
      <c r="A4558" s="66" t="inlineStr"/>
    </row>
    <row r="4559" ht="30" customHeight="1">
      <c r="A4559" s="60" t="inlineStr">
        <is>
          <t>TC-RS-FUNC-023 / filter-off</t>
        </is>
      </c>
      <c r="B4559" s="36" t="n"/>
      <c r="C4559" s="36" t="n"/>
      <c r="D4559" s="36" t="n"/>
      <c r="E4559" s="36" t="n"/>
    </row>
    <row r="4560" ht="30" customHeight="1">
      <c r="A4560" s="47" t="inlineStr">
        <is>
          <t>Dữ liệu biến thể</t>
        </is>
      </c>
      <c r="B4560" s="56" t="inlineStr">
        <is>
          <t>Bước 3, chỉ ký hiệu và tắt lọc</t>
        </is>
      </c>
      <c r="C4560" s="57" t="n"/>
      <c r="D4560" s="57" t="n"/>
      <c r="E4560" s="57" t="n"/>
    </row>
    <row r="4561" ht="30" customHeight="1">
      <c r="A4561" s="47" t="inlineStr">
        <is>
          <t>Trạng thái</t>
        </is>
      </c>
      <c r="B4561" s="61" t="inlineStr">
        <is>
          <t>Chưa thực hiện</t>
        </is>
      </c>
      <c r="C4561" s="57" t="n"/>
      <c r="D4561" s="57" t="n"/>
      <c r="E4561" s="57" t="n"/>
    </row>
    <row r="4562" ht="30" customHeight="1">
      <c r="A4562" s="62" t="inlineStr">
        <is>
          <t>Kết quả thực tế</t>
        </is>
      </c>
    </row>
    <row r="4563" ht="64" customHeight="1">
      <c r="A4563" s="63" t="inlineStr"/>
      <c r="B4563" s="64" t="n"/>
      <c r="C4563" s="64" t="n"/>
      <c r="D4563" s="64" t="n"/>
      <c r="E4563" s="65" t="n"/>
    </row>
    <row r="4564" ht="30" customHeight="1">
      <c r="A4564" s="62" t="inlineStr">
        <is>
          <t>Ảnh minh chứng</t>
        </is>
      </c>
    </row>
    <row r="4565" ht="90" customHeight="1">
      <c r="A4565" s="63" t="inlineStr"/>
      <c r="B4565" s="64" t="n"/>
      <c r="C4565" s="64" t="n"/>
      <c r="D4565" s="64" t="n"/>
      <c r="E4565" s="65" t="n"/>
    </row>
    <row r="4566" ht="12" customHeight="1">
      <c r="A4566" s="66" t="inlineStr"/>
    </row>
    <row r="4567" ht="30" customHeight="1">
      <c r="A4567" s="60" t="inlineStr">
        <is>
          <t>TC-RS-FUNC-023 / another-period-only</t>
        </is>
      </c>
      <c r="B4567" s="36" t="n"/>
      <c r="C4567" s="36" t="n"/>
      <c r="D4567" s="36" t="n"/>
      <c r="E4567" s="36" t="n"/>
    </row>
    <row r="4568" ht="30" customHeight="1">
      <c r="A4568" s="47" t="inlineStr">
        <is>
          <t>Dữ liệu biến thể</t>
        </is>
      </c>
      <c r="B4568" s="56" t="inlineStr">
        <is>
          <t>Bước 4, ô đỏ nằm ở thời điểm khác</t>
        </is>
      </c>
      <c r="C4568" s="57" t="n"/>
      <c r="D4568" s="57" t="n"/>
      <c r="E4568" s="57" t="n"/>
    </row>
    <row r="4569" ht="30" customHeight="1">
      <c r="A4569" s="47" t="inlineStr">
        <is>
          <t>Trạng thái</t>
        </is>
      </c>
      <c r="B4569" s="61" t="inlineStr">
        <is>
          <t>Chưa thực hiện</t>
        </is>
      </c>
      <c r="C4569" s="57" t="n"/>
      <c r="D4569" s="57" t="n"/>
      <c r="E4569" s="57" t="n"/>
    </row>
    <row r="4570" ht="30" customHeight="1">
      <c r="A4570" s="62" t="inlineStr">
        <is>
          <t>Kết quả thực tế</t>
        </is>
      </c>
    </row>
    <row r="4571" ht="64" customHeight="1">
      <c r="A4571" s="63" t="inlineStr"/>
      <c r="B4571" s="64" t="n"/>
      <c r="C4571" s="64" t="n"/>
      <c r="D4571" s="64" t="n"/>
      <c r="E4571" s="65" t="n"/>
    </row>
    <row r="4572" ht="30" customHeight="1">
      <c r="A4572" s="62" t="inlineStr">
        <is>
          <t>Ảnh minh chứng</t>
        </is>
      </c>
    </row>
    <row r="4573" ht="90" customHeight="1">
      <c r="A4573" s="63" t="inlineStr"/>
      <c r="B4573" s="64" t="n"/>
      <c r="C4573" s="64" t="n"/>
      <c r="D4573" s="64" t="n"/>
      <c r="E4573" s="65" t="n"/>
    </row>
    <row r="4574" ht="12" customHeight="1">
      <c r="A4574" s="66" t="inlineStr"/>
    </row>
    <row r="4575" ht="30" customHeight="1">
      <c r="A4575" s="60" t="inlineStr">
        <is>
          <t>TC-RS-FUNC-023 / other-unit-only</t>
        </is>
      </c>
      <c r="B4575" s="36" t="n"/>
      <c r="C4575" s="36" t="n"/>
      <c r="D4575" s="36" t="n"/>
      <c r="E4575" s="36" t="n"/>
    </row>
    <row r="4576" ht="30" customHeight="1">
      <c r="A4576" s="47" t="inlineStr">
        <is>
          <t>Dữ liệu biến thể</t>
        </is>
      </c>
      <c r="B4576" s="56" t="inlineStr">
        <is>
          <t>Bước 5, chỉ U2 Không đỏ</t>
        </is>
      </c>
      <c r="C4576" s="57" t="n"/>
      <c r="D4576" s="57" t="n"/>
      <c r="E4576" s="57" t="n"/>
    </row>
    <row r="4577" ht="30" customHeight="1">
      <c r="A4577" s="47" t="inlineStr">
        <is>
          <t>Trạng thái</t>
        </is>
      </c>
      <c r="B4577" s="61" t="inlineStr">
        <is>
          <t>Chưa thực hiện</t>
        </is>
      </c>
      <c r="C4577" s="57" t="n"/>
      <c r="D4577" s="57" t="n"/>
      <c r="E4577" s="57" t="n"/>
    </row>
    <row r="4578" ht="30" customHeight="1">
      <c r="A4578" s="62" t="inlineStr">
        <is>
          <t>Kết quả thực tế</t>
        </is>
      </c>
    </row>
    <row r="4579" ht="64" customHeight="1">
      <c r="A4579" s="63" t="inlineStr"/>
      <c r="B4579" s="64" t="n"/>
      <c r="C4579" s="64" t="n"/>
      <c r="D4579" s="64" t="n"/>
      <c r="E4579" s="65" t="n"/>
    </row>
    <row r="4580" ht="30" customHeight="1">
      <c r="A4580" s="62" t="inlineStr">
        <is>
          <t>Ảnh minh chứng</t>
        </is>
      </c>
    </row>
    <row r="4581" ht="90" customHeight="1">
      <c r="A4581" s="63" t="inlineStr"/>
      <c r="B4581" s="64" t="n"/>
      <c r="C4581" s="64" t="n"/>
      <c r="D4581" s="64" t="n"/>
      <c r="E4581" s="65" t="n"/>
    </row>
    <row r="4582" ht="12" customHeight="1">
      <c r="A4582" s="66" t="inlineStr"/>
    </row>
    <row r="4583" ht="30" customHeight="1">
      <c r="A4583" s="60" t="inlineStr">
        <is>
          <t>TC-RS-FUNC-023 / after-delete</t>
        </is>
      </c>
      <c r="B4583" s="36" t="n"/>
      <c r="C4583" s="36" t="n"/>
      <c r="D4583" s="36" t="n"/>
      <c r="E4583" s="36" t="n"/>
    </row>
    <row r="4584" ht="30" customHeight="1">
      <c r="A4584" s="47" t="inlineStr">
        <is>
          <t>Dữ liệu biến thể</t>
        </is>
      </c>
      <c r="B4584" s="56" t="inlineStr">
        <is>
          <t>Bước 6 sau baseline bước 1, xóa Toán nhưng giữ Ngữ văn</t>
        </is>
      </c>
      <c r="C4584" s="57" t="n"/>
      <c r="D4584" s="57" t="n"/>
      <c r="E4584" s="57" t="n"/>
    </row>
    <row r="4585" ht="30" customHeight="1">
      <c r="A4585" s="47" t="inlineStr">
        <is>
          <t>Trạng thái</t>
        </is>
      </c>
      <c r="B4585" s="61" t="inlineStr">
        <is>
          <t>Chưa thực hiện</t>
        </is>
      </c>
      <c r="C4585" s="57" t="n"/>
      <c r="D4585" s="57" t="n"/>
      <c r="E4585" s="57" t="n"/>
    </row>
    <row r="4586" ht="30" customHeight="1">
      <c r="A4586" s="62" t="inlineStr">
        <is>
          <t>Kết quả thực tế</t>
        </is>
      </c>
    </row>
    <row r="4587" ht="64" customHeight="1">
      <c r="A4587" s="63" t="inlineStr"/>
      <c r="B4587" s="64" t="n"/>
      <c r="C4587" s="64" t="n"/>
      <c r="D4587" s="64" t="n"/>
      <c r="E4587" s="65" t="n"/>
    </row>
    <row r="4588" ht="30" customHeight="1">
      <c r="A4588" s="62" t="inlineStr">
        <is>
          <t>Ảnh minh chứng</t>
        </is>
      </c>
    </row>
    <row r="4589" ht="90" customHeight="1">
      <c r="A4589" s="63" t="inlineStr"/>
      <c r="B4589" s="64" t="n"/>
      <c r="C4589" s="64" t="n"/>
      <c r="D4589" s="64" t="n"/>
      <c r="E4589" s="65" t="n"/>
    </row>
    <row r="4590" ht="12" customHeight="1">
      <c r="A4590" s="66" t="inlineStr"/>
    </row>
    <row r="4591" ht="20" customHeight="1">
      <c r="A4591" s="66" t="inlineStr"/>
    </row>
    <row r="4592" ht="30" customHeight="1">
      <c r="A4592" s="46" t="inlineStr">
        <is>
          <t>TC-RS-FUNC-024 — Trích xuất: chỉ ô đỏ được thêm ký hiệu/tô màu</t>
        </is>
      </c>
      <c r="B4592" s="23" t="n"/>
      <c r="C4592" s="23" t="n"/>
      <c r="D4592" s="23" t="n"/>
      <c r="E4592" s="23" t="n"/>
    </row>
    <row r="4593" ht="30" customHeight="1">
      <c r="A4593" s="47" t="inlineStr">
        <is>
          <t>Trạng thái</t>
        </is>
      </c>
      <c r="B4593" s="56">
        <f>IF(0&gt;0,"Không đạt",IF(0=2,"Đạt",IF(SUMPRODUCT(--EXACT('Testcases'!B4613:B4621,"Không thực hiện"))=2,"Không thực hiện",IF(SUMPRODUCT(--EXACT('Testcases'!B4613:B4621,"Bị chặn"))&gt;0,"Bị chặn",IF(SUMPRODUCT(--EXACT('Testcases'!B4613:B4621,"Chưa thực hiện"))=2,"Chưa thực hiện","Chưa đủ kết luận")))))</f>
        <v/>
      </c>
      <c r="C4593" s="57" t="n"/>
      <c r="D4593" s="57" t="n"/>
      <c r="E4593" s="57" t="n"/>
    </row>
    <row r="4594" ht="30" customHeight="1">
      <c r="A4594" s="47" t="inlineStr">
        <is>
          <t>Màn hình / chức năng</t>
        </is>
      </c>
      <c r="B4594" s="47" t="inlineStr">
        <is>
          <t>Trích xuất thành tích（成績抽出）</t>
        </is>
      </c>
      <c r="C4594" s="57" t="n"/>
      <c r="D4594" s="47" t="inlineStr">
        <is>
          <t>Đường dẫn</t>
        </is>
      </c>
      <c r="E4594" s="56" t="inlineStr">
        <is>
          <t>Chưa xác minh</t>
        </is>
      </c>
    </row>
    <row r="4595" ht="30" customHeight="1">
      <c r="A4595" s="58" t="inlineStr">
        <is>
          <t>Điều kiện kiểm thử</t>
        </is>
      </c>
      <c r="B4595" s="59" t="n"/>
      <c r="C4595" s="59" t="n"/>
      <c r="D4595" s="59" t="n"/>
      <c r="E4595" s="59" t="n"/>
    </row>
    <row r="4596" ht="44" customHeight="1">
      <c r="A4596" s="47" t="inlineStr">
        <is>
          <t>Cấu hình</t>
        </is>
      </c>
      <c r="B4596" s="56" t="inlineStr">
        <is>
          <t>• Fixture riêng S10, Toán=24 Đỏ và Ngữ văn=70 Không đỏ;
• Ngưỡng cố định 30, dấu nhỏ hơn, M=100 ở cả hai mục. Không kế thừa Ngữ văn=20 của FUNC-023.</t>
        </is>
      </c>
      <c r="C4596" s="57" t="n"/>
      <c r="D4596" s="57" t="n"/>
      <c r="E4596" s="57" t="n"/>
    </row>
    <row r="4597" ht="61" customHeight="1">
      <c r="A4597" s="47" t="inlineStr">
        <is>
          <t>Vai trò / quyền</t>
        </is>
      </c>
      <c r="B459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597" s="57" t="n"/>
      <c r="D4597" s="57" t="n"/>
      <c r="E4597" s="57" t="n"/>
    </row>
    <row r="4598" ht="44" customHeight="1">
      <c r="A4598" s="47" t="inlineStr">
        <is>
          <t>Dữ liệu test</t>
        </is>
      </c>
      <c r="B4598" s="56" t="inlineStr">
        <is>
          <t>• Học sinh S10 (học lớp G-B và G-C), cấu hình trích xuất: lọc, ký hiệu “*” phía trước, tô màu, cấu hình trích xuất chỉ ký hiệu (“※” trước, “!” sau)</t>
        </is>
      </c>
      <c r="C4598" s="57" t="n"/>
      <c r="D4598" s="57" t="n"/>
      <c r="E4598" s="57" t="n"/>
    </row>
    <row r="4599" ht="30" customHeight="1">
      <c r="A4599" s="47" t="inlineStr">
        <is>
          <t>Trigger</t>
        </is>
      </c>
      <c r="B4599" s="56" t="inlineStr">
        <is>
          <t>• Chỉ xem/xuất không tự chạy xét.</t>
        </is>
      </c>
      <c r="C4599" s="57" t="n"/>
      <c r="D4599" s="57" t="n"/>
      <c r="E4599" s="57" t="n"/>
    </row>
    <row r="4600" ht="44" customHeight="1">
      <c r="A4600" s="47" t="inlineStr">
        <is>
          <t>Blocker</t>
        </is>
      </c>
      <c r="B4600" s="56" t="inlineStr">
        <is>
          <t>• G-PREP-UNASSESSED: Chưa có xác minh fixture, đường thực hiện và phép quan sát trên build của từng case chưa đánh giá.</t>
        </is>
      </c>
      <c r="C4600" s="57" t="n"/>
      <c r="D4600" s="57" t="n"/>
      <c r="E4600" s="57" t="n"/>
    </row>
    <row r="4601" ht="30" customHeight="1">
      <c r="A4601" s="58" t="inlineStr">
        <is>
          <t>Thao tác</t>
        </is>
      </c>
      <c r="B4601" s="59" t="n"/>
      <c r="C4601" s="59" t="n"/>
      <c r="D4601" s="59" t="n"/>
      <c r="E4601" s="59" t="n"/>
    </row>
    <row r="4602" ht="30" customHeight="1">
      <c r="A4602" s="47" t="inlineStr">
        <is>
          <t>Step 1</t>
        </is>
      </c>
      <c r="B4602" s="56" t="inlineStr">
        <is>
          <t>Chạy trích xuất cấu hình trích xuất: lọc, ký hiệu “*” phía trước, tô màu, xem dòng S10.</t>
        </is>
      </c>
      <c r="C4602" s="57" t="n"/>
      <c r="D4602" s="57" t="n"/>
      <c r="E4602" s="57" t="n"/>
    </row>
    <row r="4603" ht="30" customHeight="1">
      <c r="A4603" s="47" t="inlineStr">
        <is>
          <t>Step 2</t>
        </is>
      </c>
      <c r="B4603" s="56" t="inlineStr">
        <is>
          <t>Chạy cấu hình trích xuất chỉ ký hiệu (“※” trước, “!” sau), xem dòng S10.</t>
        </is>
      </c>
      <c r="C4603" s="57" t="n"/>
      <c r="D4603" s="57" t="n"/>
      <c r="E4603" s="57" t="n"/>
    </row>
    <row r="4604" ht="44" customHeight="1">
      <c r="A4604" s="47" t="inlineStr">
        <is>
          <t>Reset</t>
        </is>
      </c>
      <c r="B4604" s="56" t="inlineStr">
        <is>
          <t>Trước mỗi biến thể, dựng lại điều kiện/dữ liệu đầu của case bằng đường được phép; giữ các reset/fixture độc lập đã nêu trong thủ tục.</t>
        </is>
      </c>
      <c r="C4604" s="57" t="n"/>
      <c r="D4604" s="57" t="n"/>
      <c r="E4604" s="57" t="n"/>
    </row>
    <row r="4605" ht="30" customHeight="1">
      <c r="A4605" s="58" t="inlineStr">
        <is>
          <t>Kết quả mong đợi</t>
        </is>
      </c>
      <c r="B4605" s="59" t="n"/>
      <c r="C4605" s="59" t="n"/>
      <c r="D4605" s="59" t="n"/>
      <c r="E4605" s="59" t="n"/>
    </row>
    <row r="4606" ht="44" customHeight="1">
      <c r="A4606" s="47" t="inlineStr">
        <is>
          <t>1.</t>
        </is>
      </c>
      <c r="B4606" s="56" t="inlineStr">
        <is>
          <t>Cấu hình trích xuất: lọc, ký hiệu “*” phía trước, tô màu: ô Toán hiện [*24] với nền màu Đỏ（赤） của bảng màu; ô Ngữ văn [70] không ký hiệu, không màu; không tô cả dòng.</t>
        </is>
      </c>
      <c r="C4606" s="57" t="n"/>
      <c r="D4606" s="57" t="n"/>
      <c r="E4606" s="57" t="n"/>
    </row>
    <row r="4607" ht="30" customHeight="1">
      <c r="A4607" s="47" t="inlineStr">
        <is>
          <t>2.</t>
        </is>
      </c>
      <c r="B4607" s="56" t="inlineStr">
        <is>
          <t>Cấu hình trích xuất chỉ ký hiệu (“※” trước, “!” sau): ô Toán [※24!]; ô Ngữ văn [70].</t>
        </is>
      </c>
      <c r="C4607" s="57" t="n"/>
      <c r="D4607" s="57" t="n"/>
      <c r="E4607" s="57" t="n"/>
    </row>
    <row r="4608" ht="44" customHeight="1">
      <c r="A4608" s="47" t="inlineStr">
        <is>
          <t>Giữ nguyên</t>
        </is>
      </c>
      <c r="B4608" s="56" t="inlineStr">
        <is>
          <t>• Giữ điểm, cấu hình và đối tượng không đích theo expected;
• Chỉ thay phần thủ tục yêu cầu, không tự đổi oracle hoặc mở rộng phạm vi.</t>
        </is>
      </c>
      <c r="C4608" s="57" t="n"/>
      <c r="D4608" s="57" t="n"/>
      <c r="E4608" s="57" t="n"/>
    </row>
    <row r="4609" ht="61" customHeight="1">
      <c r="A4609" s="47" t="inlineStr">
        <is>
          <t>Quan sát tại</t>
        </is>
      </c>
      <c r="B4609" s="56" t="inlineStr">
        <is>
          <t>• Dùng trích xuất không lọc để thấy cả ô đối chứng. Trạng thái không có dấu đỏ cần đọc thêm trạng thái lưu;
• Output Excel/PDF dùng file thật.</t>
        </is>
      </c>
      <c r="C4609" s="57" t="n"/>
      <c r="D4609" s="57" t="n"/>
      <c r="E4609" s="57" t="n"/>
    </row>
    <row r="4610" ht="30" customHeight="1">
      <c r="A4610" s="58" t="inlineStr">
        <is>
          <t>Kết quả thực tế</t>
        </is>
      </c>
      <c r="B4610" s="59" t="n"/>
      <c r="C4610" s="59" t="n"/>
      <c r="D4610" s="59" t="n"/>
      <c r="E4610" s="59" t="n"/>
    </row>
    <row r="4611" ht="30" customHeight="1">
      <c r="A4611" s="60" t="inlineStr">
        <is>
          <t>TC-RS-FUNC-024 / prefix-color</t>
        </is>
      </c>
      <c r="B4611" s="36" t="n"/>
      <c r="C4611" s="36" t="n"/>
      <c r="D4611" s="36" t="n"/>
      <c r="E4611" s="36" t="n"/>
    </row>
    <row r="4612" ht="30" customHeight="1">
      <c r="A4612" s="47" t="inlineStr">
        <is>
          <t>Dữ liệu biến thể</t>
        </is>
      </c>
      <c r="B4612" s="56" t="inlineStr">
        <is>
          <t>Ký hiệu trước và màu</t>
        </is>
      </c>
      <c r="C4612" s="57" t="n"/>
      <c r="D4612" s="57" t="n"/>
      <c r="E4612" s="57" t="n"/>
    </row>
    <row r="4613" ht="30" customHeight="1">
      <c r="A4613" s="47" t="inlineStr">
        <is>
          <t>Trạng thái</t>
        </is>
      </c>
      <c r="B4613" s="61" t="inlineStr">
        <is>
          <t>Chưa thực hiện</t>
        </is>
      </c>
      <c r="C4613" s="57" t="n"/>
      <c r="D4613" s="57" t="n"/>
      <c r="E4613" s="57" t="n"/>
    </row>
    <row r="4614" ht="30" customHeight="1">
      <c r="A4614" s="62" t="inlineStr">
        <is>
          <t>Kết quả thực tế</t>
        </is>
      </c>
    </row>
    <row r="4615" ht="64" customHeight="1">
      <c r="A4615" s="63" t="inlineStr"/>
      <c r="B4615" s="64" t="n"/>
      <c r="C4615" s="64" t="n"/>
      <c r="D4615" s="64" t="n"/>
      <c r="E4615" s="65" t="n"/>
    </row>
    <row r="4616" ht="30" customHeight="1">
      <c r="A4616" s="62" t="inlineStr">
        <is>
          <t>Ảnh minh chứng</t>
        </is>
      </c>
    </row>
    <row r="4617" ht="90" customHeight="1">
      <c r="A4617" s="63" t="inlineStr"/>
      <c r="B4617" s="64" t="n"/>
      <c r="C4617" s="64" t="n"/>
      <c r="D4617" s="64" t="n"/>
      <c r="E4617" s="65" t="n"/>
    </row>
    <row r="4618" ht="12" customHeight="1">
      <c r="A4618" s="66" t="inlineStr"/>
    </row>
    <row r="4619" ht="30" customHeight="1">
      <c r="A4619" s="60" t="inlineStr">
        <is>
          <t>TC-RS-FUNC-024 / prefix-suffix</t>
        </is>
      </c>
      <c r="B4619" s="36" t="n"/>
      <c r="C4619" s="36" t="n"/>
      <c r="D4619" s="36" t="n"/>
      <c r="E4619" s="36" t="n"/>
    </row>
    <row r="4620" ht="30" customHeight="1">
      <c r="A4620" s="47" t="inlineStr">
        <is>
          <t>Dữ liệu biến thể</t>
        </is>
      </c>
      <c r="B4620" s="56" t="inlineStr">
        <is>
          <t>Ký hiệu trước và sau</t>
        </is>
      </c>
      <c r="C4620" s="57" t="n"/>
      <c r="D4620" s="57" t="n"/>
      <c r="E4620" s="57" t="n"/>
    </row>
    <row r="4621" ht="30" customHeight="1">
      <c r="A4621" s="47" t="inlineStr">
        <is>
          <t>Trạng thái</t>
        </is>
      </c>
      <c r="B4621" s="61" t="inlineStr">
        <is>
          <t>Chưa thực hiện</t>
        </is>
      </c>
      <c r="C4621" s="57" t="n"/>
      <c r="D4621" s="57" t="n"/>
      <c r="E4621" s="57" t="n"/>
    </row>
    <row r="4622" ht="30" customHeight="1">
      <c r="A4622" s="62" t="inlineStr">
        <is>
          <t>Kết quả thực tế</t>
        </is>
      </c>
    </row>
    <row r="4623" ht="64" customHeight="1">
      <c r="A4623" s="63" t="inlineStr"/>
      <c r="B4623" s="64" t="n"/>
      <c r="C4623" s="64" t="n"/>
      <c r="D4623" s="64" t="n"/>
      <c r="E4623" s="65" t="n"/>
    </row>
    <row r="4624" ht="30" customHeight="1">
      <c r="A4624" s="62" t="inlineStr">
        <is>
          <t>Ảnh minh chứng</t>
        </is>
      </c>
    </row>
    <row r="4625" ht="90" customHeight="1">
      <c r="A4625" s="63" t="inlineStr"/>
      <c r="B4625" s="64" t="n"/>
      <c r="C4625" s="64" t="n"/>
      <c r="D4625" s="64" t="n"/>
      <c r="E4625" s="65" t="n"/>
    </row>
    <row r="4626" ht="12" customHeight="1">
      <c r="A4626" s="66" t="inlineStr"/>
    </row>
    <row r="4627" ht="20" customHeight="1">
      <c r="A4627" s="66" t="inlineStr"/>
    </row>
    <row r="4628" ht="30" customHeight="1">
      <c r="A4628" s="46" t="inlineStr">
        <is>
          <t>TC-RS-FUNC-025 — Trích xuất: file Excel khớp màn hình</t>
        </is>
      </c>
      <c r="B4628" s="23" t="n"/>
      <c r="C4628" s="23" t="n"/>
      <c r="D4628" s="23" t="n"/>
      <c r="E4628" s="23" t="n"/>
    </row>
    <row r="4629" ht="30" customHeight="1">
      <c r="A4629" s="47" t="inlineStr">
        <is>
          <t>Trạng thái</t>
        </is>
      </c>
      <c r="B4629" s="56">
        <f>IF(0&gt;0,"Không đạt",IF(0=5,"Đạt",IF(SUMPRODUCT(--EXACT('Testcases'!B4650:B4682,"Không thực hiện"))=5,"Không thực hiện",IF(SUMPRODUCT(--EXACT('Testcases'!B4650:B4682,"Bị chặn"))&gt;0,"Bị chặn",IF(SUMPRODUCT(--EXACT('Testcases'!B4650:B4682,"Chưa thực hiện"))=5,"Chưa thực hiện","Chưa đủ kết luận")))))</f>
        <v/>
      </c>
      <c r="C4629" s="57" t="n"/>
      <c r="D4629" s="57" t="n"/>
      <c r="E4629" s="57" t="n"/>
    </row>
    <row r="4630" ht="30" customHeight="1">
      <c r="A4630" s="47" t="inlineStr">
        <is>
          <t>Màn hình / chức năng</t>
        </is>
      </c>
      <c r="B4630" s="47" t="inlineStr">
        <is>
          <t>Trích xuất thành tích（成績抽出）</t>
        </is>
      </c>
      <c r="C4630" s="57" t="n"/>
      <c r="D4630" s="47" t="inlineStr">
        <is>
          <t>Đường dẫn</t>
        </is>
      </c>
      <c r="E4630" s="56" t="inlineStr">
        <is>
          <t>Chưa xác minh</t>
        </is>
      </c>
    </row>
    <row r="4631" ht="30" customHeight="1">
      <c r="A4631" s="58" t="inlineStr">
        <is>
          <t>Điều kiện kiểm thử</t>
        </is>
      </c>
      <c r="B4631" s="59" t="n"/>
      <c r="C4631" s="59" t="n"/>
      <c r="D4631" s="59" t="n"/>
      <c r="E4631" s="59" t="n"/>
    </row>
    <row r="4632" ht="44" customHeight="1">
      <c r="A4632" s="47" t="inlineStr">
        <is>
          <t>Cấu hình</t>
        </is>
      </c>
      <c r="B4632" s="56" t="inlineStr">
        <is>
          <t>• Như case “Trích xuất: chỉ ô đỏ được thêm ký hiệu/tô màu”;
• S05 có ô trống.</t>
        </is>
      </c>
      <c r="C4632" s="57" t="n"/>
      <c r="D4632" s="57" t="n"/>
      <c r="E4632" s="57" t="n"/>
    </row>
    <row r="4633" ht="61" customHeight="1">
      <c r="A4633" s="47" t="inlineStr">
        <is>
          <t>Vai trò / quyền</t>
        </is>
      </c>
      <c r="B463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633" s="57" t="n"/>
      <c r="D4633" s="57" t="n"/>
      <c r="E4633" s="57" t="n"/>
    </row>
    <row r="4634" ht="44" customHeight="1">
      <c r="A4634" s="47" t="inlineStr">
        <is>
          <t>Dữ liệu test</t>
        </is>
      </c>
      <c r="B4634" s="56" t="inlineStr">
        <is>
          <t>• Cấu hình trích xuất: lọc, ký hiệu “*” phía trước, tô màu, cấu hình trích xuất chỉ ký hiệu (“※” trước, “!” sau), học sinh S05 (ô trống), học sinh S10 (học lớp G-B và G-C)</t>
        </is>
      </c>
      <c r="C4634" s="57" t="n"/>
      <c r="D4634" s="57" t="n"/>
      <c r="E4634" s="57" t="n"/>
    </row>
    <row r="4635" ht="30" customHeight="1">
      <c r="A4635" s="47" t="inlineStr">
        <is>
          <t>Trigger</t>
        </is>
      </c>
      <c r="B4635" s="56" t="inlineStr">
        <is>
          <t>• Chỉ xem/xuất không tự chạy xét.</t>
        </is>
      </c>
      <c r="C4635" s="57" t="n"/>
      <c r="D4635" s="57" t="n"/>
      <c r="E4635" s="57" t="n"/>
    </row>
    <row r="4636" ht="44" customHeight="1">
      <c r="A4636" s="47" t="inlineStr">
        <is>
          <t>Blocker</t>
        </is>
      </c>
      <c r="B4636" s="56" t="inlineStr">
        <is>
          <t>• G-PREP-UNASSESSED: Chưa có xác minh fixture, đường thực hiện và phép quan sát trên build của từng case chưa đánh giá.</t>
        </is>
      </c>
      <c r="C4636" s="57" t="n"/>
      <c r="D4636" s="57" t="n"/>
      <c r="E4636" s="57" t="n"/>
    </row>
    <row r="4637" ht="30" customHeight="1">
      <c r="A4637" s="58" t="inlineStr">
        <is>
          <t>Thao tác</t>
        </is>
      </c>
      <c r="B4637" s="59" t="n"/>
      <c r="C4637" s="59" t="n"/>
      <c r="D4637" s="59" t="n"/>
      <c r="E4637" s="59" t="n"/>
    </row>
    <row r="4638" ht="30" customHeight="1">
      <c r="A4638" s="47" t="inlineStr">
        <is>
          <t>Step 1</t>
        </is>
      </c>
      <c r="B4638" s="56" t="inlineStr">
        <is>
          <t>Chạy trích xuất, chụp màn kết quả.</t>
        </is>
      </c>
      <c r="C4638" s="57" t="n"/>
      <c r="D4638" s="57" t="n"/>
      <c r="E4638" s="57" t="n"/>
    </row>
    <row r="4639" ht="30" customHeight="1">
      <c r="A4639" s="47" t="inlineStr">
        <is>
          <t>Step 2</t>
        </is>
      </c>
      <c r="B4639" s="56" t="inlineStr">
        <is>
          <t>Xuất Excel, mở file.</t>
        </is>
      </c>
      <c r="C4639" s="57" t="n"/>
      <c r="D4639" s="57" t="n"/>
      <c r="E4639" s="57" t="n"/>
    </row>
    <row r="4640" ht="78" customHeight="1">
      <c r="A4640" s="47" t="inlineStr">
        <is>
          <t>Step 3</t>
        </is>
      </c>
      <c r="B4640" s="56" t="inlineStr">
        <is>
          <t>Lặp bước 1–2 với: (a) cấu hình trích xuất chỉ ký hiệu (“※” trước, “!” sau) (lọc đỏ TẮT); (b) phạm vi không có ô đỏ nào (0 kết quả); (c) sau khi một ô Đỏ bị ngừng kết quả cũ (như case “Chưa có kết quả tổng hợp → Chưa xét được, không thay bằng 0 hay nhóm khác”, Chưa xét được); (d) mục có điểm bị ẩn theo thiết lập ẩn mục nhập (như case “Mục bị ẩn theo thiết lập ẩn mục nhập”).</t>
        </is>
      </c>
      <c r="C4640" s="57" t="n"/>
      <c r="D4640" s="57" t="n"/>
      <c r="E4640" s="57" t="n"/>
    </row>
    <row r="4641" ht="44" customHeight="1">
      <c r="A4641" s="47" t="inlineStr">
        <is>
          <t>Reset</t>
        </is>
      </c>
      <c r="B4641" s="56" t="inlineStr">
        <is>
          <t>Trước mỗi biến thể, dựng lại điều kiện/dữ liệu đầu của case bằng đường được phép; giữ các reset/fixture độc lập đã nêu trong thủ tục.</t>
        </is>
      </c>
      <c r="C4641" s="57" t="n"/>
      <c r="D4641" s="57" t="n"/>
      <c r="E4641" s="57" t="n"/>
    </row>
    <row r="4642" ht="30" customHeight="1">
      <c r="A4642" s="58" t="inlineStr">
        <is>
          <t>Kết quả mong đợi</t>
        </is>
      </c>
      <c r="B4642" s="59" t="n"/>
      <c r="C4642" s="59" t="n"/>
      <c r="D4642" s="59" t="n"/>
      <c r="E4642" s="59" t="n"/>
    </row>
    <row r="4643" ht="44" customHeight="1">
      <c r="A4643" s="47" t="inlineStr">
        <is>
          <t>•</t>
        </is>
      </c>
      <c r="B4643" s="56" t="inlineStr">
        <is>
          <t>1–2. Danh sách học sinh trong Excel giống màn hình (lọc đỏ đang bật). Cùng ô: ký hiệu, màu nền, số liệu, ô trống trong Excel giống màn hình. Ô trống không hiện số 0. Tải Excel không kích hoạt xét.</t>
        </is>
      </c>
      <c r="C4643" s="57" t="n"/>
      <c r="D4643" s="57" t="n"/>
      <c r="E4643" s="57" t="n"/>
    </row>
    <row r="4644" ht="61" customHeight="1">
      <c r="A4644" s="47" t="inlineStr">
        <is>
          <t>3.</t>
        </is>
      </c>
      <c r="B4644" s="56" t="inlineStr">
        <is>
          <t>Mỗi biến thể: file Excel khớp màn hình cùng lần — (a) đủ học sinh, chỉ ô đỏ có ký hiệu/màu; (b) Excel không có học sinh giống màn hình; (c) ô bị ngừng kết quả cũ không còn ký hiệu/màu; (d) điểm ẩn không hiện lại trong Excel.</t>
        </is>
      </c>
      <c r="C4644" s="57" t="n"/>
      <c r="D4644" s="57" t="n"/>
      <c r="E4644" s="57" t="n"/>
    </row>
    <row r="4645" ht="44" customHeight="1">
      <c r="A4645" s="47" t="inlineStr">
        <is>
          <t>Giữ nguyên</t>
        </is>
      </c>
      <c r="B4645" s="56" t="inlineStr">
        <is>
          <t>• Giữ điểm, cấu hình và đối tượng không đích theo expected;
• Chỉ thay phần thủ tục yêu cầu, không tự đổi oracle hoặc mở rộng phạm vi.</t>
        </is>
      </c>
      <c r="C4645" s="57" t="n"/>
      <c r="D4645" s="57" t="n"/>
      <c r="E4645" s="57" t="n"/>
    </row>
    <row r="4646" ht="61" customHeight="1">
      <c r="A4646" s="47" t="inlineStr">
        <is>
          <t>Quan sát tại</t>
        </is>
      </c>
      <c r="B4646" s="56" t="inlineStr">
        <is>
          <t>• Dùng trích xuất không lọc để thấy cả ô đối chứng. Trạng thái không có dấu đỏ cần đọc thêm trạng thái lưu;
• Output Excel/PDF dùng file thật.</t>
        </is>
      </c>
      <c r="C4646" s="57" t="n"/>
      <c r="D4646" s="57" t="n"/>
      <c r="E4646" s="57" t="n"/>
    </row>
    <row r="4647" ht="30" customHeight="1">
      <c r="A4647" s="58" t="inlineStr">
        <is>
          <t>Kết quả thực tế</t>
        </is>
      </c>
      <c r="B4647" s="59" t="n"/>
      <c r="C4647" s="59" t="n"/>
      <c r="D4647" s="59" t="n"/>
      <c r="E4647" s="59" t="n"/>
    </row>
    <row r="4648" ht="30" customHeight="1">
      <c r="A4648" s="60" t="inlineStr">
        <is>
          <t>TC-RS-FUNC-025 / filter-on</t>
        </is>
      </c>
      <c r="B4648" s="36" t="n"/>
      <c r="C4648" s="36" t="n"/>
      <c r="D4648" s="36" t="n"/>
      <c r="E4648" s="36" t="n"/>
    </row>
    <row r="4649" ht="30" customHeight="1">
      <c r="A4649" s="47" t="inlineStr">
        <is>
          <t>Dữ liệu biến thể</t>
        </is>
      </c>
      <c r="B4649" s="56" t="inlineStr">
        <is>
          <t>Lượt ban đầu bật lọc</t>
        </is>
      </c>
      <c r="C4649" s="57" t="n"/>
      <c r="D4649" s="57" t="n"/>
      <c r="E4649" s="57" t="n"/>
    </row>
    <row r="4650" ht="30" customHeight="1">
      <c r="A4650" s="47" t="inlineStr">
        <is>
          <t>Trạng thái</t>
        </is>
      </c>
      <c r="B4650" s="61" t="inlineStr">
        <is>
          <t>Chưa thực hiện</t>
        </is>
      </c>
      <c r="C4650" s="57" t="n"/>
      <c r="D4650" s="57" t="n"/>
      <c r="E4650" s="57" t="n"/>
    </row>
    <row r="4651" ht="30" customHeight="1">
      <c r="A4651" s="62" t="inlineStr">
        <is>
          <t>Kết quả thực tế</t>
        </is>
      </c>
    </row>
    <row r="4652" ht="64" customHeight="1">
      <c r="A4652" s="63" t="inlineStr"/>
      <c r="B4652" s="64" t="n"/>
      <c r="C4652" s="64" t="n"/>
      <c r="D4652" s="64" t="n"/>
      <c r="E4652" s="65" t="n"/>
    </row>
    <row r="4653" ht="30" customHeight="1">
      <c r="A4653" s="62" t="inlineStr">
        <is>
          <t>Ảnh minh chứng</t>
        </is>
      </c>
    </row>
    <row r="4654" ht="90" customHeight="1">
      <c r="A4654" s="63" t="inlineStr"/>
      <c r="B4654" s="64" t="n"/>
      <c r="C4654" s="64" t="n"/>
      <c r="D4654" s="64" t="n"/>
      <c r="E4654" s="65" t="n"/>
    </row>
    <row r="4655" ht="12" customHeight="1">
      <c r="A4655" s="66" t="inlineStr"/>
    </row>
    <row r="4656" ht="30" customHeight="1">
      <c r="A4656" s="60" t="inlineStr">
        <is>
          <t>TC-RS-FUNC-025 / filter-off</t>
        </is>
      </c>
      <c r="B4656" s="36" t="n"/>
      <c r="C4656" s="36" t="n"/>
      <c r="D4656" s="36" t="n"/>
      <c r="E4656" s="36" t="n"/>
    </row>
    <row r="4657" ht="30" customHeight="1">
      <c r="A4657" s="47" t="inlineStr">
        <is>
          <t>Dữ liệu biến thể</t>
        </is>
      </c>
      <c r="B4657" s="56" t="inlineStr">
        <is>
          <t>Nhánh a tắt lọc</t>
        </is>
      </c>
      <c r="C4657" s="57" t="n"/>
      <c r="D4657" s="57" t="n"/>
      <c r="E4657" s="57" t="n"/>
    </row>
    <row r="4658" ht="30" customHeight="1">
      <c r="A4658" s="47" t="inlineStr">
        <is>
          <t>Trạng thái</t>
        </is>
      </c>
      <c r="B4658" s="61" t="inlineStr">
        <is>
          <t>Chưa thực hiện</t>
        </is>
      </c>
      <c r="C4658" s="57" t="n"/>
      <c r="D4658" s="57" t="n"/>
      <c r="E4658" s="57" t="n"/>
    </row>
    <row r="4659" ht="30" customHeight="1">
      <c r="A4659" s="62" t="inlineStr">
        <is>
          <t>Kết quả thực tế</t>
        </is>
      </c>
    </row>
    <row r="4660" ht="64" customHeight="1">
      <c r="A4660" s="63" t="inlineStr"/>
      <c r="B4660" s="64" t="n"/>
      <c r="C4660" s="64" t="n"/>
      <c r="D4660" s="64" t="n"/>
      <c r="E4660" s="65" t="n"/>
    </row>
    <row r="4661" ht="30" customHeight="1">
      <c r="A4661" s="62" t="inlineStr">
        <is>
          <t>Ảnh minh chứng</t>
        </is>
      </c>
    </row>
    <row r="4662" ht="90" customHeight="1">
      <c r="A4662" s="63" t="inlineStr"/>
      <c r="B4662" s="64" t="n"/>
      <c r="C4662" s="64" t="n"/>
      <c r="D4662" s="64" t="n"/>
      <c r="E4662" s="65" t="n"/>
    </row>
    <row r="4663" ht="12" customHeight="1">
      <c r="A4663" s="66" t="inlineStr"/>
    </row>
    <row r="4664" ht="30" customHeight="1">
      <c r="A4664" s="60" t="inlineStr">
        <is>
          <t>TC-RS-FUNC-025 / empty</t>
        </is>
      </c>
      <c r="B4664" s="36" t="n"/>
      <c r="C4664" s="36" t="n"/>
      <c r="D4664" s="36" t="n"/>
      <c r="E4664" s="36" t="n"/>
    </row>
    <row r="4665" ht="30" customHeight="1">
      <c r="A4665" s="47" t="inlineStr">
        <is>
          <t>Dữ liệu biến thể</t>
        </is>
      </c>
      <c r="B4665" s="56" t="inlineStr">
        <is>
          <t>Nhánh b không có ô đỏ</t>
        </is>
      </c>
      <c r="C4665" s="57" t="n"/>
      <c r="D4665" s="57" t="n"/>
      <c r="E4665" s="57" t="n"/>
    </row>
    <row r="4666" ht="30" customHeight="1">
      <c r="A4666" s="47" t="inlineStr">
        <is>
          <t>Trạng thái</t>
        </is>
      </c>
      <c r="B4666" s="61" t="inlineStr">
        <is>
          <t>Chưa thực hiện</t>
        </is>
      </c>
      <c r="C4666" s="57" t="n"/>
      <c r="D4666" s="57" t="n"/>
      <c r="E4666" s="57" t="n"/>
    </row>
    <row r="4667" ht="30" customHeight="1">
      <c r="A4667" s="62" t="inlineStr">
        <is>
          <t>Kết quả thực tế</t>
        </is>
      </c>
    </row>
    <row r="4668" ht="64" customHeight="1">
      <c r="A4668" s="63" t="inlineStr"/>
      <c r="B4668" s="64" t="n"/>
      <c r="C4668" s="64" t="n"/>
      <c r="D4668" s="64" t="n"/>
      <c r="E4668" s="65" t="n"/>
    </row>
    <row r="4669" ht="30" customHeight="1">
      <c r="A4669" s="62" t="inlineStr">
        <is>
          <t>Ảnh minh chứng</t>
        </is>
      </c>
    </row>
    <row r="4670" ht="90" customHeight="1">
      <c r="A4670" s="63" t="inlineStr"/>
      <c r="B4670" s="64" t="n"/>
      <c r="C4670" s="64" t="n"/>
      <c r="D4670" s="64" t="n"/>
      <c r="E4670" s="65" t="n"/>
    </row>
    <row r="4671" ht="12" customHeight="1">
      <c r="A4671" s="66" t="inlineStr"/>
    </row>
    <row r="4672" ht="30" customHeight="1">
      <c r="A4672" s="60" t="inlineStr">
        <is>
          <t>TC-RS-FUNC-025 / stale</t>
        </is>
      </c>
      <c r="B4672" s="36" t="n"/>
      <c r="C4672" s="36" t="n"/>
      <c r="D4672" s="36" t="n"/>
      <c r="E4672" s="36" t="n"/>
    </row>
    <row r="4673" ht="30" customHeight="1">
      <c r="A4673" s="47" t="inlineStr">
        <is>
          <t>Dữ liệu biến thể</t>
        </is>
      </c>
      <c r="B4673" s="56" t="inlineStr">
        <is>
          <t>Nhánh c kết quả không còn hiệu lực</t>
        </is>
      </c>
      <c r="C4673" s="57" t="n"/>
      <c r="D4673" s="57" t="n"/>
      <c r="E4673" s="57" t="n"/>
    </row>
    <row r="4674" ht="30" customHeight="1">
      <c r="A4674" s="47" t="inlineStr">
        <is>
          <t>Trạng thái</t>
        </is>
      </c>
      <c r="B4674" s="61" t="inlineStr">
        <is>
          <t>Chưa thực hiện</t>
        </is>
      </c>
      <c r="C4674" s="57" t="n"/>
      <c r="D4674" s="57" t="n"/>
      <c r="E4674" s="57" t="n"/>
    </row>
    <row r="4675" ht="30" customHeight="1">
      <c r="A4675" s="62" t="inlineStr">
        <is>
          <t>Kết quả thực tế</t>
        </is>
      </c>
    </row>
    <row r="4676" ht="64" customHeight="1">
      <c r="A4676" s="63" t="inlineStr"/>
      <c r="B4676" s="64" t="n"/>
      <c r="C4676" s="64" t="n"/>
      <c r="D4676" s="64" t="n"/>
      <c r="E4676" s="65" t="n"/>
    </row>
    <row r="4677" ht="30" customHeight="1">
      <c r="A4677" s="62" t="inlineStr">
        <is>
          <t>Ảnh minh chứng</t>
        </is>
      </c>
    </row>
    <row r="4678" ht="90" customHeight="1">
      <c r="A4678" s="63" t="inlineStr"/>
      <c r="B4678" s="64" t="n"/>
      <c r="C4678" s="64" t="n"/>
      <c r="D4678" s="64" t="n"/>
      <c r="E4678" s="65" t="n"/>
    </row>
    <row r="4679" ht="12" customHeight="1">
      <c r="A4679" s="66" t="inlineStr"/>
    </row>
    <row r="4680" ht="30" customHeight="1">
      <c r="A4680" s="60" t="inlineStr">
        <is>
          <t>TC-RS-FUNC-025 / hidden</t>
        </is>
      </c>
      <c r="B4680" s="36" t="n"/>
      <c r="C4680" s="36" t="n"/>
      <c r="D4680" s="36" t="n"/>
      <c r="E4680" s="36" t="n"/>
    </row>
    <row r="4681" ht="30" customHeight="1">
      <c r="A4681" s="47" t="inlineStr">
        <is>
          <t>Dữ liệu biến thể</t>
        </is>
      </c>
      <c r="B4681" s="56" t="inlineStr">
        <is>
          <t>Nhánh d điểm ẩn</t>
        </is>
      </c>
      <c r="C4681" s="57" t="n"/>
      <c r="D4681" s="57" t="n"/>
      <c r="E4681" s="57" t="n"/>
    </row>
    <row r="4682" ht="30" customHeight="1">
      <c r="A4682" s="47" t="inlineStr">
        <is>
          <t>Trạng thái</t>
        </is>
      </c>
      <c r="B4682" s="61" t="inlineStr">
        <is>
          <t>Chưa thực hiện</t>
        </is>
      </c>
      <c r="C4682" s="57" t="n"/>
      <c r="D4682" s="57" t="n"/>
      <c r="E4682" s="57" t="n"/>
    </row>
    <row r="4683" ht="30" customHeight="1">
      <c r="A4683" s="62" t="inlineStr">
        <is>
          <t>Kết quả thực tế</t>
        </is>
      </c>
    </row>
    <row r="4684" ht="64" customHeight="1">
      <c r="A4684" s="63" t="inlineStr"/>
      <c r="B4684" s="64" t="n"/>
      <c r="C4684" s="64" t="n"/>
      <c r="D4684" s="64" t="n"/>
      <c r="E4684" s="65" t="n"/>
    </row>
    <row r="4685" ht="30" customHeight="1">
      <c r="A4685" s="62" t="inlineStr">
        <is>
          <t>Ảnh minh chứng</t>
        </is>
      </c>
    </row>
    <row r="4686" ht="90" customHeight="1">
      <c r="A4686" s="63" t="inlineStr"/>
      <c r="B4686" s="64" t="n"/>
      <c r="C4686" s="64" t="n"/>
      <c r="D4686" s="64" t="n"/>
      <c r="E4686" s="65" t="n"/>
    </row>
    <row r="4687" ht="12" customHeight="1">
      <c r="A4687" s="66" t="inlineStr"/>
    </row>
    <row r="4688" ht="20" customHeight="1">
      <c r="A4688" s="66" t="inlineStr"/>
    </row>
    <row r="4689" ht="30" customHeight="1">
      <c r="A4689" s="46" t="inlineStr">
        <is>
          <t>TC-RS-VAL-017 — Trích xuất: bật ký hiệu thì bắt buộc nhập ký hiệu</t>
        </is>
      </c>
      <c r="B4689" s="23" t="n"/>
      <c r="C4689" s="23" t="n"/>
      <c r="D4689" s="23" t="n"/>
      <c r="E4689" s="23" t="n"/>
    </row>
    <row r="4690" ht="30" customHeight="1">
      <c r="A4690" s="47" t="inlineStr">
        <is>
          <t>Trạng thái</t>
        </is>
      </c>
      <c r="B4690" s="56">
        <f>IF(0&gt;0,"Không đạt",IF(0=2,"Đạt",IF(SUMPRODUCT(--EXACT('Testcases'!B4708:B4716,"Không thực hiện"))=2,"Không thực hiện",IF(SUMPRODUCT(--EXACT('Testcases'!B4708:B4716,"Bị chặn"))&gt;0,"Bị chặn",IF(SUMPRODUCT(--EXACT('Testcases'!B4708:B4716,"Chưa thực hiện"))=2,"Chưa thực hiện","Chưa đủ kết luận")))))</f>
        <v/>
      </c>
      <c r="C4690" s="57" t="n"/>
      <c r="D4690" s="57" t="n"/>
      <c r="E4690" s="57" t="n"/>
    </row>
    <row r="4691" ht="30" customHeight="1">
      <c r="A4691" s="47" t="inlineStr">
        <is>
          <t>Màn hình / chức năng</t>
        </is>
      </c>
      <c r="B4691" s="47" t="inlineStr">
        <is>
          <t>Trích xuất thành tích（成績抽出）</t>
        </is>
      </c>
      <c r="C4691" s="57" t="n"/>
      <c r="D4691" s="47" t="inlineStr">
        <is>
          <t>Đường dẫn</t>
        </is>
      </c>
      <c r="E4691" s="56" t="inlineStr">
        <is>
          <t>Chưa xác minh</t>
        </is>
      </c>
    </row>
    <row r="4692" ht="30" customHeight="1">
      <c r="A4692" s="58" t="inlineStr">
        <is>
          <t>Điều kiện kiểm thử</t>
        </is>
      </c>
      <c r="B4692" s="59" t="n"/>
      <c r="C4692" s="59" t="n"/>
      <c r="D4692" s="59" t="n"/>
      <c r="E4692" s="59" t="n"/>
    </row>
    <row r="4693" ht="30" customHeight="1">
      <c r="A4693" s="47" t="inlineStr">
        <is>
          <t>Cấu hình</t>
        </is>
      </c>
      <c r="B4693" s="56" t="inlineStr">
        <is>
          <t>• Mở Trích xuất thành tích（成績抽出）, tài khoản phụ trách đầu ra (trích xuất, công khai, phiếu điểm).</t>
        </is>
      </c>
      <c r="C4693" s="57" t="n"/>
      <c r="D4693" s="57" t="n"/>
      <c r="E4693" s="57" t="n"/>
    </row>
    <row r="4694" ht="61" customHeight="1">
      <c r="A4694" s="47" t="inlineStr">
        <is>
          <t>Vai trò / quyền</t>
        </is>
      </c>
      <c r="B469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694" s="57" t="n"/>
      <c r="D4694" s="57" t="n"/>
      <c r="E4694" s="57" t="n"/>
    </row>
    <row r="4695" ht="44" customHeight="1">
      <c r="A4695" s="47" t="inlineStr">
        <is>
          <t>Dữ liệu test</t>
        </is>
      </c>
      <c r="B4695" s="56" t="inlineStr">
        <is>
          <t>• Ký hiệu đầu BẬT, ô trống;
• Ký hiệu cuối BẬT, ô trống</t>
        </is>
      </c>
      <c r="C4695" s="57" t="n"/>
      <c r="D4695" s="57" t="n"/>
      <c r="E4695" s="57" t="n"/>
    </row>
    <row r="4696" ht="30" customHeight="1">
      <c r="A4696" s="47" t="inlineStr">
        <is>
          <t>Trigger</t>
        </is>
      </c>
      <c r="B4696" s="56" t="inlineStr">
        <is>
          <t>• Chỉ xem/xuất không tự chạy xét.</t>
        </is>
      </c>
      <c r="C4696" s="57" t="n"/>
      <c r="D4696" s="57" t="n"/>
      <c r="E4696" s="57" t="n"/>
    </row>
    <row r="4697" ht="44" customHeight="1">
      <c r="A4697" s="47" t="inlineStr">
        <is>
          <t>Blocker</t>
        </is>
      </c>
      <c r="B4697" s="56" t="inlineStr">
        <is>
          <t>• G-PREP-UNASSESSED: Chưa có xác minh fixture, đường thực hiện và phép quan sát trên build của từng case chưa đánh giá.</t>
        </is>
      </c>
      <c r="C4697" s="57" t="n"/>
      <c r="D4697" s="57" t="n"/>
      <c r="E4697" s="57" t="n"/>
    </row>
    <row r="4698" ht="30" customHeight="1">
      <c r="A4698" s="58" t="inlineStr">
        <is>
          <t>Thao tác</t>
        </is>
      </c>
      <c r="B4698" s="59" t="n"/>
      <c r="C4698" s="59" t="n"/>
      <c r="D4698" s="59" t="n"/>
      <c r="E4698" s="59" t="n"/>
    </row>
    <row r="4699" ht="30" customHeight="1">
      <c r="A4699" s="47" t="inlineStr">
        <is>
          <t>•</t>
        </is>
      </c>
      <c r="B4699" s="56" t="inlineStr">
        <is>
          <t>Chạy trích xuất với từng biến thể.</t>
        </is>
      </c>
      <c r="C4699" s="57" t="n"/>
      <c r="D4699" s="57" t="n"/>
      <c r="E4699" s="57" t="n"/>
    </row>
    <row r="4700" ht="44" customHeight="1">
      <c r="A4700" s="47" t="inlineStr">
        <is>
          <t>Reset</t>
        </is>
      </c>
      <c r="B4700" s="56" t="inlineStr">
        <is>
          <t>Trước mỗi biến thể, dựng lại điều kiện/dữ liệu đầu của case bằng đường được phép; giữ các reset/fixture độc lập đã nêu trong thủ tục.</t>
        </is>
      </c>
      <c r="C4700" s="57" t="n"/>
      <c r="D4700" s="57" t="n"/>
      <c r="E4700" s="57" t="n"/>
    </row>
    <row r="4701" ht="30" customHeight="1">
      <c r="A4701" s="58" t="inlineStr">
        <is>
          <t>Kết quả mong đợi</t>
        </is>
      </c>
      <c r="B4701" s="59" t="n"/>
      <c r="C4701" s="59" t="n"/>
      <c r="D4701" s="59" t="n"/>
      <c r="E4701" s="59" t="n"/>
    </row>
    <row r="4702" ht="30" customHeight="1">
      <c r="A4702" s="47" t="inlineStr">
        <is>
          <t>•</t>
        </is>
      </c>
      <c r="B4702" s="56" t="inlineStr">
        <is>
          <t>Có lỗi yêu cầu nhập ký hiệu; không chạy trích xuất.</t>
        </is>
      </c>
      <c r="C4702" s="57" t="n"/>
      <c r="D4702" s="57" t="n"/>
      <c r="E4702" s="57" t="n"/>
    </row>
    <row r="4703" ht="44" customHeight="1">
      <c r="A4703" s="47" t="inlineStr">
        <is>
          <t>Giữ nguyên</t>
        </is>
      </c>
      <c r="B4703" s="56" t="inlineStr">
        <is>
          <t>• Giữ điểm, cấu hình và đối tượng không đích theo expected;
• Chỉ thay phần thủ tục yêu cầu, không tự đổi oracle hoặc mở rộng phạm vi.</t>
        </is>
      </c>
      <c r="C4703" s="57" t="n"/>
      <c r="D4703" s="57" t="n"/>
      <c r="E4703" s="57" t="n"/>
    </row>
    <row r="4704" ht="61" customHeight="1">
      <c r="A4704" s="47" t="inlineStr">
        <is>
          <t>Quan sát tại</t>
        </is>
      </c>
      <c r="B4704" s="56" t="inlineStr">
        <is>
          <t>• Dùng trích xuất không lọc để thấy cả ô đối chứng. Trạng thái không có dấu đỏ cần đọc thêm trạng thái lưu;
• Output Excel/PDF dùng file thật.</t>
        </is>
      </c>
      <c r="C4704" s="57" t="n"/>
      <c r="D4704" s="57" t="n"/>
      <c r="E4704" s="57" t="n"/>
    </row>
    <row r="4705" ht="30" customHeight="1">
      <c r="A4705" s="58" t="inlineStr">
        <is>
          <t>Kết quả thực tế</t>
        </is>
      </c>
      <c r="B4705" s="59" t="n"/>
      <c r="C4705" s="59" t="n"/>
      <c r="D4705" s="59" t="n"/>
      <c r="E4705" s="59" t="n"/>
    </row>
    <row r="4706" ht="30" customHeight="1">
      <c r="A4706" s="60" t="inlineStr">
        <is>
          <t>TC-RS-VAL-017 / prefix</t>
        </is>
      </c>
      <c r="B4706" s="36" t="n"/>
      <c r="C4706" s="36" t="n"/>
      <c r="D4706" s="36" t="n"/>
      <c r="E4706" s="36" t="n"/>
    </row>
    <row r="4707" ht="30" customHeight="1">
      <c r="A4707" s="47" t="inlineStr">
        <is>
          <t>Dữ liệu biến thể</t>
        </is>
      </c>
      <c r="B4707" s="56" t="inlineStr">
        <is>
          <t>Ký hiệu trước trống</t>
        </is>
      </c>
      <c r="C4707" s="57" t="n"/>
      <c r="D4707" s="57" t="n"/>
      <c r="E4707" s="57" t="n"/>
    </row>
    <row r="4708" ht="30" customHeight="1">
      <c r="A4708" s="47" t="inlineStr">
        <is>
          <t>Trạng thái</t>
        </is>
      </c>
      <c r="B4708" s="61" t="inlineStr">
        <is>
          <t>Chưa thực hiện</t>
        </is>
      </c>
      <c r="C4708" s="57" t="n"/>
      <c r="D4708" s="57" t="n"/>
      <c r="E4708" s="57" t="n"/>
    </row>
    <row r="4709" ht="30" customHeight="1">
      <c r="A4709" s="62" t="inlineStr">
        <is>
          <t>Kết quả thực tế</t>
        </is>
      </c>
    </row>
    <row r="4710" ht="64" customHeight="1">
      <c r="A4710" s="63" t="inlineStr"/>
      <c r="B4710" s="64" t="n"/>
      <c r="C4710" s="64" t="n"/>
      <c r="D4710" s="64" t="n"/>
      <c r="E4710" s="65" t="n"/>
    </row>
    <row r="4711" ht="30" customHeight="1">
      <c r="A4711" s="62" t="inlineStr">
        <is>
          <t>Ảnh minh chứng</t>
        </is>
      </c>
    </row>
    <row r="4712" ht="90" customHeight="1">
      <c r="A4712" s="63" t="inlineStr"/>
      <c r="B4712" s="64" t="n"/>
      <c r="C4712" s="64" t="n"/>
      <c r="D4712" s="64" t="n"/>
      <c r="E4712" s="65" t="n"/>
    </row>
    <row r="4713" ht="12" customHeight="1">
      <c r="A4713" s="66" t="inlineStr"/>
    </row>
    <row r="4714" ht="30" customHeight="1">
      <c r="A4714" s="60" t="inlineStr">
        <is>
          <t>TC-RS-VAL-017 / suffix</t>
        </is>
      </c>
      <c r="B4714" s="36" t="n"/>
      <c r="C4714" s="36" t="n"/>
      <c r="D4714" s="36" t="n"/>
      <c r="E4714" s="36" t="n"/>
    </row>
    <row r="4715" ht="30" customHeight="1">
      <c r="A4715" s="47" t="inlineStr">
        <is>
          <t>Dữ liệu biến thể</t>
        </is>
      </c>
      <c r="B4715" s="56" t="inlineStr">
        <is>
          <t>Ký hiệu sau trống</t>
        </is>
      </c>
      <c r="C4715" s="57" t="n"/>
      <c r="D4715" s="57" t="n"/>
      <c r="E4715" s="57" t="n"/>
    </row>
    <row r="4716" ht="30" customHeight="1">
      <c r="A4716" s="47" t="inlineStr">
        <is>
          <t>Trạng thái</t>
        </is>
      </c>
      <c r="B4716" s="61" t="inlineStr">
        <is>
          <t>Chưa thực hiện</t>
        </is>
      </c>
      <c r="C4716" s="57" t="n"/>
      <c r="D4716" s="57" t="n"/>
      <c r="E4716" s="57" t="n"/>
    </row>
    <row r="4717" ht="30" customHeight="1">
      <c r="A4717" s="62" t="inlineStr">
        <is>
          <t>Kết quả thực tế</t>
        </is>
      </c>
    </row>
    <row r="4718" ht="64" customHeight="1">
      <c r="A4718" s="63" t="inlineStr"/>
      <c r="B4718" s="64" t="n"/>
      <c r="C4718" s="64" t="n"/>
      <c r="D4718" s="64" t="n"/>
      <c r="E4718" s="65" t="n"/>
    </row>
    <row r="4719" ht="30" customHeight="1">
      <c r="A4719" s="62" t="inlineStr">
        <is>
          <t>Ảnh minh chứng</t>
        </is>
      </c>
    </row>
    <row r="4720" ht="90" customHeight="1">
      <c r="A4720" s="63" t="inlineStr"/>
      <c r="B4720" s="64" t="n"/>
      <c r="C4720" s="64" t="n"/>
      <c r="D4720" s="64" t="n"/>
      <c r="E4720" s="65" t="n"/>
    </row>
    <row r="4721" ht="12" customHeight="1">
      <c r="A4721" s="66" t="inlineStr"/>
    </row>
    <row r="4722" ht="20" customHeight="1">
      <c r="A4722" s="66" t="inlineStr"/>
    </row>
    <row r="4723" ht="30" customHeight="1">
      <c r="A4723" s="46" t="inlineStr">
        <is>
          <t>TC-RS-UI-020 — Trích xuất: vị trí và nhãn tùy chọn đỏ</t>
        </is>
      </c>
      <c r="B4723" s="23" t="n"/>
      <c r="C4723" s="23" t="n"/>
      <c r="D4723" s="23" t="n"/>
      <c r="E4723" s="23" t="n"/>
    </row>
    <row r="4724" ht="30" customHeight="1">
      <c r="A4724" s="47" t="inlineStr">
        <is>
          <t>Trạng thái</t>
        </is>
      </c>
      <c r="B4724" s="61" t="inlineStr">
        <is>
          <t>Chưa thực hiện</t>
        </is>
      </c>
      <c r="C4724" s="57" t="n"/>
      <c r="D4724" s="57" t="n"/>
      <c r="E4724" s="57" t="n"/>
    </row>
    <row r="4725" ht="30" customHeight="1">
      <c r="A4725" s="47" t="inlineStr">
        <is>
          <t>Màn hình / chức năng</t>
        </is>
      </c>
      <c r="B4725" s="47" t="inlineStr">
        <is>
          <t>Trích xuất thành tích（成績抽出）</t>
        </is>
      </c>
      <c r="C4725" s="57" t="n"/>
      <c r="D4725" s="47" t="inlineStr">
        <is>
          <t>Đường dẫn</t>
        </is>
      </c>
      <c r="E4725" s="56" t="inlineStr">
        <is>
          <t>Chưa xác minh</t>
        </is>
      </c>
    </row>
    <row r="4726" ht="30" customHeight="1">
      <c r="A4726" s="58" t="inlineStr">
        <is>
          <t>Điều kiện kiểm thử</t>
        </is>
      </c>
      <c r="B4726" s="59" t="n"/>
      <c r="C4726" s="59" t="n"/>
      <c r="D4726" s="59" t="n"/>
      <c r="E4726" s="59" t="n"/>
    </row>
    <row r="4727" ht="44" customHeight="1">
      <c r="A4727" s="47" t="inlineStr">
        <is>
          <t>Cấu hình</t>
        </is>
      </c>
      <c r="B4727" s="56" t="inlineStr">
        <is>
          <t>• Tài khoản phụ trách đầu ra (trích xuất, công khai, phiếu điểm);
• Mục số nguyên (M=100) có quy tắc.</t>
        </is>
      </c>
      <c r="C4727" s="57" t="n"/>
      <c r="D4727" s="57" t="n"/>
      <c r="E4727" s="57" t="n"/>
    </row>
    <row r="4728" ht="61" customHeight="1">
      <c r="A4728" s="47" t="inlineStr">
        <is>
          <t>Vai trò / quyền</t>
        </is>
      </c>
      <c r="B472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728" s="57" t="n"/>
      <c r="D4728" s="57" t="n"/>
      <c r="E4728" s="57" t="n"/>
    </row>
    <row r="4729" ht="44" customHeight="1">
      <c r="A4729" s="47" t="inlineStr">
        <is>
          <t>Dữ liệu test</t>
        </is>
      </c>
      <c r="B4729" s="56" t="inlineStr">
        <is>
          <t>• Mục số nguyên (M=100);
• Cấu hình trích xuất: lọc, ký hiệu “*” phía trước, tô màu</t>
        </is>
      </c>
      <c r="C4729" s="57" t="n"/>
      <c r="D4729" s="57" t="n"/>
      <c r="E4729" s="57" t="n"/>
    </row>
    <row r="4730" ht="30" customHeight="1">
      <c r="A4730" s="47" t="inlineStr">
        <is>
          <t>Trigger</t>
        </is>
      </c>
      <c r="B4730" s="56" t="inlineStr">
        <is>
          <t>• Chỉ xem/xuất không tự chạy xét.</t>
        </is>
      </c>
      <c r="C4730" s="57" t="n"/>
      <c r="D4730" s="57" t="n"/>
      <c r="E4730" s="57" t="n"/>
    </row>
    <row r="4731" ht="44" customHeight="1">
      <c r="A4731" s="47" t="inlineStr">
        <is>
          <t>Blocker</t>
        </is>
      </c>
      <c r="B4731" s="56" t="inlineStr">
        <is>
          <t>• G-PREP-UNASSESSED: Chưa có xác minh fixture, đường thực hiện và phép quan sát trên build của từng case chưa đánh giá.</t>
        </is>
      </c>
      <c r="C4731" s="57" t="n"/>
      <c r="D4731" s="57" t="n"/>
      <c r="E4731" s="57" t="n"/>
    </row>
    <row r="4732" ht="30" customHeight="1">
      <c r="A4732" s="58" t="inlineStr">
        <is>
          <t>Thao tác</t>
        </is>
      </c>
      <c r="B4732" s="59" t="n"/>
      <c r="C4732" s="59" t="n"/>
      <c r="D4732" s="59" t="n"/>
      <c r="E4732" s="59" t="n"/>
    </row>
    <row r="4733" ht="44" customHeight="1">
      <c r="A4733" s="47" t="inlineStr">
        <is>
          <t>Step 1</t>
        </is>
      </c>
      <c r="B4733" s="56" t="inlineStr">
        <is>
          <t>Mở Trích xuất thành tích（成績抽出）→ Thiết lập mục hiển thị（表示項目設定）→ chi tiết mục Điểm đánh giá（評点） kỳ Cuối kỳ học kỳ 1（1学期期末）.</t>
        </is>
      </c>
      <c r="C4733" s="57" t="n"/>
      <c r="D4733" s="57" t="n"/>
      <c r="E4733" s="57" t="n"/>
    </row>
    <row r="4734" ht="30" customHeight="1">
      <c r="A4734" s="47" t="inlineStr">
        <is>
          <t>Step 2</t>
        </is>
      </c>
      <c r="B4734" s="56" t="inlineStr">
        <is>
          <t>Ghi lại vị trí và nhãn các tùy chọn đỏ.</t>
        </is>
      </c>
      <c r="C4734" s="57" t="n"/>
      <c r="D4734" s="57" t="n"/>
      <c r="E4734" s="57" t="n"/>
    </row>
    <row r="4735" ht="44" customHeight="1">
      <c r="A4735" s="47" t="inlineStr">
        <is>
          <t>Reset</t>
        </is>
      </c>
      <c r="B4735" s="56" t="inlineStr">
        <is>
          <t>Trước mỗi biến thể, dựng lại điều kiện/dữ liệu đầu của case bằng đường được phép; giữ các reset/fixture độc lập đã nêu trong thủ tục.</t>
        </is>
      </c>
      <c r="C4735" s="57" t="n"/>
      <c r="D4735" s="57" t="n"/>
      <c r="E4735" s="57" t="n"/>
    </row>
    <row r="4736" ht="30" customHeight="1">
      <c r="A4736" s="58" t="inlineStr">
        <is>
          <t>Kết quả mong đợi</t>
        </is>
      </c>
      <c r="B4736" s="59" t="n"/>
      <c r="C4736" s="59" t="n"/>
      <c r="D4736" s="59" t="n"/>
      <c r="E4736" s="59" t="n"/>
    </row>
    <row r="4737" ht="61" customHeight="1">
      <c r="A4737" s="47" t="inlineStr">
        <is>
          <t>•</t>
        </is>
      </c>
      <c r="B4737" s="56" t="inlineStr">
        <is>
          <t>Theo specification v2 mục 9.1, có bốn tùy chọn độc lập: lọc học sinh có điểm đỏ, ký hiệu phía trước, ký hiệu phía sau và tô màu ô; màu chỉ chọn từ bảng màu hiện có. Vị trí và nhãn cụ thể trên UI theo Figma chỉ là tham khảo, không thay đổi oracle nghiệp vụ.</t>
        </is>
      </c>
      <c r="C4737" s="57" t="n"/>
      <c r="D4737" s="57" t="n"/>
      <c r="E4737" s="57" t="n"/>
    </row>
    <row r="4738" ht="44" customHeight="1">
      <c r="A4738" s="47" t="inlineStr">
        <is>
          <t>•</t>
        </is>
      </c>
      <c r="B4738" s="56" t="inlineStr">
        <is>
          <t>Không đánh giá nhãn/vị trí cụ thể của Figma như một oracle riêng; chỉ kiểm tra đủ bốn tùy chọn nghiệp vụ và việc lưu/mở lại đúng giá trị.</t>
        </is>
      </c>
      <c r="C4738" s="57" t="n"/>
      <c r="D4738" s="57" t="n"/>
      <c r="E4738" s="57" t="n"/>
    </row>
    <row r="4739" ht="44" customHeight="1">
      <c r="A4739" s="47" t="inlineStr">
        <is>
          <t>Giữ nguyên</t>
        </is>
      </c>
      <c r="B4739" s="56" t="inlineStr">
        <is>
          <t>• Giữ điểm, cấu hình và đối tượng không đích theo expected;
• Chỉ thay phần thủ tục yêu cầu, không tự đổi oracle hoặc mở rộng phạm vi.</t>
        </is>
      </c>
      <c r="C4739" s="57" t="n"/>
      <c r="D4739" s="57" t="n"/>
      <c r="E4739" s="57" t="n"/>
    </row>
    <row r="4740" ht="61" customHeight="1">
      <c r="A4740" s="47" t="inlineStr">
        <is>
          <t>Quan sát tại</t>
        </is>
      </c>
      <c r="B4740" s="56" t="inlineStr">
        <is>
          <t>• Dùng trích xuất không lọc để thấy cả ô đối chứng. Trạng thái không có dấu đỏ cần đọc thêm trạng thái lưu;
• Output Excel/PDF dùng file thật.</t>
        </is>
      </c>
      <c r="C4740" s="57" t="n"/>
      <c r="D4740" s="57" t="n"/>
      <c r="E4740" s="57" t="n"/>
    </row>
    <row r="4741" ht="30" customHeight="1">
      <c r="A4741" s="58" t="inlineStr">
        <is>
          <t>Kết quả thực tế</t>
        </is>
      </c>
      <c r="B4741" s="59" t="n"/>
      <c r="C4741" s="59" t="n"/>
      <c r="D4741" s="59" t="n"/>
      <c r="E4741" s="59" t="n"/>
    </row>
    <row r="4742" ht="30" customHeight="1">
      <c r="A4742" s="47" t="inlineStr">
        <is>
          <t>Dữ liệu biến thể</t>
        </is>
      </c>
      <c r="B4742" s="56" t="inlineStr">
        <is>
          <t>Toàn bộ thủ tục theo đúng thứ tự; các đối chứng cùng fixture được kiểm trong cùng lượt, không bỏ bước</t>
        </is>
      </c>
      <c r="C4742" s="57" t="n"/>
      <c r="D4742" s="57" t="n"/>
      <c r="E4742" s="57" t="n"/>
    </row>
    <row r="4743" ht="30" customHeight="1">
      <c r="A4743" s="62" t="inlineStr">
        <is>
          <t>Kết quả thực tế</t>
        </is>
      </c>
    </row>
    <row r="4744" ht="64" customHeight="1">
      <c r="A4744" s="63" t="inlineStr"/>
      <c r="B4744" s="64" t="n"/>
      <c r="C4744" s="64" t="n"/>
      <c r="D4744" s="64" t="n"/>
      <c r="E4744" s="65" t="n"/>
    </row>
    <row r="4745" ht="30" customHeight="1">
      <c r="A4745" s="62" t="inlineStr">
        <is>
          <t>Ảnh minh chứng</t>
        </is>
      </c>
    </row>
    <row r="4746" ht="90" customHeight="1">
      <c r="A4746" s="63" t="inlineStr"/>
      <c r="B4746" s="64" t="n"/>
      <c r="C4746" s="64" t="n"/>
      <c r="D4746" s="64" t="n"/>
      <c r="E4746" s="65" t="n"/>
    </row>
    <row r="4747" ht="12" customHeight="1">
      <c r="A4747" s="66" t="inlineStr"/>
    </row>
    <row r="4748" ht="20" customHeight="1">
      <c r="A4748" s="66" t="inlineStr"/>
    </row>
    <row r="4749" ht="30" customHeight="1">
      <c r="A4749" s="46" t="inlineStr">
        <is>
          <t>TC-RS-UI-021 — Trích xuất: kết quả 0 học sinh và hiển thị ô đỏ số thập phân</t>
        </is>
      </c>
      <c r="B4749" s="23" t="n"/>
      <c r="C4749" s="23" t="n"/>
      <c r="D4749" s="23" t="n"/>
      <c r="E4749" s="23" t="n"/>
    </row>
    <row r="4750" ht="30" customHeight="1">
      <c r="A4750" s="47" t="inlineStr">
        <is>
          <t>Trạng thái</t>
        </is>
      </c>
      <c r="B4750" s="56">
        <f>IF(0&gt;0,"Không đạt",IF(0=2,"Đạt",IF(SUMPRODUCT(--EXACT('Testcases'!B4769:B4777,"Không thực hiện"))=2,"Không thực hiện",IF(SUMPRODUCT(--EXACT('Testcases'!B4769:B4777,"Bị chặn"))&gt;0,"Bị chặn",IF(SUMPRODUCT(--EXACT('Testcases'!B4769:B4777,"Chưa thực hiện"))=2,"Chưa thực hiện","Chưa đủ kết luận")))))</f>
        <v/>
      </c>
      <c r="C4750" s="57" t="n"/>
      <c r="D4750" s="57" t="n"/>
      <c r="E4750" s="57" t="n"/>
    </row>
    <row r="4751" ht="30" customHeight="1">
      <c r="A4751" s="47" t="inlineStr">
        <is>
          <t>Màn hình / chức năng</t>
        </is>
      </c>
      <c r="B4751" s="47" t="inlineStr">
        <is>
          <t>Trích xuất thành tích（成績抽出）</t>
        </is>
      </c>
      <c r="C4751" s="57" t="n"/>
      <c r="D4751" s="47" t="inlineStr">
        <is>
          <t>Đường dẫn</t>
        </is>
      </c>
      <c r="E4751" s="56" t="inlineStr">
        <is>
          <t>Chưa xác minh</t>
        </is>
      </c>
    </row>
    <row r="4752" ht="30" customHeight="1">
      <c r="A4752" s="58" t="inlineStr">
        <is>
          <t>Điều kiện kiểm thử</t>
        </is>
      </c>
      <c r="B4752" s="59" t="n"/>
      <c r="C4752" s="59" t="n"/>
      <c r="D4752" s="59" t="n"/>
      <c r="E4752" s="59" t="n"/>
    </row>
    <row r="4753" ht="30" customHeight="1">
      <c r="A4753" s="47" t="inlineStr">
        <is>
          <t>Cấu hình</t>
        </is>
      </c>
      <c r="B4753" s="56" t="inlineStr">
        <is>
          <t>• Cấu hình trích xuất: lọc, ký hiệu “*” phía trước, tô màu.</t>
        </is>
      </c>
      <c r="C4753" s="57" t="n"/>
      <c r="D4753" s="57" t="n"/>
      <c r="E4753" s="57" t="n"/>
    </row>
    <row r="4754" ht="61" customHeight="1">
      <c r="A4754" s="47" t="inlineStr">
        <is>
          <t>Vai trò / quyền</t>
        </is>
      </c>
      <c r="B475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754" s="57" t="n"/>
      <c r="D4754" s="57" t="n"/>
      <c r="E4754" s="57" t="n"/>
    </row>
    <row r="4755" ht="61" customHeight="1">
      <c r="A4755" s="47" t="inlineStr">
        <is>
          <t>Dữ liệu test</t>
        </is>
      </c>
      <c r="B4755" s="56" t="inlineStr">
        <is>
          <t>• Cấu hình trích xuất: lọc, ký hiệu “*” phía trước, tô màu;
• (A) Không ô đỏ nào;
• (B) học sinh điểm 23.9 Đỏ (mục thập phân)</t>
        </is>
      </c>
      <c r="C4755" s="57" t="n"/>
      <c r="D4755" s="57" t="n"/>
      <c r="E4755" s="57" t="n"/>
    </row>
    <row r="4756" ht="30" customHeight="1">
      <c r="A4756" s="47" t="inlineStr">
        <is>
          <t>Trigger</t>
        </is>
      </c>
      <c r="B4756" s="56" t="inlineStr">
        <is>
          <t>• Chỉ xem/xuất không tự chạy xét.</t>
        </is>
      </c>
      <c r="C4756" s="57" t="n"/>
      <c r="D4756" s="57" t="n"/>
      <c r="E4756" s="57" t="n"/>
    </row>
    <row r="4757" ht="44" customHeight="1">
      <c r="A4757" s="47" t="inlineStr">
        <is>
          <t>Blocker</t>
        </is>
      </c>
      <c r="B4757" s="56" t="inlineStr">
        <is>
          <t>• G-PREP-UNASSESSED: Chưa có xác minh fixture, đường thực hiện và phép quan sát trên build của từng case chưa đánh giá.</t>
        </is>
      </c>
      <c r="C4757" s="57" t="n"/>
      <c r="D4757" s="57" t="n"/>
      <c r="E4757" s="57" t="n"/>
    </row>
    <row r="4758" ht="30" customHeight="1">
      <c r="A4758" s="58" t="inlineStr">
        <is>
          <t>Thao tác</t>
        </is>
      </c>
      <c r="B4758" s="59" t="n"/>
      <c r="C4758" s="59" t="n"/>
      <c r="D4758" s="59" t="n"/>
      <c r="E4758" s="59" t="n"/>
    </row>
    <row r="4759" ht="30" customHeight="1">
      <c r="A4759" s="47" t="inlineStr">
        <is>
          <t>•</t>
        </is>
      </c>
      <c r="B4759" s="56" t="inlineStr">
        <is>
          <t>Chạy trích xuất cho (a), (b).</t>
        </is>
      </c>
      <c r="C4759" s="57" t="n"/>
      <c r="D4759" s="57" t="n"/>
      <c r="E4759" s="57" t="n"/>
    </row>
    <row r="4760" ht="44" customHeight="1">
      <c r="A4760" s="47" t="inlineStr">
        <is>
          <t>Reset</t>
        </is>
      </c>
      <c r="B4760" s="56" t="inlineStr">
        <is>
          <t>Trước mỗi biến thể, dựng lại điều kiện/dữ liệu đầu của case bằng đường được phép; giữ các reset/fixture độc lập đã nêu trong thủ tục.</t>
        </is>
      </c>
      <c r="C4760" s="57" t="n"/>
      <c r="D4760" s="57" t="n"/>
      <c r="E4760" s="57" t="n"/>
    </row>
    <row r="4761" ht="30" customHeight="1">
      <c r="A4761" s="58" t="inlineStr">
        <is>
          <t>Kết quả mong đợi</t>
        </is>
      </c>
      <c r="B4761" s="59" t="n"/>
      <c r="C4761" s="59" t="n"/>
      <c r="D4761" s="59" t="n"/>
      <c r="E4761" s="59" t="n"/>
    </row>
    <row r="4762" ht="30" customHeight="1">
      <c r="A4762" s="47" t="inlineStr">
        <is>
          <t>•</t>
        </is>
      </c>
      <c r="B4762" s="56" t="inlineStr">
        <is>
          <t>(A) Không lỗi; hiện thông báo không có học sinh khớp.</t>
        </is>
      </c>
      <c r="C4762" s="57" t="n"/>
      <c r="D4762" s="57" t="n"/>
      <c r="E4762" s="57" t="n"/>
    </row>
    <row r="4763" ht="30" customHeight="1">
      <c r="A4763" s="47" t="inlineStr">
        <is>
          <t>•</t>
        </is>
      </c>
      <c r="B4763" s="56" t="inlineStr">
        <is>
          <t>(B) Ô hiện [*23.9] (giữ nguyên giá trị điểm).</t>
        </is>
      </c>
      <c r="C4763" s="57" t="n"/>
      <c r="D4763" s="57" t="n"/>
      <c r="E4763" s="57" t="n"/>
    </row>
    <row r="4764" ht="44" customHeight="1">
      <c r="A4764" s="47" t="inlineStr">
        <is>
          <t>Giữ nguyên</t>
        </is>
      </c>
      <c r="B4764" s="56" t="inlineStr">
        <is>
          <t>• Giữ điểm, cấu hình và đối tượng không đích theo expected;
• Chỉ thay phần thủ tục yêu cầu, không tự đổi oracle hoặc mở rộng phạm vi.</t>
        </is>
      </c>
      <c r="C4764" s="57" t="n"/>
      <c r="D4764" s="57" t="n"/>
      <c r="E4764" s="57" t="n"/>
    </row>
    <row r="4765" ht="61" customHeight="1">
      <c r="A4765" s="47" t="inlineStr">
        <is>
          <t>Quan sát tại</t>
        </is>
      </c>
      <c r="B4765" s="56" t="inlineStr">
        <is>
          <t>• Dùng trích xuất không lọc để thấy cả ô đối chứng. Trạng thái không có dấu đỏ cần đọc thêm trạng thái lưu;
• Output Excel/PDF dùng file thật.</t>
        </is>
      </c>
      <c r="C4765" s="57" t="n"/>
      <c r="D4765" s="57" t="n"/>
      <c r="E4765" s="57" t="n"/>
    </row>
    <row r="4766" ht="30" customHeight="1">
      <c r="A4766" s="58" t="inlineStr">
        <is>
          <t>Kết quả thực tế</t>
        </is>
      </c>
      <c r="B4766" s="59" t="n"/>
      <c r="C4766" s="59" t="n"/>
      <c r="D4766" s="59" t="n"/>
      <c r="E4766" s="59" t="n"/>
    </row>
    <row r="4767" ht="30" customHeight="1">
      <c r="A4767" s="60" t="inlineStr">
        <is>
          <t>TC-RS-UI-021 / empty</t>
        </is>
      </c>
      <c r="B4767" s="36" t="n"/>
      <c r="C4767" s="36" t="n"/>
      <c r="D4767" s="36" t="n"/>
      <c r="E4767" s="36" t="n"/>
    </row>
    <row r="4768" ht="30" customHeight="1">
      <c r="A4768" s="47" t="inlineStr">
        <is>
          <t>Dữ liệu biến thể</t>
        </is>
      </c>
      <c r="B4768" s="56" t="inlineStr">
        <is>
          <t>Fixture a không ô đỏ</t>
        </is>
      </c>
      <c r="C4768" s="57" t="n"/>
      <c r="D4768" s="57" t="n"/>
      <c r="E4768" s="57" t="n"/>
    </row>
    <row r="4769" ht="30" customHeight="1">
      <c r="A4769" s="47" t="inlineStr">
        <is>
          <t>Trạng thái</t>
        </is>
      </c>
      <c r="B4769" s="61" t="inlineStr">
        <is>
          <t>Chưa thực hiện</t>
        </is>
      </c>
      <c r="C4769" s="57" t="n"/>
      <c r="D4769" s="57" t="n"/>
      <c r="E4769" s="57" t="n"/>
    </row>
    <row r="4770" ht="30" customHeight="1">
      <c r="A4770" s="62" t="inlineStr">
        <is>
          <t>Kết quả thực tế</t>
        </is>
      </c>
    </row>
    <row r="4771" ht="64" customHeight="1">
      <c r="A4771" s="63" t="inlineStr"/>
      <c r="B4771" s="64" t="n"/>
      <c r="C4771" s="64" t="n"/>
      <c r="D4771" s="64" t="n"/>
      <c r="E4771" s="65" t="n"/>
    </row>
    <row r="4772" ht="30" customHeight="1">
      <c r="A4772" s="62" t="inlineStr">
        <is>
          <t>Ảnh minh chứng</t>
        </is>
      </c>
    </row>
    <row r="4773" ht="90" customHeight="1">
      <c r="A4773" s="63" t="inlineStr"/>
      <c r="B4773" s="64" t="n"/>
      <c r="C4773" s="64" t="n"/>
      <c r="D4773" s="64" t="n"/>
      <c r="E4773" s="65" t="n"/>
    </row>
    <row r="4774" ht="12" customHeight="1">
      <c r="A4774" s="66" t="inlineStr"/>
    </row>
    <row r="4775" ht="30" customHeight="1">
      <c r="A4775" s="60" t="inlineStr">
        <is>
          <t>TC-RS-UI-021 / decimal</t>
        </is>
      </c>
      <c r="B4775" s="36" t="n"/>
      <c r="C4775" s="36" t="n"/>
      <c r="D4775" s="36" t="n"/>
      <c r="E4775" s="36" t="n"/>
    </row>
    <row r="4776" ht="30" customHeight="1">
      <c r="A4776" s="47" t="inlineStr">
        <is>
          <t>Dữ liệu biến thể</t>
        </is>
      </c>
      <c r="B4776" s="56" t="inlineStr">
        <is>
          <t>Fixture b điểm thập phân 23.9</t>
        </is>
      </c>
      <c r="C4776" s="57" t="n"/>
      <c r="D4776" s="57" t="n"/>
      <c r="E4776" s="57" t="n"/>
    </row>
    <row r="4777" ht="30" customHeight="1">
      <c r="A4777" s="47" t="inlineStr">
        <is>
          <t>Trạng thái</t>
        </is>
      </c>
      <c r="B4777" s="61" t="inlineStr">
        <is>
          <t>Chưa thực hiện</t>
        </is>
      </c>
      <c r="C4777" s="57" t="n"/>
      <c r="D4777" s="57" t="n"/>
      <c r="E4777" s="57" t="n"/>
    </row>
    <row r="4778" ht="30" customHeight="1">
      <c r="A4778" s="62" t="inlineStr">
        <is>
          <t>Kết quả thực tế</t>
        </is>
      </c>
    </row>
    <row r="4779" ht="64" customHeight="1">
      <c r="A4779" s="63" t="inlineStr"/>
      <c r="B4779" s="64" t="n"/>
      <c r="C4779" s="64" t="n"/>
      <c r="D4779" s="64" t="n"/>
      <c r="E4779" s="65" t="n"/>
    </row>
    <row r="4780" ht="30" customHeight="1">
      <c r="A4780" s="62" t="inlineStr">
        <is>
          <t>Ảnh minh chứng</t>
        </is>
      </c>
    </row>
    <row r="4781" ht="90" customHeight="1">
      <c r="A4781" s="63" t="inlineStr"/>
      <c r="B4781" s="64" t="n"/>
      <c r="C4781" s="64" t="n"/>
      <c r="D4781" s="64" t="n"/>
      <c r="E4781" s="65" t="n"/>
    </row>
    <row r="4782" ht="12" customHeight="1">
      <c r="A4782" s="66" t="inlineStr"/>
    </row>
    <row r="4783" ht="20" customHeight="1">
      <c r="A4783" s="66" t="inlineStr"/>
    </row>
    <row r="4784" ht="30" customHeight="1">
      <c r="A4784" s="46" t="inlineStr">
        <is>
          <t>TC-RS-ERR-013 — Trích xuất: ô vừa thỏa điều kiện màu khác vừa là ô đỏ</t>
        </is>
      </c>
      <c r="B4784" s="23" t="n"/>
      <c r="C4784" s="23" t="n"/>
      <c r="D4784" s="23" t="n"/>
      <c r="E4784" s="23" t="n"/>
    </row>
    <row r="4785" ht="30" customHeight="1">
      <c r="A4785" s="47" t="inlineStr">
        <is>
          <t>Trạng thái</t>
        </is>
      </c>
      <c r="B4785" s="61" t="inlineStr">
        <is>
          <t>Chưa thực hiện</t>
        </is>
      </c>
      <c r="C4785" s="57" t="n"/>
      <c r="D4785" s="57" t="n"/>
      <c r="E4785" s="57" t="n"/>
    </row>
    <row r="4786" ht="30" customHeight="1">
      <c r="A4786" s="47" t="inlineStr">
        <is>
          <t>Màn hình / chức năng</t>
        </is>
      </c>
      <c r="B4786" s="47" t="inlineStr">
        <is>
          <t>Trích xuất thành tích（成績抽出）</t>
        </is>
      </c>
      <c r="C4786" s="57" t="n"/>
      <c r="D4786" s="47" t="inlineStr">
        <is>
          <t>Đường dẫn</t>
        </is>
      </c>
      <c r="E4786" s="56" t="inlineStr">
        <is>
          <t>Chưa xác minh</t>
        </is>
      </c>
    </row>
    <row r="4787" ht="30" customHeight="1">
      <c r="A4787" s="58" t="inlineStr">
        <is>
          <t>Điều kiện kiểm thử</t>
        </is>
      </c>
      <c r="B4787" s="59" t="n"/>
      <c r="C4787" s="59" t="n"/>
      <c r="D4787" s="59" t="n"/>
      <c r="E4787" s="59" t="n"/>
    </row>
    <row r="4788" ht="30" customHeight="1">
      <c r="A4788" s="47" t="inlineStr">
        <is>
          <t>Cấu hình</t>
        </is>
      </c>
      <c r="B4788" s="56" t="inlineStr">
        <is>
          <t>• Mục có điều kiện Khoảng điểm（点数範囲） 0–30 tô Vàng（黄） và điều kiện đỏ tô Đỏ（赤）, ký hiệu [*].</t>
        </is>
      </c>
      <c r="C4788" s="57" t="n"/>
      <c r="D4788" s="57" t="n"/>
      <c r="E4788" s="57" t="n"/>
    </row>
    <row r="4789" ht="61" customHeight="1">
      <c r="A4789" s="47" t="inlineStr">
        <is>
          <t>Vai trò / quyền</t>
        </is>
      </c>
      <c r="B478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789" s="57" t="n"/>
      <c r="D4789" s="57" t="n"/>
      <c r="E4789" s="57" t="n"/>
    </row>
    <row r="4790" ht="30" customHeight="1">
      <c r="A4790" s="47" t="inlineStr">
        <is>
          <t>Dữ liệu test</t>
        </is>
      </c>
      <c r="B4790" s="56" t="inlineStr">
        <is>
          <t>• Học sinh S01 (điểm 29) (29)</t>
        </is>
      </c>
      <c r="C4790" s="57" t="n"/>
      <c r="D4790" s="57" t="n"/>
      <c r="E4790" s="57" t="n"/>
    </row>
    <row r="4791" ht="30" customHeight="1">
      <c r="A4791" s="47" t="inlineStr">
        <is>
          <t>Trigger</t>
        </is>
      </c>
      <c r="B4791" s="56" t="inlineStr">
        <is>
          <t>• Chỉ xem/xuất không tự chạy xét.</t>
        </is>
      </c>
      <c r="C4791" s="57" t="n"/>
      <c r="D4791" s="57" t="n"/>
      <c r="E4791" s="57" t="n"/>
    </row>
    <row r="4792" ht="95" customHeight="1">
      <c r="A4792" s="47" t="inlineStr">
        <is>
          <t>Blocker</t>
        </is>
      </c>
      <c r="B4792" s="56" t="inlineStr">
        <is>
          <t>• G-ORACLE-TC-RS-ERR-013: Phần kỳ vọng chưa chốt trong bản nguồn: TBD (chưa chốt) cho màu cuối. CONFIRMED phần không tranh chấp: điều kiện Khoảng điểm vẫn giữ nghĩa cũ;
• Màn hình và Excel cho cùng kết quả.
• G-PREP-UNASSESSED: Chưa có xác minh fixture, đường thực hiện và phép quan sát trên build của từng case chưa đánh giá.</t>
        </is>
      </c>
      <c r="C4792" s="57" t="n"/>
      <c r="D4792" s="57" t="n"/>
      <c r="E4792" s="57" t="n"/>
    </row>
    <row r="4793" ht="30" customHeight="1">
      <c r="A4793" s="58" t="inlineStr">
        <is>
          <t>Thao tác</t>
        </is>
      </c>
      <c r="B4793" s="59" t="n"/>
      <c r="C4793" s="59" t="n"/>
      <c r="D4793" s="59" t="n"/>
      <c r="E4793" s="59" t="n"/>
    </row>
    <row r="4794" ht="30" customHeight="1">
      <c r="A4794" s="47" t="inlineStr">
        <is>
          <t>•</t>
        </is>
      </c>
      <c r="B4794" s="56" t="inlineStr">
        <is>
          <t>Chạy trích xuất, xuất Excel.</t>
        </is>
      </c>
      <c r="C4794" s="57" t="n"/>
      <c r="D4794" s="57" t="n"/>
      <c r="E4794" s="57" t="n"/>
    </row>
    <row r="4795" ht="44" customHeight="1">
      <c r="A4795" s="47" t="inlineStr">
        <is>
          <t>Reset</t>
        </is>
      </c>
      <c r="B4795" s="56" t="inlineStr">
        <is>
          <t>Trước mỗi biến thể, dựng lại điều kiện/dữ liệu đầu của case bằng đường được phép; giữ các reset/fixture độc lập đã nêu trong thủ tục.</t>
        </is>
      </c>
      <c r="C4795" s="57" t="n"/>
      <c r="D4795" s="57" t="n"/>
      <c r="E4795" s="57" t="n"/>
    </row>
    <row r="4796" ht="30" customHeight="1">
      <c r="A4796" s="58" t="inlineStr">
        <is>
          <t>Kết quả mong đợi</t>
        </is>
      </c>
      <c r="B4796" s="59" t="n"/>
      <c r="C4796" s="59" t="n"/>
      <c r="D4796" s="59" t="n"/>
      <c r="E4796" s="59" t="n"/>
    </row>
    <row r="4797" ht="44" customHeight="1">
      <c r="A4797" s="47" t="inlineStr">
        <is>
          <t>•</t>
        </is>
      </c>
      <c r="B4797" s="56" t="inlineStr">
        <is>
          <t>TBD (chưa chốt) cho màu cuối. CONFIRMED phần không tranh chấp: điều kiện Khoảng điểm vẫn giữ nghĩa cũ; màn hình và Excel cho cùng kết quả.</t>
        </is>
      </c>
      <c r="C4797" s="57" t="n"/>
      <c r="D4797" s="57" t="n"/>
      <c r="E4797" s="57" t="n"/>
    </row>
    <row r="4798" ht="44" customHeight="1">
      <c r="A4798" s="47" t="inlineStr">
        <is>
          <t>Giữ nguyên</t>
        </is>
      </c>
      <c r="B4798" s="56" t="inlineStr">
        <is>
          <t>• Giữ điểm, cấu hình và đối tượng không đích theo expected;
• Chỉ thay phần thủ tục yêu cầu, không tự đổi oracle hoặc mở rộng phạm vi.</t>
        </is>
      </c>
      <c r="C4798" s="57" t="n"/>
      <c r="D4798" s="57" t="n"/>
      <c r="E4798" s="57" t="n"/>
    </row>
    <row r="4799" ht="61" customHeight="1">
      <c r="A4799" s="47" t="inlineStr">
        <is>
          <t>Quan sát tại</t>
        </is>
      </c>
      <c r="B4799" s="56" t="inlineStr">
        <is>
          <t>• Dùng trích xuất không lọc để thấy cả ô đối chứng. Trạng thái không có dấu đỏ cần đọc thêm trạng thái lưu;
• Output Excel/PDF dùng file thật.</t>
        </is>
      </c>
      <c r="C4799" s="57" t="n"/>
      <c r="D4799" s="57" t="n"/>
      <c r="E4799" s="57" t="n"/>
    </row>
    <row r="4800" ht="30" customHeight="1">
      <c r="A4800" s="58" t="inlineStr">
        <is>
          <t>Kết quả thực tế</t>
        </is>
      </c>
      <c r="B4800" s="59" t="n"/>
      <c r="C4800" s="59" t="n"/>
      <c r="D4800" s="59" t="n"/>
      <c r="E4800" s="59" t="n"/>
    </row>
    <row r="4801" ht="30" customHeight="1">
      <c r="A4801" s="47" t="inlineStr">
        <is>
          <t>Dữ liệu biến thể</t>
        </is>
      </c>
      <c r="B4801" s="56" t="inlineStr">
        <is>
          <t>Toàn bộ thủ tục theo đúng thứ tự; các đối chứng cùng fixture được kiểm trong cùng lượt, không bỏ bước</t>
        </is>
      </c>
      <c r="C4801" s="57" t="n"/>
      <c r="D4801" s="57" t="n"/>
      <c r="E4801" s="57" t="n"/>
    </row>
    <row r="4802" ht="30" customHeight="1">
      <c r="A4802" s="62" t="inlineStr">
        <is>
          <t>Kết quả thực tế</t>
        </is>
      </c>
    </row>
    <row r="4803" ht="64" customHeight="1">
      <c r="A4803" s="63" t="inlineStr"/>
      <c r="B4803" s="64" t="n"/>
      <c r="C4803" s="64" t="n"/>
      <c r="D4803" s="64" t="n"/>
      <c r="E4803" s="65" t="n"/>
    </row>
    <row r="4804" ht="30" customHeight="1">
      <c r="A4804" s="62" t="inlineStr">
        <is>
          <t>Ảnh minh chứng</t>
        </is>
      </c>
    </row>
    <row r="4805" ht="90" customHeight="1">
      <c r="A4805" s="63" t="inlineStr"/>
      <c r="B4805" s="64" t="n"/>
      <c r="C4805" s="64" t="n"/>
      <c r="D4805" s="64" t="n"/>
      <c r="E4805" s="65" t="n"/>
    </row>
    <row r="4806" ht="12" customHeight="1">
      <c r="A4806" s="66" t="inlineStr"/>
    </row>
    <row r="4807" ht="20" customHeight="1">
      <c r="A4807" s="66" t="inlineStr"/>
    </row>
    <row r="4808" ht="30" customHeight="1">
      <c r="A4808" s="46" t="inlineStr">
        <is>
          <t>TC-RS-REG-006 — Trích xuất: mẫu hiện có không cấu hình đỏ cho kết quả như trước</t>
        </is>
      </c>
      <c r="B4808" s="23" t="n"/>
      <c r="C4808" s="23" t="n"/>
      <c r="D4808" s="23" t="n"/>
      <c r="E4808" s="23" t="n"/>
    </row>
    <row r="4809" ht="30" customHeight="1">
      <c r="A4809" s="47" t="inlineStr">
        <is>
          <t>Trạng thái</t>
        </is>
      </c>
      <c r="B4809" s="56">
        <f>IF(0&gt;0,"Không đạt",IF(0=4,"Đạt",IF(SUMPRODUCT(--EXACT('Testcases'!B4829:B4853,"Không thực hiện"))=4,"Không thực hiện",IF(SUMPRODUCT(--EXACT('Testcases'!B4829:B4853,"Bị chặn"))&gt;0,"Bị chặn",IF(SUMPRODUCT(--EXACT('Testcases'!B4829:B4853,"Chưa thực hiện"))=4,"Chưa thực hiện","Chưa đủ kết luận")))))</f>
        <v/>
      </c>
      <c r="C4809" s="57" t="n"/>
      <c r="D4809" s="57" t="n"/>
      <c r="E4809" s="57" t="n"/>
    </row>
    <row r="4810" ht="30" customHeight="1">
      <c r="A4810" s="47" t="inlineStr">
        <is>
          <t>Màn hình / chức năng</t>
        </is>
      </c>
      <c r="B4810" s="47" t="inlineStr">
        <is>
          <t>Trích xuất thành tích（成績抽出）</t>
        </is>
      </c>
      <c r="C4810" s="57" t="n"/>
      <c r="D4810" s="47" t="inlineStr">
        <is>
          <t>Đường dẫn</t>
        </is>
      </c>
      <c r="E4810" s="56" t="inlineStr">
        <is>
          <t>Chưa xác minh</t>
        </is>
      </c>
    </row>
    <row r="4811" ht="30" customHeight="1">
      <c r="A4811" s="58" t="inlineStr">
        <is>
          <t>Điều kiện kiểm thử</t>
        </is>
      </c>
      <c r="B4811" s="59" t="n"/>
      <c r="C4811" s="59" t="n"/>
      <c r="D4811" s="59" t="n"/>
      <c r="E4811" s="59" t="n"/>
    </row>
    <row r="4812" ht="44" customHeight="1">
      <c r="A4812" s="47" t="inlineStr">
        <is>
          <t>Cấu hình</t>
        </is>
      </c>
      <c r="B4812" s="56" t="inlineStr">
        <is>
          <t>• Ba mẫu trích xuất hiện có (có Khoảng điểm（点数範囲） tô màu, có lọc, có ký hiệu). Baseline màn và Excel. Mục có quy tắc “Cố định 30” (dưới 30).</t>
        </is>
      </c>
      <c r="C4812" s="57" t="n"/>
      <c r="D4812" s="57" t="n"/>
      <c r="E4812" s="57" t="n"/>
    </row>
    <row r="4813" ht="61" customHeight="1">
      <c r="A4813" s="47" t="inlineStr">
        <is>
          <t>Vai trò / quyền</t>
        </is>
      </c>
      <c r="B481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813" s="57" t="n"/>
      <c r="D4813" s="57" t="n"/>
      <c r="E4813" s="57" t="n"/>
    </row>
    <row r="4814" ht="44" customHeight="1">
      <c r="A4814" s="47" t="inlineStr">
        <is>
          <t>Dữ liệu test</t>
        </is>
      </c>
      <c r="B4814" s="56" t="inlineStr">
        <is>
          <t>• Quy tắc “Cố định 30” (dưới 30);
• Học sinh S01–S10</t>
        </is>
      </c>
      <c r="C4814" s="57" t="n"/>
      <c r="D4814" s="57" t="n"/>
      <c r="E4814" s="57" t="n"/>
    </row>
    <row r="4815" ht="30" customHeight="1">
      <c r="A4815" s="47" t="inlineStr">
        <is>
          <t>Trigger</t>
        </is>
      </c>
      <c r="B4815" s="56" t="inlineStr">
        <is>
          <t>• Chỉ xem/xuất không tự chạy xét.</t>
        </is>
      </c>
      <c r="C4815" s="57" t="n"/>
      <c r="D4815" s="57" t="n"/>
      <c r="E4815" s="57" t="n"/>
    </row>
    <row r="4816" ht="44" customHeight="1">
      <c r="A4816" s="47" t="inlineStr">
        <is>
          <t>Blocker</t>
        </is>
      </c>
      <c r="B4816" s="56" t="inlineStr">
        <is>
          <t>• G-PREP-UNASSESSED: Chưa có xác minh fixture, đường thực hiện và phép quan sát trên build của từng case chưa đánh giá.</t>
        </is>
      </c>
      <c r="C4816" s="57" t="n"/>
      <c r="D4816" s="57" t="n"/>
      <c r="E4816" s="57" t="n"/>
    </row>
    <row r="4817" ht="30" customHeight="1">
      <c r="A4817" s="58" t="inlineStr">
        <is>
          <t>Thao tác</t>
        </is>
      </c>
      <c r="B4817" s="59" t="n"/>
      <c r="C4817" s="59" t="n"/>
      <c r="D4817" s="59" t="n"/>
      <c r="E4817" s="59" t="n"/>
    </row>
    <row r="4818" ht="30" customHeight="1">
      <c r="A4818" s="47" t="inlineStr">
        <is>
          <t>Step 1</t>
        </is>
      </c>
      <c r="B4818" s="56" t="inlineStr">
        <is>
          <t>Chạy lại ba mẫu, xuất Excel, so với baseline.</t>
        </is>
      </c>
      <c r="C4818" s="57" t="n"/>
      <c r="D4818" s="57" t="n"/>
      <c r="E4818" s="57" t="n"/>
    </row>
    <row r="4819" ht="44" customHeight="1">
      <c r="A4819" s="47" t="inlineStr">
        <is>
          <t>Step 2</t>
        </is>
      </c>
      <c r="B4819" s="56" t="inlineStr">
        <is>
          <t>Mở màn tạo mẫu trích xuất mới, Thiết lập công khai thành tích（成績公開設定） chưa từng lưu hiệu ứng đỏ, và dòng Thiết lập điểm đỏ（赤点設定） của một bảng phiếu điểm mới.</t>
        </is>
      </c>
      <c r="C4819" s="57" t="n"/>
      <c r="D4819" s="57" t="n"/>
      <c r="E4819" s="57" t="n"/>
    </row>
    <row r="4820" ht="44" customHeight="1">
      <c r="A4820" s="47" t="inlineStr">
        <is>
          <t>Reset</t>
        </is>
      </c>
      <c r="B4820" s="56" t="inlineStr">
        <is>
          <t>Trước mỗi biến thể, dựng lại điều kiện/dữ liệu đầu của case bằng đường được phép; giữ các reset/fixture độc lập đã nêu trong thủ tục.</t>
        </is>
      </c>
      <c r="C4820" s="57" t="n"/>
      <c r="D4820" s="57" t="n"/>
      <c r="E4820" s="57" t="n"/>
    </row>
    <row r="4821" ht="30" customHeight="1">
      <c r="A4821" s="58" t="inlineStr">
        <is>
          <t>Kết quả mong đợi</t>
        </is>
      </c>
      <c r="B4821" s="59" t="n"/>
      <c r="C4821" s="59" t="n"/>
      <c r="D4821" s="59" t="n"/>
      <c r="E4821" s="59" t="n"/>
    </row>
    <row r="4822" ht="30" customHeight="1">
      <c r="A4822" s="47" t="inlineStr">
        <is>
          <t>1.</t>
        </is>
      </c>
      <c r="B4822" s="56" t="inlineStr">
        <is>
          <t>Danh sách học sinh, giá trị, ký hiệu, màu và định dạng Excel bằng baseline (mẫu chưa bật tùy chọn đỏ).</t>
        </is>
      </c>
      <c r="C4822" s="57" t="n"/>
      <c r="D4822" s="57" t="n"/>
      <c r="E4822" s="57" t="n"/>
    </row>
    <row r="4823" ht="61" customHeight="1">
      <c r="A4823" s="47" t="inlineStr">
        <is>
          <t>2.</t>
        </is>
      </c>
      <c r="B4823" s="56" t="inlineStr">
        <is>
          <t>(PROPOSED) Trích xuất: lọc đỏ và các hiệu ứng đỏ mặc định TẮT; công khai: chưa chọn hiệu ứng đỏ nào, và khi chưa cấu hình thì màn học sinh vẫn hiển thị như hiện có dù mục có ô Đỏ; phiếu điểm: Nguyên trạng（そのまま表示）.</t>
        </is>
      </c>
      <c r="C4823" s="57" t="n"/>
      <c r="D4823" s="57" t="n"/>
      <c r="E4823" s="57" t="n"/>
    </row>
    <row r="4824" ht="44" customHeight="1">
      <c r="A4824" s="47" t="inlineStr">
        <is>
          <t>Giữ nguyên</t>
        </is>
      </c>
      <c r="B4824" s="56" t="inlineStr">
        <is>
          <t>• Giữ điểm, cấu hình và đối tượng không đích theo expected;
• Chỉ thay phần thủ tục yêu cầu, không tự đổi oracle hoặc mở rộng phạm vi.</t>
        </is>
      </c>
      <c r="C4824" s="57" t="n"/>
      <c r="D4824" s="57" t="n"/>
      <c r="E4824" s="57" t="n"/>
    </row>
    <row r="4825" ht="61" customHeight="1">
      <c r="A4825" s="47" t="inlineStr">
        <is>
          <t>Quan sát tại</t>
        </is>
      </c>
      <c r="B4825" s="56" t="inlineStr">
        <is>
          <t>• Dùng trích xuất không lọc để thấy cả ô đối chứng. Trạng thái không có dấu đỏ cần đọc thêm trạng thái lưu;
• Output Excel/PDF dùng file thật.</t>
        </is>
      </c>
      <c r="C4825" s="57" t="n"/>
      <c r="D4825" s="57" t="n"/>
      <c r="E4825" s="57" t="n"/>
    </row>
    <row r="4826" ht="30" customHeight="1">
      <c r="A4826" s="58" t="inlineStr">
        <is>
          <t>Kết quả thực tế</t>
        </is>
      </c>
      <c r="B4826" s="59" t="n"/>
      <c r="C4826" s="59" t="n"/>
      <c r="D4826" s="59" t="n"/>
      <c r="E4826" s="59" t="n"/>
    </row>
    <row r="4827" ht="30" customHeight="1">
      <c r="A4827" s="60" t="inlineStr">
        <is>
          <t>TC-RS-REG-006 / color</t>
        </is>
      </c>
      <c r="B4827" s="36" t="n"/>
      <c r="C4827" s="36" t="n"/>
      <c r="D4827" s="36" t="n"/>
      <c r="E4827" s="36" t="n"/>
    </row>
    <row r="4828" ht="30" customHeight="1">
      <c r="A4828" s="47" t="inlineStr">
        <is>
          <t>Dữ liệu biến thể</t>
        </is>
      </c>
      <c r="B4828" s="56" t="inlineStr">
        <is>
          <t>Mẫu tô màu</t>
        </is>
      </c>
      <c r="C4828" s="57" t="n"/>
      <c r="D4828" s="57" t="n"/>
      <c r="E4828" s="57" t="n"/>
    </row>
    <row r="4829" ht="30" customHeight="1">
      <c r="A4829" s="47" t="inlineStr">
        <is>
          <t>Trạng thái</t>
        </is>
      </c>
      <c r="B4829" s="61" t="inlineStr">
        <is>
          <t>Chưa thực hiện</t>
        </is>
      </c>
      <c r="C4829" s="57" t="n"/>
      <c r="D4829" s="57" t="n"/>
      <c r="E4829" s="57" t="n"/>
    </row>
    <row r="4830" ht="30" customHeight="1">
      <c r="A4830" s="62" t="inlineStr">
        <is>
          <t>Kết quả thực tế</t>
        </is>
      </c>
    </row>
    <row r="4831" ht="64" customHeight="1">
      <c r="A4831" s="63" t="inlineStr"/>
      <c r="B4831" s="64" t="n"/>
      <c r="C4831" s="64" t="n"/>
      <c r="D4831" s="64" t="n"/>
      <c r="E4831" s="65" t="n"/>
    </row>
    <row r="4832" ht="30" customHeight="1">
      <c r="A4832" s="62" t="inlineStr">
        <is>
          <t>Ảnh minh chứng</t>
        </is>
      </c>
    </row>
    <row r="4833" ht="90" customHeight="1">
      <c r="A4833" s="63" t="inlineStr"/>
      <c r="B4833" s="64" t="n"/>
      <c r="C4833" s="64" t="n"/>
      <c r="D4833" s="64" t="n"/>
      <c r="E4833" s="65" t="n"/>
    </row>
    <row r="4834" ht="12" customHeight="1">
      <c r="A4834" s="66" t="inlineStr"/>
    </row>
    <row r="4835" ht="30" customHeight="1">
      <c r="A4835" s="60" t="inlineStr">
        <is>
          <t>TC-RS-REG-006 / filter</t>
        </is>
      </c>
      <c r="B4835" s="36" t="n"/>
      <c r="C4835" s="36" t="n"/>
      <c r="D4835" s="36" t="n"/>
      <c r="E4835" s="36" t="n"/>
    </row>
    <row r="4836" ht="30" customHeight="1">
      <c r="A4836" s="47" t="inlineStr">
        <is>
          <t>Dữ liệu biến thể</t>
        </is>
      </c>
      <c r="B4836" s="56" t="inlineStr">
        <is>
          <t>Mẫu lọc</t>
        </is>
      </c>
      <c r="C4836" s="57" t="n"/>
      <c r="D4836" s="57" t="n"/>
      <c r="E4836" s="57" t="n"/>
    </row>
    <row r="4837" ht="30" customHeight="1">
      <c r="A4837" s="47" t="inlineStr">
        <is>
          <t>Trạng thái</t>
        </is>
      </c>
      <c r="B4837" s="61" t="inlineStr">
        <is>
          <t>Chưa thực hiện</t>
        </is>
      </c>
      <c r="C4837" s="57" t="n"/>
      <c r="D4837" s="57" t="n"/>
      <c r="E4837" s="57" t="n"/>
    </row>
    <row r="4838" ht="30" customHeight="1">
      <c r="A4838" s="62" t="inlineStr">
        <is>
          <t>Kết quả thực tế</t>
        </is>
      </c>
    </row>
    <row r="4839" ht="64" customHeight="1">
      <c r="A4839" s="63" t="inlineStr"/>
      <c r="B4839" s="64" t="n"/>
      <c r="C4839" s="64" t="n"/>
      <c r="D4839" s="64" t="n"/>
      <c r="E4839" s="65" t="n"/>
    </row>
    <row r="4840" ht="30" customHeight="1">
      <c r="A4840" s="62" t="inlineStr">
        <is>
          <t>Ảnh minh chứng</t>
        </is>
      </c>
    </row>
    <row r="4841" ht="90" customHeight="1">
      <c r="A4841" s="63" t="inlineStr"/>
      <c r="B4841" s="64" t="n"/>
      <c r="C4841" s="64" t="n"/>
      <c r="D4841" s="64" t="n"/>
      <c r="E4841" s="65" t="n"/>
    </row>
    <row r="4842" ht="12" customHeight="1">
      <c r="A4842" s="66" t="inlineStr"/>
    </row>
    <row r="4843" ht="30" customHeight="1">
      <c r="A4843" s="60" t="inlineStr">
        <is>
          <t>TC-RS-REG-006 / symbol</t>
        </is>
      </c>
      <c r="B4843" s="36" t="n"/>
      <c r="C4843" s="36" t="n"/>
      <c r="D4843" s="36" t="n"/>
      <c r="E4843" s="36" t="n"/>
    </row>
    <row r="4844" ht="30" customHeight="1">
      <c r="A4844" s="47" t="inlineStr">
        <is>
          <t>Dữ liệu biến thể</t>
        </is>
      </c>
      <c r="B4844" s="56" t="inlineStr">
        <is>
          <t>Mẫu ký hiệu</t>
        </is>
      </c>
      <c r="C4844" s="57" t="n"/>
      <c r="D4844" s="57" t="n"/>
      <c r="E4844" s="57" t="n"/>
    </row>
    <row r="4845" ht="30" customHeight="1">
      <c r="A4845" s="47" t="inlineStr">
        <is>
          <t>Trạng thái</t>
        </is>
      </c>
      <c r="B4845" s="61" t="inlineStr">
        <is>
          <t>Chưa thực hiện</t>
        </is>
      </c>
      <c r="C4845" s="57" t="n"/>
      <c r="D4845" s="57" t="n"/>
      <c r="E4845" s="57" t="n"/>
    </row>
    <row r="4846" ht="30" customHeight="1">
      <c r="A4846" s="62" t="inlineStr">
        <is>
          <t>Kết quả thực tế</t>
        </is>
      </c>
    </row>
    <row r="4847" ht="64" customHeight="1">
      <c r="A4847" s="63" t="inlineStr"/>
      <c r="B4847" s="64" t="n"/>
      <c r="C4847" s="64" t="n"/>
      <c r="D4847" s="64" t="n"/>
      <c r="E4847" s="65" t="n"/>
    </row>
    <row r="4848" ht="30" customHeight="1">
      <c r="A4848" s="62" t="inlineStr">
        <is>
          <t>Ảnh minh chứng</t>
        </is>
      </c>
    </row>
    <row r="4849" ht="90" customHeight="1">
      <c r="A4849" s="63" t="inlineStr"/>
      <c r="B4849" s="64" t="n"/>
      <c r="C4849" s="64" t="n"/>
      <c r="D4849" s="64" t="n"/>
      <c r="E4849" s="65" t="n"/>
    </row>
    <row r="4850" ht="12" customHeight="1">
      <c r="A4850" s="66" t="inlineStr"/>
    </row>
    <row r="4851" ht="30" customHeight="1">
      <c r="A4851" s="60" t="inlineStr">
        <is>
          <t>TC-RS-REG-006 / defaults</t>
        </is>
      </c>
      <c r="B4851" s="36" t="n"/>
      <c r="C4851" s="36" t="n"/>
      <c r="D4851" s="36" t="n"/>
      <c r="E4851" s="36" t="n"/>
    </row>
    <row r="4852" ht="30" customHeight="1">
      <c r="A4852" s="47" t="inlineStr">
        <is>
          <t>Dữ liệu biến thể</t>
        </is>
      </c>
      <c r="B4852" s="56" t="inlineStr">
        <is>
          <t>Bước 2 các cấu hình mới, phần đề xuất</t>
        </is>
      </c>
      <c r="C4852" s="57" t="n"/>
      <c r="D4852" s="57" t="n"/>
      <c r="E4852" s="57" t="n"/>
    </row>
    <row r="4853" ht="30" customHeight="1">
      <c r="A4853" s="47" t="inlineStr">
        <is>
          <t>Trạng thái</t>
        </is>
      </c>
      <c r="B4853" s="61" t="inlineStr">
        <is>
          <t>Chưa thực hiện</t>
        </is>
      </c>
      <c r="C4853" s="57" t="n"/>
      <c r="D4853" s="57" t="n"/>
      <c r="E4853" s="57" t="n"/>
    </row>
    <row r="4854" ht="30" customHeight="1">
      <c r="A4854" s="62" t="inlineStr">
        <is>
          <t>Kết quả thực tế</t>
        </is>
      </c>
    </row>
    <row r="4855" ht="64" customHeight="1">
      <c r="A4855" s="63" t="inlineStr"/>
      <c r="B4855" s="64" t="n"/>
      <c r="C4855" s="64" t="n"/>
      <c r="D4855" s="64" t="n"/>
      <c r="E4855" s="65" t="n"/>
    </row>
    <row r="4856" ht="30" customHeight="1">
      <c r="A4856" s="62" t="inlineStr">
        <is>
          <t>Ảnh minh chứng</t>
        </is>
      </c>
    </row>
    <row r="4857" ht="90" customHeight="1">
      <c r="A4857" s="63" t="inlineStr"/>
      <c r="B4857" s="64" t="n"/>
      <c r="C4857" s="64" t="n"/>
      <c r="D4857" s="64" t="n"/>
      <c r="E4857" s="65" t="n"/>
    </row>
    <row r="4858" ht="12" customHeight="1">
      <c r="A4858" s="66" t="inlineStr"/>
    </row>
    <row r="4859" ht="20" customHeight="1">
      <c r="A4859" s="66" t="inlineStr"/>
    </row>
    <row r="4860" ht="30" customHeight="1">
      <c r="A4860" s="46" t="inlineStr">
        <is>
          <t>TC-RS-FUNC-026 — Công khai thành tích（成績公開）: ba hiệu ứng đỏ hiển thị đúng ở màn học sinh</t>
        </is>
      </c>
      <c r="B4860" s="23" t="n"/>
      <c r="C4860" s="23" t="n"/>
      <c r="D4860" s="23" t="n"/>
      <c r="E4860" s="23" t="n"/>
    </row>
    <row r="4861" ht="30" customHeight="1">
      <c r="A4861" s="47" t="inlineStr">
        <is>
          <t>Trạng thái</t>
        </is>
      </c>
      <c r="B4861" s="56">
        <f>IF(0&gt;0,"Không đạt",IF(0=4,"Đạt",IF(SUMPRODUCT(--EXACT('Testcases'!B4885:B4909,"Không thực hiện"))=4,"Không thực hiện",IF(SUMPRODUCT(--EXACT('Testcases'!B4885:B4909,"Bị chặn"))&gt;0,"Bị chặn",IF(SUMPRODUCT(--EXACT('Testcases'!B4885:B4909,"Chưa thực hiện"))=4,"Chưa thực hiện","Chưa đủ kết luận")))))</f>
        <v/>
      </c>
      <c r="C4861" s="57" t="n"/>
      <c r="D4861" s="57" t="n"/>
      <c r="E4861" s="57" t="n"/>
    </row>
    <row r="4862" ht="30" customHeight="1">
      <c r="A4862" s="47" t="inlineStr">
        <is>
          <t>Màn hình / chức năng</t>
        </is>
      </c>
      <c r="B4862" s="47" t="inlineStr">
        <is>
          <t>Công khai thành tích（成績公開）</t>
        </is>
      </c>
      <c r="C4862" s="57" t="n"/>
      <c r="D4862" s="47" t="inlineStr">
        <is>
          <t>Đường dẫn</t>
        </is>
      </c>
      <c r="E4862" s="56" t="inlineStr">
        <is>
          <t>Chưa xác minh</t>
        </is>
      </c>
    </row>
    <row r="4863" ht="30" customHeight="1">
      <c r="A4863" s="58" t="inlineStr">
        <is>
          <t>Điều kiện kiểm thử</t>
        </is>
      </c>
      <c r="B4863" s="59" t="n"/>
      <c r="C4863" s="59" t="n"/>
      <c r="D4863" s="59" t="n"/>
      <c r="E4863" s="59" t="n"/>
    </row>
    <row r="4864" ht="30" customHeight="1">
      <c r="A4864" s="47" t="inlineStr">
        <is>
          <t>Cấu hình</t>
        </is>
      </c>
      <c r="B4864" s="56" t="inlineStr">
        <is>
          <t>• S01 Đỏ (29), không phải điểm dự kiến. Lịch công khai đang mở.</t>
        </is>
      </c>
      <c r="C4864" s="57" t="n"/>
      <c r="D4864" s="57" t="n"/>
      <c r="E4864" s="57" t="n"/>
    </row>
    <row r="4865" ht="61" customHeight="1">
      <c r="A4865" s="47" t="inlineStr">
        <is>
          <t>Vai trò / quyền</t>
        </is>
      </c>
      <c r="B486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865" s="57" t="n"/>
      <c r="D4865" s="57" t="n"/>
      <c r="E4865" s="57" t="n"/>
    </row>
    <row r="4866" ht="78" customHeight="1">
      <c r="A4866" s="47" t="inlineStr">
        <is>
          <t>Dữ liệu test</t>
        </is>
      </c>
      <c r="B4866" s="56" t="inlineStr">
        <is>
          <t>• Mục số nguyên (M=100);
• Mục điểm đơn vị (đơn vị U1 có M riêng 40);
• Học sinh S01 (điểm 29), học sinh S06 (điểm dự kiến 24), tài khoản học sinh S01, tài khoản phụ trách đầu ra (trích xuất, công khai, phiếu điểm)</t>
        </is>
      </c>
      <c r="C4866" s="57" t="n"/>
      <c r="D4866" s="57" t="n"/>
      <c r="E4866" s="57" t="n"/>
    </row>
    <row r="4867" ht="30" customHeight="1">
      <c r="A4867" s="47" t="inlineStr">
        <is>
          <t>Trigger</t>
        </is>
      </c>
      <c r="B4867" s="56" t="inlineStr">
        <is>
          <t>• Chỉ xem/xuất không tự chạy xét.</t>
        </is>
      </c>
      <c r="C4867" s="57" t="n"/>
      <c r="D4867" s="57" t="n"/>
      <c r="E4867" s="57" t="n"/>
    </row>
    <row r="4868" ht="44" customHeight="1">
      <c r="A4868" s="47" t="inlineStr">
        <is>
          <t>Blocker</t>
        </is>
      </c>
      <c r="B4868" s="56" t="inlineStr">
        <is>
          <t>• G-PREP-UNASSESSED: Chưa có xác minh fixture, đường thực hiện và phép quan sát trên build của từng case chưa đánh giá.</t>
        </is>
      </c>
      <c r="C4868" s="57" t="n"/>
      <c r="D4868" s="57" t="n"/>
      <c r="E4868" s="57" t="n"/>
    </row>
    <row r="4869" ht="30" customHeight="1">
      <c r="A4869" s="58" t="inlineStr">
        <is>
          <t>Thao tác</t>
        </is>
      </c>
      <c r="B4869" s="59" t="n"/>
      <c r="C4869" s="59" t="n"/>
      <c r="D4869" s="59" t="n"/>
      <c r="E4869" s="59" t="n"/>
    </row>
    <row r="4870" ht="44" customHeight="1">
      <c r="A4870" s="47" t="inlineStr">
        <is>
          <t>Step 1</t>
        </is>
      </c>
      <c r="B4870" s="56" t="inlineStr">
        <is>
          <t>Ở Thiết lập công khai thành tích（成績公開設定）, mục mục số nguyên (M=100), chọn hiệu ứng đỏ Ngoặc（括弧）, lưu. Đăng nhập S01 xem Xác nhận thành tích（成績確認）.</t>
        </is>
      </c>
      <c r="C4870" s="57" t="n"/>
      <c r="D4870" s="57" t="n"/>
      <c r="E4870" s="57" t="n"/>
    </row>
    <row r="4871" ht="30" customHeight="1">
      <c r="A4871" s="47" t="inlineStr">
        <is>
          <t>Step 2</t>
        </is>
      </c>
      <c r="B4871" s="56" t="inlineStr">
        <is>
          <t>Lặp với [*] phía trước.</t>
        </is>
      </c>
      <c r="C4871" s="57" t="n"/>
      <c r="D4871" s="57" t="n"/>
      <c r="E4871" s="57" t="n"/>
    </row>
    <row r="4872" ht="30" customHeight="1">
      <c r="A4872" s="47" t="inlineStr">
        <is>
          <t>Step 3</t>
        </is>
      </c>
      <c r="B4872" s="56" t="inlineStr">
        <is>
          <t>Lặp với [*] phía sau.</t>
        </is>
      </c>
      <c r="C4872" s="57" t="n"/>
      <c r="D4872" s="57" t="n"/>
      <c r="E4872" s="57" t="n"/>
    </row>
    <row r="4873" ht="30" customHeight="1">
      <c r="A4873" s="47" t="inlineStr">
        <is>
          <t>Step 4</t>
        </is>
      </c>
      <c r="B4873" s="56" t="inlineStr">
        <is>
          <t>Mở lại Thiết lập công khai thành tích.</t>
        </is>
      </c>
      <c r="C4873" s="57" t="n"/>
      <c r="D4873" s="57" t="n"/>
      <c r="E4873" s="57" t="n"/>
    </row>
    <row r="4874" ht="44" customHeight="1">
      <c r="A4874" s="47" t="inlineStr">
        <is>
          <t>Step 5</t>
        </is>
      </c>
      <c r="B4874" s="56" t="inlineStr">
        <is>
          <t>Với mục điểm đơn vị mục điểm đơn vị (đơn vị U1 có M riêng 40) (S06 U1 = 25 Đỏ), chọn [*] phía trước, lưu; đăng nhập S06 xem.</t>
        </is>
      </c>
      <c r="C4874" s="57" t="n"/>
      <c r="D4874" s="57" t="n"/>
      <c r="E4874" s="57" t="n"/>
    </row>
    <row r="4875" ht="44" customHeight="1">
      <c r="A4875" s="47" t="inlineStr">
        <is>
          <t>Reset</t>
        </is>
      </c>
      <c r="B4875" s="56" t="inlineStr">
        <is>
          <t>Trước mỗi biến thể, dựng lại điều kiện/dữ liệu đầu của case bằng đường được phép; giữ các reset/fixture độc lập đã nêu trong thủ tục.</t>
        </is>
      </c>
      <c r="C4875" s="57" t="n"/>
      <c r="D4875" s="57" t="n"/>
      <c r="E4875" s="57" t="n"/>
    </row>
    <row r="4876" ht="30" customHeight="1">
      <c r="A4876" s="58" t="inlineStr">
        <is>
          <t>Kết quả mong đợi</t>
        </is>
      </c>
      <c r="B4876" s="59" t="n"/>
      <c r="C4876" s="59" t="n"/>
      <c r="D4876" s="59" t="n"/>
      <c r="E4876" s="59" t="n"/>
    </row>
    <row r="4877" ht="30" customHeight="1">
      <c r="A4877" s="47" t="inlineStr">
        <is>
          <t>•</t>
        </is>
      </c>
      <c r="B4877" s="56" t="inlineStr">
        <is>
          <t>1–3. Lần lượt [(29)], [*29], [29*]. Không có nền màu riêng cho ô đỏ.</t>
        </is>
      </c>
      <c r="C4877" s="57" t="n"/>
      <c r="D4877" s="57" t="n"/>
      <c r="E4877" s="57" t="n"/>
    </row>
    <row r="4878" ht="30" customHeight="1">
      <c r="A4878" s="47" t="inlineStr">
        <is>
          <t>4.</t>
        </is>
      </c>
      <c r="B4878" s="56" t="inlineStr">
        <is>
          <t>Hiệu ứng đã lưu gần nhất ([*] phía sau) được chọn sẵn.</t>
        </is>
      </c>
      <c r="C4878" s="57" t="n"/>
      <c r="D4878" s="57" t="n"/>
      <c r="E4878" s="57" t="n"/>
    </row>
    <row r="4879" ht="30" customHeight="1">
      <c r="A4879" s="47" t="inlineStr">
        <is>
          <t>5.</t>
        </is>
      </c>
      <c r="B4879" s="56" t="inlineStr">
        <is>
          <t>Ô U1 hiện [*25]; ô U2 không ký hiệu.</t>
        </is>
      </c>
      <c r="C4879" s="57" t="n"/>
      <c r="D4879" s="57" t="n"/>
      <c r="E4879" s="57" t="n"/>
    </row>
    <row r="4880" ht="44" customHeight="1">
      <c r="A4880" s="47" t="inlineStr">
        <is>
          <t>Giữ nguyên</t>
        </is>
      </c>
      <c r="B4880" s="56" t="inlineStr">
        <is>
          <t>• Giữ điểm, cấu hình và đối tượng không đích theo expected;
• Chỉ thay phần thủ tục yêu cầu, không tự đổi oracle hoặc mở rộng phạm vi.</t>
        </is>
      </c>
      <c r="C4880" s="57" t="n"/>
      <c r="D4880" s="57" t="n"/>
      <c r="E4880" s="57" t="n"/>
    </row>
    <row r="4881" ht="61" customHeight="1">
      <c r="A4881" s="47" t="inlineStr">
        <is>
          <t>Quan sát tại</t>
        </is>
      </c>
      <c r="B4881" s="56" t="inlineStr">
        <is>
          <t>• Dùng trích xuất không lọc để thấy cả ô đối chứng. Trạng thái không có dấu đỏ cần đọc thêm trạng thái lưu;
• Output Excel/PDF dùng file thật.</t>
        </is>
      </c>
      <c r="C4881" s="57" t="n"/>
      <c r="D4881" s="57" t="n"/>
      <c r="E4881" s="57" t="n"/>
    </row>
    <row r="4882" ht="30" customHeight="1">
      <c r="A4882" s="58" t="inlineStr">
        <is>
          <t>Kết quả thực tế</t>
        </is>
      </c>
      <c r="B4882" s="59" t="n"/>
      <c r="C4882" s="59" t="n"/>
      <c r="D4882" s="59" t="n"/>
      <c r="E4882" s="59" t="n"/>
    </row>
    <row r="4883" ht="30" customHeight="1">
      <c r="A4883" s="60" t="inlineStr">
        <is>
          <t>TC-RS-FUNC-026 / parentheses</t>
        </is>
      </c>
      <c r="B4883" s="36" t="n"/>
      <c r="C4883" s="36" t="n"/>
      <c r="D4883" s="36" t="n"/>
      <c r="E4883" s="36" t="n"/>
    </row>
    <row r="4884" ht="30" customHeight="1">
      <c r="A4884" s="47" t="inlineStr">
        <is>
          <t>Dữ liệu biến thể</t>
        </is>
      </c>
      <c r="B4884" s="56" t="inlineStr">
        <is>
          <t>Hiệu ứng ngoặc</t>
        </is>
      </c>
      <c r="C4884" s="57" t="n"/>
      <c r="D4884" s="57" t="n"/>
      <c r="E4884" s="57" t="n"/>
    </row>
    <row r="4885" ht="30" customHeight="1">
      <c r="A4885" s="47" t="inlineStr">
        <is>
          <t>Trạng thái</t>
        </is>
      </c>
      <c r="B4885" s="61" t="inlineStr">
        <is>
          <t>Chưa thực hiện</t>
        </is>
      </c>
      <c r="C4885" s="57" t="n"/>
      <c r="D4885" s="57" t="n"/>
      <c r="E4885" s="57" t="n"/>
    </row>
    <row r="4886" ht="30" customHeight="1">
      <c r="A4886" s="62" t="inlineStr">
        <is>
          <t>Kết quả thực tế</t>
        </is>
      </c>
    </row>
    <row r="4887" ht="64" customHeight="1">
      <c r="A4887" s="63" t="inlineStr"/>
      <c r="B4887" s="64" t="n"/>
      <c r="C4887" s="64" t="n"/>
      <c r="D4887" s="64" t="n"/>
      <c r="E4887" s="65" t="n"/>
    </row>
    <row r="4888" ht="30" customHeight="1">
      <c r="A4888" s="62" t="inlineStr">
        <is>
          <t>Ảnh minh chứng</t>
        </is>
      </c>
    </row>
    <row r="4889" ht="90" customHeight="1">
      <c r="A4889" s="63" t="inlineStr"/>
      <c r="B4889" s="64" t="n"/>
      <c r="C4889" s="64" t="n"/>
      <c r="D4889" s="64" t="n"/>
      <c r="E4889" s="65" t="n"/>
    </row>
    <row r="4890" ht="12" customHeight="1">
      <c r="A4890" s="66" t="inlineStr"/>
    </row>
    <row r="4891" ht="30" customHeight="1">
      <c r="A4891" s="60" t="inlineStr">
        <is>
          <t>TC-RS-FUNC-026 / prefix</t>
        </is>
      </c>
      <c r="B4891" s="36" t="n"/>
      <c r="C4891" s="36" t="n"/>
      <c r="D4891" s="36" t="n"/>
      <c r="E4891" s="36" t="n"/>
    </row>
    <row r="4892" ht="30" customHeight="1">
      <c r="A4892" s="47" t="inlineStr">
        <is>
          <t>Dữ liệu biến thể</t>
        </is>
      </c>
      <c r="B4892" s="56" t="inlineStr">
        <is>
          <t>Hiệu ứng phía trước</t>
        </is>
      </c>
      <c r="C4892" s="57" t="n"/>
      <c r="D4892" s="57" t="n"/>
      <c r="E4892" s="57" t="n"/>
    </row>
    <row r="4893" ht="30" customHeight="1">
      <c r="A4893" s="47" t="inlineStr">
        <is>
          <t>Trạng thái</t>
        </is>
      </c>
      <c r="B4893" s="61" t="inlineStr">
        <is>
          <t>Chưa thực hiện</t>
        </is>
      </c>
      <c r="C4893" s="57" t="n"/>
      <c r="D4893" s="57" t="n"/>
      <c r="E4893" s="57" t="n"/>
    </row>
    <row r="4894" ht="30" customHeight="1">
      <c r="A4894" s="62" t="inlineStr">
        <is>
          <t>Kết quả thực tế</t>
        </is>
      </c>
    </row>
    <row r="4895" ht="64" customHeight="1">
      <c r="A4895" s="63" t="inlineStr"/>
      <c r="B4895" s="64" t="n"/>
      <c r="C4895" s="64" t="n"/>
      <c r="D4895" s="64" t="n"/>
      <c r="E4895" s="65" t="n"/>
    </row>
    <row r="4896" ht="30" customHeight="1">
      <c r="A4896" s="62" t="inlineStr">
        <is>
          <t>Ảnh minh chứng</t>
        </is>
      </c>
    </row>
    <row r="4897" ht="90" customHeight="1">
      <c r="A4897" s="63" t="inlineStr"/>
      <c r="B4897" s="64" t="n"/>
      <c r="C4897" s="64" t="n"/>
      <c r="D4897" s="64" t="n"/>
      <c r="E4897" s="65" t="n"/>
    </row>
    <row r="4898" ht="12" customHeight="1">
      <c r="A4898" s="66" t="inlineStr"/>
    </row>
    <row r="4899" ht="30" customHeight="1">
      <c r="A4899" s="60" t="inlineStr">
        <is>
          <t>TC-RS-FUNC-026 / suffix-reopen</t>
        </is>
      </c>
      <c r="B4899" s="36" t="n"/>
      <c r="C4899" s="36" t="n"/>
      <c r="D4899" s="36" t="n"/>
      <c r="E4899" s="36" t="n"/>
    </row>
    <row r="4900" ht="30" customHeight="1">
      <c r="A4900" s="47" t="inlineStr">
        <is>
          <t>Dữ liệu biến thể</t>
        </is>
      </c>
      <c r="B4900" s="56" t="inlineStr">
        <is>
          <t>Hiệu ứng phía sau và mở lại</t>
        </is>
      </c>
      <c r="C4900" s="57" t="n"/>
      <c r="D4900" s="57" t="n"/>
      <c r="E4900" s="57" t="n"/>
    </row>
    <row r="4901" ht="30" customHeight="1">
      <c r="A4901" s="47" t="inlineStr">
        <is>
          <t>Trạng thái</t>
        </is>
      </c>
      <c r="B4901" s="61" t="inlineStr">
        <is>
          <t>Chưa thực hiện</t>
        </is>
      </c>
      <c r="C4901" s="57" t="n"/>
      <c r="D4901" s="57" t="n"/>
      <c r="E4901" s="57" t="n"/>
    </row>
    <row r="4902" ht="30" customHeight="1">
      <c r="A4902" s="62" t="inlineStr">
        <is>
          <t>Kết quả thực tế</t>
        </is>
      </c>
    </row>
    <row r="4903" ht="64" customHeight="1">
      <c r="A4903" s="63" t="inlineStr"/>
      <c r="B4903" s="64" t="n"/>
      <c r="C4903" s="64" t="n"/>
      <c r="D4903" s="64" t="n"/>
      <c r="E4903" s="65" t="n"/>
    </row>
    <row r="4904" ht="30" customHeight="1">
      <c r="A4904" s="62" t="inlineStr">
        <is>
          <t>Ảnh minh chứng</t>
        </is>
      </c>
    </row>
    <row r="4905" ht="90" customHeight="1">
      <c r="A4905" s="63" t="inlineStr"/>
      <c r="B4905" s="64" t="n"/>
      <c r="C4905" s="64" t="n"/>
      <c r="D4905" s="64" t="n"/>
      <c r="E4905" s="65" t="n"/>
    </row>
    <row r="4906" ht="12" customHeight="1">
      <c r="A4906" s="66" t="inlineStr"/>
    </row>
    <row r="4907" ht="30" customHeight="1">
      <c r="A4907" s="60" t="inlineStr">
        <is>
          <t>TC-RS-FUNC-026 / unit-prefix</t>
        </is>
      </c>
      <c r="B4907" s="36" t="n"/>
      <c r="C4907" s="36" t="n"/>
      <c r="D4907" s="36" t="n"/>
      <c r="E4907" s="36" t="n"/>
    </row>
    <row r="4908" ht="30" customHeight="1">
      <c r="A4908" s="47" t="inlineStr">
        <is>
          <t>Dữ liệu biến thể</t>
        </is>
      </c>
      <c r="B4908" s="56" t="inlineStr">
        <is>
          <t>Điểm đơn vị với hiệu ứng phía trước</t>
        </is>
      </c>
      <c r="C4908" s="57" t="n"/>
      <c r="D4908" s="57" t="n"/>
      <c r="E4908" s="57" t="n"/>
    </row>
    <row r="4909" ht="30" customHeight="1">
      <c r="A4909" s="47" t="inlineStr">
        <is>
          <t>Trạng thái</t>
        </is>
      </c>
      <c r="B4909" s="61" t="inlineStr">
        <is>
          <t>Chưa thực hiện</t>
        </is>
      </c>
      <c r="C4909" s="57" t="n"/>
      <c r="D4909" s="57" t="n"/>
      <c r="E4909" s="57" t="n"/>
    </row>
    <row r="4910" ht="30" customHeight="1">
      <c r="A4910" s="62" t="inlineStr">
        <is>
          <t>Kết quả thực tế</t>
        </is>
      </c>
    </row>
    <row r="4911" ht="64" customHeight="1">
      <c r="A4911" s="63" t="inlineStr"/>
      <c r="B4911" s="64" t="n"/>
      <c r="C4911" s="64" t="n"/>
      <c r="D4911" s="64" t="n"/>
      <c r="E4911" s="65" t="n"/>
    </row>
    <row r="4912" ht="30" customHeight="1">
      <c r="A4912" s="62" t="inlineStr">
        <is>
          <t>Ảnh minh chứng</t>
        </is>
      </c>
    </row>
    <row r="4913" ht="90" customHeight="1">
      <c r="A4913" s="63" t="inlineStr"/>
      <c r="B4913" s="64" t="n"/>
      <c r="C4913" s="64" t="n"/>
      <c r="D4913" s="64" t="n"/>
      <c r="E4913" s="65" t="n"/>
    </row>
    <row r="4914" ht="12" customHeight="1">
      <c r="A4914" s="66" t="inlineStr"/>
    </row>
    <row r="4915" ht="20" customHeight="1">
      <c r="A4915" s="66" t="inlineStr"/>
    </row>
    <row r="4916" ht="30" customHeight="1">
      <c r="A4916" s="46" t="inlineStr">
        <is>
          <t>TC-RS-FUNC-027 — Công khai: kết hợp hiệu ứng Điểm dự kiến（見込点） và điểm đỏ, khử trùng</t>
        </is>
      </c>
      <c r="B4916" s="23" t="n"/>
      <c r="C4916" s="23" t="n"/>
      <c r="D4916" s="23" t="n"/>
      <c r="E4916" s="23" t="n"/>
    </row>
    <row r="4917" ht="30" customHeight="1">
      <c r="A4917" s="47" t="inlineStr">
        <is>
          <t>Trạng thái</t>
        </is>
      </c>
      <c r="B4917" s="56">
        <f>IF(0&gt;0,"Không đạt",IF(0=6,"Đạt",IF(SUMPRODUCT(--EXACT('Testcases'!B4936:B4976,"Không thực hiện"))=6,"Không thực hiện",IF(SUMPRODUCT(--EXACT('Testcases'!B4936:B4976,"Bị chặn"))&gt;0,"Bị chặn",IF(SUMPRODUCT(--EXACT('Testcases'!B4936:B4976,"Chưa thực hiện"))=6,"Chưa thực hiện","Chưa đủ kết luận")))))</f>
        <v/>
      </c>
      <c r="C4917" s="57" t="n"/>
      <c r="D4917" s="57" t="n"/>
      <c r="E4917" s="57" t="n"/>
    </row>
    <row r="4918" ht="30" customHeight="1">
      <c r="A4918" s="47" t="inlineStr">
        <is>
          <t>Màn hình / chức năng</t>
        </is>
      </c>
      <c r="B4918" s="47" t="inlineStr">
        <is>
          <t>Công khai thành tích（成績公開）</t>
        </is>
      </c>
      <c r="C4918" s="57" t="n"/>
      <c r="D4918" s="47" t="inlineStr">
        <is>
          <t>Đường dẫn</t>
        </is>
      </c>
      <c r="E4918" s="56" t="inlineStr">
        <is>
          <t>Chưa xác minh</t>
        </is>
      </c>
    </row>
    <row r="4919" ht="30" customHeight="1">
      <c r="A4919" s="58" t="inlineStr">
        <is>
          <t>Điều kiện kiểm thử</t>
        </is>
      </c>
      <c r="B4919" s="59" t="n"/>
      <c r="C4919" s="59" t="n"/>
      <c r="D4919" s="59" t="n"/>
      <c r="E4919" s="59" t="n"/>
    </row>
    <row r="4920" ht="30" customHeight="1">
      <c r="A4920" s="47" t="inlineStr">
        <is>
          <t>Cấu hình</t>
        </is>
      </c>
      <c r="B4920" s="56" t="inlineStr">
        <is>
          <t>• S06 = 24, vừa là Điểm dự kiến（見込点） vừa Đỏ.</t>
        </is>
      </c>
      <c r="C4920" s="57" t="n"/>
      <c r="D4920" s="57" t="n"/>
      <c r="E4920" s="57" t="n"/>
    </row>
    <row r="4921" ht="44" customHeight="1">
      <c r="A4921" s="47" t="inlineStr">
        <is>
          <t>Vai trò / quyền</t>
        </is>
      </c>
      <c r="B4921" s="56" t="inlineStr">
        <is>
          <t>• Người có quyền cấu hình công khai;
• Xem bằng tài khoản học sinh S06 đúng trường/năm/lịch mở.</t>
        </is>
      </c>
      <c r="C4921" s="57" t="n"/>
      <c r="D4921" s="57" t="n"/>
      <c r="E4921" s="57" t="n"/>
    </row>
    <row r="4922" ht="44" customHeight="1">
      <c r="A4922" s="47" t="inlineStr">
        <is>
          <t>Dữ liệu test</t>
        </is>
      </c>
      <c r="B4922" s="56" t="inlineStr">
        <is>
          <t>• Học sinh S06 (điểm dự kiến 24), tài khoản học sinh S06;
• Fixture quyền phải map đúng học sinh S06, không dùng tài khoản S01 để xem dữ liệu S06.</t>
        </is>
      </c>
      <c r="C4922" s="57" t="n"/>
      <c r="D4922" s="57" t="n"/>
      <c r="E4922" s="57" t="n"/>
    </row>
    <row r="4923" ht="30" customHeight="1">
      <c r="A4923" s="47" t="inlineStr">
        <is>
          <t>Trigger</t>
        </is>
      </c>
      <c r="B4923" s="56" t="inlineStr">
        <is>
          <t>• Chỉ xem/xuất không tự chạy xét.</t>
        </is>
      </c>
      <c r="C4923" s="57" t="n"/>
      <c r="D4923" s="57" t="n"/>
      <c r="E4923" s="57" t="n"/>
    </row>
    <row r="4924" ht="44" customHeight="1">
      <c r="A4924" s="47" t="inlineStr">
        <is>
          <t>Blocker</t>
        </is>
      </c>
      <c r="B4924" s="56" t="inlineStr">
        <is>
          <t>• G-PREP-UNASSESSED: Chưa có xác minh fixture, đường thực hiện và phép quan sát trên build của từng case chưa đánh giá.</t>
        </is>
      </c>
      <c r="C4924" s="57" t="n"/>
      <c r="D4924" s="57" t="n"/>
      <c r="E4924" s="57" t="n"/>
    </row>
    <row r="4925" ht="30" customHeight="1">
      <c r="A4925" s="58" t="inlineStr">
        <is>
          <t>Thao tác</t>
        </is>
      </c>
      <c r="B4925" s="59" t="n"/>
      <c r="C4925" s="59" t="n"/>
      <c r="D4925" s="59" t="n"/>
      <c r="E4925" s="59" t="n"/>
    </row>
    <row r="4926" ht="30" customHeight="1">
      <c r="A4926" s="47" t="inlineStr">
        <is>
          <t>•</t>
        </is>
      </c>
      <c r="B4926" s="56" t="inlineStr">
        <is>
          <t>Với mỗi dòng của bảng dưới, cấu hình hiệu ứng dự kiến và hiệu ứng đỏ, lưu, xem màn học sinh của S06.</t>
        </is>
      </c>
      <c r="C4926" s="57" t="n"/>
      <c r="D4926" s="57" t="n"/>
      <c r="E4926" s="57" t="n"/>
    </row>
    <row r="4927" ht="44" customHeight="1">
      <c r="A4927" s="47" t="inlineStr">
        <is>
          <t>•</t>
        </is>
      </c>
      <c r="B4927" s="56" t="inlineStr">
        <is>
          <t>(A) Ngoặc + [*] trước; (b) [*] trước + [*] trước; (c) Ngoặc + Ngoặc; (d) [*] trước + [*] sau; (e) không trang trí + Ngoặc; (f) điểm bị ẩn theo thiết lập hiện có（表示しない） + [*] trước.</t>
        </is>
      </c>
      <c r="C4927" s="57" t="n"/>
      <c r="D4927" s="57" t="n"/>
      <c r="E4927" s="57" t="n"/>
    </row>
    <row r="4928" ht="44" customHeight="1">
      <c r="A4928" s="47" t="inlineStr">
        <is>
          <t>Reset</t>
        </is>
      </c>
      <c r="B4928" s="56" t="inlineStr">
        <is>
          <t>Trước mỗi biến thể, dựng lại điều kiện/dữ liệu đầu của case bằng đường được phép; giữ các reset/fixture độc lập đã nêu trong thủ tục.</t>
        </is>
      </c>
      <c r="C4928" s="57" t="n"/>
      <c r="D4928" s="57" t="n"/>
      <c r="E4928" s="57" t="n"/>
    </row>
    <row r="4929" ht="30" customHeight="1">
      <c r="A4929" s="58" t="inlineStr">
        <is>
          <t>Kết quả mong đợi</t>
        </is>
      </c>
      <c r="B4929" s="59" t="n"/>
      <c r="C4929" s="59" t="n"/>
      <c r="D4929" s="59" t="n"/>
      <c r="E4929" s="59" t="n"/>
    </row>
    <row r="4930" ht="44" customHeight="1">
      <c r="A4930" s="47" t="inlineStr">
        <is>
          <t>•</t>
        </is>
      </c>
      <c r="B4930" s="56" t="inlineStr">
        <is>
          <t>(A) [(*24)]; (b) [*24], không phải [**24]; (c) [(24)], không phải [((24))]; (d) [*24*]; (e) [(24)]; (f) vẫn ẩn, không hiện số, không để lại riêng dấu [*].</t>
        </is>
      </c>
      <c r="C4930" s="57" t="n"/>
      <c r="D4930" s="57" t="n"/>
      <c r="E4930" s="57" t="n"/>
    </row>
    <row r="4931" ht="44" customHeight="1">
      <c r="A4931" s="47" t="inlineStr">
        <is>
          <t>Giữ nguyên</t>
        </is>
      </c>
      <c r="B4931" s="56" t="inlineStr">
        <is>
          <t>• Giữ điểm, cấu hình và đối tượng không đích theo expected;
• Chỉ thay phần thủ tục yêu cầu, không tự đổi oracle hoặc mở rộng phạm vi.</t>
        </is>
      </c>
      <c r="C4931" s="57" t="n"/>
      <c r="D4931" s="57" t="n"/>
      <c r="E4931" s="57" t="n"/>
    </row>
    <row r="4932" ht="61" customHeight="1">
      <c r="A4932" s="47" t="inlineStr">
        <is>
          <t>Quan sát tại</t>
        </is>
      </c>
      <c r="B4932" s="56" t="inlineStr">
        <is>
          <t>• Dùng trích xuất không lọc để thấy cả ô đối chứng. Trạng thái không có dấu đỏ cần đọc thêm trạng thái lưu;
• Output Excel/PDF dùng file thật.</t>
        </is>
      </c>
      <c r="C4932" s="57" t="n"/>
      <c r="D4932" s="57" t="n"/>
      <c r="E4932" s="57" t="n"/>
    </row>
    <row r="4933" ht="30" customHeight="1">
      <c r="A4933" s="58" t="inlineStr">
        <is>
          <t>Kết quả thực tế</t>
        </is>
      </c>
      <c r="B4933" s="59" t="n"/>
      <c r="C4933" s="59" t="n"/>
      <c r="D4933" s="59" t="n"/>
      <c r="E4933" s="59" t="n"/>
    </row>
    <row r="4934" ht="30" customHeight="1">
      <c r="A4934" s="60" t="inlineStr">
        <is>
          <t>TC-RS-FUNC-027 / a</t>
        </is>
      </c>
      <c r="B4934" s="36" t="n"/>
      <c r="C4934" s="36" t="n"/>
      <c r="D4934" s="36" t="n"/>
      <c r="E4934" s="36" t="n"/>
    </row>
    <row r="4935" ht="30" customHeight="1">
      <c r="A4935" s="47" t="inlineStr">
        <is>
          <t>Dữ liệu biến thể</t>
        </is>
      </c>
      <c r="B4935" s="56" t="inlineStr">
        <is>
          <t>Thực hiện tổ hợp (a)</t>
        </is>
      </c>
      <c r="C4935" s="57" t="n"/>
      <c r="D4935" s="57" t="n"/>
      <c r="E4935" s="57" t="n"/>
    </row>
    <row r="4936" ht="30" customHeight="1">
      <c r="A4936" s="47" t="inlineStr">
        <is>
          <t>Trạng thái</t>
        </is>
      </c>
      <c r="B4936" s="61" t="inlineStr">
        <is>
          <t>Chưa thực hiện</t>
        </is>
      </c>
      <c r="C4936" s="57" t="n"/>
      <c r="D4936" s="57" t="n"/>
      <c r="E4936" s="57" t="n"/>
    </row>
    <row r="4937" ht="30" customHeight="1">
      <c r="A4937" s="62" t="inlineStr">
        <is>
          <t>Kết quả thực tế</t>
        </is>
      </c>
    </row>
    <row r="4938" ht="64" customHeight="1">
      <c r="A4938" s="63" t="inlineStr"/>
      <c r="B4938" s="64" t="n"/>
      <c r="C4938" s="64" t="n"/>
      <c r="D4938" s="64" t="n"/>
      <c r="E4938" s="65" t="n"/>
    </row>
    <row r="4939" ht="30" customHeight="1">
      <c r="A4939" s="62" t="inlineStr">
        <is>
          <t>Ảnh minh chứng</t>
        </is>
      </c>
    </row>
    <row r="4940" ht="90" customHeight="1">
      <c r="A4940" s="63" t="inlineStr"/>
      <c r="B4940" s="64" t="n"/>
      <c r="C4940" s="64" t="n"/>
      <c r="D4940" s="64" t="n"/>
      <c r="E4940" s="65" t="n"/>
    </row>
    <row r="4941" ht="12" customHeight="1">
      <c r="A4941" s="66" t="inlineStr"/>
    </row>
    <row r="4942" ht="30" customHeight="1">
      <c r="A4942" s="60" t="inlineStr">
        <is>
          <t>TC-RS-FUNC-027 / b</t>
        </is>
      </c>
      <c r="B4942" s="36" t="n"/>
      <c r="C4942" s="36" t="n"/>
      <c r="D4942" s="36" t="n"/>
      <c r="E4942" s="36" t="n"/>
    </row>
    <row r="4943" ht="30" customHeight="1">
      <c r="A4943" s="47" t="inlineStr">
        <is>
          <t>Dữ liệu biến thể</t>
        </is>
      </c>
      <c r="B4943" s="56" t="inlineStr">
        <is>
          <t>Thực hiện tổ hợp (b)</t>
        </is>
      </c>
      <c r="C4943" s="57" t="n"/>
      <c r="D4943" s="57" t="n"/>
      <c r="E4943" s="57" t="n"/>
    </row>
    <row r="4944" ht="30" customHeight="1">
      <c r="A4944" s="47" t="inlineStr">
        <is>
          <t>Trạng thái</t>
        </is>
      </c>
      <c r="B4944" s="61" t="inlineStr">
        <is>
          <t>Chưa thực hiện</t>
        </is>
      </c>
      <c r="C4944" s="57" t="n"/>
      <c r="D4944" s="57" t="n"/>
      <c r="E4944" s="57" t="n"/>
    </row>
    <row r="4945" ht="30" customHeight="1">
      <c r="A4945" s="62" t="inlineStr">
        <is>
          <t>Kết quả thực tế</t>
        </is>
      </c>
    </row>
    <row r="4946" ht="64" customHeight="1">
      <c r="A4946" s="63" t="inlineStr"/>
      <c r="B4946" s="64" t="n"/>
      <c r="C4946" s="64" t="n"/>
      <c r="D4946" s="64" t="n"/>
      <c r="E4946" s="65" t="n"/>
    </row>
    <row r="4947" ht="30" customHeight="1">
      <c r="A4947" s="62" t="inlineStr">
        <is>
          <t>Ảnh minh chứng</t>
        </is>
      </c>
    </row>
    <row r="4948" ht="90" customHeight="1">
      <c r="A4948" s="63" t="inlineStr"/>
      <c r="B4948" s="64" t="n"/>
      <c r="C4948" s="64" t="n"/>
      <c r="D4948" s="64" t="n"/>
      <c r="E4948" s="65" t="n"/>
    </row>
    <row r="4949" ht="12" customHeight="1">
      <c r="A4949" s="66" t="inlineStr"/>
    </row>
    <row r="4950" ht="30" customHeight="1">
      <c r="A4950" s="60" t="inlineStr">
        <is>
          <t>TC-RS-FUNC-027 / c</t>
        </is>
      </c>
      <c r="B4950" s="36" t="n"/>
      <c r="C4950" s="36" t="n"/>
      <c r="D4950" s="36" t="n"/>
      <c r="E4950" s="36" t="n"/>
    </row>
    <row r="4951" ht="30" customHeight="1">
      <c r="A4951" s="47" t="inlineStr">
        <is>
          <t>Dữ liệu biến thể</t>
        </is>
      </c>
      <c r="B4951" s="56" t="inlineStr">
        <is>
          <t>Thực hiện tổ hợp (c)</t>
        </is>
      </c>
      <c r="C4951" s="57" t="n"/>
      <c r="D4951" s="57" t="n"/>
      <c r="E4951" s="57" t="n"/>
    </row>
    <row r="4952" ht="30" customHeight="1">
      <c r="A4952" s="47" t="inlineStr">
        <is>
          <t>Trạng thái</t>
        </is>
      </c>
      <c r="B4952" s="61" t="inlineStr">
        <is>
          <t>Chưa thực hiện</t>
        </is>
      </c>
      <c r="C4952" s="57" t="n"/>
      <c r="D4952" s="57" t="n"/>
      <c r="E4952" s="57" t="n"/>
    </row>
    <row r="4953" ht="30" customHeight="1">
      <c r="A4953" s="62" t="inlineStr">
        <is>
          <t>Kết quả thực tế</t>
        </is>
      </c>
    </row>
    <row r="4954" ht="64" customHeight="1">
      <c r="A4954" s="63" t="inlineStr"/>
      <c r="B4954" s="64" t="n"/>
      <c r="C4954" s="64" t="n"/>
      <c r="D4954" s="64" t="n"/>
      <c r="E4954" s="65" t="n"/>
    </row>
    <row r="4955" ht="30" customHeight="1">
      <c r="A4955" s="62" t="inlineStr">
        <is>
          <t>Ảnh minh chứng</t>
        </is>
      </c>
    </row>
    <row r="4956" ht="90" customHeight="1">
      <c r="A4956" s="63" t="inlineStr"/>
      <c r="B4956" s="64" t="n"/>
      <c r="C4956" s="64" t="n"/>
      <c r="D4956" s="64" t="n"/>
      <c r="E4956" s="65" t="n"/>
    </row>
    <row r="4957" ht="12" customHeight="1">
      <c r="A4957" s="66" t="inlineStr"/>
    </row>
    <row r="4958" ht="30" customHeight="1">
      <c r="A4958" s="60" t="inlineStr">
        <is>
          <t>TC-RS-FUNC-027 / d</t>
        </is>
      </c>
      <c r="B4958" s="36" t="n"/>
      <c r="C4958" s="36" t="n"/>
      <c r="D4958" s="36" t="n"/>
      <c r="E4958" s="36" t="n"/>
    </row>
    <row r="4959" ht="30" customHeight="1">
      <c r="A4959" s="47" t="inlineStr">
        <is>
          <t>Dữ liệu biến thể</t>
        </is>
      </c>
      <c r="B4959" s="56" t="inlineStr">
        <is>
          <t>Thực hiện tổ hợp (d)</t>
        </is>
      </c>
      <c r="C4959" s="57" t="n"/>
      <c r="D4959" s="57" t="n"/>
      <c r="E4959" s="57" t="n"/>
    </row>
    <row r="4960" ht="30" customHeight="1">
      <c r="A4960" s="47" t="inlineStr">
        <is>
          <t>Trạng thái</t>
        </is>
      </c>
      <c r="B4960" s="61" t="inlineStr">
        <is>
          <t>Chưa thực hiện</t>
        </is>
      </c>
      <c r="C4960" s="57" t="n"/>
      <c r="D4960" s="57" t="n"/>
      <c r="E4960" s="57" t="n"/>
    </row>
    <row r="4961" ht="30" customHeight="1">
      <c r="A4961" s="62" t="inlineStr">
        <is>
          <t>Kết quả thực tế</t>
        </is>
      </c>
    </row>
    <row r="4962" ht="64" customHeight="1">
      <c r="A4962" s="63" t="inlineStr"/>
      <c r="B4962" s="64" t="n"/>
      <c r="C4962" s="64" t="n"/>
      <c r="D4962" s="64" t="n"/>
      <c r="E4962" s="65" t="n"/>
    </row>
    <row r="4963" ht="30" customHeight="1">
      <c r="A4963" s="62" t="inlineStr">
        <is>
          <t>Ảnh minh chứng</t>
        </is>
      </c>
    </row>
    <row r="4964" ht="90" customHeight="1">
      <c r="A4964" s="63" t="inlineStr"/>
      <c r="B4964" s="64" t="n"/>
      <c r="C4964" s="64" t="n"/>
      <c r="D4964" s="64" t="n"/>
      <c r="E4964" s="65" t="n"/>
    </row>
    <row r="4965" ht="12" customHeight="1">
      <c r="A4965" s="66" t="inlineStr"/>
    </row>
    <row r="4966" ht="30" customHeight="1">
      <c r="A4966" s="60" t="inlineStr">
        <is>
          <t>TC-RS-FUNC-027 / e</t>
        </is>
      </c>
      <c r="B4966" s="36" t="n"/>
      <c r="C4966" s="36" t="n"/>
      <c r="D4966" s="36" t="n"/>
      <c r="E4966" s="36" t="n"/>
    </row>
    <row r="4967" ht="30" customHeight="1">
      <c r="A4967" s="47" t="inlineStr">
        <is>
          <t>Dữ liệu biến thể</t>
        </is>
      </c>
      <c r="B4967" s="56" t="inlineStr">
        <is>
          <t>Thực hiện tổ hợp (e)</t>
        </is>
      </c>
      <c r="C4967" s="57" t="n"/>
      <c r="D4967" s="57" t="n"/>
      <c r="E4967" s="57" t="n"/>
    </row>
    <row r="4968" ht="30" customHeight="1">
      <c r="A4968" s="47" t="inlineStr">
        <is>
          <t>Trạng thái</t>
        </is>
      </c>
      <c r="B4968" s="61" t="inlineStr">
        <is>
          <t>Chưa thực hiện</t>
        </is>
      </c>
      <c r="C4968" s="57" t="n"/>
      <c r="D4968" s="57" t="n"/>
      <c r="E4968" s="57" t="n"/>
    </row>
    <row r="4969" ht="30" customHeight="1">
      <c r="A4969" s="62" t="inlineStr">
        <is>
          <t>Kết quả thực tế</t>
        </is>
      </c>
    </row>
    <row r="4970" ht="64" customHeight="1">
      <c r="A4970" s="63" t="inlineStr"/>
      <c r="B4970" s="64" t="n"/>
      <c r="C4970" s="64" t="n"/>
      <c r="D4970" s="64" t="n"/>
      <c r="E4970" s="65" t="n"/>
    </row>
    <row r="4971" ht="30" customHeight="1">
      <c r="A4971" s="62" t="inlineStr">
        <is>
          <t>Ảnh minh chứng</t>
        </is>
      </c>
    </row>
    <row r="4972" ht="90" customHeight="1">
      <c r="A4972" s="63" t="inlineStr"/>
      <c r="B4972" s="64" t="n"/>
      <c r="C4972" s="64" t="n"/>
      <c r="D4972" s="64" t="n"/>
      <c r="E4972" s="65" t="n"/>
    </row>
    <row r="4973" ht="12" customHeight="1">
      <c r="A4973" s="66" t="inlineStr"/>
    </row>
    <row r="4974" ht="30" customHeight="1">
      <c r="A4974" s="60" t="inlineStr">
        <is>
          <t>TC-RS-FUNC-027 / f</t>
        </is>
      </c>
      <c r="B4974" s="36" t="n"/>
      <c r="C4974" s="36" t="n"/>
      <c r="D4974" s="36" t="n"/>
      <c r="E4974" s="36" t="n"/>
    </row>
    <row r="4975" ht="30" customHeight="1">
      <c r="A4975" s="47" t="inlineStr">
        <is>
          <t>Dữ liệu biến thể</t>
        </is>
      </c>
      <c r="B4975" s="56" t="inlineStr">
        <is>
          <t>Thực hiện tổ hợp (f)</t>
        </is>
      </c>
      <c r="C4975" s="57" t="n"/>
      <c r="D4975" s="57" t="n"/>
      <c r="E4975" s="57" t="n"/>
    </row>
    <row r="4976" ht="30" customHeight="1">
      <c r="A4976" s="47" t="inlineStr">
        <is>
          <t>Trạng thái</t>
        </is>
      </c>
      <c r="B4976" s="61" t="inlineStr">
        <is>
          <t>Chưa thực hiện</t>
        </is>
      </c>
      <c r="C4976" s="57" t="n"/>
      <c r="D4976" s="57" t="n"/>
      <c r="E4976" s="57" t="n"/>
    </row>
    <row r="4977" ht="30" customHeight="1">
      <c r="A4977" s="62" t="inlineStr">
        <is>
          <t>Kết quả thực tế</t>
        </is>
      </c>
    </row>
    <row r="4978" ht="64" customHeight="1">
      <c r="A4978" s="63" t="inlineStr"/>
      <c r="B4978" s="64" t="n"/>
      <c r="C4978" s="64" t="n"/>
      <c r="D4978" s="64" t="n"/>
      <c r="E4978" s="65" t="n"/>
    </row>
    <row r="4979" ht="30" customHeight="1">
      <c r="A4979" s="62" t="inlineStr">
        <is>
          <t>Ảnh minh chứng</t>
        </is>
      </c>
    </row>
    <row r="4980" ht="90" customHeight="1">
      <c r="A4980" s="63" t="inlineStr"/>
      <c r="B4980" s="64" t="n"/>
      <c r="C4980" s="64" t="n"/>
      <c r="D4980" s="64" t="n"/>
      <c r="E4980" s="65" t="n"/>
    </row>
    <row r="4981" ht="12" customHeight="1">
      <c r="A4981" s="66" t="inlineStr"/>
    </row>
    <row r="4982" ht="20" customHeight="1">
      <c r="A4982" s="66" t="inlineStr"/>
    </row>
    <row r="4983" ht="30" customHeight="1">
      <c r="A4983" s="46" t="inlineStr">
        <is>
          <t>TC-RS-FUNC-028 — Công khai: web, API và PDF học sinh dùng cùng kết quả và cùng hiệu ứng</t>
        </is>
      </c>
      <c r="B4983" s="23" t="n"/>
      <c r="C4983" s="23" t="n"/>
      <c r="D4983" s="23" t="n"/>
      <c r="E4983" s="23" t="n"/>
    </row>
    <row r="4984" ht="30" customHeight="1">
      <c r="A4984" s="47" t="inlineStr">
        <is>
          <t>Trạng thái</t>
        </is>
      </c>
      <c r="B4984" s="56">
        <f>IF(0&gt;0,"Không đạt",IF(0=3,"Đạt",IF(SUMPRODUCT(--EXACT('Testcases'!B5004:B5020,"Không thực hiện"))=3,"Không thực hiện",IF(SUMPRODUCT(--EXACT('Testcases'!B5004:B5020,"Bị chặn"))&gt;0,"Bị chặn",IF(SUMPRODUCT(--EXACT('Testcases'!B5004:B5020,"Chưa thực hiện"))=3,"Chưa thực hiện","Chưa đủ kết luận")))))</f>
        <v/>
      </c>
      <c r="C4984" s="57" t="n"/>
      <c r="D4984" s="57" t="n"/>
      <c r="E4984" s="57" t="n"/>
    </row>
    <row r="4985" ht="30" customHeight="1">
      <c r="A4985" s="47" t="inlineStr">
        <is>
          <t>Màn hình / chức năng</t>
        </is>
      </c>
      <c r="B4985" s="47" t="inlineStr">
        <is>
          <t>Công khai thành tích（成績公開）</t>
        </is>
      </c>
      <c r="C4985" s="57" t="n"/>
      <c r="D4985" s="47" t="inlineStr">
        <is>
          <t>Đường dẫn</t>
        </is>
      </c>
      <c r="E4985" s="56" t="inlineStr">
        <is>
          <t>Chưa xác minh</t>
        </is>
      </c>
    </row>
    <row r="4986" ht="30" customHeight="1">
      <c r="A4986" s="58" t="inlineStr">
        <is>
          <t>Điều kiện kiểm thử</t>
        </is>
      </c>
      <c r="B4986" s="59" t="n"/>
      <c r="C4986" s="59" t="n"/>
      <c r="D4986" s="59" t="n"/>
      <c r="E4986" s="59" t="n"/>
    </row>
    <row r="4987" ht="44" customHeight="1">
      <c r="A4987" s="47" t="inlineStr">
        <is>
          <t>Cấu hình</t>
        </is>
      </c>
      <c r="B4987" s="56" t="inlineStr">
        <is>
          <t>• Như case “Công khai thành tích（成績公開）: ba hiệu ứng đỏ hiển thị đúng ở màn học sinh” với hiệu ứng [*] trước.</t>
        </is>
      </c>
      <c r="C4987" s="57" t="n"/>
      <c r="D4987" s="57" t="n"/>
      <c r="E4987" s="57" t="n"/>
    </row>
    <row r="4988" ht="61" customHeight="1">
      <c r="A4988" s="47" t="inlineStr">
        <is>
          <t>Vai trò / quyền</t>
        </is>
      </c>
      <c r="B498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4988" s="57" t="n"/>
      <c r="D4988" s="57" t="n"/>
      <c r="E4988" s="57" t="n"/>
    </row>
    <row r="4989" ht="30" customHeight="1">
      <c r="A4989" s="47" t="inlineStr">
        <is>
          <t>Dữ liệu test</t>
        </is>
      </c>
      <c r="B4989" s="56" t="inlineStr">
        <is>
          <t>• Học sinh S01 (điểm 29), tài khoản học sinh S01</t>
        </is>
      </c>
      <c r="C4989" s="57" t="n"/>
      <c r="D4989" s="57" t="n"/>
      <c r="E4989" s="57" t="n"/>
    </row>
    <row r="4990" ht="30" customHeight="1">
      <c r="A4990" s="47" t="inlineStr">
        <is>
          <t>Trigger</t>
        </is>
      </c>
      <c r="B4990" s="56" t="inlineStr">
        <is>
          <t>• Chỉ xem/xuất không tự chạy xét.</t>
        </is>
      </c>
      <c r="C4990" s="57" t="n"/>
      <c r="D4990" s="57" t="n"/>
      <c r="E4990" s="57" t="n"/>
    </row>
    <row r="4991" ht="44" customHeight="1">
      <c r="A4991" s="47" t="inlineStr">
        <is>
          <t>Blocker</t>
        </is>
      </c>
      <c r="B4991" s="56" t="inlineStr">
        <is>
          <t>• G-PREP-UNASSESSED: Chưa có xác minh fixture, đường thực hiện và phép quan sát trên build của từng case chưa đánh giá.</t>
        </is>
      </c>
      <c r="C4991" s="57" t="n"/>
      <c r="D4991" s="57" t="n"/>
      <c r="E4991" s="57" t="n"/>
    </row>
    <row r="4992" ht="30" customHeight="1">
      <c r="A4992" s="58" t="inlineStr">
        <is>
          <t>Thao tác</t>
        </is>
      </c>
      <c r="B4992" s="59" t="n"/>
      <c r="C4992" s="59" t="n"/>
      <c r="D4992" s="59" t="n"/>
      <c r="E4992" s="59" t="n"/>
    </row>
    <row r="4993" ht="30" customHeight="1">
      <c r="A4993" s="47" t="inlineStr">
        <is>
          <t>Step 1</t>
        </is>
      </c>
      <c r="B4993" s="56" t="inlineStr">
        <is>
          <t>Xem màn web Xác nhận thành tích（成績確認） của S01.</t>
        </is>
      </c>
      <c r="C4993" s="57" t="n"/>
      <c r="D4993" s="57" t="n"/>
      <c r="E4993" s="57" t="n"/>
    </row>
    <row r="4994" ht="30" customHeight="1">
      <c r="A4994" s="47" t="inlineStr">
        <is>
          <t>Step 2</t>
        </is>
      </c>
      <c r="B4994" s="56" t="inlineStr">
        <is>
          <t>Gọi API công khai thành tích của S01 bằng phiên học sinh.</t>
        </is>
      </c>
      <c r="C4994" s="57" t="n"/>
      <c r="D4994" s="57" t="n"/>
      <c r="E4994" s="57" t="n"/>
    </row>
    <row r="4995" ht="30" customHeight="1">
      <c r="A4995" s="47" t="inlineStr">
        <is>
          <t>Step 3</t>
        </is>
      </c>
      <c r="B4995" s="56" t="inlineStr">
        <is>
          <t>Tải PDF công khai của S01.</t>
        </is>
      </c>
      <c r="C4995" s="57" t="n"/>
      <c r="D4995" s="57" t="n"/>
      <c r="E4995" s="57" t="n"/>
    </row>
    <row r="4996" ht="44" customHeight="1">
      <c r="A4996" s="47" t="inlineStr">
        <is>
          <t>Reset</t>
        </is>
      </c>
      <c r="B4996" s="56" t="inlineStr">
        <is>
          <t>Trước mỗi biến thể, dựng lại điều kiện/dữ liệu đầu của case bằng đường được phép; giữ các reset/fixture độc lập đã nêu trong thủ tục.</t>
        </is>
      </c>
      <c r="C4996" s="57" t="n"/>
      <c r="D4996" s="57" t="n"/>
      <c r="E4996" s="57" t="n"/>
    </row>
    <row r="4997" ht="30" customHeight="1">
      <c r="A4997" s="58" t="inlineStr">
        <is>
          <t>Kết quả mong đợi</t>
        </is>
      </c>
      <c r="B4997" s="59" t="n"/>
      <c r="C4997" s="59" t="n"/>
      <c r="D4997" s="59" t="n"/>
      <c r="E4997" s="59" t="n"/>
    </row>
    <row r="4998" ht="30" customHeight="1">
      <c r="A4998" s="47" t="inlineStr">
        <is>
          <t>•</t>
        </is>
      </c>
      <c r="B4998" s="56" t="inlineStr">
        <is>
          <t>Cả ba hiển thị [*29] cho cùng ô; không nền màu.</t>
        </is>
      </c>
      <c r="C4998" s="57" t="n"/>
      <c r="D4998" s="57" t="n"/>
      <c r="E4998" s="57" t="n"/>
    </row>
    <row r="4999" ht="44" customHeight="1">
      <c r="A4999" s="47" t="inlineStr">
        <is>
          <t>Giữ nguyên</t>
        </is>
      </c>
      <c r="B4999" s="56" t="inlineStr">
        <is>
          <t>• Giữ điểm, cấu hình và đối tượng không đích theo expected;
• Chỉ thay phần thủ tục yêu cầu, không tự đổi oracle hoặc mở rộng phạm vi.</t>
        </is>
      </c>
      <c r="C4999" s="57" t="n"/>
      <c r="D4999" s="57" t="n"/>
      <c r="E4999" s="57" t="n"/>
    </row>
    <row r="5000" ht="61" customHeight="1">
      <c r="A5000" s="47" t="inlineStr">
        <is>
          <t>Quan sát tại</t>
        </is>
      </c>
      <c r="B5000" s="56" t="inlineStr">
        <is>
          <t>• Dùng trích xuất không lọc để thấy cả ô đối chứng. Trạng thái không có dấu đỏ cần đọc thêm trạng thái lưu;
• Output Excel/PDF dùng file thật.</t>
        </is>
      </c>
      <c r="C5000" s="57" t="n"/>
      <c r="D5000" s="57" t="n"/>
      <c r="E5000" s="57" t="n"/>
    </row>
    <row r="5001" ht="30" customHeight="1">
      <c r="A5001" s="58" t="inlineStr">
        <is>
          <t>Kết quả thực tế</t>
        </is>
      </c>
      <c r="B5001" s="59" t="n"/>
      <c r="C5001" s="59" t="n"/>
      <c r="D5001" s="59" t="n"/>
      <c r="E5001" s="59" t="n"/>
    </row>
    <row r="5002" ht="30" customHeight="1">
      <c r="A5002" s="60" t="inlineStr">
        <is>
          <t>TC-RS-FUNC-028 / web</t>
        </is>
      </c>
      <c r="B5002" s="36" t="n"/>
      <c r="C5002" s="36" t="n"/>
      <c r="D5002" s="36" t="n"/>
      <c r="E5002" s="36" t="n"/>
    </row>
    <row r="5003" ht="30" customHeight="1">
      <c r="A5003" s="47" t="inlineStr">
        <is>
          <t>Dữ liệu biến thể</t>
        </is>
      </c>
      <c r="B5003" s="56" t="inlineStr">
        <is>
          <t>Màn web</t>
        </is>
      </c>
      <c r="C5003" s="57" t="n"/>
      <c r="D5003" s="57" t="n"/>
      <c r="E5003" s="57" t="n"/>
    </row>
    <row r="5004" ht="30" customHeight="1">
      <c r="A5004" s="47" t="inlineStr">
        <is>
          <t>Trạng thái</t>
        </is>
      </c>
      <c r="B5004" s="61" t="inlineStr">
        <is>
          <t>Chưa thực hiện</t>
        </is>
      </c>
      <c r="C5004" s="57" t="n"/>
      <c r="D5004" s="57" t="n"/>
      <c r="E5004" s="57" t="n"/>
    </row>
    <row r="5005" ht="30" customHeight="1">
      <c r="A5005" s="62" t="inlineStr">
        <is>
          <t>Kết quả thực tế</t>
        </is>
      </c>
    </row>
    <row r="5006" ht="64" customHeight="1">
      <c r="A5006" s="63" t="inlineStr"/>
      <c r="B5006" s="64" t="n"/>
      <c r="C5006" s="64" t="n"/>
      <c r="D5006" s="64" t="n"/>
      <c r="E5006" s="65" t="n"/>
    </row>
    <row r="5007" ht="30" customHeight="1">
      <c r="A5007" s="62" t="inlineStr">
        <is>
          <t>Ảnh minh chứng</t>
        </is>
      </c>
    </row>
    <row r="5008" ht="90" customHeight="1">
      <c r="A5008" s="63" t="inlineStr"/>
      <c r="B5008" s="64" t="n"/>
      <c r="C5008" s="64" t="n"/>
      <c r="D5008" s="64" t="n"/>
      <c r="E5008" s="65" t="n"/>
    </row>
    <row r="5009" ht="12" customHeight="1">
      <c r="A5009" s="66" t="inlineStr"/>
    </row>
    <row r="5010" ht="30" customHeight="1">
      <c r="A5010" s="60" t="inlineStr">
        <is>
          <t>TC-RS-FUNC-028 / api</t>
        </is>
      </c>
      <c r="B5010" s="36" t="n"/>
      <c r="C5010" s="36" t="n"/>
      <c r="D5010" s="36" t="n"/>
      <c r="E5010" s="36" t="n"/>
    </row>
    <row r="5011" ht="30" customHeight="1">
      <c r="A5011" s="47" t="inlineStr">
        <is>
          <t>Dữ liệu biến thể</t>
        </is>
      </c>
      <c r="B5011" s="56" t="inlineStr">
        <is>
          <t>Response API</t>
        </is>
      </c>
      <c r="C5011" s="57" t="n"/>
      <c r="D5011" s="57" t="n"/>
      <c r="E5011" s="57" t="n"/>
    </row>
    <row r="5012" ht="30" customHeight="1">
      <c r="A5012" s="47" t="inlineStr">
        <is>
          <t>Trạng thái</t>
        </is>
      </c>
      <c r="B5012" s="61" t="inlineStr">
        <is>
          <t>Chưa thực hiện</t>
        </is>
      </c>
      <c r="C5012" s="57" t="n"/>
      <c r="D5012" s="57" t="n"/>
      <c r="E5012" s="57" t="n"/>
    </row>
    <row r="5013" ht="30" customHeight="1">
      <c r="A5013" s="62" t="inlineStr">
        <is>
          <t>Kết quả thực tế</t>
        </is>
      </c>
    </row>
    <row r="5014" ht="64" customHeight="1">
      <c r="A5014" s="63" t="inlineStr"/>
      <c r="B5014" s="64" t="n"/>
      <c r="C5014" s="64" t="n"/>
      <c r="D5014" s="64" t="n"/>
      <c r="E5014" s="65" t="n"/>
    </row>
    <row r="5015" ht="30" customHeight="1">
      <c r="A5015" s="62" t="inlineStr">
        <is>
          <t>Ảnh minh chứng</t>
        </is>
      </c>
    </row>
    <row r="5016" ht="90" customHeight="1">
      <c r="A5016" s="63" t="inlineStr"/>
      <c r="B5016" s="64" t="n"/>
      <c r="C5016" s="64" t="n"/>
      <c r="D5016" s="64" t="n"/>
      <c r="E5016" s="65" t="n"/>
    </row>
    <row r="5017" ht="12" customHeight="1">
      <c r="A5017" s="66" t="inlineStr"/>
    </row>
    <row r="5018" ht="30" customHeight="1">
      <c r="A5018" s="60" t="inlineStr">
        <is>
          <t>TC-RS-FUNC-028 / pdf</t>
        </is>
      </c>
      <c r="B5018" s="36" t="n"/>
      <c r="C5018" s="36" t="n"/>
      <c r="D5018" s="36" t="n"/>
      <c r="E5018" s="36" t="n"/>
    </row>
    <row r="5019" ht="30" customHeight="1">
      <c r="A5019" s="47" t="inlineStr">
        <is>
          <t>Dữ liệu biến thể</t>
        </is>
      </c>
      <c r="B5019" s="56" t="inlineStr">
        <is>
          <t>File PDF</t>
        </is>
      </c>
      <c r="C5019" s="57" t="n"/>
      <c r="D5019" s="57" t="n"/>
      <c r="E5019" s="57" t="n"/>
    </row>
    <row r="5020" ht="30" customHeight="1">
      <c r="A5020" s="47" t="inlineStr">
        <is>
          <t>Trạng thái</t>
        </is>
      </c>
      <c r="B5020" s="61" t="inlineStr">
        <is>
          <t>Chưa thực hiện</t>
        </is>
      </c>
      <c r="C5020" s="57" t="n"/>
      <c r="D5020" s="57" t="n"/>
      <c r="E5020" s="57" t="n"/>
    </row>
    <row r="5021" ht="30" customHeight="1">
      <c r="A5021" s="62" t="inlineStr">
        <is>
          <t>Kết quả thực tế</t>
        </is>
      </c>
    </row>
    <row r="5022" ht="64" customHeight="1">
      <c r="A5022" s="63" t="inlineStr"/>
      <c r="B5022" s="64" t="n"/>
      <c r="C5022" s="64" t="n"/>
      <c r="D5022" s="64" t="n"/>
      <c r="E5022" s="65" t="n"/>
    </row>
    <row r="5023" ht="30" customHeight="1">
      <c r="A5023" s="62" t="inlineStr">
        <is>
          <t>Ảnh minh chứng</t>
        </is>
      </c>
    </row>
    <row r="5024" ht="90" customHeight="1">
      <c r="A5024" s="63" t="inlineStr"/>
      <c r="B5024" s="64" t="n"/>
      <c r="C5024" s="64" t="n"/>
      <c r="D5024" s="64" t="n"/>
      <c r="E5024" s="65" t="n"/>
    </row>
    <row r="5025" ht="12" customHeight="1">
      <c r="A5025" s="66" t="inlineStr"/>
    </row>
    <row r="5026" ht="20" customHeight="1">
      <c r="A5026" s="66" t="inlineStr"/>
    </row>
    <row r="5027" ht="30" customHeight="1">
      <c r="A5027" s="46" t="inlineStr">
        <is>
          <t>TC-RS-FUNC-037 — Công khai: cùng mục dùng hiệu ứng đỏ khác nhau ở hai cấu hình công khai</t>
        </is>
      </c>
      <c r="B5027" s="23" t="n"/>
      <c r="C5027" s="23" t="n"/>
      <c r="D5027" s="23" t="n"/>
      <c r="E5027" s="23" t="n"/>
    </row>
    <row r="5028" ht="30" customHeight="1">
      <c r="A5028" s="47" t="inlineStr">
        <is>
          <t>Trạng thái</t>
        </is>
      </c>
      <c r="B5028" s="56">
        <f>IF(0&gt;0,"Không đạt",IF(0=6,"Đạt",IF(SUMPRODUCT(--EXACT('Testcases'!B5055:B5095,"Không thực hiện"))=6,"Không thực hiện",IF(SUMPRODUCT(--EXACT('Testcases'!B5055:B5095,"Bị chặn"))&gt;0,"Bị chặn",IF(SUMPRODUCT(--EXACT('Testcases'!B5055:B5095,"Chưa thực hiện"))=6,"Chưa thực hiện","Chưa đủ kết luận")))))</f>
        <v/>
      </c>
      <c r="C5028" s="57" t="n"/>
      <c r="D5028" s="57" t="n"/>
      <c r="E5028" s="57" t="n"/>
    </row>
    <row r="5029" ht="30" customHeight="1">
      <c r="A5029" s="47" t="inlineStr">
        <is>
          <t>Màn hình / chức năng</t>
        </is>
      </c>
      <c r="B5029" s="47" t="inlineStr">
        <is>
          <t>Công khai thành tích（成績公開）</t>
        </is>
      </c>
      <c r="C5029" s="57" t="n"/>
      <c r="D5029" s="47" t="inlineStr">
        <is>
          <t>Đường dẫn</t>
        </is>
      </c>
      <c r="E5029" s="56" t="inlineStr">
        <is>
          <t>Chưa xác minh</t>
        </is>
      </c>
    </row>
    <row r="5030" ht="30" customHeight="1">
      <c r="A5030" s="58" t="inlineStr">
        <is>
          <t>Điều kiện kiểm thử</t>
        </is>
      </c>
      <c r="B5030" s="59" t="n"/>
      <c r="C5030" s="59" t="n"/>
      <c r="D5030" s="59" t="n"/>
      <c r="E5030" s="59" t="n"/>
    </row>
    <row r="5031" ht="61" customHeight="1">
      <c r="A5031" s="47" t="inlineStr">
        <is>
          <t>Cấu hình</t>
        </is>
      </c>
      <c r="B5031" s="56" t="inlineStr">
        <is>
          <t>• Hai cấu hình Thiết lập công khai thành tích（成績公開設定） X và Y cùng chứa mục số nguyên (M=100);
• S01 Đỏ (29), không phải điểm dự kiến;
• Lịch công khai của cả hai đang mở cho S01.</t>
        </is>
      </c>
      <c r="C5031" s="57" t="n"/>
      <c r="D5031" s="57" t="n"/>
      <c r="E5031" s="57" t="n"/>
    </row>
    <row r="5032" ht="61" customHeight="1">
      <c r="A5032" s="47" t="inlineStr">
        <is>
          <t>Vai trò / quyền</t>
        </is>
      </c>
      <c r="B503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032" s="57" t="n"/>
      <c r="D5032" s="57" t="n"/>
      <c r="E5032" s="57" t="n"/>
    </row>
    <row r="5033" ht="78" customHeight="1">
      <c r="A5033" s="47" t="inlineStr">
        <is>
          <t>Dữ liệu test</t>
        </is>
      </c>
      <c r="B5033" s="56" t="inlineStr">
        <is>
          <t>• Hai cấu hình công khai cùng một mục, cấu hình công khai có mục điểm thường và mục điểm đơn vị;
• Mục số nguyên (M=100), mục điểm đơn vị (đơn vị U1 có M riêng 40);
• Học sinh S01 (điểm 29);
• Tài khoản học sinh S01, tài khoản phụ trách đầu ra (trích xuất, công khai, phiếu điểm)</t>
        </is>
      </c>
      <c r="C5033" s="57" t="n"/>
      <c r="D5033" s="57" t="n"/>
      <c r="E5033" s="57" t="n"/>
    </row>
    <row r="5034" ht="30" customHeight="1">
      <c r="A5034" s="47" t="inlineStr">
        <is>
          <t>Trigger</t>
        </is>
      </c>
      <c r="B5034" s="56" t="inlineStr">
        <is>
          <t>• Chỉ xem/xuất không tự chạy xét.</t>
        </is>
      </c>
      <c r="C5034" s="57" t="n"/>
      <c r="D5034" s="57" t="n"/>
      <c r="E5034" s="57" t="n"/>
    </row>
    <row r="5035" ht="44" customHeight="1">
      <c r="A5035" s="47" t="inlineStr">
        <is>
          <t>Blocker</t>
        </is>
      </c>
      <c r="B5035" s="56" t="inlineStr">
        <is>
          <t>• G-PREP-UNASSESSED: Chưa có xác minh fixture, đường thực hiện và phép quan sát trên build của từng case chưa đánh giá.</t>
        </is>
      </c>
      <c r="C5035" s="57" t="n"/>
      <c r="D5035" s="57" t="n"/>
      <c r="E5035" s="57" t="n"/>
    </row>
    <row r="5036" ht="30" customHeight="1">
      <c r="A5036" s="58" t="inlineStr">
        <is>
          <t>Thao tác</t>
        </is>
      </c>
      <c r="B5036" s="59" t="n"/>
      <c r="C5036" s="59" t="n"/>
      <c r="D5036" s="59" t="n"/>
      <c r="E5036" s="59" t="n"/>
    </row>
    <row r="5037" ht="44" customHeight="1">
      <c r="A5037" s="47" t="inlineStr">
        <is>
          <t>Step 1</t>
        </is>
      </c>
      <c r="B5037" s="56" t="inlineStr">
        <is>
          <t>Ở X chọn hiệu ứng đỏ Ngoặc（括弧） cho mục số nguyên (M=100), lưu; ở Y chọn [*] phía trước（前に「*」） cho cùng mục, lưu.</t>
        </is>
      </c>
      <c r="C5037" s="57" t="n"/>
      <c r="D5037" s="57" t="n"/>
      <c r="E5037" s="57" t="n"/>
    </row>
    <row r="5038" ht="30" customHeight="1">
      <c r="A5038" s="47" t="inlineStr">
        <is>
          <t>Step 2</t>
        </is>
      </c>
      <c r="B5038" s="56" t="inlineStr">
        <is>
          <t>Mở lại X và Y.</t>
        </is>
      </c>
      <c r="C5038" s="57" t="n"/>
      <c r="D5038" s="57" t="n"/>
      <c r="E5038" s="57" t="n"/>
    </row>
    <row r="5039" ht="44" customHeight="1">
      <c r="A5039" s="47" t="inlineStr">
        <is>
          <t>Step 3</t>
        </is>
      </c>
      <c r="B5039" s="56" t="inlineStr">
        <is>
          <t>Đăng nhập S01, xem Xác nhận thành tích（成績確認） theo từng cấu hình; gọi API và xuất PDF tương ứng nếu có.</t>
        </is>
      </c>
      <c r="C5039" s="57" t="n"/>
      <c r="D5039" s="57" t="n"/>
      <c r="E5039" s="57" t="n"/>
    </row>
    <row r="5040" ht="30" customHeight="1">
      <c r="A5040" s="47" t="inlineStr">
        <is>
          <t>Step 4</t>
        </is>
      </c>
      <c r="B5040" s="56" t="inlineStr">
        <is>
          <t>Sao chép X thành X' (theo chức năng sao chép cấu hình hiện có); mở X'.</t>
        </is>
      </c>
      <c r="C5040" s="57" t="n"/>
      <c r="D5040" s="57" t="n"/>
      <c r="E5040" s="57" t="n"/>
    </row>
    <row r="5041" ht="44" customHeight="1">
      <c r="A5041" s="47" t="inlineStr">
        <is>
          <t>Step 5</t>
        </is>
      </c>
      <c r="B5041" s="56" t="inlineStr">
        <is>
          <t>Ở X, mục số nguyên (M=100) (điểm thường（通常）) chọn Ngoặc; mục điểm đơn vị (đơn vị U1 có M riêng 40) (điểm đơn vị（単元）) chọn [*] phía sau; lưu, mở lại.</t>
        </is>
      </c>
      <c r="C5041" s="57" t="n"/>
      <c r="D5041" s="57" t="n"/>
      <c r="E5041" s="57" t="n"/>
    </row>
    <row r="5042" ht="30" customHeight="1">
      <c r="A5042" s="47" t="inlineStr">
        <is>
          <t>Step 6</t>
        </is>
      </c>
      <c r="B5042" s="56" t="inlineStr">
        <is>
          <t>Ở Y, đổi sang [*] phía sau và giả lập lỗi lưu; mở lại Y.</t>
        </is>
      </c>
      <c r="C5042" s="57" t="n"/>
      <c r="D5042" s="57" t="n"/>
      <c r="E5042" s="57" t="n"/>
    </row>
    <row r="5043" ht="44" customHeight="1">
      <c r="A5043" s="47" t="inlineStr">
        <is>
          <t>Reset</t>
        </is>
      </c>
      <c r="B5043" s="56" t="inlineStr">
        <is>
          <t>Trước mỗi biến thể, dựng lại điều kiện/dữ liệu đầu của case bằng đường được phép; giữ các reset/fixture độc lập đã nêu trong thủ tục.</t>
        </is>
      </c>
      <c r="C5043" s="57" t="n"/>
      <c r="D5043" s="57" t="n"/>
      <c r="E5043" s="57" t="n"/>
    </row>
    <row r="5044" ht="30" customHeight="1">
      <c r="A5044" s="58" t="inlineStr">
        <is>
          <t>Kết quả mong đợi</t>
        </is>
      </c>
      <c r="B5044" s="59" t="n"/>
      <c r="C5044" s="59" t="n"/>
      <c r="D5044" s="59" t="n"/>
      <c r="E5044" s="59" t="n"/>
    </row>
    <row r="5045" ht="30" customHeight="1">
      <c r="A5045" s="47" t="inlineStr">
        <is>
          <t>•</t>
        </is>
      </c>
      <c r="B5045" s="56" t="inlineStr">
        <is>
          <t>1–2. X giữ Ngoặc, Y giữ [*] phía trước; lưu cấu hình này không đổi cấu hình kia.</t>
        </is>
      </c>
      <c r="C5045" s="57" t="n"/>
      <c r="D5045" s="57" t="n"/>
      <c r="E5045" s="57" t="n"/>
    </row>
    <row r="5046" ht="30" customHeight="1">
      <c r="A5046" s="47" t="inlineStr">
        <is>
          <t>3.</t>
        </is>
      </c>
      <c r="B5046" s="56" t="inlineStr">
        <is>
          <t>Theo X: [(29)]; theo Y: [*29]. Web, API và PDF của cùng cấu hình cho cùng cách hiển thị.</t>
        </is>
      </c>
      <c r="C5046" s="57" t="n"/>
      <c r="D5046" s="57" t="n"/>
      <c r="E5046" s="57" t="n"/>
    </row>
    <row r="5047" ht="30" customHeight="1">
      <c r="A5047" s="47" t="inlineStr">
        <is>
          <t>4.</t>
        </is>
      </c>
      <c r="B5047" s="56" t="inlineStr">
        <is>
          <t>X' giữ Ngoặc cho mục số nguyên (M=100); không sao chép kết quả xét của học sinh.</t>
        </is>
      </c>
      <c r="C5047" s="57" t="n"/>
      <c r="D5047" s="57" t="n"/>
      <c r="E5047" s="57" t="n"/>
    </row>
    <row r="5048" ht="30" customHeight="1">
      <c r="A5048" s="47" t="inlineStr">
        <is>
          <t>5.</t>
        </is>
      </c>
      <c r="B5048" s="56" t="inlineStr">
        <is>
          <t>Mỗi phân loại thường/đơn vị mở lại đúng lựa chọn của mình; không trộn.</t>
        </is>
      </c>
      <c r="C5048" s="57" t="n"/>
      <c r="D5048" s="57" t="n"/>
      <c r="E5048" s="57" t="n"/>
    </row>
    <row r="5049" ht="30" customHeight="1">
      <c r="A5049" s="47" t="inlineStr">
        <is>
          <t>6.</t>
        </is>
      </c>
      <c r="B5049" s="56" t="inlineStr">
        <is>
          <t>Có thông báo lỗi; Y vẫn là [*] phía trước (cấu hình cũ được giữ).</t>
        </is>
      </c>
      <c r="C5049" s="57" t="n"/>
      <c r="D5049" s="57" t="n"/>
      <c r="E5049" s="57" t="n"/>
    </row>
    <row r="5050" ht="44" customHeight="1">
      <c r="A5050" s="47" t="inlineStr">
        <is>
          <t>Giữ nguyên</t>
        </is>
      </c>
      <c r="B5050" s="56" t="inlineStr">
        <is>
          <t>• Giữ điểm, cấu hình và đối tượng không đích theo expected;
• Chỉ thay phần thủ tục yêu cầu, không tự đổi oracle hoặc mở rộng phạm vi.</t>
        </is>
      </c>
      <c r="C5050" s="57" t="n"/>
      <c r="D5050" s="57" t="n"/>
      <c r="E5050" s="57" t="n"/>
    </row>
    <row r="5051" ht="61" customHeight="1">
      <c r="A5051" s="47" t="inlineStr">
        <is>
          <t>Quan sát tại</t>
        </is>
      </c>
      <c r="B5051" s="56" t="inlineStr">
        <is>
          <t>• Dùng trích xuất không lọc để thấy cả ô đối chứng. Trạng thái không có dấu đỏ cần đọc thêm trạng thái lưu;
• Output Excel/PDF dùng file thật.</t>
        </is>
      </c>
      <c r="C5051" s="57" t="n"/>
      <c r="D5051" s="57" t="n"/>
      <c r="E5051" s="57" t="n"/>
    </row>
    <row r="5052" ht="30" customHeight="1">
      <c r="A5052" s="58" t="inlineStr">
        <is>
          <t>Kết quả thực tế</t>
        </is>
      </c>
      <c r="B5052" s="59" t="n"/>
      <c r="C5052" s="59" t="n"/>
      <c r="D5052" s="59" t="n"/>
      <c r="E5052" s="59" t="n"/>
    </row>
    <row r="5053" ht="30" customHeight="1">
      <c r="A5053" s="60" t="inlineStr">
        <is>
          <t>TC-RS-FUNC-037 / web</t>
        </is>
      </c>
      <c r="B5053" s="36" t="n"/>
      <c r="C5053" s="36" t="n"/>
      <c r="D5053" s="36" t="n"/>
      <c r="E5053" s="36" t="n"/>
    </row>
    <row r="5054" ht="30" customHeight="1">
      <c r="A5054" s="47" t="inlineStr">
        <is>
          <t>Dữ liệu biến thể</t>
        </is>
      </c>
      <c r="B5054" s="56" t="inlineStr">
        <is>
          <t>Bước 1–3 xem X/Y trên web</t>
        </is>
      </c>
      <c r="C5054" s="57" t="n"/>
      <c r="D5054" s="57" t="n"/>
      <c r="E5054" s="57" t="n"/>
    </row>
    <row r="5055" ht="30" customHeight="1">
      <c r="A5055" s="47" t="inlineStr">
        <is>
          <t>Trạng thái</t>
        </is>
      </c>
      <c r="B5055" s="61" t="inlineStr">
        <is>
          <t>Chưa thực hiện</t>
        </is>
      </c>
      <c r="C5055" s="57" t="n"/>
      <c r="D5055" s="57" t="n"/>
      <c r="E5055" s="57" t="n"/>
    </row>
    <row r="5056" ht="30" customHeight="1">
      <c r="A5056" s="62" t="inlineStr">
        <is>
          <t>Kết quả thực tế</t>
        </is>
      </c>
    </row>
    <row r="5057" ht="64" customHeight="1">
      <c r="A5057" s="63" t="inlineStr"/>
      <c r="B5057" s="64" t="n"/>
      <c r="C5057" s="64" t="n"/>
      <c r="D5057" s="64" t="n"/>
      <c r="E5057" s="65" t="n"/>
    </row>
    <row r="5058" ht="30" customHeight="1">
      <c r="A5058" s="62" t="inlineStr">
        <is>
          <t>Ảnh minh chứng</t>
        </is>
      </c>
    </row>
    <row r="5059" ht="90" customHeight="1">
      <c r="A5059" s="63" t="inlineStr"/>
      <c r="B5059" s="64" t="n"/>
      <c r="C5059" s="64" t="n"/>
      <c r="D5059" s="64" t="n"/>
      <c r="E5059" s="65" t="n"/>
    </row>
    <row r="5060" ht="12" customHeight="1">
      <c r="A5060" s="66" t="inlineStr"/>
    </row>
    <row r="5061" ht="30" customHeight="1">
      <c r="A5061" s="60" t="inlineStr">
        <is>
          <t>TC-RS-FUNC-037 / api</t>
        </is>
      </c>
      <c r="B5061" s="36" t="n"/>
      <c r="C5061" s="36" t="n"/>
      <c r="D5061" s="36" t="n"/>
      <c r="E5061" s="36" t="n"/>
    </row>
    <row r="5062" ht="30" customHeight="1">
      <c r="A5062" s="47" t="inlineStr">
        <is>
          <t>Dữ liệu biến thể</t>
        </is>
      </c>
      <c r="B5062" s="56" t="inlineStr">
        <is>
          <t>Bước 1–3 đọc API X/Y</t>
        </is>
      </c>
      <c r="C5062" s="57" t="n"/>
      <c r="D5062" s="57" t="n"/>
      <c r="E5062" s="57" t="n"/>
    </row>
    <row r="5063" ht="30" customHeight="1">
      <c r="A5063" s="47" t="inlineStr">
        <is>
          <t>Trạng thái</t>
        </is>
      </c>
      <c r="B5063" s="61" t="inlineStr">
        <is>
          <t>Chưa thực hiện</t>
        </is>
      </c>
      <c r="C5063" s="57" t="n"/>
      <c r="D5063" s="57" t="n"/>
      <c r="E5063" s="57" t="n"/>
    </row>
    <row r="5064" ht="30" customHeight="1">
      <c r="A5064" s="62" t="inlineStr">
        <is>
          <t>Kết quả thực tế</t>
        </is>
      </c>
    </row>
    <row r="5065" ht="64" customHeight="1">
      <c r="A5065" s="63" t="inlineStr"/>
      <c r="B5065" s="64" t="n"/>
      <c r="C5065" s="64" t="n"/>
      <c r="D5065" s="64" t="n"/>
      <c r="E5065" s="65" t="n"/>
    </row>
    <row r="5066" ht="30" customHeight="1">
      <c r="A5066" s="62" t="inlineStr">
        <is>
          <t>Ảnh minh chứng</t>
        </is>
      </c>
    </row>
    <row r="5067" ht="90" customHeight="1">
      <c r="A5067" s="63" t="inlineStr"/>
      <c r="B5067" s="64" t="n"/>
      <c r="C5067" s="64" t="n"/>
      <c r="D5067" s="64" t="n"/>
      <c r="E5067" s="65" t="n"/>
    </row>
    <row r="5068" ht="12" customHeight="1">
      <c r="A5068" s="66" t="inlineStr"/>
    </row>
    <row r="5069" ht="30" customHeight="1">
      <c r="A5069" s="60" t="inlineStr">
        <is>
          <t>TC-RS-FUNC-037 / pdf</t>
        </is>
      </c>
      <c r="B5069" s="36" t="n"/>
      <c r="C5069" s="36" t="n"/>
      <c r="D5069" s="36" t="n"/>
      <c r="E5069" s="36" t="n"/>
    </row>
    <row r="5070" ht="30" customHeight="1">
      <c r="A5070" s="47" t="inlineStr">
        <is>
          <t>Dữ liệu biến thể</t>
        </is>
      </c>
      <c r="B5070" s="56" t="inlineStr">
        <is>
          <t>Bước 1–3 PDF X/Y</t>
        </is>
      </c>
      <c r="C5070" s="57" t="n"/>
      <c r="D5070" s="57" t="n"/>
      <c r="E5070" s="57" t="n"/>
    </row>
    <row r="5071" ht="30" customHeight="1">
      <c r="A5071" s="47" t="inlineStr">
        <is>
          <t>Trạng thái</t>
        </is>
      </c>
      <c r="B5071" s="61" t="inlineStr">
        <is>
          <t>Chưa thực hiện</t>
        </is>
      </c>
      <c r="C5071" s="57" t="n"/>
      <c r="D5071" s="57" t="n"/>
      <c r="E5071" s="57" t="n"/>
    </row>
    <row r="5072" ht="30" customHeight="1">
      <c r="A5072" s="62" t="inlineStr">
        <is>
          <t>Kết quả thực tế</t>
        </is>
      </c>
    </row>
    <row r="5073" ht="64" customHeight="1">
      <c r="A5073" s="63" t="inlineStr"/>
      <c r="B5073" s="64" t="n"/>
      <c r="C5073" s="64" t="n"/>
      <c r="D5073" s="64" t="n"/>
      <c r="E5073" s="65" t="n"/>
    </row>
    <row r="5074" ht="30" customHeight="1">
      <c r="A5074" s="62" t="inlineStr">
        <is>
          <t>Ảnh minh chứng</t>
        </is>
      </c>
    </row>
    <row r="5075" ht="90" customHeight="1">
      <c r="A5075" s="63" t="inlineStr"/>
      <c r="B5075" s="64" t="n"/>
      <c r="C5075" s="64" t="n"/>
      <c r="D5075" s="64" t="n"/>
      <c r="E5075" s="65" t="n"/>
    </row>
    <row r="5076" ht="12" customHeight="1">
      <c r="A5076" s="66" t="inlineStr"/>
    </row>
    <row r="5077" ht="30" customHeight="1">
      <c r="A5077" s="60" t="inlineStr">
        <is>
          <t>TC-RS-FUNC-037 / copy</t>
        </is>
      </c>
      <c r="B5077" s="36" t="n"/>
      <c r="C5077" s="36" t="n"/>
      <c r="D5077" s="36" t="n"/>
      <c r="E5077" s="36" t="n"/>
    </row>
    <row r="5078" ht="30" customHeight="1">
      <c r="A5078" s="47" t="inlineStr">
        <is>
          <t>Dữ liệu biến thể</t>
        </is>
      </c>
      <c r="B5078" s="56" t="inlineStr">
        <is>
          <t>Bước 4 sau setup X</t>
        </is>
      </c>
      <c r="C5078" s="57" t="n"/>
      <c r="D5078" s="57" t="n"/>
      <c r="E5078" s="57" t="n"/>
    </row>
    <row r="5079" ht="30" customHeight="1">
      <c r="A5079" s="47" t="inlineStr">
        <is>
          <t>Trạng thái</t>
        </is>
      </c>
      <c r="B5079" s="61" t="inlineStr">
        <is>
          <t>Chưa thực hiện</t>
        </is>
      </c>
      <c r="C5079" s="57" t="n"/>
      <c r="D5079" s="57" t="n"/>
      <c r="E5079" s="57" t="n"/>
    </row>
    <row r="5080" ht="30" customHeight="1">
      <c r="A5080" s="62" t="inlineStr">
        <is>
          <t>Kết quả thực tế</t>
        </is>
      </c>
    </row>
    <row r="5081" ht="64" customHeight="1">
      <c r="A5081" s="63" t="inlineStr"/>
      <c r="B5081" s="64" t="n"/>
      <c r="C5081" s="64" t="n"/>
      <c r="D5081" s="64" t="n"/>
      <c r="E5081" s="65" t="n"/>
    </row>
    <row r="5082" ht="30" customHeight="1">
      <c r="A5082" s="62" t="inlineStr">
        <is>
          <t>Ảnh minh chứng</t>
        </is>
      </c>
    </row>
    <row r="5083" ht="90" customHeight="1">
      <c r="A5083" s="63" t="inlineStr"/>
      <c r="B5083" s="64" t="n"/>
      <c r="C5083" s="64" t="n"/>
      <c r="D5083" s="64" t="n"/>
      <c r="E5083" s="65" t="n"/>
    </row>
    <row r="5084" ht="12" customHeight="1">
      <c r="A5084" s="66" t="inlineStr"/>
    </row>
    <row r="5085" ht="30" customHeight="1">
      <c r="A5085" s="60" t="inlineStr">
        <is>
          <t>TC-RS-FUNC-037 / item-types</t>
        </is>
      </c>
      <c r="B5085" s="36" t="n"/>
      <c r="C5085" s="36" t="n"/>
      <c r="D5085" s="36" t="n"/>
      <c r="E5085" s="36" t="n"/>
    </row>
    <row r="5086" ht="30" customHeight="1">
      <c r="A5086" s="47" t="inlineStr">
        <is>
          <t>Dữ liệu biến thể</t>
        </is>
      </c>
      <c r="B5086" s="56" t="inlineStr">
        <is>
          <t>Bước 5</t>
        </is>
      </c>
      <c r="C5086" s="57" t="n"/>
      <c r="D5086" s="57" t="n"/>
      <c r="E5086" s="57" t="n"/>
    </row>
    <row r="5087" ht="30" customHeight="1">
      <c r="A5087" s="47" t="inlineStr">
        <is>
          <t>Trạng thái</t>
        </is>
      </c>
      <c r="B5087" s="61" t="inlineStr">
        <is>
          <t>Chưa thực hiện</t>
        </is>
      </c>
      <c r="C5087" s="57" t="n"/>
      <c r="D5087" s="57" t="n"/>
      <c r="E5087" s="57" t="n"/>
    </row>
    <row r="5088" ht="30" customHeight="1">
      <c r="A5088" s="62" t="inlineStr">
        <is>
          <t>Kết quả thực tế</t>
        </is>
      </c>
    </row>
    <row r="5089" ht="64" customHeight="1">
      <c r="A5089" s="63" t="inlineStr"/>
      <c r="B5089" s="64" t="n"/>
      <c r="C5089" s="64" t="n"/>
      <c r="D5089" s="64" t="n"/>
      <c r="E5089" s="65" t="n"/>
    </row>
    <row r="5090" ht="30" customHeight="1">
      <c r="A5090" s="62" t="inlineStr">
        <is>
          <t>Ảnh minh chứng</t>
        </is>
      </c>
    </row>
    <row r="5091" ht="90" customHeight="1">
      <c r="A5091" s="63" t="inlineStr"/>
      <c r="B5091" s="64" t="n"/>
      <c r="C5091" s="64" t="n"/>
      <c r="D5091" s="64" t="n"/>
      <c r="E5091" s="65" t="n"/>
    </row>
    <row r="5092" ht="12" customHeight="1">
      <c r="A5092" s="66" t="inlineStr"/>
    </row>
    <row r="5093" ht="30" customHeight="1">
      <c r="A5093" s="60" t="inlineStr">
        <is>
          <t>TC-RS-FUNC-037 / save-failure</t>
        </is>
      </c>
      <c r="B5093" s="36" t="n"/>
      <c r="C5093" s="36" t="n"/>
      <c r="D5093" s="36" t="n"/>
      <c r="E5093" s="36" t="n"/>
    </row>
    <row r="5094" ht="30" customHeight="1">
      <c r="A5094" s="47" t="inlineStr">
        <is>
          <t>Dữ liệu biến thể</t>
        </is>
      </c>
      <c r="B5094" s="56" t="inlineStr">
        <is>
          <t>Bước 6 sau setup Y</t>
        </is>
      </c>
      <c r="C5094" s="57" t="n"/>
      <c r="D5094" s="57" t="n"/>
      <c r="E5094" s="57" t="n"/>
    </row>
    <row r="5095" ht="30" customHeight="1">
      <c r="A5095" s="47" t="inlineStr">
        <is>
          <t>Trạng thái</t>
        </is>
      </c>
      <c r="B5095" s="61" t="inlineStr">
        <is>
          <t>Chưa thực hiện</t>
        </is>
      </c>
      <c r="C5095" s="57" t="n"/>
      <c r="D5095" s="57" t="n"/>
      <c r="E5095" s="57" t="n"/>
    </row>
    <row r="5096" ht="30" customHeight="1">
      <c r="A5096" s="62" t="inlineStr">
        <is>
          <t>Kết quả thực tế</t>
        </is>
      </c>
    </row>
    <row r="5097" ht="64" customHeight="1">
      <c r="A5097" s="63" t="inlineStr"/>
      <c r="B5097" s="64" t="n"/>
      <c r="C5097" s="64" t="n"/>
      <c r="D5097" s="64" t="n"/>
      <c r="E5097" s="65" t="n"/>
    </row>
    <row r="5098" ht="30" customHeight="1">
      <c r="A5098" s="62" t="inlineStr">
        <is>
          <t>Ảnh minh chứng</t>
        </is>
      </c>
    </row>
    <row r="5099" ht="90" customHeight="1">
      <c r="A5099" s="63" t="inlineStr"/>
      <c r="B5099" s="64" t="n"/>
      <c r="C5099" s="64" t="n"/>
      <c r="D5099" s="64" t="n"/>
      <c r="E5099" s="65" t="n"/>
    </row>
    <row r="5100" ht="12" customHeight="1">
      <c r="A5100" s="66" t="inlineStr"/>
    </row>
    <row r="5101" ht="20" customHeight="1">
      <c r="A5101" s="66" t="inlineStr"/>
    </row>
    <row r="5102" ht="30" customHeight="1">
      <c r="A5102" s="46" t="inlineStr">
        <is>
          <t>TC-RS-BR-025 — Đầu ra không bị chặn vì chưa có hoặc chưa xét được kết quả đỏ</t>
        </is>
      </c>
      <c r="B5102" s="23" t="n"/>
      <c r="C5102" s="23" t="n"/>
      <c r="D5102" s="23" t="n"/>
      <c r="E5102" s="23" t="n"/>
    </row>
    <row r="5103" ht="30" customHeight="1">
      <c r="A5103" s="47" t="inlineStr">
        <is>
          <t>Trạng thái</t>
        </is>
      </c>
      <c r="B5103" s="56">
        <f>IF(0&gt;0,"Không đạt",IF(0=4,"Đạt",IF(SUMPRODUCT(--EXACT('Testcases'!B5123:B5147,"Không thực hiện"))=4,"Không thực hiện",IF(SUMPRODUCT(--EXACT('Testcases'!B5123:B5147,"Bị chặn"))&gt;0,"Bị chặn",IF(SUMPRODUCT(--EXACT('Testcases'!B5123:B5147,"Chưa thực hiện"))=4,"Chưa thực hiện","Chưa đủ kết luận")))))</f>
        <v/>
      </c>
      <c r="C5103" s="57" t="n"/>
      <c r="D5103" s="57" t="n"/>
      <c r="E5103" s="57" t="n"/>
    </row>
    <row r="5104" ht="30" customHeight="1">
      <c r="A5104" s="47" t="inlineStr">
        <is>
          <t>Màn hình / chức năng</t>
        </is>
      </c>
      <c r="B5104" s="47" t="inlineStr">
        <is>
          <t>Công khai thành tích（成績公開）</t>
        </is>
      </c>
      <c r="C5104" s="57" t="n"/>
      <c r="D5104" s="47" t="inlineStr">
        <is>
          <t>Đường dẫn</t>
        </is>
      </c>
      <c r="E5104" s="56" t="inlineStr">
        <is>
          <t>Chưa xác minh</t>
        </is>
      </c>
    </row>
    <row r="5105" ht="30" customHeight="1">
      <c r="A5105" s="58" t="inlineStr">
        <is>
          <t>Điều kiện kiểm thử</t>
        </is>
      </c>
      <c r="B5105" s="59" t="n"/>
      <c r="C5105" s="59" t="n"/>
      <c r="D5105" s="59" t="n"/>
      <c r="E5105" s="59" t="n"/>
    </row>
    <row r="5106" ht="30" customHeight="1">
      <c r="A5106" s="47" t="inlineStr">
        <is>
          <t>Cấu hình</t>
        </is>
      </c>
      <c r="B5106" s="56" t="inlineStr">
        <is>
          <t>• Một số ô Chưa từng xét, một số Chưa xét được.</t>
        </is>
      </c>
      <c r="C5106" s="57" t="n"/>
      <c r="D5106" s="57" t="n"/>
      <c r="E5106" s="57" t="n"/>
    </row>
    <row r="5107" ht="61" customHeight="1">
      <c r="A5107" s="47" t="inlineStr">
        <is>
          <t>Vai trò / quyền</t>
        </is>
      </c>
      <c r="B510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107" s="57" t="n"/>
      <c r="D5107" s="57" t="n"/>
      <c r="E5107" s="57" t="n"/>
    </row>
    <row r="5108" ht="44" customHeight="1">
      <c r="A5108" s="47" t="inlineStr">
        <is>
          <t>Dữ liệu test</t>
        </is>
      </c>
      <c r="B5108" s="56" t="inlineStr">
        <is>
          <t>• Cấu hình trích xuất: lọc, ký hiệu “*” phía trước, tô màu, cấu hình công khai: “*” phía trước, cấu hình phiếu điểm: ký tự “※” phía trước</t>
        </is>
      </c>
      <c r="C5108" s="57" t="n"/>
      <c r="D5108" s="57" t="n"/>
      <c r="E5108" s="57" t="n"/>
    </row>
    <row r="5109" ht="30" customHeight="1">
      <c r="A5109" s="47" t="inlineStr">
        <is>
          <t>Trigger</t>
        </is>
      </c>
      <c r="B5109" s="56" t="inlineStr">
        <is>
          <t>• Chỉ xem/xuất không tự chạy xét.</t>
        </is>
      </c>
      <c r="C5109" s="57" t="n"/>
      <c r="D5109" s="57" t="n"/>
      <c r="E5109" s="57" t="n"/>
    </row>
    <row r="5110" ht="44" customHeight="1">
      <c r="A5110" s="47" t="inlineStr">
        <is>
          <t>Blocker</t>
        </is>
      </c>
      <c r="B5110" s="56" t="inlineStr">
        <is>
          <t>• G-PREP-UNASSESSED: Chưa có xác minh fixture, đường thực hiện và phép quan sát trên build của từng case chưa đánh giá.</t>
        </is>
      </c>
      <c r="C5110" s="57" t="n"/>
      <c r="D5110" s="57" t="n"/>
      <c r="E5110" s="57" t="n"/>
    </row>
    <row r="5111" ht="30" customHeight="1">
      <c r="A5111" s="58" t="inlineStr">
        <is>
          <t>Thao tác</t>
        </is>
      </c>
      <c r="B5111" s="59" t="n"/>
      <c r="C5111" s="59" t="n"/>
      <c r="D5111" s="59" t="n"/>
      <c r="E5111" s="59" t="n"/>
    </row>
    <row r="5112" ht="30" customHeight="1">
      <c r="A5112" s="47" t="inlineStr">
        <is>
          <t>Step 1</t>
        </is>
      </c>
      <c r="B5112" s="56" t="inlineStr">
        <is>
          <t>Chạy trích xuất và xuất Excel.</t>
        </is>
      </c>
      <c r="C5112" s="57" t="n"/>
      <c r="D5112" s="57" t="n"/>
      <c r="E5112" s="57" t="n"/>
    </row>
    <row r="5113" ht="30" customHeight="1">
      <c r="A5113" s="47" t="inlineStr">
        <is>
          <t>Step 2</t>
        </is>
      </c>
      <c r="B5113" s="56" t="inlineStr">
        <is>
          <t>Công khai cho học sinh, xem màn học sinh.</t>
        </is>
      </c>
      <c r="C5113" s="57" t="n"/>
      <c r="D5113" s="57" t="n"/>
      <c r="E5113" s="57" t="n"/>
    </row>
    <row r="5114" ht="30" customHeight="1">
      <c r="A5114" s="47" t="inlineStr">
        <is>
          <t>Step 3</t>
        </is>
      </c>
      <c r="B5114" s="56" t="inlineStr">
        <is>
          <t>Xuất PDF phiếu.</t>
        </is>
      </c>
      <c r="C5114" s="57" t="n"/>
      <c r="D5114" s="57" t="n"/>
      <c r="E5114" s="57" t="n"/>
    </row>
    <row r="5115" ht="44" customHeight="1">
      <c r="A5115" s="47" t="inlineStr">
        <is>
          <t>Reset</t>
        </is>
      </c>
      <c r="B5115" s="56" t="inlineStr">
        <is>
          <t>Trước mỗi biến thể, dựng lại điều kiện/dữ liệu đầu của case bằng đường được phép; giữ các reset/fixture độc lập đã nêu trong thủ tục.</t>
        </is>
      </c>
      <c r="C5115" s="57" t="n"/>
      <c r="D5115" s="57" t="n"/>
      <c r="E5115" s="57" t="n"/>
    </row>
    <row r="5116" ht="30" customHeight="1">
      <c r="A5116" s="58" t="inlineStr">
        <is>
          <t>Kết quả mong đợi</t>
        </is>
      </c>
      <c r="B5116" s="59" t="n"/>
      <c r="C5116" s="59" t="n"/>
      <c r="D5116" s="59" t="n"/>
      <c r="E5116" s="59" t="n"/>
    </row>
    <row r="5117" ht="44" customHeight="1">
      <c r="A5117" s="47" t="inlineStr">
        <is>
          <t>•</t>
        </is>
      </c>
      <c r="B5117" s="56" t="inlineStr">
        <is>
          <t>Mọi thao tác hoàn tất bình thường; ô chưa có kết quả không có dấu đỏ và hiển thị theo thiết lập hiện hữu. Quyền, lịch công khai, điều kiện ẩn hiện có vẫn giữ.</t>
        </is>
      </c>
      <c r="C5117" s="57" t="n"/>
      <c r="D5117" s="57" t="n"/>
      <c r="E5117" s="57" t="n"/>
    </row>
    <row r="5118" ht="44" customHeight="1">
      <c r="A5118" s="47" t="inlineStr">
        <is>
          <t>Giữ nguyên</t>
        </is>
      </c>
      <c r="B5118" s="56" t="inlineStr">
        <is>
          <t>• Giữ điểm, cấu hình và đối tượng không đích theo expected;
• Chỉ thay phần thủ tục yêu cầu, không tự đổi oracle hoặc mở rộng phạm vi.</t>
        </is>
      </c>
      <c r="C5118" s="57" t="n"/>
      <c r="D5118" s="57" t="n"/>
      <c r="E5118" s="57" t="n"/>
    </row>
    <row r="5119" ht="61" customHeight="1">
      <c r="A5119" s="47" t="inlineStr">
        <is>
          <t>Quan sát tại</t>
        </is>
      </c>
      <c r="B5119" s="56" t="inlineStr">
        <is>
          <t>• Dùng trích xuất không lọc để thấy cả ô đối chứng. Trạng thái không có dấu đỏ cần đọc thêm trạng thái lưu;
• Output Excel/PDF dùng file thật.</t>
        </is>
      </c>
      <c r="C5119" s="57" t="n"/>
      <c r="D5119" s="57" t="n"/>
      <c r="E5119" s="57" t="n"/>
    </row>
    <row r="5120" ht="30" customHeight="1">
      <c r="A5120" s="58" t="inlineStr">
        <is>
          <t>Kết quả thực tế</t>
        </is>
      </c>
      <c r="B5120" s="59" t="n"/>
      <c r="C5120" s="59" t="n"/>
      <c r="D5120" s="59" t="n"/>
      <c r="E5120" s="59" t="n"/>
    </row>
    <row r="5121" ht="30" customHeight="1">
      <c r="A5121" s="60" t="inlineStr">
        <is>
          <t>TC-RS-BR-025 / extract</t>
        </is>
      </c>
      <c r="B5121" s="36" t="n"/>
      <c r="C5121" s="36" t="n"/>
      <c r="D5121" s="36" t="n"/>
      <c r="E5121" s="36" t="n"/>
    </row>
    <row r="5122" ht="30" customHeight="1">
      <c r="A5122" s="47" t="inlineStr">
        <is>
          <t>Dữ liệu biến thể</t>
        </is>
      </c>
      <c r="B5122" s="56" t="inlineStr">
        <is>
          <t>Trích xuất</t>
        </is>
      </c>
      <c r="C5122" s="57" t="n"/>
      <c r="D5122" s="57" t="n"/>
      <c r="E5122" s="57" t="n"/>
    </row>
    <row r="5123" ht="30" customHeight="1">
      <c r="A5123" s="47" t="inlineStr">
        <is>
          <t>Trạng thái</t>
        </is>
      </c>
      <c r="B5123" s="61" t="inlineStr">
        <is>
          <t>Chưa thực hiện</t>
        </is>
      </c>
      <c r="C5123" s="57" t="n"/>
      <c r="D5123" s="57" t="n"/>
      <c r="E5123" s="57" t="n"/>
    </row>
    <row r="5124" ht="30" customHeight="1">
      <c r="A5124" s="62" t="inlineStr">
        <is>
          <t>Kết quả thực tế</t>
        </is>
      </c>
    </row>
    <row r="5125" ht="64" customHeight="1">
      <c r="A5125" s="63" t="inlineStr"/>
      <c r="B5125" s="64" t="n"/>
      <c r="C5125" s="64" t="n"/>
      <c r="D5125" s="64" t="n"/>
      <c r="E5125" s="65" t="n"/>
    </row>
    <row r="5126" ht="30" customHeight="1">
      <c r="A5126" s="62" t="inlineStr">
        <is>
          <t>Ảnh minh chứng</t>
        </is>
      </c>
    </row>
    <row r="5127" ht="90" customHeight="1">
      <c r="A5127" s="63" t="inlineStr"/>
      <c r="B5127" s="64" t="n"/>
      <c r="C5127" s="64" t="n"/>
      <c r="D5127" s="64" t="n"/>
      <c r="E5127" s="65" t="n"/>
    </row>
    <row r="5128" ht="12" customHeight="1">
      <c r="A5128" s="66" t="inlineStr"/>
    </row>
    <row r="5129" ht="30" customHeight="1">
      <c r="A5129" s="60" t="inlineStr">
        <is>
          <t>TC-RS-BR-025 / excel</t>
        </is>
      </c>
      <c r="B5129" s="36" t="n"/>
      <c r="C5129" s="36" t="n"/>
      <c r="D5129" s="36" t="n"/>
      <c r="E5129" s="36" t="n"/>
    </row>
    <row r="5130" ht="30" customHeight="1">
      <c r="A5130" s="47" t="inlineStr">
        <is>
          <t>Dữ liệu biến thể</t>
        </is>
      </c>
      <c r="B5130" s="56" t="inlineStr">
        <is>
          <t>Excel</t>
        </is>
      </c>
      <c r="C5130" s="57" t="n"/>
      <c r="D5130" s="57" t="n"/>
      <c r="E5130" s="57" t="n"/>
    </row>
    <row r="5131" ht="30" customHeight="1">
      <c r="A5131" s="47" t="inlineStr">
        <is>
          <t>Trạng thái</t>
        </is>
      </c>
      <c r="B5131" s="61" t="inlineStr">
        <is>
          <t>Chưa thực hiện</t>
        </is>
      </c>
      <c r="C5131" s="57" t="n"/>
      <c r="D5131" s="57" t="n"/>
      <c r="E5131" s="57" t="n"/>
    </row>
    <row r="5132" ht="30" customHeight="1">
      <c r="A5132" s="62" t="inlineStr">
        <is>
          <t>Kết quả thực tế</t>
        </is>
      </c>
    </row>
    <row r="5133" ht="64" customHeight="1">
      <c r="A5133" s="63" t="inlineStr"/>
      <c r="B5133" s="64" t="n"/>
      <c r="C5133" s="64" t="n"/>
      <c r="D5133" s="64" t="n"/>
      <c r="E5133" s="65" t="n"/>
    </row>
    <row r="5134" ht="30" customHeight="1">
      <c r="A5134" s="62" t="inlineStr">
        <is>
          <t>Ảnh minh chứng</t>
        </is>
      </c>
    </row>
    <row r="5135" ht="90" customHeight="1">
      <c r="A5135" s="63" t="inlineStr"/>
      <c r="B5135" s="64" t="n"/>
      <c r="C5135" s="64" t="n"/>
      <c r="D5135" s="64" t="n"/>
      <c r="E5135" s="65" t="n"/>
    </row>
    <row r="5136" ht="12" customHeight="1">
      <c r="A5136" s="66" t="inlineStr"/>
    </row>
    <row r="5137" ht="30" customHeight="1">
      <c r="A5137" s="60" t="inlineStr">
        <is>
          <t>TC-RS-BR-025 / publish</t>
        </is>
      </c>
      <c r="B5137" s="36" t="n"/>
      <c r="C5137" s="36" t="n"/>
      <c r="D5137" s="36" t="n"/>
      <c r="E5137" s="36" t="n"/>
    </row>
    <row r="5138" ht="30" customHeight="1">
      <c r="A5138" s="47" t="inlineStr">
        <is>
          <t>Dữ liệu biến thể</t>
        </is>
      </c>
      <c r="B5138" s="56" t="inlineStr">
        <is>
          <t>Công khai</t>
        </is>
      </c>
      <c r="C5138" s="57" t="n"/>
      <c r="D5138" s="57" t="n"/>
      <c r="E5138" s="57" t="n"/>
    </row>
    <row r="5139" ht="30" customHeight="1">
      <c r="A5139" s="47" t="inlineStr">
        <is>
          <t>Trạng thái</t>
        </is>
      </c>
      <c r="B5139" s="61" t="inlineStr">
        <is>
          <t>Chưa thực hiện</t>
        </is>
      </c>
      <c r="C5139" s="57" t="n"/>
      <c r="D5139" s="57" t="n"/>
      <c r="E5139" s="57" t="n"/>
    </row>
    <row r="5140" ht="30" customHeight="1">
      <c r="A5140" s="62" t="inlineStr">
        <is>
          <t>Kết quả thực tế</t>
        </is>
      </c>
    </row>
    <row r="5141" ht="64" customHeight="1">
      <c r="A5141" s="63" t="inlineStr"/>
      <c r="B5141" s="64" t="n"/>
      <c r="C5141" s="64" t="n"/>
      <c r="D5141" s="64" t="n"/>
      <c r="E5141" s="65" t="n"/>
    </row>
    <row r="5142" ht="30" customHeight="1">
      <c r="A5142" s="62" t="inlineStr">
        <is>
          <t>Ảnh minh chứng</t>
        </is>
      </c>
    </row>
    <row r="5143" ht="90" customHeight="1">
      <c r="A5143" s="63" t="inlineStr"/>
      <c r="B5143" s="64" t="n"/>
      <c r="C5143" s="64" t="n"/>
      <c r="D5143" s="64" t="n"/>
      <c r="E5143" s="65" t="n"/>
    </row>
    <row r="5144" ht="12" customHeight="1">
      <c r="A5144" s="66" t="inlineStr"/>
    </row>
    <row r="5145" ht="30" customHeight="1">
      <c r="A5145" s="60" t="inlineStr">
        <is>
          <t>TC-RS-BR-025 / report</t>
        </is>
      </c>
      <c r="B5145" s="36" t="n"/>
      <c r="C5145" s="36" t="n"/>
      <c r="D5145" s="36" t="n"/>
      <c r="E5145" s="36" t="n"/>
    </row>
    <row r="5146" ht="30" customHeight="1">
      <c r="A5146" s="47" t="inlineStr">
        <is>
          <t>Dữ liệu biến thể</t>
        </is>
      </c>
      <c r="B5146" s="56" t="inlineStr">
        <is>
          <t>Phiếu điểm</t>
        </is>
      </c>
      <c r="C5146" s="57" t="n"/>
      <c r="D5146" s="57" t="n"/>
      <c r="E5146" s="57" t="n"/>
    </row>
    <row r="5147" ht="30" customHeight="1">
      <c r="A5147" s="47" t="inlineStr">
        <is>
          <t>Trạng thái</t>
        </is>
      </c>
      <c r="B5147" s="61" t="inlineStr">
        <is>
          <t>Chưa thực hiện</t>
        </is>
      </c>
      <c r="C5147" s="57" t="n"/>
      <c r="D5147" s="57" t="n"/>
      <c r="E5147" s="57" t="n"/>
    </row>
    <row r="5148" ht="30" customHeight="1">
      <c r="A5148" s="62" t="inlineStr">
        <is>
          <t>Kết quả thực tế</t>
        </is>
      </c>
    </row>
    <row r="5149" ht="64" customHeight="1">
      <c r="A5149" s="63" t="inlineStr"/>
      <c r="B5149" s="64" t="n"/>
      <c r="C5149" s="64" t="n"/>
      <c r="D5149" s="64" t="n"/>
      <c r="E5149" s="65" t="n"/>
    </row>
    <row r="5150" ht="30" customHeight="1">
      <c r="A5150" s="62" t="inlineStr">
        <is>
          <t>Ảnh minh chứng</t>
        </is>
      </c>
    </row>
    <row r="5151" ht="90" customHeight="1">
      <c r="A5151" s="63" t="inlineStr"/>
      <c r="B5151" s="64" t="n"/>
      <c r="C5151" s="64" t="n"/>
      <c r="D5151" s="64" t="n"/>
      <c r="E5151" s="65" t="n"/>
    </row>
    <row r="5152" ht="12" customHeight="1">
      <c r="A5152" s="66" t="inlineStr"/>
    </row>
    <row r="5153" ht="20" customHeight="1">
      <c r="A5153" s="66" t="inlineStr"/>
    </row>
    <row r="5154" ht="44" customHeight="1">
      <c r="A5154" s="46" t="inlineStr">
        <is>
          <t>TC-RS-UI-022 — Công khai: dòng cách hiển thị đỏ theo mục có thiết lập, kể cả khi 0 học sinh đỏ hoặc vừa xóa thiết lập cuối</t>
        </is>
      </c>
      <c r="B5154" s="23" t="n"/>
      <c r="C5154" s="23" t="n"/>
      <c r="D5154" s="23" t="n"/>
      <c r="E5154" s="23" t="n"/>
    </row>
    <row r="5155" ht="30" customHeight="1">
      <c r="A5155" s="47" t="inlineStr">
        <is>
          <t>Trạng thái</t>
        </is>
      </c>
      <c r="B5155" s="61" t="inlineStr">
        <is>
          <t>Chưa thực hiện</t>
        </is>
      </c>
      <c r="C5155" s="57" t="n"/>
      <c r="D5155" s="57" t="n"/>
      <c r="E5155" s="57" t="n"/>
    </row>
    <row r="5156" ht="30" customHeight="1">
      <c r="A5156" s="47" t="inlineStr">
        <is>
          <t>Màn hình / chức năng</t>
        </is>
      </c>
      <c r="B5156" s="47" t="inlineStr">
        <is>
          <t>Công khai thành tích（成績公開）</t>
        </is>
      </c>
      <c r="C5156" s="57" t="n"/>
      <c r="D5156" s="47" t="inlineStr">
        <is>
          <t>Đường dẫn</t>
        </is>
      </c>
      <c r="E5156" s="56" t="inlineStr">
        <is>
          <t>Chưa xác minh</t>
        </is>
      </c>
    </row>
    <row r="5157" ht="30" customHeight="1">
      <c r="A5157" s="58" t="inlineStr">
        <is>
          <t>Điều kiện kiểm thử</t>
        </is>
      </c>
      <c r="B5157" s="59" t="n"/>
      <c r="C5157" s="59" t="n"/>
      <c r="D5157" s="59" t="n"/>
      <c r="E5157" s="59" t="n"/>
    </row>
    <row r="5158" ht="61" customHeight="1">
      <c r="A5158" s="47" t="inlineStr">
        <is>
          <t>Cấu hình</t>
        </is>
      </c>
      <c r="B5158" s="56" t="inlineStr">
        <is>
          <t>• Mục số nguyên (M=100) có quy tắc nhưng không ô nào đỏ;
• Mục Tri thức – kỹ năng（知識・技能） chưa từng có quy tắc và chưa từng đặt cách hiển thị đỏ. tài khoản phụ trách đầu ra (trích xuất, công khai, phiếu điểm).</t>
        </is>
      </c>
      <c r="C5158" s="57" t="n"/>
      <c r="D5158" s="57" t="n"/>
      <c r="E5158" s="57" t="n"/>
    </row>
    <row r="5159" ht="61" customHeight="1">
      <c r="A5159" s="47" t="inlineStr">
        <is>
          <t>Vai trò / quyền</t>
        </is>
      </c>
      <c r="B515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159" s="57" t="n"/>
      <c r="D5159" s="57" t="n"/>
      <c r="E5159" s="57" t="n"/>
    </row>
    <row r="5160" ht="44" customHeight="1">
      <c r="A5160" s="47" t="inlineStr">
        <is>
          <t>Dữ liệu test</t>
        </is>
      </c>
      <c r="B5160" s="56" t="inlineStr">
        <is>
          <t>• Mục số nguyên (M=100);
• Quy tắc “Cố định 30” (dưới 30)</t>
        </is>
      </c>
      <c r="C5160" s="57" t="n"/>
      <c r="D5160" s="57" t="n"/>
      <c r="E5160" s="57" t="n"/>
    </row>
    <row r="5161" ht="30" customHeight="1">
      <c r="A5161" s="47" t="inlineStr">
        <is>
          <t>Trigger</t>
        </is>
      </c>
      <c r="B5161" s="56" t="inlineStr">
        <is>
          <t>• Chỉ xem/xuất không tự chạy xét.</t>
        </is>
      </c>
      <c r="C5161" s="57" t="n"/>
      <c r="D5161" s="57" t="n"/>
      <c r="E5161" s="57" t="n"/>
    </row>
    <row r="5162" ht="44" customHeight="1">
      <c r="A5162" s="47" t="inlineStr">
        <is>
          <t>Blocker</t>
        </is>
      </c>
      <c r="B5162" s="56" t="inlineStr">
        <is>
          <t>• G-PREP-UNASSESSED: Chưa có xác minh fixture, đường thực hiện và phép quan sát trên build của từng case chưa đánh giá.</t>
        </is>
      </c>
      <c r="C5162" s="57" t="n"/>
      <c r="D5162" s="57" t="n"/>
      <c r="E5162" s="57" t="n"/>
    </row>
    <row r="5163" ht="30" customHeight="1">
      <c r="A5163" s="58" t="inlineStr">
        <is>
          <t>Thao tác</t>
        </is>
      </c>
      <c r="B5163" s="59" t="n"/>
      <c r="C5163" s="59" t="n"/>
      <c r="D5163" s="59" t="n"/>
      <c r="E5163" s="59" t="n"/>
    </row>
    <row r="5164" ht="30" customHeight="1">
      <c r="A5164" s="47" t="inlineStr">
        <is>
          <t>Step 1</t>
        </is>
      </c>
      <c r="B5164" s="56" t="inlineStr">
        <is>
          <t>Mở Thiết lập công khai thành tích（成績公開設定）→ khung Thành tích（成績）.</t>
        </is>
      </c>
      <c r="C5164" s="57" t="n"/>
      <c r="D5164" s="57" t="n"/>
      <c r="E5164" s="57" t="n"/>
    </row>
    <row r="5165" ht="30" customHeight="1">
      <c r="A5165" s="47" t="inlineStr">
        <is>
          <t>Step 2</t>
        </is>
      </c>
      <c r="B5165" s="56" t="inlineStr">
        <is>
          <t>Ở dòng của Điểm đánh giá（評点）, chọn [*] phía trước, bấm Đăng ký（登録する）.</t>
        </is>
      </c>
      <c r="C5165" s="57" t="n"/>
      <c r="D5165" s="57" t="n"/>
      <c r="E5165" s="57" t="n"/>
    </row>
    <row r="5166" ht="44" customHeight="1">
      <c r="A5166" s="47" t="inlineStr">
        <is>
          <t>Step 3</t>
        </is>
      </c>
      <c r="B5166" s="56" t="inlineStr">
        <is>
          <t>Xóa quy tắc cuối của mục số nguyên (M=100) (chỉ còn quy tắc “Cố định 30” (dưới 30) thì xóa quy tắc “Cố định 30” (dưới 30)), không chạy lại; mở lại khung Thành tích（成績）.</t>
        </is>
      </c>
      <c r="C5166" s="57" t="n"/>
      <c r="D5166" s="57" t="n"/>
      <c r="E5166" s="57" t="n"/>
    </row>
    <row r="5167" ht="44" customHeight="1">
      <c r="A5167" s="47" t="inlineStr">
        <is>
          <t>Reset</t>
        </is>
      </c>
      <c r="B5167" s="56" t="inlineStr">
        <is>
          <t>Trước mỗi biến thể, dựng lại điều kiện/dữ liệu đầu của case bằng đường được phép; giữ các reset/fixture độc lập đã nêu trong thủ tục.</t>
        </is>
      </c>
      <c r="C5167" s="57" t="n"/>
      <c r="D5167" s="57" t="n"/>
      <c r="E5167" s="57" t="n"/>
    </row>
    <row r="5168" ht="30" customHeight="1">
      <c r="A5168" s="58" t="inlineStr">
        <is>
          <t>Kết quả mong đợi</t>
        </is>
      </c>
      <c r="B5168" s="59" t="n"/>
      <c r="C5168" s="59" t="n"/>
      <c r="D5168" s="59" t="n"/>
      <c r="E5168" s="59" t="n"/>
    </row>
    <row r="5169" ht="44" customHeight="1">
      <c r="A5169" s="47" t="inlineStr">
        <is>
          <t>1.</t>
        </is>
      </c>
      <c r="B5169" s="56" t="inlineStr">
        <is>
          <t>Mục Điểm đánh giá（評点） có dòng cách hiển thị đỏ dù 0 học sinh đỏ; mục Tri thức – kỹ năng（知識・技能） không có dòng.</t>
        </is>
      </c>
      <c r="C5169" s="57" t="n"/>
      <c r="D5169" s="57" t="n"/>
      <c r="E5169" s="57" t="n"/>
    </row>
    <row r="5170" ht="30" customHeight="1">
      <c r="A5170" s="47" t="inlineStr">
        <is>
          <t>2.</t>
        </is>
      </c>
      <c r="B5170" s="56" t="inlineStr">
        <is>
          <t>Lưu được; mở lại vẫn là [*] phía trước.</t>
        </is>
      </c>
      <c r="C5170" s="57" t="n"/>
      <c r="D5170" s="57" t="n"/>
      <c r="E5170" s="57" t="n"/>
    </row>
    <row r="5171" ht="44" customHeight="1">
      <c r="A5171" s="47" t="inlineStr">
        <is>
          <t>3.</t>
        </is>
      </c>
      <c r="B5171" s="56" t="inlineStr">
        <is>
          <t>Dòng của Điểm đánh giá（評点） vẫn hiện với lựa chọn [*] phía trước đã lưu; cấu hình trình bày không bị xóa theo thao tác xóa quy tắc.</t>
        </is>
      </c>
      <c r="C5171" s="57" t="n"/>
      <c r="D5171" s="57" t="n"/>
      <c r="E5171" s="57" t="n"/>
    </row>
    <row r="5172" ht="44" customHeight="1">
      <c r="A5172" s="47" t="inlineStr">
        <is>
          <t>Giữ nguyên</t>
        </is>
      </c>
      <c r="B5172" s="56" t="inlineStr">
        <is>
          <t>• Giữ điểm, cấu hình và đối tượng không đích theo expected;
• Chỉ thay phần thủ tục yêu cầu, không tự đổi oracle hoặc mở rộng phạm vi.</t>
        </is>
      </c>
      <c r="C5172" s="57" t="n"/>
      <c r="D5172" s="57" t="n"/>
      <c r="E5172" s="57" t="n"/>
    </row>
    <row r="5173" ht="61" customHeight="1">
      <c r="A5173" s="47" t="inlineStr">
        <is>
          <t>Quan sát tại</t>
        </is>
      </c>
      <c r="B5173" s="56" t="inlineStr">
        <is>
          <t>• Dùng trích xuất không lọc để thấy cả ô đối chứng. Trạng thái không có dấu đỏ cần đọc thêm trạng thái lưu;
• Output Excel/PDF dùng file thật.</t>
        </is>
      </c>
      <c r="C5173" s="57" t="n"/>
      <c r="D5173" s="57" t="n"/>
      <c r="E5173" s="57" t="n"/>
    </row>
    <row r="5174" ht="30" customHeight="1">
      <c r="A5174" s="58" t="inlineStr">
        <is>
          <t>Kết quả thực tế</t>
        </is>
      </c>
      <c r="B5174" s="59" t="n"/>
      <c r="C5174" s="59" t="n"/>
      <c r="D5174" s="59" t="n"/>
      <c r="E5174" s="59" t="n"/>
    </row>
    <row r="5175" ht="30" customHeight="1">
      <c r="A5175" s="47" t="inlineStr">
        <is>
          <t>Dữ liệu biến thể</t>
        </is>
      </c>
      <c r="B5175" s="56" t="inlineStr">
        <is>
          <t>Toàn bộ thủ tục theo đúng thứ tự; các đối chứng cùng fixture được kiểm trong cùng lượt, không bỏ bước</t>
        </is>
      </c>
      <c r="C5175" s="57" t="n"/>
      <c r="D5175" s="57" t="n"/>
      <c r="E5175" s="57" t="n"/>
    </row>
    <row r="5176" ht="30" customHeight="1">
      <c r="A5176" s="62" t="inlineStr">
        <is>
          <t>Kết quả thực tế</t>
        </is>
      </c>
    </row>
    <row r="5177" ht="64" customHeight="1">
      <c r="A5177" s="63" t="inlineStr"/>
      <c r="B5177" s="64" t="n"/>
      <c r="C5177" s="64" t="n"/>
      <c r="D5177" s="64" t="n"/>
      <c r="E5177" s="65" t="n"/>
    </row>
    <row r="5178" ht="30" customHeight="1">
      <c r="A5178" s="62" t="inlineStr">
        <is>
          <t>Ảnh minh chứng</t>
        </is>
      </c>
    </row>
    <row r="5179" ht="90" customHeight="1">
      <c r="A5179" s="63" t="inlineStr"/>
      <c r="B5179" s="64" t="n"/>
      <c r="C5179" s="64" t="n"/>
      <c r="D5179" s="64" t="n"/>
      <c r="E5179" s="65" t="n"/>
    </row>
    <row r="5180" ht="12" customHeight="1">
      <c r="A5180" s="66" t="inlineStr"/>
    </row>
    <row r="5181" ht="20" customHeight="1">
      <c r="A5181" s="66" t="inlineStr"/>
    </row>
    <row r="5182" ht="30" customHeight="1">
      <c r="A5182" s="46" t="inlineStr">
        <is>
          <t>TC-RS-UI-023 — Công khai: danh sách tùy chọn hiển thị đỏ</t>
        </is>
      </c>
      <c r="B5182" s="23" t="n"/>
      <c r="C5182" s="23" t="n"/>
      <c r="D5182" s="23" t="n"/>
      <c r="E5182" s="23" t="n"/>
    </row>
    <row r="5183" ht="30" customHeight="1">
      <c r="A5183" s="47" t="inlineStr">
        <is>
          <t>Trạng thái</t>
        </is>
      </c>
      <c r="B5183" s="61" t="inlineStr">
        <is>
          <t>Chưa thực hiện</t>
        </is>
      </c>
      <c r="C5183" s="57" t="n"/>
      <c r="D5183" s="57" t="n"/>
      <c r="E5183" s="57" t="n"/>
    </row>
    <row r="5184" ht="30" customHeight="1">
      <c r="A5184" s="47" t="inlineStr">
        <is>
          <t>Màn hình / chức năng</t>
        </is>
      </c>
      <c r="B5184" s="47" t="inlineStr">
        <is>
          <t>Công khai thành tích（成績公開）</t>
        </is>
      </c>
      <c r="C5184" s="57" t="n"/>
      <c r="D5184" s="47" t="inlineStr">
        <is>
          <t>Đường dẫn</t>
        </is>
      </c>
      <c r="E5184" s="56" t="inlineStr">
        <is>
          <t>Chưa xác minh</t>
        </is>
      </c>
    </row>
    <row r="5185" ht="30" customHeight="1">
      <c r="A5185" s="58" t="inlineStr">
        <is>
          <t>Điều kiện kiểm thử</t>
        </is>
      </c>
      <c r="B5185" s="59" t="n"/>
      <c r="C5185" s="59" t="n"/>
      <c r="D5185" s="59" t="n"/>
      <c r="E5185" s="59" t="n"/>
    </row>
    <row r="5186" ht="30" customHeight="1">
      <c r="A5186" s="47" t="inlineStr">
        <is>
          <t>Cấu hình</t>
        </is>
      </c>
      <c r="B5186" s="56" t="inlineStr">
        <is>
          <t>• Như UI-022.</t>
        </is>
      </c>
      <c r="C5186" s="57" t="n"/>
      <c r="D5186" s="57" t="n"/>
      <c r="E5186" s="57" t="n"/>
    </row>
    <row r="5187" ht="61" customHeight="1">
      <c r="A5187" s="47" t="inlineStr">
        <is>
          <t>Vai trò / quyền</t>
        </is>
      </c>
      <c r="B518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187" s="57" t="n"/>
      <c r="D5187" s="57" t="n"/>
      <c r="E5187" s="57" t="n"/>
    </row>
    <row r="5188" ht="30" customHeight="1">
      <c r="A5188" s="47" t="inlineStr">
        <is>
          <t>Dữ liệu test</t>
        </is>
      </c>
      <c r="B5188" s="56" t="inlineStr">
        <is>
          <t>• —</t>
        </is>
      </c>
      <c r="C5188" s="57" t="n"/>
      <c r="D5188" s="57" t="n"/>
      <c r="E5188" s="57" t="n"/>
    </row>
    <row r="5189" ht="30" customHeight="1">
      <c r="A5189" s="47" t="inlineStr">
        <is>
          <t>Trigger</t>
        </is>
      </c>
      <c r="B5189" s="56" t="inlineStr">
        <is>
          <t>• Chỉ xem/xuất không tự chạy xét.</t>
        </is>
      </c>
      <c r="C5189" s="57" t="n"/>
      <c r="D5189" s="57" t="n"/>
      <c r="E5189" s="57" t="n"/>
    </row>
    <row r="5190" ht="44" customHeight="1">
      <c r="A5190" s="47" t="inlineStr">
        <is>
          <t>Blocker</t>
        </is>
      </c>
      <c r="B5190" s="56" t="inlineStr">
        <is>
          <t>• G-PREP-UNASSESSED: Chưa có xác minh fixture, đường thực hiện và phép quan sát trên build của từng case chưa đánh giá.</t>
        </is>
      </c>
      <c r="C5190" s="57" t="n"/>
      <c r="D5190" s="57" t="n"/>
      <c r="E5190" s="57" t="n"/>
    </row>
    <row r="5191" ht="30" customHeight="1">
      <c r="A5191" s="58" t="inlineStr">
        <is>
          <t>Thao tác</t>
        </is>
      </c>
      <c r="B5191" s="59" t="n"/>
      <c r="C5191" s="59" t="n"/>
      <c r="D5191" s="59" t="n"/>
      <c r="E5191" s="59" t="n"/>
    </row>
    <row r="5192" ht="30" customHeight="1">
      <c r="A5192" s="47" t="inlineStr">
        <is>
          <t>•</t>
        </is>
      </c>
      <c r="B5192" s="56" t="inlineStr">
        <is>
          <t>Mở danh sách chọn của dòng đỏ.</t>
        </is>
      </c>
      <c r="C5192" s="57" t="n"/>
      <c r="D5192" s="57" t="n"/>
      <c r="E5192" s="57" t="n"/>
    </row>
    <row r="5193" ht="44" customHeight="1">
      <c r="A5193" s="47" t="inlineStr">
        <is>
          <t>Reset</t>
        </is>
      </c>
      <c r="B5193" s="56" t="inlineStr">
        <is>
          <t>Trước mỗi biến thể, dựng lại điều kiện/dữ liệu đầu của case bằng đường được phép; giữ các reset/fixture độc lập đã nêu trong thủ tục.</t>
        </is>
      </c>
      <c r="C5193" s="57" t="n"/>
      <c r="D5193" s="57" t="n"/>
      <c r="E5193" s="57" t="n"/>
    </row>
    <row r="5194" ht="30" customHeight="1">
      <c r="A5194" s="58" t="inlineStr">
        <is>
          <t>Kết quả mong đợi</t>
        </is>
      </c>
      <c r="B5194" s="59" t="n"/>
      <c r="C5194" s="59" t="n"/>
      <c r="D5194" s="59" t="n"/>
      <c r="E5194" s="59" t="n"/>
    </row>
    <row r="5195" ht="61" customHeight="1">
      <c r="A5195" s="47" t="inlineStr">
        <is>
          <t>•</t>
        </is>
      </c>
      <c r="B5195" s="56" t="inlineStr">
        <is>
          <t>Theo specification v2 mục 10.1 và Q&amp;A Q16, danh sách chỉ có Kèm ngoặc, [*] phía trước và [*] phía sau; không có ô chữ tự do và không có màu nền riêng. Không đưa tùy chọn Nguyên trạng（そのまま表示） vào oracle vì không thuộc danh sách đã chốt trong specification/Q&amp;A.</t>
        </is>
      </c>
      <c r="C5195" s="57" t="n"/>
      <c r="D5195" s="57" t="n"/>
      <c r="E5195" s="57" t="n"/>
    </row>
    <row r="5196" ht="44" customHeight="1">
      <c r="A5196" s="47" t="inlineStr">
        <is>
          <t>Giữ nguyên</t>
        </is>
      </c>
      <c r="B5196" s="56" t="inlineStr">
        <is>
          <t>• Giữ điểm, cấu hình và đối tượng không đích theo expected;
• Chỉ thay phần thủ tục yêu cầu, không tự đổi oracle hoặc mở rộng phạm vi.</t>
        </is>
      </c>
      <c r="C5196" s="57" t="n"/>
      <c r="D5196" s="57" t="n"/>
      <c r="E5196" s="57" t="n"/>
    </row>
    <row r="5197" ht="61" customHeight="1">
      <c r="A5197" s="47" t="inlineStr">
        <is>
          <t>Quan sát tại</t>
        </is>
      </c>
      <c r="B5197" s="56" t="inlineStr">
        <is>
          <t>• Dùng trích xuất không lọc để thấy cả ô đối chứng. Trạng thái không có dấu đỏ cần đọc thêm trạng thái lưu;
• Output Excel/PDF dùng file thật.</t>
        </is>
      </c>
      <c r="C5197" s="57" t="n"/>
      <c r="D5197" s="57" t="n"/>
      <c r="E5197" s="57" t="n"/>
    </row>
    <row r="5198" ht="30" customHeight="1">
      <c r="A5198" s="58" t="inlineStr">
        <is>
          <t>Kết quả thực tế</t>
        </is>
      </c>
      <c r="B5198" s="59" t="n"/>
      <c r="C5198" s="59" t="n"/>
      <c r="D5198" s="59" t="n"/>
      <c r="E5198" s="59" t="n"/>
    </row>
    <row r="5199" ht="30" customHeight="1">
      <c r="A5199" s="47" t="inlineStr">
        <is>
          <t>Dữ liệu biến thể</t>
        </is>
      </c>
      <c r="B5199" s="56" t="inlineStr">
        <is>
          <t>Toàn bộ thủ tục theo đúng thứ tự; các đối chứng cùng fixture được kiểm trong cùng lượt, không bỏ bước</t>
        </is>
      </c>
      <c r="C5199" s="57" t="n"/>
      <c r="D5199" s="57" t="n"/>
      <c r="E5199" s="57" t="n"/>
    </row>
    <row r="5200" ht="30" customHeight="1">
      <c r="A5200" s="62" t="inlineStr">
        <is>
          <t>Kết quả thực tế</t>
        </is>
      </c>
    </row>
    <row r="5201" ht="64" customHeight="1">
      <c r="A5201" s="63" t="inlineStr"/>
      <c r="B5201" s="64" t="n"/>
      <c r="C5201" s="64" t="n"/>
      <c r="D5201" s="64" t="n"/>
      <c r="E5201" s="65" t="n"/>
    </row>
    <row r="5202" ht="30" customHeight="1">
      <c r="A5202" s="62" t="inlineStr">
        <is>
          <t>Ảnh minh chứng</t>
        </is>
      </c>
    </row>
    <row r="5203" ht="90" customHeight="1">
      <c r="A5203" s="63" t="inlineStr"/>
      <c r="B5203" s="64" t="n"/>
      <c r="C5203" s="64" t="n"/>
      <c r="D5203" s="64" t="n"/>
      <c r="E5203" s="65" t="n"/>
    </row>
    <row r="5204" ht="12" customHeight="1">
      <c r="A5204" s="66" t="inlineStr"/>
    </row>
    <row r="5205" ht="20" customHeight="1">
      <c r="A5205" s="66" t="inlineStr"/>
    </row>
    <row r="5206" ht="30" customHeight="1">
      <c r="A5206" s="46" t="inlineStr">
        <is>
          <t>TC-RS-UI-026 — Bộ chọn hiệu ứng đỏ của điểm thường và điểm đơn vị hiển thị độc lập</t>
        </is>
      </c>
      <c r="B5206" s="23" t="n"/>
      <c r="C5206" s="23" t="n"/>
      <c r="D5206" s="23" t="n"/>
      <c r="E5206" s="23" t="n"/>
    </row>
    <row r="5207" ht="30" customHeight="1">
      <c r="A5207" s="47" t="inlineStr">
        <is>
          <t>Trạng thái</t>
        </is>
      </c>
      <c r="B5207" s="61" t="inlineStr">
        <is>
          <t>Chưa thực hiện</t>
        </is>
      </c>
      <c r="C5207" s="57" t="n"/>
      <c r="D5207" s="57" t="n"/>
      <c r="E5207" s="57" t="n"/>
    </row>
    <row r="5208" ht="30" customHeight="1">
      <c r="A5208" s="47" t="inlineStr">
        <is>
          <t>Màn hình / chức năng</t>
        </is>
      </c>
      <c r="B5208" s="47" t="inlineStr">
        <is>
          <t>Công khai thành tích（成績公開）</t>
        </is>
      </c>
      <c r="C5208" s="57" t="n"/>
      <c r="D5208" s="47" t="inlineStr">
        <is>
          <t>Đường dẫn</t>
        </is>
      </c>
      <c r="E5208" s="56" t="inlineStr">
        <is>
          <t>Chưa xác minh</t>
        </is>
      </c>
    </row>
    <row r="5209" ht="30" customHeight="1">
      <c r="A5209" s="58" t="inlineStr">
        <is>
          <t>Điều kiện kiểm thử</t>
        </is>
      </c>
      <c r="B5209" s="59" t="n"/>
      <c r="C5209" s="59" t="n"/>
      <c r="D5209" s="59" t="n"/>
      <c r="E5209" s="59" t="n"/>
    </row>
    <row r="5210" ht="44" customHeight="1">
      <c r="A5210" s="47" t="inlineStr">
        <is>
          <t>Cấu hình</t>
        </is>
      </c>
      <c r="B5210" s="56" t="inlineStr">
        <is>
          <t>• Có một cấu hình công khai chứa cả mục điểm thường và mục điểm đơn vị;
• Tài khoản có quyền sửa cấu hình công khai.</t>
        </is>
      </c>
      <c r="C5210" s="57" t="n"/>
      <c r="D5210" s="57" t="n"/>
      <c r="E5210" s="57" t="n"/>
    </row>
    <row r="5211" ht="61" customHeight="1">
      <c r="A5211" s="47" t="inlineStr">
        <is>
          <t>Vai trò / quyền</t>
        </is>
      </c>
      <c r="B521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211" s="57" t="n"/>
      <c r="D5211" s="57" t="n"/>
      <c r="E5211" s="57" t="n"/>
    </row>
    <row r="5212" ht="44" customHeight="1">
      <c r="A5212" s="47" t="inlineStr">
        <is>
          <t>Dữ liệu test</t>
        </is>
      </c>
      <c r="B5212" s="56" t="inlineStr">
        <is>
          <t>• Mục thường và mục đơn vị cùng có kết quả đỏ;
• Lựa chọn hiển thị khác nhau cho hai loại.</t>
        </is>
      </c>
      <c r="C5212" s="57" t="n"/>
      <c r="D5212" s="57" t="n"/>
      <c r="E5212" s="57" t="n"/>
    </row>
    <row r="5213" ht="30" customHeight="1">
      <c r="A5213" s="47" t="inlineStr">
        <is>
          <t>Trigger</t>
        </is>
      </c>
      <c r="B5213" s="56" t="inlineStr">
        <is>
          <t>• Chỉ xem/xuất không tự chạy xét.</t>
        </is>
      </c>
      <c r="C5213" s="57" t="n"/>
      <c r="D5213" s="57" t="n"/>
      <c r="E5213" s="57" t="n"/>
    </row>
    <row r="5214" ht="44" customHeight="1">
      <c r="A5214" s="47" t="inlineStr">
        <is>
          <t>Blocker</t>
        </is>
      </c>
      <c r="B5214" s="56" t="inlineStr">
        <is>
          <t>• G-PREP-UNASSESSED: Chưa có xác minh fixture, đường thực hiện và phép quan sát trên build của từng case chưa đánh giá.</t>
        </is>
      </c>
      <c r="C5214" s="57" t="n"/>
      <c r="D5214" s="57" t="n"/>
      <c r="E5214" s="57" t="n"/>
    </row>
    <row r="5215" ht="30" customHeight="1">
      <c r="A5215" s="58" t="inlineStr">
        <is>
          <t>Thao tác</t>
        </is>
      </c>
      <c r="B5215" s="59" t="n"/>
      <c r="C5215" s="59" t="n"/>
      <c r="D5215" s="59" t="n"/>
      <c r="E5215" s="59" t="n"/>
    </row>
    <row r="5216" ht="30" customHeight="1">
      <c r="A5216" s="47" t="inlineStr">
        <is>
          <t>Step 1</t>
        </is>
      </c>
      <c r="B5216" s="56" t="inlineStr">
        <is>
          <t>Mở màn hình cấu hình công khai và đến khu vực hiển thị điểm đỏ.</t>
        </is>
      </c>
      <c r="C5216" s="57" t="n"/>
      <c r="D5216" s="57" t="n"/>
      <c r="E5216" s="57" t="n"/>
    </row>
    <row r="5217" ht="30" customHeight="1">
      <c r="A5217" s="47" t="inlineStr">
        <is>
          <t>Step 2</t>
        </is>
      </c>
      <c r="B5217" s="56" t="inlineStr">
        <is>
          <t>Kiểm tra panel điểm thường và panel điểm đơn vị.</t>
        </is>
      </c>
      <c r="C5217" s="57" t="n"/>
      <c r="D5217" s="57" t="n"/>
      <c r="E5217" s="57" t="n"/>
    </row>
    <row r="5218" ht="30" customHeight="1">
      <c r="A5218" s="47" t="inlineStr">
        <is>
          <t>Step 3</t>
        </is>
      </c>
      <c r="B5218" s="56" t="inlineStr">
        <is>
          <t>Chọn hiệu ứng khác nhau cho hai panel, lưu, đóng và mở lại.</t>
        </is>
      </c>
      <c r="C5218" s="57" t="n"/>
      <c r="D5218" s="57" t="n"/>
      <c r="E5218" s="57" t="n"/>
    </row>
    <row r="5219" ht="44" customHeight="1">
      <c r="A5219" s="47" t="inlineStr">
        <is>
          <t>Reset</t>
        </is>
      </c>
      <c r="B5219" s="56" t="inlineStr">
        <is>
          <t>Trước mỗi biến thể, dựng lại điều kiện/dữ liệu đầu của case bằng đường được phép; giữ các reset/fixture độc lập đã nêu trong thủ tục.</t>
        </is>
      </c>
      <c r="C5219" s="57" t="n"/>
      <c r="D5219" s="57" t="n"/>
      <c r="E5219" s="57" t="n"/>
    </row>
    <row r="5220" ht="30" customHeight="1">
      <c r="A5220" s="58" t="inlineStr">
        <is>
          <t>Kết quả mong đợi</t>
        </is>
      </c>
      <c r="B5220" s="59" t="n"/>
      <c r="C5220" s="59" t="n"/>
      <c r="D5220" s="59" t="n"/>
      <c r="E5220" s="59" t="n"/>
    </row>
    <row r="5221" ht="30" customHeight="1">
      <c r="A5221" s="47" t="inlineStr">
        <is>
          <t>1.</t>
        </is>
      </c>
      <c r="B5221" s="56" t="inlineStr">
        <is>
          <t>Cả hai panel đều hiển thị bộ chọn tương ứng; panel điểm đơn vị không bị nền hoặc lớp khác che.</t>
        </is>
      </c>
      <c r="C5221" s="57" t="n"/>
      <c r="D5221" s="57" t="n"/>
      <c r="E5221" s="57" t="n"/>
    </row>
    <row r="5222" ht="30" customHeight="1">
      <c r="A5222" s="47" t="inlineStr">
        <is>
          <t>2.</t>
        </is>
      </c>
      <c r="B5222" s="56" t="inlineStr">
        <is>
          <t>Có thể thao tác hai bộ chọn độc lập.</t>
        </is>
      </c>
      <c r="C5222" s="57" t="n"/>
      <c r="D5222" s="57" t="n"/>
      <c r="E5222" s="57" t="n"/>
    </row>
    <row r="5223" ht="44" customHeight="1">
      <c r="A5223" s="47" t="inlineStr">
        <is>
          <t>3.</t>
        </is>
      </c>
      <c r="B5223" s="56" t="inlineStr">
        <is>
          <t>Sau khi mở lại, mỗi panel giữ đúng lựa chọn của mình; lựa chọn điểm thường không ghi đè lựa chọn điểm đơn vị và ngược lại.</t>
        </is>
      </c>
      <c r="C5223" s="57" t="n"/>
      <c r="D5223" s="57" t="n"/>
      <c r="E5223" s="57" t="n"/>
    </row>
    <row r="5224" ht="44" customHeight="1">
      <c r="A5224" s="47" t="inlineStr">
        <is>
          <t>Giữ nguyên</t>
        </is>
      </c>
      <c r="B5224" s="56" t="inlineStr">
        <is>
          <t>• Giữ điểm, cấu hình và đối tượng không đích theo expected;
• Chỉ thay phần thủ tục yêu cầu, không tự đổi oracle hoặc mở rộng phạm vi.</t>
        </is>
      </c>
      <c r="C5224" s="57" t="n"/>
      <c r="D5224" s="57" t="n"/>
      <c r="E5224" s="57" t="n"/>
    </row>
    <row r="5225" ht="61" customHeight="1">
      <c r="A5225" s="47" t="inlineStr">
        <is>
          <t>Quan sát tại</t>
        </is>
      </c>
      <c r="B5225" s="56" t="inlineStr">
        <is>
          <t>• Dùng trích xuất không lọc để thấy cả ô đối chứng. Trạng thái không có dấu đỏ cần đọc thêm trạng thái lưu;
• Output Excel/PDF dùng file thật.</t>
        </is>
      </c>
      <c r="C5225" s="57" t="n"/>
      <c r="D5225" s="57" t="n"/>
      <c r="E5225" s="57" t="n"/>
    </row>
    <row r="5226" ht="30" customHeight="1">
      <c r="A5226" s="58" t="inlineStr">
        <is>
          <t>Kết quả thực tế</t>
        </is>
      </c>
      <c r="B5226" s="59" t="n"/>
      <c r="C5226" s="59" t="n"/>
      <c r="D5226" s="59" t="n"/>
      <c r="E5226" s="59" t="n"/>
    </row>
    <row r="5227" ht="30" customHeight="1">
      <c r="A5227" s="47" t="inlineStr">
        <is>
          <t>Dữ liệu biến thể</t>
        </is>
      </c>
      <c r="B5227" s="56" t="inlineStr">
        <is>
          <t>Toàn bộ thủ tục theo đúng thứ tự; các đối chứng cùng fixture được kiểm trong cùng lượt, không bỏ bước</t>
        </is>
      </c>
      <c r="C5227" s="57" t="n"/>
      <c r="D5227" s="57" t="n"/>
      <c r="E5227" s="57" t="n"/>
    </row>
    <row r="5228" ht="30" customHeight="1">
      <c r="A5228" s="62" t="inlineStr">
        <is>
          <t>Kết quả thực tế</t>
        </is>
      </c>
    </row>
    <row r="5229" ht="64" customHeight="1">
      <c r="A5229" s="63" t="inlineStr"/>
      <c r="B5229" s="64" t="n"/>
      <c r="C5229" s="64" t="n"/>
      <c r="D5229" s="64" t="n"/>
      <c r="E5229" s="65" t="n"/>
    </row>
    <row r="5230" ht="30" customHeight="1">
      <c r="A5230" s="62" t="inlineStr">
        <is>
          <t>Ảnh minh chứng</t>
        </is>
      </c>
    </row>
    <row r="5231" ht="90" customHeight="1">
      <c r="A5231" s="63" t="inlineStr"/>
      <c r="B5231" s="64" t="n"/>
      <c r="C5231" s="64" t="n"/>
      <c r="D5231" s="64" t="n"/>
      <c r="E5231" s="65" t="n"/>
    </row>
    <row r="5232" ht="12" customHeight="1">
      <c r="A5232" s="66" t="inlineStr"/>
    </row>
    <row r="5233" ht="20" customHeight="1">
      <c r="A5233" s="66" t="inlineStr"/>
    </row>
    <row r="5234" ht="30" customHeight="1">
      <c r="A5234" s="46" t="inlineStr">
        <is>
          <t>TC-RS-REG-007 — Công khai: hiệu ứng Điểm dự kiến（見込点） và thiết lập khác được giữ</t>
        </is>
      </c>
      <c r="B5234" s="23" t="n"/>
      <c r="C5234" s="23" t="n"/>
      <c r="D5234" s="23" t="n"/>
      <c r="E5234" s="23" t="n"/>
    </row>
    <row r="5235" ht="30" customHeight="1">
      <c r="A5235" s="47" t="inlineStr">
        <is>
          <t>Trạng thái</t>
        </is>
      </c>
      <c r="B5235" s="61" t="inlineStr">
        <is>
          <t>Chưa thực hiện</t>
        </is>
      </c>
      <c r="C5235" s="57" t="n"/>
      <c r="D5235" s="57" t="n"/>
      <c r="E5235" s="57" t="n"/>
    </row>
    <row r="5236" ht="30" customHeight="1">
      <c r="A5236" s="47" t="inlineStr">
        <is>
          <t>Màn hình / chức năng</t>
        </is>
      </c>
      <c r="B5236" s="47" t="inlineStr">
        <is>
          <t>Công khai thành tích（成績公開）</t>
        </is>
      </c>
      <c r="C5236" s="57" t="n"/>
      <c r="D5236" s="47" t="inlineStr">
        <is>
          <t>Đường dẫn</t>
        </is>
      </c>
      <c r="E5236" s="56" t="inlineStr">
        <is>
          <t>Chưa xác minh</t>
        </is>
      </c>
    </row>
    <row r="5237" ht="30" customHeight="1">
      <c r="A5237" s="58" t="inlineStr">
        <is>
          <t>Điều kiện kiểm thử</t>
        </is>
      </c>
      <c r="B5237" s="59" t="n"/>
      <c r="C5237" s="59" t="n"/>
      <c r="D5237" s="59" t="n"/>
      <c r="E5237" s="59" t="n"/>
    </row>
    <row r="5238" ht="44" customHeight="1">
      <c r="A5238" s="47" t="inlineStr">
        <is>
          <t>Cấu hình</t>
        </is>
      </c>
      <c r="B5238" s="56" t="inlineStr">
        <is>
          <t>• Cấu hình công khai: “*” phía trước. S06 (dự kiến, Đỏ). Một học sinh khác có điểm dự kiến, Không đỏ. Baseline màn học sinh.</t>
        </is>
      </c>
      <c r="C5238" s="57" t="n"/>
      <c r="D5238" s="57" t="n"/>
      <c r="E5238" s="57" t="n"/>
    </row>
    <row r="5239" ht="61" customHeight="1">
      <c r="A5239" s="47" t="inlineStr">
        <is>
          <t>Vai trò / quyền</t>
        </is>
      </c>
      <c r="B523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239" s="57" t="n"/>
      <c r="D5239" s="57" t="n"/>
      <c r="E5239" s="57" t="n"/>
    </row>
    <row r="5240" ht="44" customHeight="1">
      <c r="A5240" s="47" t="inlineStr">
        <is>
          <t>Dữ liệu test</t>
        </is>
      </c>
      <c r="B5240" s="56" t="inlineStr">
        <is>
          <t>• Cấu hình công khai: “*” phía trước;
• Học sinh S06 (điểm dự kiến 24)</t>
        </is>
      </c>
      <c r="C5240" s="57" t="n"/>
      <c r="D5240" s="57" t="n"/>
      <c r="E5240" s="57" t="n"/>
    </row>
    <row r="5241" ht="30" customHeight="1">
      <c r="A5241" s="47" t="inlineStr">
        <is>
          <t>Trigger</t>
        </is>
      </c>
      <c r="B5241" s="56" t="inlineStr">
        <is>
          <t>• Chỉ xem/xuất không tự chạy xét.</t>
        </is>
      </c>
      <c r="C5241" s="57" t="n"/>
      <c r="D5241" s="57" t="n"/>
      <c r="E5241" s="57" t="n"/>
    </row>
    <row r="5242" ht="44" customHeight="1">
      <c r="A5242" s="47" t="inlineStr">
        <is>
          <t>Blocker</t>
        </is>
      </c>
      <c r="B5242" s="56" t="inlineStr">
        <is>
          <t>• G-PREP-UNASSESSED: Chưa có xác minh fixture, đường thực hiện và phép quan sát trên build của từng case chưa đánh giá.</t>
        </is>
      </c>
      <c r="C5242" s="57" t="n"/>
      <c r="D5242" s="57" t="n"/>
      <c r="E5242" s="57" t="n"/>
    </row>
    <row r="5243" ht="30" customHeight="1">
      <c r="A5243" s="58" t="inlineStr">
        <is>
          <t>Thao tác</t>
        </is>
      </c>
      <c r="B5243" s="59" t="n"/>
      <c r="C5243" s="59" t="n"/>
      <c r="D5243" s="59" t="n"/>
      <c r="E5243" s="59" t="n"/>
    </row>
    <row r="5244" ht="30" customHeight="1">
      <c r="A5244" s="47" t="inlineStr">
        <is>
          <t>Step 1</t>
        </is>
      </c>
      <c r="B5244" s="56" t="inlineStr">
        <is>
          <t>Xem màn học sinh.</t>
        </is>
      </c>
      <c r="C5244" s="57" t="n"/>
      <c r="D5244" s="57" t="n"/>
      <c r="E5244" s="57" t="n"/>
    </row>
    <row r="5245" ht="44" customHeight="1">
      <c r="A5245" s="47" t="inlineStr">
        <is>
          <t>Step 2</t>
        </is>
      </c>
      <c r="B5245" s="56" t="inlineStr">
        <is>
          <t>Làm S06 chuyển Chưa xét được (như case “Chưa có kết quả tổng hợp → Chưa xét được, không thay bằng 0 hay nhóm khác”), xem lại.</t>
        </is>
      </c>
      <c r="C5245" s="57" t="n"/>
      <c r="D5245" s="57" t="n"/>
      <c r="E5245" s="57" t="n"/>
    </row>
    <row r="5246" ht="30" customHeight="1">
      <c r="A5246" s="47" t="inlineStr">
        <is>
          <t>Step 3</t>
        </is>
      </c>
      <c r="B5246" s="56" t="inlineStr">
        <is>
          <t>Xóa quy tắc cuối, mở Thiết lập công khai thành tích（成績公開設定）.</t>
        </is>
      </c>
      <c r="C5246" s="57" t="n"/>
      <c r="D5246" s="57" t="n"/>
      <c r="E5246" s="57" t="n"/>
    </row>
    <row r="5247" ht="44" customHeight="1">
      <c r="A5247" s="47" t="inlineStr">
        <is>
          <t>Reset</t>
        </is>
      </c>
      <c r="B5247" s="56" t="inlineStr">
        <is>
          <t>Trước mỗi biến thể, dựng lại điều kiện/dữ liệu đầu của case bằng đường được phép; giữ các reset/fixture độc lập đã nêu trong thủ tục.</t>
        </is>
      </c>
      <c r="C5247" s="57" t="n"/>
      <c r="D5247" s="57" t="n"/>
      <c r="E5247" s="57" t="n"/>
    </row>
    <row r="5248" ht="30" customHeight="1">
      <c r="A5248" s="58" t="inlineStr">
        <is>
          <t>Kết quả mong đợi</t>
        </is>
      </c>
      <c r="B5248" s="59" t="n"/>
      <c r="C5248" s="59" t="n"/>
      <c r="D5248" s="59" t="n"/>
      <c r="E5248" s="59" t="n"/>
    </row>
    <row r="5249" ht="30" customHeight="1">
      <c r="A5249" s="47" t="inlineStr">
        <is>
          <t>1.</t>
        </is>
      </c>
      <c r="B5249" s="56" t="inlineStr">
        <is>
          <t>Học sinh Không đỏ hiển thị như baseline (ngoặc dự kiến).</t>
        </is>
      </c>
      <c r="C5249" s="57" t="n"/>
      <c r="D5249" s="57" t="n"/>
      <c r="E5249" s="57" t="n"/>
    </row>
    <row r="5250" ht="30" customHeight="1">
      <c r="A5250" s="47" t="inlineStr">
        <is>
          <t>2.</t>
        </is>
      </c>
      <c r="B5250" s="56" t="inlineStr">
        <is>
          <t>S06 bỏ [*] đỏ nhưng giữ ngoặc dự kiến: [(24)].</t>
        </is>
      </c>
      <c r="C5250" s="57" t="n"/>
      <c r="D5250" s="57" t="n"/>
      <c r="E5250" s="57" t="n"/>
    </row>
    <row r="5251" ht="30" customHeight="1">
      <c r="A5251" s="47" t="inlineStr">
        <is>
          <t>3.</t>
        </is>
      </c>
      <c r="B5251" s="56" t="inlineStr">
        <is>
          <t>Cấu hình hiển thị đã lưu không bị xóa. Nền và định dạng khác như baseline.</t>
        </is>
      </c>
      <c r="C5251" s="57" t="n"/>
      <c r="D5251" s="57" t="n"/>
      <c r="E5251" s="57" t="n"/>
    </row>
    <row r="5252" ht="44" customHeight="1">
      <c r="A5252" s="47" t="inlineStr">
        <is>
          <t>Giữ nguyên</t>
        </is>
      </c>
      <c r="B5252" s="56" t="inlineStr">
        <is>
          <t>• Giữ điểm, cấu hình và đối tượng không đích theo expected;
• Chỉ thay phần thủ tục yêu cầu, không tự đổi oracle hoặc mở rộng phạm vi.</t>
        </is>
      </c>
      <c r="C5252" s="57" t="n"/>
      <c r="D5252" s="57" t="n"/>
      <c r="E5252" s="57" t="n"/>
    </row>
    <row r="5253" ht="61" customHeight="1">
      <c r="A5253" s="47" t="inlineStr">
        <is>
          <t>Quan sát tại</t>
        </is>
      </c>
      <c r="B5253" s="56" t="inlineStr">
        <is>
          <t>• Dùng trích xuất không lọc để thấy cả ô đối chứng. Trạng thái không có dấu đỏ cần đọc thêm trạng thái lưu;
• Output Excel/PDF dùng file thật.</t>
        </is>
      </c>
      <c r="C5253" s="57" t="n"/>
      <c r="D5253" s="57" t="n"/>
      <c r="E5253" s="57" t="n"/>
    </row>
    <row r="5254" ht="30" customHeight="1">
      <c r="A5254" s="58" t="inlineStr">
        <is>
          <t>Kết quả thực tế</t>
        </is>
      </c>
      <c r="B5254" s="59" t="n"/>
      <c r="C5254" s="59" t="n"/>
      <c r="D5254" s="59" t="n"/>
      <c r="E5254" s="59" t="n"/>
    </row>
    <row r="5255" ht="30" customHeight="1">
      <c r="A5255" s="47" t="inlineStr">
        <is>
          <t>Dữ liệu biến thể</t>
        </is>
      </c>
      <c r="B5255" s="56" t="inlineStr">
        <is>
          <t>Toàn bộ thủ tục theo đúng thứ tự; các đối chứng cùng fixture được kiểm trong cùng lượt, không bỏ bước</t>
        </is>
      </c>
      <c r="C5255" s="57" t="n"/>
      <c r="D5255" s="57" t="n"/>
      <c r="E5255" s="57" t="n"/>
    </row>
    <row r="5256" ht="30" customHeight="1">
      <c r="A5256" s="62" t="inlineStr">
        <is>
          <t>Kết quả thực tế</t>
        </is>
      </c>
    </row>
    <row r="5257" ht="64" customHeight="1">
      <c r="A5257" s="63" t="inlineStr"/>
      <c r="B5257" s="64" t="n"/>
      <c r="C5257" s="64" t="n"/>
      <c r="D5257" s="64" t="n"/>
      <c r="E5257" s="65" t="n"/>
    </row>
    <row r="5258" ht="30" customHeight="1">
      <c r="A5258" s="62" t="inlineStr">
        <is>
          <t>Ảnh minh chứng</t>
        </is>
      </c>
    </row>
    <row r="5259" ht="90" customHeight="1">
      <c r="A5259" s="63" t="inlineStr"/>
      <c r="B5259" s="64" t="n"/>
      <c r="C5259" s="64" t="n"/>
      <c r="D5259" s="64" t="n"/>
      <c r="E5259" s="65" t="n"/>
    </row>
    <row r="5260" ht="12" customHeight="1">
      <c r="A5260" s="66" t="inlineStr"/>
    </row>
    <row r="5261" ht="20" customHeight="1">
      <c r="A5261" s="66" t="inlineStr"/>
    </row>
    <row r="5262" ht="30" customHeight="1">
      <c r="A5262" s="46" t="inlineStr">
        <is>
          <t>TC-RS-REG-008 — Công khai: điểm ẩn, lịch và đối tượng công khai được giữ</t>
        </is>
      </c>
      <c r="B5262" s="23" t="n"/>
      <c r="C5262" s="23" t="n"/>
      <c r="D5262" s="23" t="n"/>
      <c r="E5262" s="23" t="n"/>
    </row>
    <row r="5263" ht="30" customHeight="1">
      <c r="A5263" s="47" t="inlineStr">
        <is>
          <t>Trạng thái</t>
        </is>
      </c>
      <c r="B5263" s="56">
        <f>IF(SUMPRODUCT(--EXACT('Testcases'!B5282:B5322,"Không đạt"),--(LEN(SUBSTITUTE(SUBSTITUTE(SUBSTITUTE(SUBSTITUTE(SUBSTITUTE(SUBSTITUTE(SUBSTITUTE(SUBSTITUTE(SUBSTITUTE(SUBSTITUTE(SUBSTITUTE(SUBSTITUTE(SUBSTITUTE(SUBSTITUTE(SUBSTITUTE(SUBSTITUTE(SUBSTITUTE(SUBSTITUTE(SUBSTITUTE(SUBSTITUTE(CLEAN('Testcases'!A5284:A5324)," ",""),"","")," ","")," ","")," ","")," ","")," ","")," ","")," ","")," ","")," ","")," ","")," ","")," ","")," ","")," ","")," ","")," ","")," ",""),"　",""))&gt;0))&gt;0,"Không đạt",IF(SUMPRODUCT(--EXACT('Testcases'!B5282:B5322,"Đạt"),--(LEN(SUBSTITUTE(SUBSTITUTE(SUBSTITUTE(SUBSTITUTE(SUBSTITUTE(SUBSTITUTE(SUBSTITUTE(SUBSTITUTE(SUBSTITUTE(SUBSTITUTE(SUBSTITUTE(SUBSTITUTE(SUBSTITUTE(SUBSTITUTE(SUBSTITUTE(SUBSTITUTE(SUBSTITUTE(SUBSTITUTE(SUBSTITUTE(SUBSTITUTE(CLEAN('Testcases'!A5284:A5324)," ",""),"","")," ","")," ","")," ","")," ","")," ","")," ","")," ","")," ","")," ","")," ","")," ","")," ","")," ","")," ","")," ","")," ","")," ",""),"　",""))&gt;0))=6,"Đạt",IF(SUMPRODUCT(--EXACT('Testcases'!B5282:B5322,"Không thực hiện"))=6,"Không thực hiện",IF(SUMPRODUCT(--EXACT('Testcases'!B5282:B5322,"Bị chặn"))&gt;0,"Bị chặn",IF(SUMPRODUCT(--EXACT('Testcases'!B5282:B5322,"Chưa thực hiện"))=6,"Chưa thực hiện","Chưa đủ kết luận")))))</f>
        <v/>
      </c>
      <c r="C5263" s="57" t="n"/>
      <c r="D5263" s="57" t="n"/>
      <c r="E5263" s="57" t="n"/>
    </row>
    <row r="5264" ht="30" customHeight="1">
      <c r="A5264" s="47" t="inlineStr">
        <is>
          <t>Màn hình / chức năng</t>
        </is>
      </c>
      <c r="B5264" s="47" t="inlineStr">
        <is>
          <t>Công khai thành tích（成績公開）</t>
        </is>
      </c>
      <c r="C5264" s="57" t="n"/>
      <c r="D5264" s="47" t="inlineStr">
        <is>
          <t>Đường dẫn</t>
        </is>
      </c>
      <c r="E5264" s="56" t="inlineStr">
        <is>
          <t>Chưa xác minh</t>
        </is>
      </c>
    </row>
    <row r="5265" ht="30" customHeight="1">
      <c r="A5265" s="58" t="inlineStr">
        <is>
          <t>Điều kiện kiểm thử</t>
        </is>
      </c>
      <c r="B5265" s="59" t="n"/>
      <c r="C5265" s="59" t="n"/>
      <c r="D5265" s="59" t="n"/>
      <c r="E5265" s="59" t="n"/>
    </row>
    <row r="5266" ht="61" customHeight="1">
      <c r="A5266" s="47" t="inlineStr">
        <is>
          <t>Cấu hình</t>
        </is>
      </c>
      <c r="B5266" s="56" t="inlineStr">
        <is>
          <t>• S06 Đỏ, mục đặt Không hiển thị（表示しない） cho điểm dự kiến;
• Lịch công khai đang mở cho HR2;
• Một lịch đã đóng.</t>
        </is>
      </c>
      <c r="C5266" s="57" t="n"/>
      <c r="D5266" s="57" t="n"/>
      <c r="E5266" s="57" t="n"/>
    </row>
    <row r="5267" ht="44" customHeight="1">
      <c r="A5267" s="47" t="inlineStr">
        <is>
          <t>Vai trò / quyền</t>
        </is>
      </c>
      <c r="B5267" s="56" t="inlineStr">
        <is>
          <t>• Người có quyền cấu hình công khai;
• Xem bằng tài khoản học sinh S06 đúng trường/năm/lịch mở.</t>
        </is>
      </c>
      <c r="C5267" s="57" t="n"/>
      <c r="D5267" s="57" t="n"/>
      <c r="E5267" s="57" t="n"/>
    </row>
    <row r="5268" ht="44" customHeight="1">
      <c r="A5268" s="47" t="inlineStr">
        <is>
          <t>Dữ liệu test</t>
        </is>
      </c>
      <c r="B5268" s="56" t="inlineStr">
        <is>
          <t>• Học sinh S06 (điểm dự kiến 24), tài khoản học sinh S06 theo TD-ROLE-06;
• TD-ROLE-05 thuộc S01 và không dùng cho case này.</t>
        </is>
      </c>
      <c r="C5268" s="57" t="n"/>
      <c r="D5268" s="57" t="n"/>
      <c r="E5268" s="57" t="n"/>
    </row>
    <row r="5269" ht="30" customHeight="1">
      <c r="A5269" s="47" t="inlineStr">
        <is>
          <t>Trigger</t>
        </is>
      </c>
      <c r="B5269" s="56" t="inlineStr">
        <is>
          <t>• Chỉ xem/xuất không tự chạy xét.</t>
        </is>
      </c>
      <c r="C5269" s="57" t="n"/>
      <c r="D5269" s="57" t="n"/>
      <c r="E5269" s="57" t="n"/>
    </row>
    <row r="5270" ht="30" customHeight="1">
      <c r="A5270" s="58" t="inlineStr">
        <is>
          <t>Thao tác</t>
        </is>
      </c>
      <c r="B5270" s="59" t="n"/>
      <c r="C5270" s="59" t="n"/>
      <c r="D5270" s="59" t="n"/>
      <c r="E5270" s="59" t="n"/>
    </row>
    <row r="5271" ht="30" customHeight="1">
      <c r="A5271" s="47" t="inlineStr">
        <is>
          <t>Step 1</t>
        </is>
      </c>
      <c r="B5271" s="56" t="inlineStr">
        <is>
          <t>Xem màn học sinh, API, PDF của S06.</t>
        </is>
      </c>
      <c r="C5271" s="57" t="n"/>
      <c r="D5271" s="57" t="n"/>
      <c r="E5271" s="57" t="n"/>
    </row>
    <row r="5272" ht="30" customHeight="1">
      <c r="A5272" s="47" t="inlineStr">
        <is>
          <t>Step 2</t>
        </is>
      </c>
      <c r="B5272" s="56" t="inlineStr">
        <is>
          <t>Xem khi lịch đóng.</t>
        </is>
      </c>
      <c r="C5272" s="57" t="n"/>
      <c r="D5272" s="57" t="n"/>
      <c r="E5272" s="57" t="n"/>
    </row>
    <row r="5273" ht="44" customHeight="1">
      <c r="A5273" s="47" t="inlineStr">
        <is>
          <t>Reset</t>
        </is>
      </c>
      <c r="B5273" s="56" t="inlineStr">
        <is>
          <t>Trước mỗi biến thể, dựng lại điều kiện/dữ liệu đầu của case bằng đường được phép; giữ các reset/fixture độc lập đã nêu trong thủ tục.</t>
        </is>
      </c>
      <c r="C5273" s="57" t="n"/>
      <c r="D5273" s="57" t="n"/>
      <c r="E5273" s="57" t="n"/>
    </row>
    <row r="5274" ht="30" customHeight="1">
      <c r="A5274" s="58" t="inlineStr">
        <is>
          <t>Kết quả mong đợi</t>
        </is>
      </c>
      <c r="B5274" s="59" t="n"/>
      <c r="C5274" s="59" t="n"/>
      <c r="D5274" s="59" t="n"/>
      <c r="E5274" s="59" t="n"/>
    </row>
    <row r="5275" ht="30" customHeight="1">
      <c r="A5275" s="47" t="inlineStr">
        <is>
          <t>1.</t>
        </is>
      </c>
      <c r="B5275" s="56" t="inlineStr">
        <is>
          <t>Điểm vẫn ẩn; không có dấu đỏ riêng lẻ.</t>
        </is>
      </c>
      <c r="C5275" s="57" t="n"/>
      <c r="D5275" s="57" t="n"/>
      <c r="E5275" s="57" t="n"/>
    </row>
    <row r="5276" ht="30" customHeight="1">
      <c r="A5276" s="47" t="inlineStr">
        <is>
          <t>2.</t>
        </is>
      </c>
      <c r="B5276" s="56" t="inlineStr">
        <is>
          <t>Không xem được như baseline.</t>
        </is>
      </c>
      <c r="C5276" s="57" t="n"/>
      <c r="D5276" s="57" t="n"/>
      <c r="E5276" s="57" t="n"/>
    </row>
    <row r="5277" ht="44" customHeight="1">
      <c r="A5277" s="47" t="inlineStr">
        <is>
          <t>Giữ nguyên</t>
        </is>
      </c>
      <c r="B5277" s="56" t="inlineStr">
        <is>
          <t>• Giữ điểm, cấu hình và đối tượng không đích theo expected;
• Chỉ thay phần thủ tục yêu cầu, không tự đổi oracle hoặc mở rộng phạm vi.</t>
        </is>
      </c>
      <c r="C5277" s="57" t="n"/>
      <c r="D5277" s="57" t="n"/>
      <c r="E5277" s="57" t="n"/>
    </row>
    <row r="5278" ht="61" customHeight="1">
      <c r="A5278" s="47" t="inlineStr">
        <is>
          <t>Quan sát tại</t>
        </is>
      </c>
      <c r="B5278" s="56" t="inlineStr">
        <is>
          <t>• Dùng trích xuất không lọc để thấy cả ô đối chứng. Trạng thái không có dấu đỏ cần đọc thêm trạng thái lưu;
• Output Excel/PDF dùng file thật.</t>
        </is>
      </c>
      <c r="C5278" s="57" t="n"/>
      <c r="D5278" s="57" t="n"/>
      <c r="E5278" s="57" t="n"/>
    </row>
    <row r="5279" ht="30" customHeight="1">
      <c r="A5279" s="58" t="inlineStr">
        <is>
          <t>Kết quả thực tế</t>
        </is>
      </c>
      <c r="B5279" s="59" t="n"/>
      <c r="C5279" s="59" t="n"/>
      <c r="D5279" s="59" t="n"/>
      <c r="E5279" s="59" t="n"/>
    </row>
    <row r="5280" ht="30" customHeight="1">
      <c r="A5280" s="60" t="inlineStr">
        <is>
          <t>TC-RS-REG-008 / web-open</t>
        </is>
      </c>
      <c r="B5280" s="36" t="n"/>
      <c r="C5280" s="36" t="n"/>
      <c r="D5280" s="36" t="n"/>
      <c r="E5280" s="36" t="n"/>
    </row>
    <row r="5281" ht="30" customHeight="1">
      <c r="A5281" s="47" t="inlineStr">
        <is>
          <t>Dữ liệu biến thể</t>
        </is>
      </c>
      <c r="B5281" s="56" t="inlineStr">
        <is>
          <t>Màn web lịch mở</t>
        </is>
      </c>
      <c r="C5281" s="57" t="n"/>
      <c r="D5281" s="57" t="n"/>
      <c r="E5281" s="57" t="n"/>
    </row>
    <row r="5282" ht="30" customHeight="1">
      <c r="A5282" s="47" t="inlineStr">
        <is>
          <t>Trạng thái</t>
        </is>
      </c>
      <c r="B5282" s="61" t="inlineStr">
        <is>
          <t>Chưa thực hiện</t>
        </is>
      </c>
      <c r="C5282" s="57" t="n"/>
      <c r="D5282" s="57" t="n"/>
      <c r="E5282" s="57" t="n"/>
    </row>
    <row r="5283" ht="30" customHeight="1">
      <c r="A5283" s="62" t="inlineStr">
        <is>
          <t>Kết quả thực tế</t>
        </is>
      </c>
    </row>
    <row r="5284" ht="64" customHeight="1">
      <c r="A5284" s="63" t="inlineStr"/>
      <c r="B5284" s="64" t="n"/>
      <c r="C5284" s="64" t="n"/>
      <c r="D5284" s="64" t="n"/>
      <c r="E5284" s="65" t="n"/>
    </row>
    <row r="5285" ht="30" customHeight="1">
      <c r="A5285" s="62" t="inlineStr">
        <is>
          <t>Ảnh minh chứng</t>
        </is>
      </c>
    </row>
    <row r="5286" ht="90" customHeight="1">
      <c r="A5286" s="63" t="inlineStr"/>
      <c r="B5286" s="64" t="n"/>
      <c r="C5286" s="64" t="n"/>
      <c r="D5286" s="64" t="n"/>
      <c r="E5286" s="65" t="n"/>
    </row>
    <row r="5287" ht="12" customHeight="1">
      <c r="A5287" s="66" t="inlineStr"/>
    </row>
    <row r="5288" ht="30" customHeight="1">
      <c r="A5288" s="60" t="inlineStr">
        <is>
          <t>TC-RS-REG-008 / api-open</t>
        </is>
      </c>
      <c r="B5288" s="36" t="n"/>
      <c r="C5288" s="36" t="n"/>
      <c r="D5288" s="36" t="n"/>
      <c r="E5288" s="36" t="n"/>
    </row>
    <row r="5289" ht="30" customHeight="1">
      <c r="A5289" s="47" t="inlineStr">
        <is>
          <t>Dữ liệu biến thể</t>
        </is>
      </c>
      <c r="B5289" s="56" t="inlineStr">
        <is>
          <t>API lịch mở</t>
        </is>
      </c>
      <c r="C5289" s="57" t="n"/>
      <c r="D5289" s="57" t="n"/>
      <c r="E5289" s="57" t="n"/>
    </row>
    <row r="5290" ht="30" customHeight="1">
      <c r="A5290" s="47" t="inlineStr">
        <is>
          <t>Trạng thái</t>
        </is>
      </c>
      <c r="B5290" s="61" t="inlineStr">
        <is>
          <t>Chưa thực hiện</t>
        </is>
      </c>
      <c r="C5290" s="57" t="n"/>
      <c r="D5290" s="57" t="n"/>
      <c r="E5290" s="57" t="n"/>
    </row>
    <row r="5291" ht="30" customHeight="1">
      <c r="A5291" s="62" t="inlineStr">
        <is>
          <t>Kết quả thực tế</t>
        </is>
      </c>
    </row>
    <row r="5292" ht="64" customHeight="1">
      <c r="A5292" s="63" t="inlineStr"/>
      <c r="B5292" s="64" t="n"/>
      <c r="C5292" s="64" t="n"/>
      <c r="D5292" s="64" t="n"/>
      <c r="E5292" s="65" t="n"/>
    </row>
    <row r="5293" ht="30" customHeight="1">
      <c r="A5293" s="62" t="inlineStr">
        <is>
          <t>Ảnh minh chứng</t>
        </is>
      </c>
    </row>
    <row r="5294" ht="90" customHeight="1">
      <c r="A5294" s="63" t="inlineStr"/>
      <c r="B5294" s="64" t="n"/>
      <c r="C5294" s="64" t="n"/>
      <c r="D5294" s="64" t="n"/>
      <c r="E5294" s="65" t="n"/>
    </row>
    <row r="5295" ht="12" customHeight="1">
      <c r="A5295" s="66" t="inlineStr"/>
    </row>
    <row r="5296" ht="30" customHeight="1">
      <c r="A5296" s="60" t="inlineStr">
        <is>
          <t>TC-RS-REG-008 / pdf-open</t>
        </is>
      </c>
      <c r="B5296" s="36" t="n"/>
      <c r="C5296" s="36" t="n"/>
      <c r="D5296" s="36" t="n"/>
      <c r="E5296" s="36" t="n"/>
    </row>
    <row r="5297" ht="30" customHeight="1">
      <c r="A5297" s="47" t="inlineStr">
        <is>
          <t>Dữ liệu biến thể</t>
        </is>
      </c>
      <c r="B5297" s="56" t="inlineStr">
        <is>
          <t>PDF lịch mở</t>
        </is>
      </c>
      <c r="C5297" s="57" t="n"/>
      <c r="D5297" s="57" t="n"/>
      <c r="E5297" s="57" t="n"/>
    </row>
    <row r="5298" ht="30" customHeight="1">
      <c r="A5298" s="47" t="inlineStr">
        <is>
          <t>Trạng thái</t>
        </is>
      </c>
      <c r="B5298" s="61" t="inlineStr">
        <is>
          <t>Chưa thực hiện</t>
        </is>
      </c>
      <c r="C5298" s="57" t="n"/>
      <c r="D5298" s="57" t="n"/>
      <c r="E5298" s="57" t="n"/>
    </row>
    <row r="5299" ht="30" customHeight="1">
      <c r="A5299" s="62" t="inlineStr">
        <is>
          <t>Kết quả thực tế</t>
        </is>
      </c>
    </row>
    <row r="5300" ht="64" customHeight="1">
      <c r="A5300" s="63" t="inlineStr"/>
      <c r="B5300" s="64" t="n"/>
      <c r="C5300" s="64" t="n"/>
      <c r="D5300" s="64" t="n"/>
      <c r="E5300" s="65" t="n"/>
    </row>
    <row r="5301" ht="30" customHeight="1">
      <c r="A5301" s="62" t="inlineStr">
        <is>
          <t>Ảnh minh chứng</t>
        </is>
      </c>
    </row>
    <row r="5302" ht="90" customHeight="1">
      <c r="A5302" s="63" t="inlineStr"/>
      <c r="B5302" s="64" t="n"/>
      <c r="C5302" s="64" t="n"/>
      <c r="D5302" s="64" t="n"/>
      <c r="E5302" s="65" t="n"/>
    </row>
    <row r="5303" ht="12" customHeight="1">
      <c r="A5303" s="66" t="inlineStr"/>
    </row>
    <row r="5304" ht="30" customHeight="1">
      <c r="A5304" s="60" t="inlineStr">
        <is>
          <t>TC-RS-REG-008 / web-closed</t>
        </is>
      </c>
      <c r="B5304" s="36" t="n"/>
      <c r="C5304" s="36" t="n"/>
      <c r="D5304" s="36" t="n"/>
      <c r="E5304" s="36" t="n"/>
    </row>
    <row r="5305" ht="30" customHeight="1">
      <c r="A5305" s="47" t="inlineStr">
        <is>
          <t>Dữ liệu biến thể</t>
        </is>
      </c>
      <c r="B5305" s="56" t="inlineStr">
        <is>
          <t>Màn web lịch đóng</t>
        </is>
      </c>
      <c r="C5305" s="57" t="n"/>
      <c r="D5305" s="57" t="n"/>
      <c r="E5305" s="57" t="n"/>
    </row>
    <row r="5306" ht="30" customHeight="1">
      <c r="A5306" s="47" t="inlineStr">
        <is>
          <t>Trạng thái</t>
        </is>
      </c>
      <c r="B5306" s="61" t="inlineStr">
        <is>
          <t>Chưa thực hiện</t>
        </is>
      </c>
      <c r="C5306" s="57" t="n"/>
      <c r="D5306" s="57" t="n"/>
      <c r="E5306" s="57" t="n"/>
    </row>
    <row r="5307" ht="30" customHeight="1">
      <c r="A5307" s="62" t="inlineStr">
        <is>
          <t>Kết quả thực tế</t>
        </is>
      </c>
    </row>
    <row r="5308" ht="64" customHeight="1">
      <c r="A5308" s="63" t="inlineStr"/>
      <c r="B5308" s="64" t="n"/>
      <c r="C5308" s="64" t="n"/>
      <c r="D5308" s="64" t="n"/>
      <c r="E5308" s="65" t="n"/>
    </row>
    <row r="5309" ht="30" customHeight="1">
      <c r="A5309" s="62" t="inlineStr">
        <is>
          <t>Ảnh minh chứng</t>
        </is>
      </c>
    </row>
    <row r="5310" ht="90" customHeight="1">
      <c r="A5310" s="63" t="inlineStr"/>
      <c r="B5310" s="64" t="n"/>
      <c r="C5310" s="64" t="n"/>
      <c r="D5310" s="64" t="n"/>
      <c r="E5310" s="65" t="n"/>
    </row>
    <row r="5311" ht="12" customHeight="1">
      <c r="A5311" s="66" t="inlineStr"/>
    </row>
    <row r="5312" ht="30" customHeight="1">
      <c r="A5312" s="60" t="inlineStr">
        <is>
          <t>TC-RS-REG-008 / api-closed</t>
        </is>
      </c>
      <c r="B5312" s="36" t="n"/>
      <c r="C5312" s="36" t="n"/>
      <c r="D5312" s="36" t="n"/>
      <c r="E5312" s="36" t="n"/>
    </row>
    <row r="5313" ht="30" customHeight="1">
      <c r="A5313" s="47" t="inlineStr">
        <is>
          <t>Dữ liệu biến thể</t>
        </is>
      </c>
      <c r="B5313" s="56" t="inlineStr">
        <is>
          <t>API lịch đóng</t>
        </is>
      </c>
      <c r="C5313" s="57" t="n"/>
      <c r="D5313" s="57" t="n"/>
      <c r="E5313" s="57" t="n"/>
    </row>
    <row r="5314" ht="30" customHeight="1">
      <c r="A5314" s="47" t="inlineStr">
        <is>
          <t>Trạng thái</t>
        </is>
      </c>
      <c r="B5314" s="61" t="inlineStr">
        <is>
          <t>Chưa thực hiện</t>
        </is>
      </c>
      <c r="C5314" s="57" t="n"/>
      <c r="D5314" s="57" t="n"/>
      <c r="E5314" s="57" t="n"/>
    </row>
    <row r="5315" ht="30" customHeight="1">
      <c r="A5315" s="62" t="inlineStr">
        <is>
          <t>Kết quả thực tế</t>
        </is>
      </c>
    </row>
    <row r="5316" ht="64" customHeight="1">
      <c r="A5316" s="63" t="inlineStr"/>
      <c r="B5316" s="64" t="n"/>
      <c r="C5316" s="64" t="n"/>
      <c r="D5316" s="64" t="n"/>
      <c r="E5316" s="65" t="n"/>
    </row>
    <row r="5317" ht="30" customHeight="1">
      <c r="A5317" s="62" t="inlineStr">
        <is>
          <t>Ảnh minh chứng</t>
        </is>
      </c>
    </row>
    <row r="5318" ht="90" customHeight="1">
      <c r="A5318" s="63" t="inlineStr"/>
      <c r="B5318" s="64" t="n"/>
      <c r="C5318" s="64" t="n"/>
      <c r="D5318" s="64" t="n"/>
      <c r="E5318" s="65" t="n"/>
    </row>
    <row r="5319" ht="12" customHeight="1">
      <c r="A5319" s="66" t="inlineStr"/>
    </row>
    <row r="5320" ht="30" customHeight="1">
      <c r="A5320" s="60" t="inlineStr">
        <is>
          <t>TC-RS-REG-008 / pdf-closed</t>
        </is>
      </c>
      <c r="B5320" s="36" t="n"/>
      <c r="C5320" s="36" t="n"/>
      <c r="D5320" s="36" t="n"/>
      <c r="E5320" s="36" t="n"/>
    </row>
    <row r="5321" ht="30" customHeight="1">
      <c r="A5321" s="47" t="inlineStr">
        <is>
          <t>Dữ liệu biến thể</t>
        </is>
      </c>
      <c r="B5321" s="56" t="inlineStr">
        <is>
          <t>PDF lịch đóng</t>
        </is>
      </c>
      <c r="C5321" s="57" t="n"/>
      <c r="D5321" s="57" t="n"/>
      <c r="E5321" s="57" t="n"/>
    </row>
    <row r="5322" ht="30" customHeight="1">
      <c r="A5322" s="47" t="inlineStr">
        <is>
          <t>Trạng thái</t>
        </is>
      </c>
      <c r="B5322" s="61" t="inlineStr">
        <is>
          <t>Chưa thực hiện</t>
        </is>
      </c>
      <c r="C5322" s="57" t="n"/>
      <c r="D5322" s="57" t="n"/>
      <c r="E5322" s="57" t="n"/>
    </row>
    <row r="5323" ht="30" customHeight="1">
      <c r="A5323" s="62" t="inlineStr">
        <is>
          <t>Kết quả thực tế</t>
        </is>
      </c>
    </row>
    <row r="5324" ht="64" customHeight="1">
      <c r="A5324" s="63" t="inlineStr"/>
      <c r="B5324" s="64" t="n"/>
      <c r="C5324" s="64" t="n"/>
      <c r="D5324" s="64" t="n"/>
      <c r="E5324" s="65" t="n"/>
    </row>
    <row r="5325" ht="30" customHeight="1">
      <c r="A5325" s="62" t="inlineStr">
        <is>
          <t>Ảnh minh chứng</t>
        </is>
      </c>
    </row>
    <row r="5326" ht="90" customHeight="1">
      <c r="A5326" s="63" t="inlineStr"/>
      <c r="B5326" s="64" t="n"/>
      <c r="C5326" s="64" t="n"/>
      <c r="D5326" s="64" t="n"/>
      <c r="E5326" s="65" t="n"/>
    </row>
    <row r="5327" ht="12" customHeight="1">
      <c r="A5327" s="66" t="inlineStr"/>
    </row>
    <row r="5328" ht="20" customHeight="1">
      <c r="A5328" s="66" t="inlineStr"/>
    </row>
    <row r="5329" ht="30" customHeight="1">
      <c r="A5329" s="46" t="inlineStr">
        <is>
          <t>TC-RS-FUNC-029 — Công cụ phiếu điểm（通知表ツール）: bốn cách hiển thị đỏ trên PDF</t>
        </is>
      </c>
      <c r="B5329" s="23" t="n"/>
      <c r="C5329" s="23" t="n"/>
      <c r="D5329" s="23" t="n"/>
      <c r="E5329" s="23" t="n"/>
    </row>
    <row r="5330" ht="30" customHeight="1">
      <c r="A5330" s="47" t="inlineStr">
        <is>
          <t>Trạng thái</t>
        </is>
      </c>
      <c r="B5330" s="56">
        <f>IF(0&gt;0,"Không đạt",IF(0=4,"Đạt",IF(SUMPRODUCT(--EXACT('Testcases'!B5349:B5373,"Không thực hiện"))=4,"Không thực hiện",IF(SUMPRODUCT(--EXACT('Testcases'!B5349:B5373,"Bị chặn"))&gt;0,"Bị chặn",IF(SUMPRODUCT(--EXACT('Testcases'!B5349:B5373,"Chưa thực hiện"))=4,"Chưa thực hiện","Chưa đủ kết luận")))))</f>
        <v/>
      </c>
      <c r="C5330" s="57" t="n"/>
      <c r="D5330" s="57" t="n"/>
      <c r="E5330" s="57" t="n"/>
    </row>
    <row r="5331" ht="30" customHeight="1">
      <c r="A5331" s="47" t="inlineStr">
        <is>
          <t>Màn hình / chức năng</t>
        </is>
      </c>
      <c r="B5331" s="47" t="inlineStr">
        <is>
          <t>Công cụ phiếu điểm（通知表ツール）</t>
        </is>
      </c>
      <c r="C5331" s="57" t="n"/>
      <c r="D5331" s="47" t="inlineStr">
        <is>
          <t>Đường dẫn</t>
        </is>
      </c>
      <c r="E5331" s="56" t="inlineStr">
        <is>
          <t>Chưa xác minh</t>
        </is>
      </c>
    </row>
    <row r="5332" ht="30" customHeight="1">
      <c r="A5332" s="58" t="inlineStr">
        <is>
          <t>Điều kiện kiểm thử</t>
        </is>
      </c>
      <c r="B5332" s="59" t="n"/>
      <c r="C5332" s="59" t="n"/>
      <c r="D5332" s="59" t="n"/>
      <c r="E5332" s="59" t="n"/>
    </row>
    <row r="5333" ht="44" customHeight="1">
      <c r="A5333" s="47" t="inlineStr">
        <is>
          <t>Cấu hình</t>
        </is>
      </c>
      <c r="B5333" s="56" t="inlineStr">
        <is>
          <t>• S01 Đỏ (29), không điểm dự kiến, không cờ nào. Các dòng khác của hộp tùy chọn chọn Nguyên trạng（そのまま表示）.</t>
        </is>
      </c>
      <c r="C5333" s="57" t="n"/>
      <c r="D5333" s="57" t="n"/>
      <c r="E5333" s="57" t="n"/>
    </row>
    <row r="5334" ht="61" customHeight="1">
      <c r="A5334" s="47" t="inlineStr">
        <is>
          <t>Vai trò / quyền</t>
        </is>
      </c>
      <c r="B533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334" s="57" t="n"/>
      <c r="D5334" s="57" t="n"/>
      <c r="E5334" s="57" t="n"/>
    </row>
    <row r="5335" ht="44" customHeight="1">
      <c r="A5335" s="47" t="inlineStr">
        <is>
          <t>Dữ liệu test</t>
        </is>
      </c>
      <c r="B5335" s="56" t="inlineStr">
        <is>
          <t>• Học sinh S01 (điểm 29), cấu hình phiếu điểm: ký tự “※” phía trước, tài khoản phụ trách đầu ra (trích xuất, công khai, phiếu điểm)</t>
        </is>
      </c>
      <c r="C5335" s="57" t="n"/>
      <c r="D5335" s="57" t="n"/>
      <c r="E5335" s="57" t="n"/>
    </row>
    <row r="5336" ht="30" customHeight="1">
      <c r="A5336" s="47" t="inlineStr">
        <is>
          <t>Trigger</t>
        </is>
      </c>
      <c r="B5336" s="56" t="inlineStr">
        <is>
          <t>• Chỉ xem/xuất không tự chạy xét.</t>
        </is>
      </c>
      <c r="C5336" s="57" t="n"/>
      <c r="D5336" s="57" t="n"/>
      <c r="E5336" s="57" t="n"/>
    </row>
    <row r="5337" ht="44" customHeight="1">
      <c r="A5337" s="47" t="inlineStr">
        <is>
          <t>Blocker</t>
        </is>
      </c>
      <c r="B5337" s="56" t="inlineStr">
        <is>
          <t>• G-PREP-UNASSESSED: Chưa có xác minh fixture, đường thực hiện và phép quan sát trên build của từng case chưa đánh giá.</t>
        </is>
      </c>
      <c r="C5337" s="57" t="n"/>
      <c r="D5337" s="57" t="n"/>
      <c r="E5337" s="57" t="n"/>
    </row>
    <row r="5338" ht="30" customHeight="1">
      <c r="A5338" s="58" t="inlineStr">
        <is>
          <t>Thao tác</t>
        </is>
      </c>
      <c r="B5338" s="59" t="n"/>
      <c r="C5338" s="59" t="n"/>
      <c r="D5338" s="59" t="n"/>
      <c r="E5338" s="59" t="n"/>
    </row>
    <row r="5339" ht="44" customHeight="1">
      <c r="A5339" s="47" t="inlineStr">
        <is>
          <t>•</t>
        </is>
      </c>
      <c r="B5339" s="56" t="inlineStr">
        <is>
          <t>Với từng cách hiển thị: chọn ở dòng Thiết lập điểm đỏ（赤点設定）, đóng hộp, bấm Cập nhật（更新する）, xuất PDF phiếu của S01.</t>
        </is>
      </c>
      <c r="C5339" s="57" t="n"/>
      <c r="D5339" s="57" t="n"/>
      <c r="E5339" s="57" t="n"/>
    </row>
    <row r="5340" ht="44" customHeight="1">
      <c r="A5340" s="47" t="inlineStr">
        <is>
          <t>•</t>
        </is>
      </c>
      <c r="B5340" s="56" t="inlineStr">
        <is>
          <t>(A) Nguyên trạng（そのまま表示）; (b) Kèm ngoặc（カッコ付き）; (c) Ký tự phía trước（前に任意の文字） [※]; (d) Ký tự phía sau（後ろに任意の文字） [※].</t>
        </is>
      </c>
      <c r="C5340" s="57" t="n"/>
      <c r="D5340" s="57" t="n"/>
      <c r="E5340" s="57" t="n"/>
    </row>
    <row r="5341" ht="44" customHeight="1">
      <c r="A5341" s="47" t="inlineStr">
        <is>
          <t>Reset</t>
        </is>
      </c>
      <c r="B5341" s="56" t="inlineStr">
        <is>
          <t>Trước mỗi biến thể, dựng lại điều kiện/dữ liệu đầu của case bằng đường được phép; giữ các reset/fixture độc lập đã nêu trong thủ tục.</t>
        </is>
      </c>
      <c r="C5341" s="57" t="n"/>
      <c r="D5341" s="57" t="n"/>
      <c r="E5341" s="57" t="n"/>
    </row>
    <row r="5342" ht="30" customHeight="1">
      <c r="A5342" s="58" t="inlineStr">
        <is>
          <t>Kết quả mong đợi</t>
        </is>
      </c>
      <c r="B5342" s="59" t="n"/>
      <c r="C5342" s="59" t="n"/>
      <c r="D5342" s="59" t="n"/>
      <c r="E5342" s="59" t="n"/>
    </row>
    <row r="5343" ht="44" customHeight="1">
      <c r="A5343" s="47" t="inlineStr">
        <is>
          <t>•</t>
        </is>
      </c>
      <c r="B5343" s="56" t="inlineStr">
        <is>
          <t>(A) [29]; (b) [(29)]; (c) [※29]; (d) [29※]. Không nền màu; ký tự không tràn ô, không mất ký tự, không đổi cấu trúc template.</t>
        </is>
      </c>
      <c r="C5343" s="57" t="n"/>
      <c r="D5343" s="57" t="n"/>
      <c r="E5343" s="57" t="n"/>
    </row>
    <row r="5344" ht="44" customHeight="1">
      <c r="A5344" s="47" t="inlineStr">
        <is>
          <t>Giữ nguyên</t>
        </is>
      </c>
      <c r="B5344" s="56" t="inlineStr">
        <is>
          <t>• Giữ điểm, cấu hình và đối tượng không đích theo expected;
• Chỉ thay phần thủ tục yêu cầu, không tự đổi oracle hoặc mở rộng phạm vi.</t>
        </is>
      </c>
      <c r="C5344" s="57" t="n"/>
      <c r="D5344" s="57" t="n"/>
      <c r="E5344" s="57" t="n"/>
    </row>
    <row r="5345" ht="61" customHeight="1">
      <c r="A5345" s="47" t="inlineStr">
        <is>
          <t>Quan sát tại</t>
        </is>
      </c>
      <c r="B5345" s="56" t="inlineStr">
        <is>
          <t>• Dùng trích xuất không lọc để thấy cả ô đối chứng. Trạng thái không có dấu đỏ cần đọc thêm trạng thái lưu;
• Output Excel/PDF dùng file thật.</t>
        </is>
      </c>
      <c r="C5345" s="57" t="n"/>
      <c r="D5345" s="57" t="n"/>
      <c r="E5345" s="57" t="n"/>
    </row>
    <row r="5346" ht="30" customHeight="1">
      <c r="A5346" s="58" t="inlineStr">
        <is>
          <t>Kết quả thực tế</t>
        </is>
      </c>
      <c r="B5346" s="59" t="n"/>
      <c r="C5346" s="59" t="n"/>
      <c r="D5346" s="59" t="n"/>
      <c r="E5346" s="59" t="n"/>
    </row>
    <row r="5347" ht="30" customHeight="1">
      <c r="A5347" s="60" t="inlineStr">
        <is>
          <t>TC-RS-FUNC-029 / unchanged</t>
        </is>
      </c>
      <c r="B5347" s="36" t="n"/>
      <c r="C5347" s="36" t="n"/>
      <c r="D5347" s="36" t="n"/>
      <c r="E5347" s="36" t="n"/>
    </row>
    <row r="5348" ht="30" customHeight="1">
      <c r="A5348" s="47" t="inlineStr">
        <is>
          <t>Dữ liệu biến thể</t>
        </is>
      </c>
      <c r="B5348" s="56" t="inlineStr">
        <is>
          <t>Nguyên trạng</t>
        </is>
      </c>
      <c r="C5348" s="57" t="n"/>
      <c r="D5348" s="57" t="n"/>
      <c r="E5348" s="57" t="n"/>
    </row>
    <row r="5349" ht="30" customHeight="1">
      <c r="A5349" s="47" t="inlineStr">
        <is>
          <t>Trạng thái</t>
        </is>
      </c>
      <c r="B5349" s="61" t="inlineStr">
        <is>
          <t>Chưa thực hiện</t>
        </is>
      </c>
      <c r="C5349" s="57" t="n"/>
      <c r="D5349" s="57" t="n"/>
      <c r="E5349" s="57" t="n"/>
    </row>
    <row r="5350" ht="30" customHeight="1">
      <c r="A5350" s="62" t="inlineStr">
        <is>
          <t>Kết quả thực tế</t>
        </is>
      </c>
    </row>
    <row r="5351" ht="64" customHeight="1">
      <c r="A5351" s="63" t="inlineStr"/>
      <c r="B5351" s="64" t="n"/>
      <c r="C5351" s="64" t="n"/>
      <c r="D5351" s="64" t="n"/>
      <c r="E5351" s="65" t="n"/>
    </row>
    <row r="5352" ht="30" customHeight="1">
      <c r="A5352" s="62" t="inlineStr">
        <is>
          <t>Ảnh minh chứng</t>
        </is>
      </c>
    </row>
    <row r="5353" ht="90" customHeight="1">
      <c r="A5353" s="63" t="inlineStr"/>
      <c r="B5353" s="64" t="n"/>
      <c r="C5353" s="64" t="n"/>
      <c r="D5353" s="64" t="n"/>
      <c r="E5353" s="65" t="n"/>
    </row>
    <row r="5354" ht="12" customHeight="1">
      <c r="A5354" s="66" t="inlineStr"/>
    </row>
    <row r="5355" ht="30" customHeight="1">
      <c r="A5355" s="60" t="inlineStr">
        <is>
          <t>TC-RS-FUNC-029 / parentheses</t>
        </is>
      </c>
      <c r="B5355" s="36" t="n"/>
      <c r="C5355" s="36" t="n"/>
      <c r="D5355" s="36" t="n"/>
      <c r="E5355" s="36" t="n"/>
    </row>
    <row r="5356" ht="30" customHeight="1">
      <c r="A5356" s="47" t="inlineStr">
        <is>
          <t>Dữ liệu biến thể</t>
        </is>
      </c>
      <c r="B5356" s="56" t="inlineStr">
        <is>
          <t>Kèm ngoặc</t>
        </is>
      </c>
      <c r="C5356" s="57" t="n"/>
      <c r="D5356" s="57" t="n"/>
      <c r="E5356" s="57" t="n"/>
    </row>
    <row r="5357" ht="30" customHeight="1">
      <c r="A5357" s="47" t="inlineStr">
        <is>
          <t>Trạng thái</t>
        </is>
      </c>
      <c r="B5357" s="61" t="inlineStr">
        <is>
          <t>Chưa thực hiện</t>
        </is>
      </c>
      <c r="C5357" s="57" t="n"/>
      <c r="D5357" s="57" t="n"/>
      <c r="E5357" s="57" t="n"/>
    </row>
    <row r="5358" ht="30" customHeight="1">
      <c r="A5358" s="62" t="inlineStr">
        <is>
          <t>Kết quả thực tế</t>
        </is>
      </c>
    </row>
    <row r="5359" ht="64" customHeight="1">
      <c r="A5359" s="63" t="inlineStr"/>
      <c r="B5359" s="64" t="n"/>
      <c r="C5359" s="64" t="n"/>
      <c r="D5359" s="64" t="n"/>
      <c r="E5359" s="65" t="n"/>
    </row>
    <row r="5360" ht="30" customHeight="1">
      <c r="A5360" s="62" t="inlineStr">
        <is>
          <t>Ảnh minh chứng</t>
        </is>
      </c>
    </row>
    <row r="5361" ht="90" customHeight="1">
      <c r="A5361" s="63" t="inlineStr"/>
      <c r="B5361" s="64" t="n"/>
      <c r="C5361" s="64" t="n"/>
      <c r="D5361" s="64" t="n"/>
      <c r="E5361" s="65" t="n"/>
    </row>
    <row r="5362" ht="12" customHeight="1">
      <c r="A5362" s="66" t="inlineStr"/>
    </row>
    <row r="5363" ht="30" customHeight="1">
      <c r="A5363" s="60" t="inlineStr">
        <is>
          <t>TC-RS-FUNC-029 / prefix</t>
        </is>
      </c>
      <c r="B5363" s="36" t="n"/>
      <c r="C5363" s="36" t="n"/>
      <c r="D5363" s="36" t="n"/>
      <c r="E5363" s="36" t="n"/>
    </row>
    <row r="5364" ht="30" customHeight="1">
      <c r="A5364" s="47" t="inlineStr">
        <is>
          <t>Dữ liệu biến thể</t>
        </is>
      </c>
      <c r="B5364" s="56" t="inlineStr">
        <is>
          <t>Ký tự phía trước</t>
        </is>
      </c>
      <c r="C5364" s="57" t="n"/>
      <c r="D5364" s="57" t="n"/>
      <c r="E5364" s="57" t="n"/>
    </row>
    <row r="5365" ht="30" customHeight="1">
      <c r="A5365" s="47" t="inlineStr">
        <is>
          <t>Trạng thái</t>
        </is>
      </c>
      <c r="B5365" s="61" t="inlineStr">
        <is>
          <t>Chưa thực hiện</t>
        </is>
      </c>
      <c r="C5365" s="57" t="n"/>
      <c r="D5365" s="57" t="n"/>
      <c r="E5365" s="57" t="n"/>
    </row>
    <row r="5366" ht="30" customHeight="1">
      <c r="A5366" s="62" t="inlineStr">
        <is>
          <t>Kết quả thực tế</t>
        </is>
      </c>
    </row>
    <row r="5367" ht="64" customHeight="1">
      <c r="A5367" s="63" t="inlineStr"/>
      <c r="B5367" s="64" t="n"/>
      <c r="C5367" s="64" t="n"/>
      <c r="D5367" s="64" t="n"/>
      <c r="E5367" s="65" t="n"/>
    </row>
    <row r="5368" ht="30" customHeight="1">
      <c r="A5368" s="62" t="inlineStr">
        <is>
          <t>Ảnh minh chứng</t>
        </is>
      </c>
    </row>
    <row r="5369" ht="90" customHeight="1">
      <c r="A5369" s="63" t="inlineStr"/>
      <c r="B5369" s="64" t="n"/>
      <c r="C5369" s="64" t="n"/>
      <c r="D5369" s="64" t="n"/>
      <c r="E5369" s="65" t="n"/>
    </row>
    <row r="5370" ht="12" customHeight="1">
      <c r="A5370" s="66" t="inlineStr"/>
    </row>
    <row r="5371" ht="30" customHeight="1">
      <c r="A5371" s="60" t="inlineStr">
        <is>
          <t>TC-RS-FUNC-029 / suffix</t>
        </is>
      </c>
      <c r="B5371" s="36" t="n"/>
      <c r="C5371" s="36" t="n"/>
      <c r="D5371" s="36" t="n"/>
      <c r="E5371" s="36" t="n"/>
    </row>
    <row r="5372" ht="30" customHeight="1">
      <c r="A5372" s="47" t="inlineStr">
        <is>
          <t>Dữ liệu biến thể</t>
        </is>
      </c>
      <c r="B5372" s="56" t="inlineStr">
        <is>
          <t>Ký tự phía sau</t>
        </is>
      </c>
      <c r="C5372" s="57" t="n"/>
      <c r="D5372" s="57" t="n"/>
      <c r="E5372" s="57" t="n"/>
    </row>
    <row r="5373" ht="30" customHeight="1">
      <c r="A5373" s="47" t="inlineStr">
        <is>
          <t>Trạng thái</t>
        </is>
      </c>
      <c r="B5373" s="61" t="inlineStr">
        <is>
          <t>Chưa thực hiện</t>
        </is>
      </c>
      <c r="C5373" s="57" t="n"/>
      <c r="D5373" s="57" t="n"/>
      <c r="E5373" s="57" t="n"/>
    </row>
    <row r="5374" ht="30" customHeight="1">
      <c r="A5374" s="62" t="inlineStr">
        <is>
          <t>Kết quả thực tế</t>
        </is>
      </c>
    </row>
    <row r="5375" ht="64" customHeight="1">
      <c r="A5375" s="63" t="inlineStr"/>
      <c r="B5375" s="64" t="n"/>
      <c r="C5375" s="64" t="n"/>
      <c r="D5375" s="64" t="n"/>
      <c r="E5375" s="65" t="n"/>
    </row>
    <row r="5376" ht="30" customHeight="1">
      <c r="A5376" s="62" t="inlineStr">
        <is>
          <t>Ảnh minh chứng</t>
        </is>
      </c>
    </row>
    <row r="5377" ht="90" customHeight="1">
      <c r="A5377" s="63" t="inlineStr"/>
      <c r="B5377" s="64" t="n"/>
      <c r="C5377" s="64" t="n"/>
      <c r="D5377" s="64" t="n"/>
      <c r="E5377" s="65" t="n"/>
    </row>
    <row r="5378" ht="12" customHeight="1">
      <c r="A5378" s="66" t="inlineStr"/>
    </row>
    <row r="5379" ht="20" customHeight="1">
      <c r="A5379" s="66" t="inlineStr"/>
    </row>
    <row r="5380" ht="30" customHeight="1">
      <c r="A5380" s="46" t="inlineStr">
        <is>
          <t>TC-RS-FUNC-030 — Phiếu điểm: thứ tự điều kiện và dừng ở điều kiện khớp đầu tiên</t>
        </is>
      </c>
      <c r="B5380" s="23" t="n"/>
      <c r="C5380" s="23" t="n"/>
      <c r="D5380" s="23" t="n"/>
      <c r="E5380" s="23" t="n"/>
    </row>
    <row r="5381" ht="30" customHeight="1">
      <c r="A5381" s="47" t="inlineStr">
        <is>
          <t>Trạng thái</t>
        </is>
      </c>
      <c r="B5381" s="56">
        <f>IF(0&gt;0,"Không đạt",IF(0=8,"Đạt",IF(SUMPRODUCT(--EXACT('Testcases'!B5406:B5462,"Không thực hiện"))=8,"Không thực hiện",IF(SUMPRODUCT(--EXACT('Testcases'!B5406:B5462,"Bị chặn"))&gt;0,"Bị chặn",IF(SUMPRODUCT(--EXACT('Testcases'!B5406:B5462,"Chưa thực hiện"))=8,"Chưa thực hiện","Chưa đủ kết luận")))))</f>
        <v/>
      </c>
      <c r="C5381" s="57" t="n"/>
      <c r="D5381" s="57" t="n"/>
      <c r="E5381" s="57" t="n"/>
    </row>
    <row r="5382" ht="30" customHeight="1">
      <c r="A5382" s="47" t="inlineStr">
        <is>
          <t>Màn hình / chức năng</t>
        </is>
      </c>
      <c r="B5382" s="47" t="inlineStr">
        <is>
          <t>Công cụ phiếu điểm（通知表ツール）</t>
        </is>
      </c>
      <c r="C5382" s="57" t="n"/>
      <c r="D5382" s="47" t="inlineStr">
        <is>
          <t>Đường dẫn</t>
        </is>
      </c>
      <c r="E5382" s="56" t="inlineStr">
        <is>
          <t>Chưa xác minh</t>
        </is>
      </c>
    </row>
    <row r="5383" ht="30" customHeight="1">
      <c r="A5383" s="58" t="inlineStr">
        <is>
          <t>Điều kiện kiểm thử</t>
        </is>
      </c>
      <c r="B5383" s="59" t="n"/>
      <c r="C5383" s="59" t="n"/>
      <c r="D5383" s="59" t="n"/>
      <c r="E5383" s="59" t="n"/>
    </row>
    <row r="5384" ht="61" customHeight="1">
      <c r="A5384" s="47" t="inlineStr">
        <is>
          <t>Cấu hình</t>
        </is>
      </c>
      <c r="B5384" s="56" t="inlineStr">
        <is>
          <t>• S06 = 24 vừa dự kiến vừa Đỏ;
• S01 = 29 Đỏ, không cờ;
• S05 ô trống, trước đó từng Đỏ.</t>
        </is>
      </c>
      <c r="C5384" s="57" t="n"/>
      <c r="D5384" s="57" t="n"/>
      <c r="E5384" s="57" t="n"/>
    </row>
    <row r="5385" ht="61" customHeight="1">
      <c r="A5385" s="47" t="inlineStr">
        <is>
          <t>Vai trò / quyền</t>
        </is>
      </c>
      <c r="B538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385" s="57" t="n"/>
      <c r="D5385" s="57" t="n"/>
      <c r="E5385" s="57" t="n"/>
    </row>
    <row r="5386" ht="44" customHeight="1">
      <c r="A5386" s="47" t="inlineStr">
        <is>
          <t>Dữ liệu test</t>
        </is>
      </c>
      <c r="B5386" s="56" t="inlineStr">
        <is>
          <t>• Học sinh S06 (điểm dự kiến 24), học sinh S01 (điểm 29), học sinh S05 (ô trống), cấu hình phiếu điểm: ký tự “※” phía trước</t>
        </is>
      </c>
      <c r="C5386" s="57" t="n"/>
      <c r="D5386" s="57" t="n"/>
      <c r="E5386" s="57" t="n"/>
    </row>
    <row r="5387" ht="30" customHeight="1">
      <c r="A5387" s="47" t="inlineStr">
        <is>
          <t>Trigger</t>
        </is>
      </c>
      <c r="B5387" s="56" t="inlineStr">
        <is>
          <t>• Chỉ xem/xuất không tự chạy xét.</t>
        </is>
      </c>
      <c r="C5387" s="57" t="n"/>
      <c r="D5387" s="57" t="n"/>
      <c r="E5387" s="57" t="n"/>
    </row>
    <row r="5388" ht="44" customHeight="1">
      <c r="A5388" s="47" t="inlineStr">
        <is>
          <t>Blocker</t>
        </is>
      </c>
      <c r="B5388" s="56" t="inlineStr">
        <is>
          <t>• G-PREP-UNASSESSED: Chưa có xác minh fixture, đường thực hiện và phép quan sát trên build của từng case chưa đánh giá.</t>
        </is>
      </c>
      <c r="C5388" s="57" t="n"/>
      <c r="D5388" s="57" t="n"/>
      <c r="E5388" s="57" t="n"/>
    </row>
    <row r="5389" ht="30" customHeight="1">
      <c r="A5389" s="58" t="inlineStr">
        <is>
          <t>Thao tác</t>
        </is>
      </c>
      <c r="B5389" s="59" t="n"/>
      <c r="C5389" s="59" t="n"/>
      <c r="D5389" s="59" t="n"/>
      <c r="E5389" s="59" t="n"/>
    </row>
    <row r="5390" ht="30" customHeight="1">
      <c r="A5390" s="47" t="inlineStr">
        <is>
          <t>•</t>
        </is>
      </c>
      <c r="B5390" s="56" t="inlineStr">
        <is>
          <t>Cấu hình hộp tùy chọn theo từng dòng, bấm Cập nhật（更新する）, xuất PDF.</t>
        </is>
      </c>
      <c r="C5390" s="57" t="n"/>
      <c r="D5390" s="57" t="n"/>
      <c r="E5390" s="57" t="n"/>
    </row>
    <row r="5391" ht="30" customHeight="1">
      <c r="A5391" s="47" t="inlineStr">
        <is>
          <t>•</t>
        </is>
      </c>
      <c r="B5391" s="56" t="inlineStr">
        <is>
          <t>(A) Dự kiến = Kèm ngoặc; đỏ = [※] trước → xem S06.</t>
        </is>
      </c>
      <c r="C5391" s="57" t="n"/>
      <c r="D5391" s="57" t="n"/>
      <c r="E5391" s="57" t="n"/>
    </row>
    <row r="5392" ht="30" customHeight="1">
      <c r="A5392" s="47" t="inlineStr">
        <is>
          <t>•</t>
        </is>
      </c>
      <c r="B5392" s="56" t="inlineStr">
        <is>
          <t>(B) Dự kiến = Nguyên trạng; đỏ = [※] trước → xem S06.</t>
        </is>
      </c>
      <c r="C5392" s="57" t="n"/>
      <c r="D5392" s="57" t="n"/>
      <c r="E5392" s="57" t="n"/>
    </row>
    <row r="5393" ht="30" customHeight="1">
      <c r="A5393" s="47" t="inlineStr">
        <is>
          <t>•</t>
        </is>
      </c>
      <c r="B5393" s="56" t="inlineStr">
        <is>
          <t>(C) Dự kiến = Ẩn（表示しない） hoặc Gạch chéo（斜線）; đỏ = [※] trước → xem S06.</t>
        </is>
      </c>
      <c r="C5393" s="57" t="n"/>
      <c r="D5393" s="57" t="n"/>
      <c r="E5393" s="57" t="n"/>
    </row>
    <row r="5394" ht="30" customHeight="1">
      <c r="A5394" s="47" t="inlineStr">
        <is>
          <t>•</t>
        </is>
      </c>
      <c r="B5394" s="56" t="inlineStr">
        <is>
          <t>(D) Không điều kiện phía trên khớp; đỏ = [※] trước → xem S01.</t>
        </is>
      </c>
      <c r="C5394" s="57" t="n"/>
      <c r="D5394" s="57" t="n"/>
      <c r="E5394" s="57" t="n"/>
    </row>
    <row r="5395" ht="30" customHeight="1">
      <c r="A5395" s="47" t="inlineStr">
        <is>
          <t>•</t>
        </is>
      </c>
      <c r="B5395" s="56" t="inlineStr">
        <is>
          <t>(E) Ô trống（空欄の場合）= Kèm ngoặc; đỏ = [※] trước → xem S05.</t>
        </is>
      </c>
      <c r="C5395" s="57" t="n"/>
      <c r="D5395" s="57" t="n"/>
      <c r="E5395" s="57" t="n"/>
    </row>
    <row r="5396" ht="30" customHeight="1">
      <c r="A5396" s="47" t="inlineStr">
        <is>
          <t>•</t>
        </is>
      </c>
      <c r="B5396" s="56" t="inlineStr">
        <is>
          <t>(F) Trường hợp môn cụ thể（特定の科目の場合） = Toán, Kèm ngoặc; đỏ = [※] trước → xem S01 (Toán, Đỏ).</t>
        </is>
      </c>
      <c r="C5396" s="57" t="n"/>
      <c r="D5396" s="57" t="n"/>
      <c r="E5396" s="57" t="n"/>
    </row>
    <row r="5397" ht="44" customHeight="1">
      <c r="A5397" s="47" t="inlineStr">
        <is>
          <t>•</t>
        </is>
      </c>
      <c r="B5397" s="56" t="inlineStr">
        <is>
          <t>(G) Tạm gắn thêm cờ Chưa dự thi（未受験） cho S06; Dự kiến = Nguyên trạng, Chưa dự thi = Ẩn（表示しない）; đỏ = [※] trước → xem S06.</t>
        </is>
      </c>
      <c r="C5397" s="57" t="n"/>
      <c r="D5397" s="57" t="n"/>
      <c r="E5397" s="57" t="n"/>
    </row>
    <row r="5398" ht="44" customHeight="1">
      <c r="A5398" s="47" t="inlineStr">
        <is>
          <t>Reset</t>
        </is>
      </c>
      <c r="B5398" s="56" t="inlineStr">
        <is>
          <t>Trước mỗi biến thể, dựng lại điều kiện/dữ liệu đầu của case bằng đường được phép; giữ các reset/fixture độc lập đã nêu trong thủ tục.</t>
        </is>
      </c>
      <c r="C5398" s="57" t="n"/>
      <c r="D5398" s="57" t="n"/>
      <c r="E5398" s="57" t="n"/>
    </row>
    <row r="5399" ht="30" customHeight="1">
      <c r="A5399" s="58" t="inlineStr">
        <is>
          <t>Kết quả mong đợi</t>
        </is>
      </c>
      <c r="B5399" s="59" t="n"/>
      <c r="C5399" s="59" t="n"/>
      <c r="D5399" s="59" t="n"/>
      <c r="E5399" s="59" t="n"/>
    </row>
    <row r="5400" ht="78" customHeight="1">
      <c r="A5400" s="47" t="inlineStr">
        <is>
          <t>•</t>
        </is>
      </c>
      <c r="B5400" s="56" t="inlineStr">
        <is>
          <t>(A) [(24)], không thêm [※]; (b) [24], không chuyển xuống điều kiện đỏ; (c) giữ ẩn/gạch chéo, đỏ không làm hiện lại điểm; (d) [※29]; (e) không áp dấu đỏ của kết quả cũ; ô trống hiển thị theo cấu hình ô trống; (f) [(29)], điều kiện môn cụ thể thắng, không thêm [※]; (g) [24]: Nguyên trạng ở dòng dự kiến dừng xét, không áp lệnh Ẩn của dòng chưa dự thi phía sau.</t>
        </is>
      </c>
      <c r="C5400" s="57" t="n"/>
      <c r="D5400" s="57" t="n"/>
      <c r="E5400" s="57" t="n"/>
    </row>
    <row r="5401" ht="44" customHeight="1">
      <c r="A5401" s="47" t="inlineStr">
        <is>
          <t>Giữ nguyên</t>
        </is>
      </c>
      <c r="B5401" s="56" t="inlineStr">
        <is>
          <t>• Giữ điểm, cấu hình và đối tượng không đích theo expected;
• Chỉ thay phần thủ tục yêu cầu, không tự đổi oracle hoặc mở rộng phạm vi.</t>
        </is>
      </c>
      <c r="C5401" s="57" t="n"/>
      <c r="D5401" s="57" t="n"/>
      <c r="E5401" s="57" t="n"/>
    </row>
    <row r="5402" ht="61" customHeight="1">
      <c r="A5402" s="47" t="inlineStr">
        <is>
          <t>Quan sát tại</t>
        </is>
      </c>
      <c r="B5402" s="56" t="inlineStr">
        <is>
          <t>• Dùng trích xuất không lọc để thấy cả ô đối chứng. Trạng thái không có dấu đỏ cần đọc thêm trạng thái lưu;
• Output Excel/PDF dùng file thật.</t>
        </is>
      </c>
      <c r="C5402" s="57" t="n"/>
      <c r="D5402" s="57" t="n"/>
      <c r="E5402" s="57" t="n"/>
    </row>
    <row r="5403" ht="30" customHeight="1">
      <c r="A5403" s="58" t="inlineStr">
        <is>
          <t>Kết quả thực tế</t>
        </is>
      </c>
      <c r="B5403" s="59" t="n"/>
      <c r="C5403" s="59" t="n"/>
      <c r="D5403" s="59" t="n"/>
      <c r="E5403" s="59" t="n"/>
    </row>
    <row r="5404" ht="30" customHeight="1">
      <c r="A5404" s="60" t="inlineStr">
        <is>
          <t>TC-RS-FUNC-030 / a</t>
        </is>
      </c>
      <c r="B5404" s="36" t="n"/>
      <c r="C5404" s="36" t="n"/>
      <c r="D5404" s="36" t="n"/>
      <c r="E5404" s="36" t="n"/>
    </row>
    <row r="5405" ht="30" customHeight="1">
      <c r="A5405" s="47" t="inlineStr">
        <is>
          <t>Dữ liệu biến thể</t>
        </is>
      </c>
      <c r="B5405" s="56" t="inlineStr">
        <is>
          <t>Tổ hợp a</t>
        </is>
      </c>
      <c r="C5405" s="57" t="n"/>
      <c r="D5405" s="57" t="n"/>
      <c r="E5405" s="57" t="n"/>
    </row>
    <row r="5406" ht="30" customHeight="1">
      <c r="A5406" s="47" t="inlineStr">
        <is>
          <t>Trạng thái</t>
        </is>
      </c>
      <c r="B5406" s="61" t="inlineStr">
        <is>
          <t>Chưa thực hiện</t>
        </is>
      </c>
      <c r="C5406" s="57" t="n"/>
      <c r="D5406" s="57" t="n"/>
      <c r="E5406" s="57" t="n"/>
    </row>
    <row r="5407" ht="30" customHeight="1">
      <c r="A5407" s="62" t="inlineStr">
        <is>
          <t>Kết quả thực tế</t>
        </is>
      </c>
    </row>
    <row r="5408" ht="64" customHeight="1">
      <c r="A5408" s="63" t="inlineStr"/>
      <c r="B5408" s="64" t="n"/>
      <c r="C5408" s="64" t="n"/>
      <c r="D5408" s="64" t="n"/>
      <c r="E5408" s="65" t="n"/>
    </row>
    <row r="5409" ht="30" customHeight="1">
      <c r="A5409" s="62" t="inlineStr">
        <is>
          <t>Ảnh minh chứng</t>
        </is>
      </c>
    </row>
    <row r="5410" ht="90" customHeight="1">
      <c r="A5410" s="63" t="inlineStr"/>
      <c r="B5410" s="64" t="n"/>
      <c r="C5410" s="64" t="n"/>
      <c r="D5410" s="64" t="n"/>
      <c r="E5410" s="65" t="n"/>
    </row>
    <row r="5411" ht="12" customHeight="1">
      <c r="A5411" s="66" t="inlineStr"/>
    </row>
    <row r="5412" ht="30" customHeight="1">
      <c r="A5412" s="60" t="inlineStr">
        <is>
          <t>TC-RS-FUNC-030 / b</t>
        </is>
      </c>
      <c r="B5412" s="36" t="n"/>
      <c r="C5412" s="36" t="n"/>
      <c r="D5412" s="36" t="n"/>
      <c r="E5412" s="36" t="n"/>
    </row>
    <row r="5413" ht="30" customHeight="1">
      <c r="A5413" s="47" t="inlineStr">
        <is>
          <t>Dữ liệu biến thể</t>
        </is>
      </c>
      <c r="B5413" s="56" t="inlineStr">
        <is>
          <t>Tổ hợp b</t>
        </is>
      </c>
      <c r="C5413" s="57" t="n"/>
      <c r="D5413" s="57" t="n"/>
      <c r="E5413" s="57" t="n"/>
    </row>
    <row r="5414" ht="30" customHeight="1">
      <c r="A5414" s="47" t="inlineStr">
        <is>
          <t>Trạng thái</t>
        </is>
      </c>
      <c r="B5414" s="61" t="inlineStr">
        <is>
          <t>Chưa thực hiện</t>
        </is>
      </c>
      <c r="C5414" s="57" t="n"/>
      <c r="D5414" s="57" t="n"/>
      <c r="E5414" s="57" t="n"/>
    </row>
    <row r="5415" ht="30" customHeight="1">
      <c r="A5415" s="62" t="inlineStr">
        <is>
          <t>Kết quả thực tế</t>
        </is>
      </c>
    </row>
    <row r="5416" ht="64" customHeight="1">
      <c r="A5416" s="63" t="inlineStr"/>
      <c r="B5416" s="64" t="n"/>
      <c r="C5416" s="64" t="n"/>
      <c r="D5416" s="64" t="n"/>
      <c r="E5416" s="65" t="n"/>
    </row>
    <row r="5417" ht="30" customHeight="1">
      <c r="A5417" s="62" t="inlineStr">
        <is>
          <t>Ảnh minh chứng</t>
        </is>
      </c>
    </row>
    <row r="5418" ht="90" customHeight="1">
      <c r="A5418" s="63" t="inlineStr"/>
      <c r="B5418" s="64" t="n"/>
      <c r="C5418" s="64" t="n"/>
      <c r="D5418" s="64" t="n"/>
      <c r="E5418" s="65" t="n"/>
    </row>
    <row r="5419" ht="12" customHeight="1">
      <c r="A5419" s="66" t="inlineStr"/>
    </row>
    <row r="5420" ht="30" customHeight="1">
      <c r="A5420" s="60" t="inlineStr">
        <is>
          <t>TC-RS-FUNC-030 / c-hidden</t>
        </is>
      </c>
      <c r="B5420" s="36" t="n"/>
      <c r="C5420" s="36" t="n"/>
      <c r="D5420" s="36" t="n"/>
      <c r="E5420" s="36" t="n"/>
    </row>
    <row r="5421" ht="30" customHeight="1">
      <c r="A5421" s="47" t="inlineStr">
        <is>
          <t>Dữ liệu biến thể</t>
        </is>
      </c>
      <c r="B5421" s="56" t="inlineStr">
        <is>
          <t>Tổ hợp c với Ẩn</t>
        </is>
      </c>
      <c r="C5421" s="57" t="n"/>
      <c r="D5421" s="57" t="n"/>
      <c r="E5421" s="57" t="n"/>
    </row>
    <row r="5422" ht="30" customHeight="1">
      <c r="A5422" s="47" t="inlineStr">
        <is>
          <t>Trạng thái</t>
        </is>
      </c>
      <c r="B5422" s="61" t="inlineStr">
        <is>
          <t>Chưa thực hiện</t>
        </is>
      </c>
      <c r="C5422" s="57" t="n"/>
      <c r="D5422" s="57" t="n"/>
      <c r="E5422" s="57" t="n"/>
    </row>
    <row r="5423" ht="30" customHeight="1">
      <c r="A5423" s="62" t="inlineStr">
        <is>
          <t>Kết quả thực tế</t>
        </is>
      </c>
    </row>
    <row r="5424" ht="64" customHeight="1">
      <c r="A5424" s="63" t="inlineStr"/>
      <c r="B5424" s="64" t="n"/>
      <c r="C5424" s="64" t="n"/>
      <c r="D5424" s="64" t="n"/>
      <c r="E5424" s="65" t="n"/>
    </row>
    <row r="5425" ht="30" customHeight="1">
      <c r="A5425" s="62" t="inlineStr">
        <is>
          <t>Ảnh minh chứng</t>
        </is>
      </c>
    </row>
    <row r="5426" ht="90" customHeight="1">
      <c r="A5426" s="63" t="inlineStr"/>
      <c r="B5426" s="64" t="n"/>
      <c r="C5426" s="64" t="n"/>
      <c r="D5426" s="64" t="n"/>
      <c r="E5426" s="65" t="n"/>
    </row>
    <row r="5427" ht="12" customHeight="1">
      <c r="A5427" s="66" t="inlineStr"/>
    </row>
    <row r="5428" ht="30" customHeight="1">
      <c r="A5428" s="60" t="inlineStr">
        <is>
          <t>TC-RS-FUNC-030 / c-slash</t>
        </is>
      </c>
      <c r="B5428" s="36" t="n"/>
      <c r="C5428" s="36" t="n"/>
      <c r="D5428" s="36" t="n"/>
      <c r="E5428" s="36" t="n"/>
    </row>
    <row r="5429" ht="30" customHeight="1">
      <c r="A5429" s="47" t="inlineStr">
        <is>
          <t>Dữ liệu biến thể</t>
        </is>
      </c>
      <c r="B5429" s="56" t="inlineStr">
        <is>
          <t>Tổ hợp c với Gạch chéo</t>
        </is>
      </c>
      <c r="C5429" s="57" t="n"/>
      <c r="D5429" s="57" t="n"/>
      <c r="E5429" s="57" t="n"/>
    </row>
    <row r="5430" ht="30" customHeight="1">
      <c r="A5430" s="47" t="inlineStr">
        <is>
          <t>Trạng thái</t>
        </is>
      </c>
      <c r="B5430" s="61" t="inlineStr">
        <is>
          <t>Chưa thực hiện</t>
        </is>
      </c>
      <c r="C5430" s="57" t="n"/>
      <c r="D5430" s="57" t="n"/>
      <c r="E5430" s="57" t="n"/>
    </row>
    <row r="5431" ht="30" customHeight="1">
      <c r="A5431" s="62" t="inlineStr">
        <is>
          <t>Kết quả thực tế</t>
        </is>
      </c>
    </row>
    <row r="5432" ht="64" customHeight="1">
      <c r="A5432" s="63" t="inlineStr"/>
      <c r="B5432" s="64" t="n"/>
      <c r="C5432" s="64" t="n"/>
      <c r="D5432" s="64" t="n"/>
      <c r="E5432" s="65" t="n"/>
    </row>
    <row r="5433" ht="30" customHeight="1">
      <c r="A5433" s="62" t="inlineStr">
        <is>
          <t>Ảnh minh chứng</t>
        </is>
      </c>
    </row>
    <row r="5434" ht="90" customHeight="1">
      <c r="A5434" s="63" t="inlineStr"/>
      <c r="B5434" s="64" t="n"/>
      <c r="C5434" s="64" t="n"/>
      <c r="D5434" s="64" t="n"/>
      <c r="E5434" s="65" t="n"/>
    </row>
    <row r="5435" ht="12" customHeight="1">
      <c r="A5435" s="66" t="inlineStr"/>
    </row>
    <row r="5436" ht="30" customHeight="1">
      <c r="A5436" s="60" t="inlineStr">
        <is>
          <t>TC-RS-FUNC-030 / d</t>
        </is>
      </c>
      <c r="B5436" s="36" t="n"/>
      <c r="C5436" s="36" t="n"/>
      <c r="D5436" s="36" t="n"/>
      <c r="E5436" s="36" t="n"/>
    </row>
    <row r="5437" ht="30" customHeight="1">
      <c r="A5437" s="47" t="inlineStr">
        <is>
          <t>Dữ liệu biến thể</t>
        </is>
      </c>
      <c r="B5437" s="56" t="inlineStr">
        <is>
          <t>Tổ hợp d</t>
        </is>
      </c>
      <c r="C5437" s="57" t="n"/>
      <c r="D5437" s="57" t="n"/>
      <c r="E5437" s="57" t="n"/>
    </row>
    <row r="5438" ht="30" customHeight="1">
      <c r="A5438" s="47" t="inlineStr">
        <is>
          <t>Trạng thái</t>
        </is>
      </c>
      <c r="B5438" s="61" t="inlineStr">
        <is>
          <t>Chưa thực hiện</t>
        </is>
      </c>
      <c r="C5438" s="57" t="n"/>
      <c r="D5438" s="57" t="n"/>
      <c r="E5438" s="57" t="n"/>
    </row>
    <row r="5439" ht="30" customHeight="1">
      <c r="A5439" s="62" t="inlineStr">
        <is>
          <t>Kết quả thực tế</t>
        </is>
      </c>
    </row>
    <row r="5440" ht="64" customHeight="1">
      <c r="A5440" s="63" t="inlineStr"/>
      <c r="B5440" s="64" t="n"/>
      <c r="C5440" s="64" t="n"/>
      <c r="D5440" s="64" t="n"/>
      <c r="E5440" s="65" t="n"/>
    </row>
    <row r="5441" ht="30" customHeight="1">
      <c r="A5441" s="62" t="inlineStr">
        <is>
          <t>Ảnh minh chứng</t>
        </is>
      </c>
    </row>
    <row r="5442" ht="90" customHeight="1">
      <c r="A5442" s="63" t="inlineStr"/>
      <c r="B5442" s="64" t="n"/>
      <c r="C5442" s="64" t="n"/>
      <c r="D5442" s="64" t="n"/>
      <c r="E5442" s="65" t="n"/>
    </row>
    <row r="5443" ht="12" customHeight="1">
      <c r="A5443" s="66" t="inlineStr"/>
    </row>
    <row r="5444" ht="30" customHeight="1">
      <c r="A5444" s="60" t="inlineStr">
        <is>
          <t>TC-RS-FUNC-030 / e</t>
        </is>
      </c>
      <c r="B5444" s="36" t="n"/>
      <c r="C5444" s="36" t="n"/>
      <c r="D5444" s="36" t="n"/>
      <c r="E5444" s="36" t="n"/>
    </row>
    <row r="5445" ht="30" customHeight="1">
      <c r="A5445" s="47" t="inlineStr">
        <is>
          <t>Dữ liệu biến thể</t>
        </is>
      </c>
      <c r="B5445" s="56" t="inlineStr">
        <is>
          <t>Tổ hợp e</t>
        </is>
      </c>
      <c r="C5445" s="57" t="n"/>
      <c r="D5445" s="57" t="n"/>
      <c r="E5445" s="57" t="n"/>
    </row>
    <row r="5446" ht="30" customHeight="1">
      <c r="A5446" s="47" t="inlineStr">
        <is>
          <t>Trạng thái</t>
        </is>
      </c>
      <c r="B5446" s="61" t="inlineStr">
        <is>
          <t>Chưa thực hiện</t>
        </is>
      </c>
      <c r="C5446" s="57" t="n"/>
      <c r="D5446" s="57" t="n"/>
      <c r="E5446" s="57" t="n"/>
    </row>
    <row r="5447" ht="30" customHeight="1">
      <c r="A5447" s="62" t="inlineStr">
        <is>
          <t>Kết quả thực tế</t>
        </is>
      </c>
    </row>
    <row r="5448" ht="64" customHeight="1">
      <c r="A5448" s="63" t="inlineStr"/>
      <c r="B5448" s="64" t="n"/>
      <c r="C5448" s="64" t="n"/>
      <c r="D5448" s="64" t="n"/>
      <c r="E5448" s="65" t="n"/>
    </row>
    <row r="5449" ht="30" customHeight="1">
      <c r="A5449" s="62" t="inlineStr">
        <is>
          <t>Ảnh minh chứng</t>
        </is>
      </c>
    </row>
    <row r="5450" ht="90" customHeight="1">
      <c r="A5450" s="63" t="inlineStr"/>
      <c r="B5450" s="64" t="n"/>
      <c r="C5450" s="64" t="n"/>
      <c r="D5450" s="64" t="n"/>
      <c r="E5450" s="65" t="n"/>
    </row>
    <row r="5451" ht="12" customHeight="1">
      <c r="A5451" s="66" t="inlineStr"/>
    </row>
    <row r="5452" ht="30" customHeight="1">
      <c r="A5452" s="60" t="inlineStr">
        <is>
          <t>TC-RS-FUNC-030 / f</t>
        </is>
      </c>
      <c r="B5452" s="36" t="n"/>
      <c r="C5452" s="36" t="n"/>
      <c r="D5452" s="36" t="n"/>
      <c r="E5452" s="36" t="n"/>
    </row>
    <row r="5453" ht="30" customHeight="1">
      <c r="A5453" s="47" t="inlineStr">
        <is>
          <t>Dữ liệu biến thể</t>
        </is>
      </c>
      <c r="B5453" s="56" t="inlineStr">
        <is>
          <t>Tổ hợp f</t>
        </is>
      </c>
      <c r="C5453" s="57" t="n"/>
      <c r="D5453" s="57" t="n"/>
      <c r="E5453" s="57" t="n"/>
    </row>
    <row r="5454" ht="30" customHeight="1">
      <c r="A5454" s="47" t="inlineStr">
        <is>
          <t>Trạng thái</t>
        </is>
      </c>
      <c r="B5454" s="61" t="inlineStr">
        <is>
          <t>Chưa thực hiện</t>
        </is>
      </c>
      <c r="C5454" s="57" t="n"/>
      <c r="D5454" s="57" t="n"/>
      <c r="E5454" s="57" t="n"/>
    </row>
    <row r="5455" ht="30" customHeight="1">
      <c r="A5455" s="62" t="inlineStr">
        <is>
          <t>Kết quả thực tế</t>
        </is>
      </c>
    </row>
    <row r="5456" ht="64" customHeight="1">
      <c r="A5456" s="63" t="inlineStr"/>
      <c r="B5456" s="64" t="n"/>
      <c r="C5456" s="64" t="n"/>
      <c r="D5456" s="64" t="n"/>
      <c r="E5456" s="65" t="n"/>
    </row>
    <row r="5457" ht="30" customHeight="1">
      <c r="A5457" s="62" t="inlineStr">
        <is>
          <t>Ảnh minh chứng</t>
        </is>
      </c>
    </row>
    <row r="5458" ht="90" customHeight="1">
      <c r="A5458" s="63" t="inlineStr"/>
      <c r="B5458" s="64" t="n"/>
      <c r="C5458" s="64" t="n"/>
      <c r="D5458" s="64" t="n"/>
      <c r="E5458" s="65" t="n"/>
    </row>
    <row r="5459" ht="12" customHeight="1">
      <c r="A5459" s="66" t="inlineStr"/>
    </row>
    <row r="5460" ht="30" customHeight="1">
      <c r="A5460" s="60" t="inlineStr">
        <is>
          <t>TC-RS-FUNC-030 / g</t>
        </is>
      </c>
      <c r="B5460" s="36" t="n"/>
      <c r="C5460" s="36" t="n"/>
      <c r="D5460" s="36" t="n"/>
      <c r="E5460" s="36" t="n"/>
    </row>
    <row r="5461" ht="30" customHeight="1">
      <c r="A5461" s="47" t="inlineStr">
        <is>
          <t>Dữ liệu biến thể</t>
        </is>
      </c>
      <c r="B5461" s="56" t="inlineStr">
        <is>
          <t>Tổ hợp g</t>
        </is>
      </c>
      <c r="C5461" s="57" t="n"/>
      <c r="D5461" s="57" t="n"/>
      <c r="E5461" s="57" t="n"/>
    </row>
    <row r="5462" ht="30" customHeight="1">
      <c r="A5462" s="47" t="inlineStr">
        <is>
          <t>Trạng thái</t>
        </is>
      </c>
      <c r="B5462" s="61" t="inlineStr">
        <is>
          <t>Chưa thực hiện</t>
        </is>
      </c>
      <c r="C5462" s="57" t="n"/>
      <c r="D5462" s="57" t="n"/>
      <c r="E5462" s="57" t="n"/>
    </row>
    <row r="5463" ht="30" customHeight="1">
      <c r="A5463" s="62" t="inlineStr">
        <is>
          <t>Kết quả thực tế</t>
        </is>
      </c>
    </row>
    <row r="5464" ht="64" customHeight="1">
      <c r="A5464" s="63" t="inlineStr"/>
      <c r="B5464" s="64" t="n"/>
      <c r="C5464" s="64" t="n"/>
      <c r="D5464" s="64" t="n"/>
      <c r="E5464" s="65" t="n"/>
    </row>
    <row r="5465" ht="30" customHeight="1">
      <c r="A5465" s="62" t="inlineStr">
        <is>
          <t>Ảnh minh chứng</t>
        </is>
      </c>
    </row>
    <row r="5466" ht="90" customHeight="1">
      <c r="A5466" s="63" t="inlineStr"/>
      <c r="B5466" s="64" t="n"/>
      <c r="C5466" s="64" t="n"/>
      <c r="D5466" s="64" t="n"/>
      <c r="E5466" s="65" t="n"/>
    </row>
    <row r="5467" ht="12" customHeight="1">
      <c r="A5467" s="66" t="inlineStr"/>
    </row>
    <row r="5468" ht="20" customHeight="1">
      <c r="A5468" s="66" t="inlineStr"/>
    </row>
    <row r="5469" ht="44" customHeight="1">
      <c r="A5469" s="46" t="inlineStr">
        <is>
          <t>TC-RS-FUNC-031 — Phiếu điểm: lưu qua Cập nhật（更新する）, mở lại giữ lựa chọn; chỉ dùng điều kiện đỏ vẫn được ghi nhận</t>
        </is>
      </c>
      <c r="B5469" s="23" t="n"/>
      <c r="C5469" s="23" t="n"/>
      <c r="D5469" s="23" t="n"/>
      <c r="E5469" s="23" t="n"/>
    </row>
    <row r="5470" ht="30" customHeight="1">
      <c r="A5470" s="47" t="inlineStr">
        <is>
          <t>Trạng thái</t>
        </is>
      </c>
      <c r="B5470" s="56">
        <f>IF(0&gt;0,"Không đạt",IF(0=2,"Đạt",IF(SUMPRODUCT(--EXACT('Testcases'!B5492:B5500,"Không thực hiện"))=2,"Không thực hiện",IF(SUMPRODUCT(--EXACT('Testcases'!B5492:B5500,"Bị chặn"))&gt;0,"Bị chặn",IF(SUMPRODUCT(--EXACT('Testcases'!B5492:B5500,"Chưa thực hiện"))=2,"Chưa thực hiện","Chưa đủ kết luận")))))</f>
        <v/>
      </c>
      <c r="C5470" s="57" t="n"/>
      <c r="D5470" s="57" t="n"/>
      <c r="E5470" s="57" t="n"/>
    </row>
    <row r="5471" ht="30" customHeight="1">
      <c r="A5471" s="47" t="inlineStr">
        <is>
          <t>Màn hình / chức năng</t>
        </is>
      </c>
      <c r="B5471" s="47" t="inlineStr">
        <is>
          <t>Công cụ phiếu điểm（通知表ツール）</t>
        </is>
      </c>
      <c r="C5471" s="57" t="n"/>
      <c r="D5471" s="47" t="inlineStr">
        <is>
          <t>Đường dẫn</t>
        </is>
      </c>
      <c r="E5471" s="56" t="inlineStr">
        <is>
          <t>Chưa xác minh</t>
        </is>
      </c>
    </row>
    <row r="5472" ht="30" customHeight="1">
      <c r="A5472" s="58" t="inlineStr">
        <is>
          <t>Điều kiện kiểm thử</t>
        </is>
      </c>
      <c r="B5472" s="59" t="n"/>
      <c r="C5472" s="59" t="n"/>
      <c r="D5472" s="59" t="n"/>
      <c r="E5472" s="59" t="n"/>
    </row>
    <row r="5473" ht="44" customHeight="1">
      <c r="A5473" s="47" t="inlineStr">
        <is>
          <t>Cấu hình</t>
        </is>
      </c>
      <c r="B5473" s="56" t="inlineStr">
        <is>
          <t>• Bảng điểm（成績表） chưa dùng điều kiện nào (Thiết lập điều kiện hiển thị（表示条件を設定）= Không thiết lập（設定しない）).</t>
        </is>
      </c>
      <c r="C5473" s="57" t="n"/>
      <c r="D5473" s="57" t="n"/>
      <c r="E5473" s="57" t="n"/>
    </row>
    <row r="5474" ht="61" customHeight="1">
      <c r="A5474" s="47" t="inlineStr">
        <is>
          <t>Vai trò / quyền</t>
        </is>
      </c>
      <c r="B547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474" s="57" t="n"/>
      <c r="D5474" s="57" t="n"/>
      <c r="E5474" s="57" t="n"/>
    </row>
    <row r="5475" ht="30" customHeight="1">
      <c r="A5475" s="47" t="inlineStr">
        <is>
          <t>Dữ liệu test</t>
        </is>
      </c>
      <c r="B5475" s="56" t="inlineStr">
        <is>
          <t>• Cấu hình phiếu điểm: ký tự “※” phía trước</t>
        </is>
      </c>
      <c r="C5475" s="57" t="n"/>
      <c r="D5475" s="57" t="n"/>
      <c r="E5475" s="57" t="n"/>
    </row>
    <row r="5476" ht="30" customHeight="1">
      <c r="A5476" s="47" t="inlineStr">
        <is>
          <t>Trigger</t>
        </is>
      </c>
      <c r="B5476" s="56" t="inlineStr">
        <is>
          <t>• Chỉ xem/xuất không tự chạy xét.</t>
        </is>
      </c>
      <c r="C5476" s="57" t="n"/>
      <c r="D5476" s="57" t="n"/>
      <c r="E5476" s="57" t="n"/>
    </row>
    <row r="5477" ht="44" customHeight="1">
      <c r="A5477" s="47" t="inlineStr">
        <is>
          <t>Blocker</t>
        </is>
      </c>
      <c r="B5477" s="56" t="inlineStr">
        <is>
          <t>• G-PREP-UNASSESSED: Chưa có xác minh fixture, đường thực hiện và phép quan sát trên build của từng case chưa đánh giá.</t>
        </is>
      </c>
      <c r="C5477" s="57" t="n"/>
      <c r="D5477" s="57" t="n"/>
      <c r="E5477" s="57" t="n"/>
    </row>
    <row r="5478" ht="30" customHeight="1">
      <c r="A5478" s="58" t="inlineStr">
        <is>
          <t>Thao tác</t>
        </is>
      </c>
      <c r="B5478" s="59" t="n"/>
      <c r="C5478" s="59" t="n"/>
      <c r="D5478" s="59" t="n"/>
      <c r="E5478" s="59" t="n"/>
    </row>
    <row r="5479" ht="44" customHeight="1">
      <c r="A5479" s="47" t="inlineStr">
        <is>
          <t>Step 1</t>
        </is>
      </c>
      <c r="B5479" s="56" t="inlineStr">
        <is>
          <t>Mở hộp tùy chọn, chọn Thiết lập（設定する）, chỉ chọn dòng đỏ = [※] trước, các dòng khác Nguyên trạng. Đóng hộp, không bấm Cập nhật; tải lại trang.</t>
        </is>
      </c>
      <c r="C5479" s="57" t="n"/>
      <c r="D5479" s="57" t="n"/>
      <c r="E5479" s="57" t="n"/>
    </row>
    <row r="5480" ht="30" customHeight="1">
      <c r="A5480" s="47" t="inlineStr">
        <is>
          <t>Step 2</t>
        </is>
      </c>
      <c r="B5480" s="56" t="inlineStr">
        <is>
          <t>Lặp lại, lần này bấm Cập nhật（更新する）; tải lại, mở hộp.</t>
        </is>
      </c>
      <c r="C5480" s="57" t="n"/>
      <c r="D5480" s="57" t="n"/>
      <c r="E5480" s="57" t="n"/>
    </row>
    <row r="5481" ht="30" customHeight="1">
      <c r="A5481" s="47" t="inlineStr">
        <is>
          <t>Step 3</t>
        </is>
      </c>
      <c r="B5481" s="56" t="inlineStr">
        <is>
          <t>Xuất PDF.</t>
        </is>
      </c>
      <c r="C5481" s="57" t="n"/>
      <c r="D5481" s="57" t="n"/>
      <c r="E5481" s="57" t="n"/>
    </row>
    <row r="5482" ht="44" customHeight="1">
      <c r="A5482" s="47" t="inlineStr">
        <is>
          <t>Reset</t>
        </is>
      </c>
      <c r="B5482" s="56" t="inlineStr">
        <is>
          <t>Trước mỗi biến thể, dựng lại điều kiện/dữ liệu đầu của case bằng đường được phép; giữ các reset/fixture độc lập đã nêu trong thủ tục.</t>
        </is>
      </c>
      <c r="C5482" s="57" t="n"/>
      <c r="D5482" s="57" t="n"/>
      <c r="E5482" s="57" t="n"/>
    </row>
    <row r="5483" ht="30" customHeight="1">
      <c r="A5483" s="58" t="inlineStr">
        <is>
          <t>Kết quả mong đợi</t>
        </is>
      </c>
      <c r="B5483" s="59" t="n"/>
      <c r="C5483" s="59" t="n"/>
      <c r="D5483" s="59" t="n"/>
      <c r="E5483" s="59" t="n"/>
    </row>
    <row r="5484" ht="30" customHeight="1">
      <c r="A5484" s="47" t="inlineStr">
        <is>
          <t>1.</t>
        </is>
      </c>
      <c r="B5484" s="56" t="inlineStr">
        <is>
          <t>Không bấm Cập nhật: thay đổi không được lưu (hành vi hiện có).</t>
        </is>
      </c>
      <c r="C5484" s="57" t="n"/>
      <c r="D5484" s="57" t="n"/>
      <c r="E5484" s="57" t="n"/>
    </row>
    <row r="5485" ht="44" customHeight="1">
      <c r="A5485" s="47" t="inlineStr">
        <is>
          <t>2.</t>
        </is>
      </c>
      <c r="B5485" s="56" t="inlineStr">
        <is>
          <t>Có bấm Cập nhật: mở lại thấy dòng đỏ = [※] trước; bảng được ghi nhận là có dùng điều kiện dù chỉ điều kiện đỏ được chọn.</t>
        </is>
      </c>
      <c r="C5485" s="57" t="n"/>
      <c r="D5485" s="57" t="n"/>
      <c r="E5485" s="57" t="n"/>
    </row>
    <row r="5486" ht="30" customHeight="1">
      <c r="A5486" s="47" t="inlineStr">
        <is>
          <t>3.</t>
        </is>
      </c>
      <c r="B5486" s="56" t="inlineStr">
        <is>
          <t>PDF áp dụng điều kiện đỏ.</t>
        </is>
      </c>
      <c r="C5486" s="57" t="n"/>
      <c r="D5486" s="57" t="n"/>
      <c r="E5486" s="57" t="n"/>
    </row>
    <row r="5487" ht="44" customHeight="1">
      <c r="A5487" s="47" t="inlineStr">
        <is>
          <t>Giữ nguyên</t>
        </is>
      </c>
      <c r="B5487" s="56" t="inlineStr">
        <is>
          <t>• Giữ điểm, cấu hình và đối tượng không đích theo expected;
• Chỉ thay phần thủ tục yêu cầu, không tự đổi oracle hoặc mở rộng phạm vi.</t>
        </is>
      </c>
      <c r="C5487" s="57" t="n"/>
      <c r="D5487" s="57" t="n"/>
      <c r="E5487" s="57" t="n"/>
    </row>
    <row r="5488" ht="61" customHeight="1">
      <c r="A5488" s="47" t="inlineStr">
        <is>
          <t>Quan sát tại</t>
        </is>
      </c>
      <c r="B5488" s="56" t="inlineStr">
        <is>
          <t>• Dùng trích xuất không lọc để thấy cả ô đối chứng. Trạng thái không có dấu đỏ cần đọc thêm trạng thái lưu;
• Output Excel/PDF dùng file thật.</t>
        </is>
      </c>
      <c r="C5488" s="57" t="n"/>
      <c r="D5488" s="57" t="n"/>
      <c r="E5488" s="57" t="n"/>
    </row>
    <row r="5489" ht="30" customHeight="1">
      <c r="A5489" s="58" t="inlineStr">
        <is>
          <t>Kết quả thực tế</t>
        </is>
      </c>
      <c r="B5489" s="59" t="n"/>
      <c r="C5489" s="59" t="n"/>
      <c r="D5489" s="59" t="n"/>
      <c r="E5489" s="59" t="n"/>
    </row>
    <row r="5490" ht="30" customHeight="1">
      <c r="A5490" s="60" t="inlineStr">
        <is>
          <t>TC-RS-FUNC-031 / unsaved</t>
        </is>
      </c>
      <c r="B5490" s="36" t="n"/>
      <c r="C5490" s="36" t="n"/>
      <c r="D5490" s="36" t="n"/>
      <c r="E5490" s="36" t="n"/>
    </row>
    <row r="5491" ht="30" customHeight="1">
      <c r="A5491" s="47" t="inlineStr">
        <is>
          <t>Dữ liệu biến thể</t>
        </is>
      </c>
      <c r="B5491" s="56" t="inlineStr">
        <is>
          <t>Bước 1 không cập nhật</t>
        </is>
      </c>
      <c r="C5491" s="57" t="n"/>
      <c r="D5491" s="57" t="n"/>
      <c r="E5491" s="57" t="n"/>
    </row>
    <row r="5492" ht="30" customHeight="1">
      <c r="A5492" s="47" t="inlineStr">
        <is>
          <t>Trạng thái</t>
        </is>
      </c>
      <c r="B5492" s="61" t="inlineStr">
        <is>
          <t>Chưa thực hiện</t>
        </is>
      </c>
      <c r="C5492" s="57" t="n"/>
      <c r="D5492" s="57" t="n"/>
      <c r="E5492" s="57" t="n"/>
    </row>
    <row r="5493" ht="30" customHeight="1">
      <c r="A5493" s="62" t="inlineStr">
        <is>
          <t>Kết quả thực tế</t>
        </is>
      </c>
    </row>
    <row r="5494" ht="64" customHeight="1">
      <c r="A5494" s="63" t="inlineStr"/>
      <c r="B5494" s="64" t="n"/>
      <c r="C5494" s="64" t="n"/>
      <c r="D5494" s="64" t="n"/>
      <c r="E5494" s="65" t="n"/>
    </row>
    <row r="5495" ht="30" customHeight="1">
      <c r="A5495" s="62" t="inlineStr">
        <is>
          <t>Ảnh minh chứng</t>
        </is>
      </c>
    </row>
    <row r="5496" ht="90" customHeight="1">
      <c r="A5496" s="63" t="inlineStr"/>
      <c r="B5496" s="64" t="n"/>
      <c r="C5496" s="64" t="n"/>
      <c r="D5496" s="64" t="n"/>
      <c r="E5496" s="65" t="n"/>
    </row>
    <row r="5497" ht="12" customHeight="1">
      <c r="A5497" s="66" t="inlineStr"/>
    </row>
    <row r="5498" ht="30" customHeight="1">
      <c r="A5498" s="60" t="inlineStr">
        <is>
          <t>TC-RS-FUNC-031 / saved-pdf</t>
        </is>
      </c>
      <c r="B5498" s="36" t="n"/>
      <c r="C5498" s="36" t="n"/>
      <c r="D5498" s="36" t="n"/>
      <c r="E5498" s="36" t="n"/>
    </row>
    <row r="5499" ht="30" customHeight="1">
      <c r="A5499" s="47" t="inlineStr">
        <is>
          <t>Dữ liệu biến thể</t>
        </is>
      </c>
      <c r="B5499" s="56" t="inlineStr">
        <is>
          <t>Bước 2–3 lưu, mở lại và PDF</t>
        </is>
      </c>
      <c r="C5499" s="57" t="n"/>
      <c r="D5499" s="57" t="n"/>
      <c r="E5499" s="57" t="n"/>
    </row>
    <row r="5500" ht="30" customHeight="1">
      <c r="A5500" s="47" t="inlineStr">
        <is>
          <t>Trạng thái</t>
        </is>
      </c>
      <c r="B5500" s="61" t="inlineStr">
        <is>
          <t>Chưa thực hiện</t>
        </is>
      </c>
      <c r="C5500" s="57" t="n"/>
      <c r="D5500" s="57" t="n"/>
      <c r="E5500" s="57" t="n"/>
    </row>
    <row r="5501" ht="30" customHeight="1">
      <c r="A5501" s="62" t="inlineStr">
        <is>
          <t>Kết quả thực tế</t>
        </is>
      </c>
    </row>
    <row r="5502" ht="64" customHeight="1">
      <c r="A5502" s="63" t="inlineStr"/>
      <c r="B5502" s="64" t="n"/>
      <c r="C5502" s="64" t="n"/>
      <c r="D5502" s="64" t="n"/>
      <c r="E5502" s="65" t="n"/>
    </row>
    <row r="5503" ht="30" customHeight="1">
      <c r="A5503" s="62" t="inlineStr">
        <is>
          <t>Ảnh minh chứng</t>
        </is>
      </c>
    </row>
    <row r="5504" ht="90" customHeight="1">
      <c r="A5504" s="63" t="inlineStr"/>
      <c r="B5504" s="64" t="n"/>
      <c r="C5504" s="64" t="n"/>
      <c r="D5504" s="64" t="n"/>
      <c r="E5504" s="65" t="n"/>
    </row>
    <row r="5505" ht="12" customHeight="1">
      <c r="A5505" s="66" t="inlineStr"/>
    </row>
    <row r="5506" ht="20" customHeight="1">
      <c r="A5506" s="66" t="inlineStr"/>
    </row>
    <row r="5507" ht="30" customHeight="1">
      <c r="A5507" s="46" t="inlineStr">
        <is>
          <t>TC-RS-VAL-018 — Phiếu điểm: chỉ bắt buộc ký tự khi chọn phía trước/phía sau</t>
        </is>
      </c>
      <c r="B5507" s="23" t="n"/>
      <c r="C5507" s="23" t="n"/>
      <c r="D5507" s="23" t="n"/>
      <c r="E5507" s="23" t="n"/>
    </row>
    <row r="5508" ht="30" customHeight="1">
      <c r="A5508" s="47" t="inlineStr">
        <is>
          <t>Trạng thái</t>
        </is>
      </c>
      <c r="B5508" s="56">
        <f>IF(0&gt;0,"Không đạt",IF(0=4,"Đạt",IF(SUMPRODUCT(--EXACT('Testcases'!B5526:B5550,"Không thực hiện"))=4,"Không thực hiện",IF(SUMPRODUCT(--EXACT('Testcases'!B5526:B5550,"Bị chặn"))&gt;0,"Bị chặn",IF(SUMPRODUCT(--EXACT('Testcases'!B5526:B5550,"Chưa thực hiện"))=4,"Chưa thực hiện","Chưa đủ kết luận")))))</f>
        <v/>
      </c>
      <c r="C5508" s="57" t="n"/>
      <c r="D5508" s="57" t="n"/>
      <c r="E5508" s="57" t="n"/>
    </row>
    <row r="5509" ht="30" customHeight="1">
      <c r="A5509" s="47" t="inlineStr">
        <is>
          <t>Màn hình / chức năng</t>
        </is>
      </c>
      <c r="B5509" s="47" t="inlineStr">
        <is>
          <t>Công cụ phiếu điểm（通知表ツール）</t>
        </is>
      </c>
      <c r="C5509" s="57" t="n"/>
      <c r="D5509" s="47" t="inlineStr">
        <is>
          <t>Đường dẫn</t>
        </is>
      </c>
      <c r="E5509" s="56" t="inlineStr">
        <is>
          <t>Chưa xác minh</t>
        </is>
      </c>
    </row>
    <row r="5510" ht="30" customHeight="1">
      <c r="A5510" s="58" t="inlineStr">
        <is>
          <t>Điều kiện kiểm thử</t>
        </is>
      </c>
      <c r="B5510" s="59" t="n"/>
      <c r="C5510" s="59" t="n"/>
      <c r="D5510" s="59" t="n"/>
      <c r="E5510" s="59" t="n"/>
    </row>
    <row r="5511" ht="30" customHeight="1">
      <c r="A5511" s="47" t="inlineStr">
        <is>
          <t>Cấu hình</t>
        </is>
      </c>
      <c r="B5511" s="56" t="inlineStr">
        <is>
          <t>• Công cụ phiếu điểm（通知表ツール）, dòng Thiết lập điểm đỏ（赤点設定）.</t>
        </is>
      </c>
      <c r="C5511" s="57" t="n"/>
      <c r="D5511" s="57" t="n"/>
      <c r="E5511" s="57" t="n"/>
    </row>
    <row r="5512" ht="61" customHeight="1">
      <c r="A5512" s="47" t="inlineStr">
        <is>
          <t>Vai trò / quyền</t>
        </is>
      </c>
      <c r="B551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512" s="57" t="n"/>
      <c r="D5512" s="57" t="n"/>
      <c r="E5512" s="57" t="n"/>
    </row>
    <row r="5513" ht="44" customHeight="1">
      <c r="A5513" s="47" t="inlineStr">
        <is>
          <t>Dữ liệu test</t>
        </is>
      </c>
      <c r="B5513" s="56" t="inlineStr">
        <is>
          <t>• Nguyên trạng（そのまま表示）, Kèm ngoặc（カッコ付き）, Ký tự phía trước（前に任意の文字） để trống, Ký tự phía sau（後ろに任意の文字） để trống</t>
        </is>
      </c>
      <c r="C5513" s="57" t="n"/>
      <c r="D5513" s="57" t="n"/>
      <c r="E5513" s="57" t="n"/>
    </row>
    <row r="5514" ht="30" customHeight="1">
      <c r="A5514" s="47" t="inlineStr">
        <is>
          <t>Trigger</t>
        </is>
      </c>
      <c r="B5514" s="56" t="inlineStr">
        <is>
          <t>• Chỉ xem/xuất không tự chạy xét.</t>
        </is>
      </c>
      <c r="C5514" s="57" t="n"/>
      <c r="D5514" s="57" t="n"/>
      <c r="E5514" s="57" t="n"/>
    </row>
    <row r="5515" ht="44" customHeight="1">
      <c r="A5515" s="47" t="inlineStr">
        <is>
          <t>Blocker</t>
        </is>
      </c>
      <c r="B5515" s="56" t="inlineStr">
        <is>
          <t>• G-PREP-UNASSESSED: Chưa có xác minh fixture, đường thực hiện và phép quan sát trên build của từng case chưa đánh giá.</t>
        </is>
      </c>
      <c r="C5515" s="57" t="n"/>
      <c r="D5515" s="57" t="n"/>
      <c r="E5515" s="57" t="n"/>
    </row>
    <row r="5516" ht="30" customHeight="1">
      <c r="A5516" s="58" t="inlineStr">
        <is>
          <t>Thao tác</t>
        </is>
      </c>
      <c r="B5516" s="59" t="n"/>
      <c r="C5516" s="59" t="n"/>
      <c r="D5516" s="59" t="n"/>
      <c r="E5516" s="59" t="n"/>
    </row>
    <row r="5517" ht="30" customHeight="1">
      <c r="A5517" s="47" t="inlineStr">
        <is>
          <t>•</t>
        </is>
      </c>
      <c r="B5517" s="56" t="inlineStr">
        <is>
          <t>Chọn từng lựa chọn ở dòng Thiết lập điểm đỏ（赤点設定）, bấm Cập nhật（更新する）.</t>
        </is>
      </c>
      <c r="C5517" s="57" t="n"/>
      <c r="D5517" s="57" t="n"/>
      <c r="E5517" s="57" t="n"/>
    </row>
    <row r="5518" ht="44" customHeight="1">
      <c r="A5518" s="47" t="inlineStr">
        <is>
          <t>Reset</t>
        </is>
      </c>
      <c r="B5518" s="56" t="inlineStr">
        <is>
          <t>Trước mỗi biến thể, dựng lại điều kiện/dữ liệu đầu của case bằng đường được phép; giữ các reset/fixture độc lập đã nêu trong thủ tục.</t>
        </is>
      </c>
      <c r="C5518" s="57" t="n"/>
      <c r="D5518" s="57" t="n"/>
      <c r="E5518" s="57" t="n"/>
    </row>
    <row r="5519" ht="30" customHeight="1">
      <c r="A5519" s="58" t="inlineStr">
        <is>
          <t>Kết quả mong đợi</t>
        </is>
      </c>
      <c r="B5519" s="59" t="n"/>
      <c r="C5519" s="59" t="n"/>
      <c r="D5519" s="59" t="n"/>
      <c r="E5519" s="59" t="n"/>
    </row>
    <row r="5520" ht="30" customHeight="1">
      <c r="A5520" s="47" t="inlineStr">
        <is>
          <t>•</t>
        </is>
      </c>
      <c r="B5520" s="56" t="inlineStr">
        <is>
          <t>Nguyên trạng, Kèm ngoặc: không hiện ô ký tự, lưu được. Phía trước/sau để trống: không lưu được.</t>
        </is>
      </c>
      <c r="C5520" s="57" t="n"/>
      <c r="D5520" s="57" t="n"/>
      <c r="E5520" s="57" t="n"/>
    </row>
    <row r="5521" ht="44" customHeight="1">
      <c r="A5521" s="47" t="inlineStr">
        <is>
          <t>Giữ nguyên</t>
        </is>
      </c>
      <c r="B5521" s="56" t="inlineStr">
        <is>
          <t>• Giữ điểm, cấu hình và đối tượng không đích theo expected;
• Chỉ thay phần thủ tục yêu cầu, không tự đổi oracle hoặc mở rộng phạm vi.</t>
        </is>
      </c>
      <c r="C5521" s="57" t="n"/>
      <c r="D5521" s="57" t="n"/>
      <c r="E5521" s="57" t="n"/>
    </row>
    <row r="5522" ht="61" customHeight="1">
      <c r="A5522" s="47" t="inlineStr">
        <is>
          <t>Quan sát tại</t>
        </is>
      </c>
      <c r="B5522" s="56" t="inlineStr">
        <is>
          <t>• Dùng trích xuất không lọc để thấy cả ô đối chứng. Trạng thái không có dấu đỏ cần đọc thêm trạng thái lưu;
• Output Excel/PDF dùng file thật.</t>
        </is>
      </c>
      <c r="C5522" s="57" t="n"/>
      <c r="D5522" s="57" t="n"/>
      <c r="E5522" s="57" t="n"/>
    </row>
    <row r="5523" ht="30" customHeight="1">
      <c r="A5523" s="58" t="inlineStr">
        <is>
          <t>Kết quả thực tế</t>
        </is>
      </c>
      <c r="B5523" s="59" t="n"/>
      <c r="C5523" s="59" t="n"/>
      <c r="D5523" s="59" t="n"/>
      <c r="E5523" s="59" t="n"/>
    </row>
    <row r="5524" ht="30" customHeight="1">
      <c r="A5524" s="60" t="inlineStr">
        <is>
          <t>TC-RS-VAL-018 / unchanged</t>
        </is>
      </c>
      <c r="B5524" s="36" t="n"/>
      <c r="C5524" s="36" t="n"/>
      <c r="D5524" s="36" t="n"/>
      <c r="E5524" s="36" t="n"/>
    </row>
    <row r="5525" ht="30" customHeight="1">
      <c r="A5525" s="47" t="inlineStr">
        <is>
          <t>Dữ liệu biến thể</t>
        </is>
      </c>
      <c r="B5525" s="56" t="inlineStr">
        <is>
          <t>Nguyên trạng</t>
        </is>
      </c>
      <c r="C5525" s="57" t="n"/>
      <c r="D5525" s="57" t="n"/>
      <c r="E5525" s="57" t="n"/>
    </row>
    <row r="5526" ht="30" customHeight="1">
      <c r="A5526" s="47" t="inlineStr">
        <is>
          <t>Trạng thái</t>
        </is>
      </c>
      <c r="B5526" s="61" t="inlineStr">
        <is>
          <t>Chưa thực hiện</t>
        </is>
      </c>
      <c r="C5526" s="57" t="n"/>
      <c r="D5526" s="57" t="n"/>
      <c r="E5526" s="57" t="n"/>
    </row>
    <row r="5527" ht="30" customHeight="1">
      <c r="A5527" s="62" t="inlineStr">
        <is>
          <t>Kết quả thực tế</t>
        </is>
      </c>
    </row>
    <row r="5528" ht="64" customHeight="1">
      <c r="A5528" s="63" t="inlineStr"/>
      <c r="B5528" s="64" t="n"/>
      <c r="C5528" s="64" t="n"/>
      <c r="D5528" s="64" t="n"/>
      <c r="E5528" s="65" t="n"/>
    </row>
    <row r="5529" ht="30" customHeight="1">
      <c r="A5529" s="62" t="inlineStr">
        <is>
          <t>Ảnh minh chứng</t>
        </is>
      </c>
    </row>
    <row r="5530" ht="90" customHeight="1">
      <c r="A5530" s="63" t="inlineStr"/>
      <c r="B5530" s="64" t="n"/>
      <c r="C5530" s="64" t="n"/>
      <c r="D5530" s="64" t="n"/>
      <c r="E5530" s="65" t="n"/>
    </row>
    <row r="5531" ht="12" customHeight="1">
      <c r="A5531" s="66" t="inlineStr"/>
    </row>
    <row r="5532" ht="30" customHeight="1">
      <c r="A5532" s="60" t="inlineStr">
        <is>
          <t>TC-RS-VAL-018 / parentheses</t>
        </is>
      </c>
      <c r="B5532" s="36" t="n"/>
      <c r="C5532" s="36" t="n"/>
      <c r="D5532" s="36" t="n"/>
      <c r="E5532" s="36" t="n"/>
    </row>
    <row r="5533" ht="30" customHeight="1">
      <c r="A5533" s="47" t="inlineStr">
        <is>
          <t>Dữ liệu biến thể</t>
        </is>
      </c>
      <c r="B5533" s="56" t="inlineStr">
        <is>
          <t>Kèm ngoặc</t>
        </is>
      </c>
      <c r="C5533" s="57" t="n"/>
      <c r="D5533" s="57" t="n"/>
      <c r="E5533" s="57" t="n"/>
    </row>
    <row r="5534" ht="30" customHeight="1">
      <c r="A5534" s="47" t="inlineStr">
        <is>
          <t>Trạng thái</t>
        </is>
      </c>
      <c r="B5534" s="61" t="inlineStr">
        <is>
          <t>Chưa thực hiện</t>
        </is>
      </c>
      <c r="C5534" s="57" t="n"/>
      <c r="D5534" s="57" t="n"/>
      <c r="E5534" s="57" t="n"/>
    </row>
    <row r="5535" ht="30" customHeight="1">
      <c r="A5535" s="62" t="inlineStr">
        <is>
          <t>Kết quả thực tế</t>
        </is>
      </c>
    </row>
    <row r="5536" ht="64" customHeight="1">
      <c r="A5536" s="63" t="inlineStr"/>
      <c r="B5536" s="64" t="n"/>
      <c r="C5536" s="64" t="n"/>
      <c r="D5536" s="64" t="n"/>
      <c r="E5536" s="65" t="n"/>
    </row>
    <row r="5537" ht="30" customHeight="1">
      <c r="A5537" s="62" t="inlineStr">
        <is>
          <t>Ảnh minh chứng</t>
        </is>
      </c>
    </row>
    <row r="5538" ht="90" customHeight="1">
      <c r="A5538" s="63" t="inlineStr"/>
      <c r="B5538" s="64" t="n"/>
      <c r="C5538" s="64" t="n"/>
      <c r="D5538" s="64" t="n"/>
      <c r="E5538" s="65" t="n"/>
    </row>
    <row r="5539" ht="12" customHeight="1">
      <c r="A5539" s="66" t="inlineStr"/>
    </row>
    <row r="5540" ht="30" customHeight="1">
      <c r="A5540" s="60" t="inlineStr">
        <is>
          <t>TC-RS-VAL-018 / prefix</t>
        </is>
      </c>
      <c r="B5540" s="36" t="n"/>
      <c r="C5540" s="36" t="n"/>
      <c r="D5540" s="36" t="n"/>
      <c r="E5540" s="36" t="n"/>
    </row>
    <row r="5541" ht="30" customHeight="1">
      <c r="A5541" s="47" t="inlineStr">
        <is>
          <t>Dữ liệu biến thể</t>
        </is>
      </c>
      <c r="B5541" s="56" t="inlineStr">
        <is>
          <t>Ký tự trước trống</t>
        </is>
      </c>
      <c r="C5541" s="57" t="n"/>
      <c r="D5541" s="57" t="n"/>
      <c r="E5541" s="57" t="n"/>
    </row>
    <row r="5542" ht="30" customHeight="1">
      <c r="A5542" s="47" t="inlineStr">
        <is>
          <t>Trạng thái</t>
        </is>
      </c>
      <c r="B5542" s="61" t="inlineStr">
        <is>
          <t>Chưa thực hiện</t>
        </is>
      </c>
      <c r="C5542" s="57" t="n"/>
      <c r="D5542" s="57" t="n"/>
      <c r="E5542" s="57" t="n"/>
    </row>
    <row r="5543" ht="30" customHeight="1">
      <c r="A5543" s="62" t="inlineStr">
        <is>
          <t>Kết quả thực tế</t>
        </is>
      </c>
    </row>
    <row r="5544" ht="64" customHeight="1">
      <c r="A5544" s="63" t="inlineStr"/>
      <c r="B5544" s="64" t="n"/>
      <c r="C5544" s="64" t="n"/>
      <c r="D5544" s="64" t="n"/>
      <c r="E5544" s="65" t="n"/>
    </row>
    <row r="5545" ht="30" customHeight="1">
      <c r="A5545" s="62" t="inlineStr">
        <is>
          <t>Ảnh minh chứng</t>
        </is>
      </c>
    </row>
    <row r="5546" ht="90" customHeight="1">
      <c r="A5546" s="63" t="inlineStr"/>
      <c r="B5546" s="64" t="n"/>
      <c r="C5546" s="64" t="n"/>
      <c r="D5546" s="64" t="n"/>
      <c r="E5546" s="65" t="n"/>
    </row>
    <row r="5547" ht="12" customHeight="1">
      <c r="A5547" s="66" t="inlineStr"/>
    </row>
    <row r="5548" ht="30" customHeight="1">
      <c r="A5548" s="60" t="inlineStr">
        <is>
          <t>TC-RS-VAL-018 / suffix</t>
        </is>
      </c>
      <c r="B5548" s="36" t="n"/>
      <c r="C5548" s="36" t="n"/>
      <c r="D5548" s="36" t="n"/>
      <c r="E5548" s="36" t="n"/>
    </row>
    <row r="5549" ht="30" customHeight="1">
      <c r="A5549" s="47" t="inlineStr">
        <is>
          <t>Dữ liệu biến thể</t>
        </is>
      </c>
      <c r="B5549" s="56" t="inlineStr">
        <is>
          <t>Ký tự sau trống</t>
        </is>
      </c>
      <c r="C5549" s="57" t="n"/>
      <c r="D5549" s="57" t="n"/>
      <c r="E5549" s="57" t="n"/>
    </row>
    <row r="5550" ht="30" customHeight="1">
      <c r="A5550" s="47" t="inlineStr">
        <is>
          <t>Trạng thái</t>
        </is>
      </c>
      <c r="B5550" s="61" t="inlineStr">
        <is>
          <t>Chưa thực hiện</t>
        </is>
      </c>
      <c r="C5550" s="57" t="n"/>
      <c r="D5550" s="57" t="n"/>
      <c r="E5550" s="57" t="n"/>
    </row>
    <row r="5551" ht="30" customHeight="1">
      <c r="A5551" s="62" t="inlineStr">
        <is>
          <t>Kết quả thực tế</t>
        </is>
      </c>
    </row>
    <row r="5552" ht="64" customHeight="1">
      <c r="A5552" s="63" t="inlineStr"/>
      <c r="B5552" s="64" t="n"/>
      <c r="C5552" s="64" t="n"/>
      <c r="D5552" s="64" t="n"/>
      <c r="E5552" s="65" t="n"/>
    </row>
    <row r="5553" ht="30" customHeight="1">
      <c r="A5553" s="62" t="inlineStr">
        <is>
          <t>Ảnh minh chứng</t>
        </is>
      </c>
    </row>
    <row r="5554" ht="90" customHeight="1">
      <c r="A5554" s="63" t="inlineStr"/>
      <c r="B5554" s="64" t="n"/>
      <c r="C5554" s="64" t="n"/>
      <c r="D5554" s="64" t="n"/>
      <c r="E5554" s="65" t="n"/>
    </row>
    <row r="5555" ht="12" customHeight="1">
      <c r="A5555" s="66" t="inlineStr"/>
    </row>
    <row r="5556" ht="20" customHeight="1">
      <c r="A5556" s="66" t="inlineStr"/>
    </row>
    <row r="5557" ht="30" customHeight="1">
      <c r="A5557" s="46" t="inlineStr">
        <is>
          <t>TC-RS-DATA-010 — Sao chép mẫu phiếu điểm giữ lựa chọn hiển thị đỏ</t>
        </is>
      </c>
      <c r="B5557" s="23" t="n"/>
      <c r="C5557" s="23" t="n"/>
      <c r="D5557" s="23" t="n"/>
      <c r="E5557" s="23" t="n"/>
    </row>
    <row r="5558" ht="30" customHeight="1">
      <c r="A5558" s="47" t="inlineStr">
        <is>
          <t>Trạng thái</t>
        </is>
      </c>
      <c r="B5558" s="56">
        <f>IF(0&gt;0,"Không đạt",IF(0=2,"Đạt",IF(SUMPRODUCT(--EXACT('Testcases'!B5579:B5587,"Không thực hiện"))=2,"Không thực hiện",IF(SUMPRODUCT(--EXACT('Testcases'!B5579:B5587,"Bị chặn"))&gt;0,"Bị chặn",IF(SUMPRODUCT(--EXACT('Testcases'!B5579:B5587,"Chưa thực hiện"))=2,"Chưa thực hiện","Chưa đủ kết luận")))))</f>
        <v/>
      </c>
      <c r="C5558" s="57" t="n"/>
      <c r="D5558" s="57" t="n"/>
      <c r="E5558" s="57" t="n"/>
    </row>
    <row r="5559" ht="30" customHeight="1">
      <c r="A5559" s="47" t="inlineStr">
        <is>
          <t>Màn hình / chức năng</t>
        </is>
      </c>
      <c r="B5559" s="47" t="inlineStr">
        <is>
          <t>Công cụ phiếu điểm（通知表ツール）</t>
        </is>
      </c>
      <c r="C5559" s="57" t="n"/>
      <c r="D5559" s="47" t="inlineStr">
        <is>
          <t>Đường dẫn</t>
        </is>
      </c>
      <c r="E5559" s="56" t="inlineStr">
        <is>
          <t>Chưa xác minh</t>
        </is>
      </c>
    </row>
    <row r="5560" ht="30" customHeight="1">
      <c r="A5560" s="58" t="inlineStr">
        <is>
          <t>Điều kiện kiểm thử</t>
        </is>
      </c>
      <c r="B5560" s="59" t="n"/>
      <c r="C5560" s="59" t="n"/>
      <c r="D5560" s="59" t="n"/>
      <c r="E5560" s="59" t="n"/>
    </row>
    <row r="5561" ht="44" customHeight="1">
      <c r="A5561" s="47" t="inlineStr">
        <is>
          <t>Cấu hình</t>
        </is>
      </c>
      <c r="B5561" s="56" t="inlineStr">
        <is>
          <t>• Mẫu phiếu A có cấu hình phiếu điểm: ký tự “※” phía trước;
• Mẫu phiếu B chỉ bật điều kiện đỏ (các dòng khác không dùng).</t>
        </is>
      </c>
      <c r="C5561" s="57" t="n"/>
      <c r="D5561" s="57" t="n"/>
      <c r="E5561" s="57" t="n"/>
    </row>
    <row r="5562" ht="61" customHeight="1">
      <c r="A5562" s="47" t="inlineStr">
        <is>
          <t>Vai trò / quyền</t>
        </is>
      </c>
      <c r="B556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562" s="57" t="n"/>
      <c r="D5562" s="57" t="n"/>
      <c r="E5562" s="57" t="n"/>
    </row>
    <row r="5563" ht="30" customHeight="1">
      <c r="A5563" s="47" t="inlineStr">
        <is>
          <t>Dữ liệu test</t>
        </is>
      </c>
      <c r="B5563" s="56" t="inlineStr">
        <is>
          <t>• Cấu hình phiếu điểm: ký tự “※” phía trước</t>
        </is>
      </c>
      <c r="C5563" s="57" t="n"/>
      <c r="D5563" s="57" t="n"/>
      <c r="E5563" s="57" t="n"/>
    </row>
    <row r="5564" ht="30" customHeight="1">
      <c r="A5564" s="47" t="inlineStr">
        <is>
          <t>Trigger</t>
        </is>
      </c>
      <c r="B5564" s="56" t="inlineStr">
        <is>
          <t>• Chỉ xem/xuất không tự chạy xét.</t>
        </is>
      </c>
      <c r="C5564" s="57" t="n"/>
      <c r="D5564" s="57" t="n"/>
      <c r="E5564" s="57" t="n"/>
    </row>
    <row r="5565" ht="44" customHeight="1">
      <c r="A5565" s="47" t="inlineStr">
        <is>
          <t>Blocker</t>
        </is>
      </c>
      <c r="B5565" s="56" t="inlineStr">
        <is>
          <t>• G-PREP-UNASSESSED: Chưa có xác minh fixture, đường thực hiện và phép quan sát trên build của từng case chưa đánh giá.</t>
        </is>
      </c>
      <c r="C5565" s="57" t="n"/>
      <c r="D5565" s="57" t="n"/>
      <c r="E5565" s="57" t="n"/>
    </row>
    <row r="5566" ht="30" customHeight="1">
      <c r="A5566" s="58" t="inlineStr">
        <is>
          <t>Thao tác</t>
        </is>
      </c>
      <c r="B5566" s="59" t="n"/>
      <c r="C5566" s="59" t="n"/>
      <c r="D5566" s="59" t="n"/>
      <c r="E5566" s="59" t="n"/>
    </row>
    <row r="5567" ht="30" customHeight="1">
      <c r="A5567" s="47" t="inlineStr">
        <is>
          <t>Step 1</t>
        </is>
      </c>
      <c r="B5567" s="56" t="inlineStr">
        <is>
          <t>Sao chép mẫu A và mẫu B.</t>
        </is>
      </c>
      <c r="C5567" s="57" t="n"/>
      <c r="D5567" s="57" t="n"/>
      <c r="E5567" s="57" t="n"/>
    </row>
    <row r="5568" ht="30" customHeight="1">
      <c r="A5568" s="47" t="inlineStr">
        <is>
          <t>Step 2</t>
        </is>
      </c>
      <c r="B5568" s="56" t="inlineStr">
        <is>
          <t>Mở dòng Thiết lập điểm đỏ（赤点設定） ở từng bản sao.</t>
        </is>
      </c>
      <c r="C5568" s="57" t="n"/>
      <c r="D5568" s="57" t="n"/>
      <c r="E5568" s="57" t="n"/>
    </row>
    <row r="5569" ht="30" customHeight="1">
      <c r="A5569" s="47" t="inlineStr">
        <is>
          <t>Step 3</t>
        </is>
      </c>
      <c r="B5569" s="56" t="inlineStr">
        <is>
          <t>Xuất PDF bản sao với S01.</t>
        </is>
      </c>
      <c r="C5569" s="57" t="n"/>
      <c r="D5569" s="57" t="n"/>
      <c r="E5569" s="57" t="n"/>
    </row>
    <row r="5570" ht="44" customHeight="1">
      <c r="A5570" s="47" t="inlineStr">
        <is>
          <t>Reset</t>
        </is>
      </c>
      <c r="B5570" s="56" t="inlineStr">
        <is>
          <t>Trước mỗi biến thể, dựng lại điều kiện/dữ liệu đầu của case bằng đường được phép; giữ các reset/fixture độc lập đã nêu trong thủ tục.</t>
        </is>
      </c>
      <c r="C5570" s="57" t="n"/>
      <c r="D5570" s="57" t="n"/>
      <c r="E5570" s="57" t="n"/>
    </row>
    <row r="5571" ht="30" customHeight="1">
      <c r="A5571" s="58" t="inlineStr">
        <is>
          <t>Kết quả mong đợi</t>
        </is>
      </c>
      <c r="B5571" s="59" t="n"/>
      <c r="C5571" s="59" t="n"/>
      <c r="D5571" s="59" t="n"/>
      <c r="E5571" s="59" t="n"/>
    </row>
    <row r="5572" ht="44" customHeight="1">
      <c r="A5572" s="47" t="inlineStr">
        <is>
          <t>•</t>
        </is>
      </c>
      <c r="B5572" s="56" t="inlineStr">
        <is>
          <t>1–2. Bản sao giữ lựa chọn Ký tự phía trước（前に任意の文字） [※]; mẫu chỉ dùng điều kiện đỏ vẫn còn hiệu lực.</t>
        </is>
      </c>
      <c r="C5572" s="57" t="n"/>
      <c r="D5572" s="57" t="n"/>
      <c r="E5572" s="57" t="n"/>
    </row>
    <row r="5573" ht="30" customHeight="1">
      <c r="A5573" s="47" t="inlineStr">
        <is>
          <t>3.</t>
        </is>
      </c>
      <c r="B5573" s="56" t="inlineStr">
        <is>
          <t>PDF: ô S01 hiển thị [※29]. Không sao chép kết quả xét của học sinh.</t>
        </is>
      </c>
      <c r="C5573" s="57" t="n"/>
      <c r="D5573" s="57" t="n"/>
      <c r="E5573" s="57" t="n"/>
    </row>
    <row r="5574" ht="44" customHeight="1">
      <c r="A5574" s="47" t="inlineStr">
        <is>
          <t>Giữ nguyên</t>
        </is>
      </c>
      <c r="B5574" s="56" t="inlineStr">
        <is>
          <t>• Giữ điểm, cấu hình và đối tượng không đích theo expected;
• Chỉ thay phần thủ tục yêu cầu, không tự đổi oracle hoặc mở rộng phạm vi.</t>
        </is>
      </c>
      <c r="C5574" s="57" t="n"/>
      <c r="D5574" s="57" t="n"/>
      <c r="E5574" s="57" t="n"/>
    </row>
    <row r="5575" ht="61" customHeight="1">
      <c r="A5575" s="47" t="inlineStr">
        <is>
          <t>Quan sát tại</t>
        </is>
      </c>
      <c r="B5575" s="56" t="inlineStr">
        <is>
          <t>• Dùng trích xuất không lọc để thấy cả ô đối chứng. Trạng thái không có dấu đỏ cần đọc thêm trạng thái lưu;
• Output Excel/PDF dùng file thật.</t>
        </is>
      </c>
      <c r="C5575" s="57" t="n"/>
      <c r="D5575" s="57" t="n"/>
      <c r="E5575" s="57" t="n"/>
    </row>
    <row r="5576" ht="30" customHeight="1">
      <c r="A5576" s="58" t="inlineStr">
        <is>
          <t>Kết quả thực tế</t>
        </is>
      </c>
      <c r="B5576" s="59" t="n"/>
      <c r="C5576" s="59" t="n"/>
      <c r="D5576" s="59" t="n"/>
      <c r="E5576" s="59" t="n"/>
    </row>
    <row r="5577" ht="30" customHeight="1">
      <c r="A5577" s="60" t="inlineStr">
        <is>
          <t>TC-RS-DATA-010 / template-a</t>
        </is>
      </c>
      <c r="B5577" s="36" t="n"/>
      <c r="C5577" s="36" t="n"/>
      <c r="D5577" s="36" t="n"/>
      <c r="E5577" s="36" t="n"/>
    </row>
    <row r="5578" ht="30" customHeight="1">
      <c r="A5578" s="47" t="inlineStr">
        <is>
          <t>Dữ liệu biến thể</t>
        </is>
      </c>
      <c r="B5578" s="56" t="inlineStr">
        <is>
          <t>Sao chép và xuất mẫu A</t>
        </is>
      </c>
      <c r="C5578" s="57" t="n"/>
      <c r="D5578" s="57" t="n"/>
      <c r="E5578" s="57" t="n"/>
    </row>
    <row r="5579" ht="30" customHeight="1">
      <c r="A5579" s="47" t="inlineStr">
        <is>
          <t>Trạng thái</t>
        </is>
      </c>
      <c r="B5579" s="61" t="inlineStr">
        <is>
          <t>Chưa thực hiện</t>
        </is>
      </c>
      <c r="C5579" s="57" t="n"/>
      <c r="D5579" s="57" t="n"/>
      <c r="E5579" s="57" t="n"/>
    </row>
    <row r="5580" ht="30" customHeight="1">
      <c r="A5580" s="62" t="inlineStr">
        <is>
          <t>Kết quả thực tế</t>
        </is>
      </c>
    </row>
    <row r="5581" ht="64" customHeight="1">
      <c r="A5581" s="63" t="inlineStr"/>
      <c r="B5581" s="64" t="n"/>
      <c r="C5581" s="64" t="n"/>
      <c r="D5581" s="64" t="n"/>
      <c r="E5581" s="65" t="n"/>
    </row>
    <row r="5582" ht="30" customHeight="1">
      <c r="A5582" s="62" t="inlineStr">
        <is>
          <t>Ảnh minh chứng</t>
        </is>
      </c>
    </row>
    <row r="5583" ht="90" customHeight="1">
      <c r="A5583" s="63" t="inlineStr"/>
      <c r="B5583" s="64" t="n"/>
      <c r="C5583" s="64" t="n"/>
      <c r="D5583" s="64" t="n"/>
      <c r="E5583" s="65" t="n"/>
    </row>
    <row r="5584" ht="12" customHeight="1">
      <c r="A5584" s="66" t="inlineStr"/>
    </row>
    <row r="5585" ht="30" customHeight="1">
      <c r="A5585" s="60" t="inlineStr">
        <is>
          <t>TC-RS-DATA-010 / template-b</t>
        </is>
      </c>
      <c r="B5585" s="36" t="n"/>
      <c r="C5585" s="36" t="n"/>
      <c r="D5585" s="36" t="n"/>
      <c r="E5585" s="36" t="n"/>
    </row>
    <row r="5586" ht="30" customHeight="1">
      <c r="A5586" s="47" t="inlineStr">
        <is>
          <t>Dữ liệu biến thể</t>
        </is>
      </c>
      <c r="B5586" s="56" t="inlineStr">
        <is>
          <t>Sao chép và xuất mẫu B</t>
        </is>
      </c>
      <c r="C5586" s="57" t="n"/>
      <c r="D5586" s="57" t="n"/>
      <c r="E5586" s="57" t="n"/>
    </row>
    <row r="5587" ht="30" customHeight="1">
      <c r="A5587" s="47" t="inlineStr">
        <is>
          <t>Trạng thái</t>
        </is>
      </c>
      <c r="B5587" s="61" t="inlineStr">
        <is>
          <t>Chưa thực hiện</t>
        </is>
      </c>
      <c r="C5587" s="57" t="n"/>
      <c r="D5587" s="57" t="n"/>
      <c r="E5587" s="57" t="n"/>
    </row>
    <row r="5588" ht="30" customHeight="1">
      <c r="A5588" s="62" t="inlineStr">
        <is>
          <t>Kết quả thực tế</t>
        </is>
      </c>
    </row>
    <row r="5589" ht="64" customHeight="1">
      <c r="A5589" s="63" t="inlineStr"/>
      <c r="B5589" s="64" t="n"/>
      <c r="C5589" s="64" t="n"/>
      <c r="D5589" s="64" t="n"/>
      <c r="E5589" s="65" t="n"/>
    </row>
    <row r="5590" ht="30" customHeight="1">
      <c r="A5590" s="62" t="inlineStr">
        <is>
          <t>Ảnh minh chứng</t>
        </is>
      </c>
    </row>
    <row r="5591" ht="90" customHeight="1">
      <c r="A5591" s="63" t="inlineStr"/>
      <c r="B5591" s="64" t="n"/>
      <c r="C5591" s="64" t="n"/>
      <c r="D5591" s="64" t="n"/>
      <c r="E5591" s="65" t="n"/>
    </row>
    <row r="5592" ht="12" customHeight="1">
      <c r="A5592" s="66" t="inlineStr"/>
    </row>
    <row r="5593" ht="20" customHeight="1">
      <c r="A5593" s="66" t="inlineStr"/>
    </row>
    <row r="5594" ht="30" customHeight="1">
      <c r="A5594" s="46" t="inlineStr">
        <is>
          <t>TC-RS-UI-024 — Phiếu điểm: hộp Thiết lập hiển thị tùy chọn mục đăng ký điểm（成績登録項目オプション表示設定）</t>
        </is>
      </c>
      <c r="B5594" s="23" t="n"/>
      <c r="C5594" s="23" t="n"/>
      <c r="D5594" s="23" t="n"/>
      <c r="E5594" s="23" t="n"/>
    </row>
    <row r="5595" ht="30" customHeight="1">
      <c r="A5595" s="47" t="inlineStr">
        <is>
          <t>Trạng thái</t>
        </is>
      </c>
      <c r="B5595" s="61" t="inlineStr">
        <is>
          <t>Chưa thực hiện</t>
        </is>
      </c>
      <c r="C5595" s="57" t="n"/>
      <c r="D5595" s="57" t="n"/>
      <c r="E5595" s="57" t="n"/>
    </row>
    <row r="5596" ht="30" customHeight="1">
      <c r="A5596" s="47" t="inlineStr">
        <is>
          <t>Màn hình / chức năng</t>
        </is>
      </c>
      <c r="B5596" s="47" t="inlineStr">
        <is>
          <t>Công cụ phiếu điểm（通知表ツール）</t>
        </is>
      </c>
      <c r="C5596" s="57" t="n"/>
      <c r="D5596" s="47" t="inlineStr">
        <is>
          <t>Đường dẫn</t>
        </is>
      </c>
      <c r="E5596" s="56" t="inlineStr">
        <is>
          <t>Chưa xác minh</t>
        </is>
      </c>
    </row>
    <row r="5597" ht="30" customHeight="1">
      <c r="A5597" s="58" t="inlineStr">
        <is>
          <t>Điều kiện kiểm thử</t>
        </is>
      </c>
      <c r="B5597" s="59" t="n"/>
      <c r="C5597" s="59" t="n"/>
      <c r="D5597" s="59" t="n"/>
      <c r="E5597" s="59" t="n"/>
    </row>
    <row r="5598" ht="44" customHeight="1">
      <c r="A5598" s="47" t="inlineStr">
        <is>
          <t>Cấu hình</t>
        </is>
      </c>
      <c r="B5598" s="56" t="inlineStr">
        <is>
          <t>• Tài khoản phụ trách đầu ra (trích xuất, công khai, phiếu điểm);
• Mẫu phiếu có ô Điểm đánh giá（評点）.</t>
        </is>
      </c>
      <c r="C5598" s="57" t="n"/>
      <c r="D5598" s="57" t="n"/>
      <c r="E5598" s="57" t="n"/>
    </row>
    <row r="5599" ht="61" customHeight="1">
      <c r="A5599" s="47" t="inlineStr">
        <is>
          <t>Vai trò / quyền</t>
        </is>
      </c>
      <c r="B559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599" s="57" t="n"/>
      <c r="D5599" s="57" t="n"/>
      <c r="E5599" s="57" t="n"/>
    </row>
    <row r="5600" ht="30" customHeight="1">
      <c r="A5600" s="47" t="inlineStr">
        <is>
          <t>Dữ liệu test</t>
        </is>
      </c>
      <c r="B5600" s="56" t="inlineStr">
        <is>
          <t>• Cấu hình phiếu điểm: ký tự “※” phía trước</t>
        </is>
      </c>
      <c r="C5600" s="57" t="n"/>
      <c r="D5600" s="57" t="n"/>
      <c r="E5600" s="57" t="n"/>
    </row>
    <row r="5601" ht="30" customHeight="1">
      <c r="A5601" s="47" t="inlineStr">
        <is>
          <t>Trigger</t>
        </is>
      </c>
      <c r="B5601" s="56" t="inlineStr">
        <is>
          <t>• Chỉ xem/xuất không tự chạy xét.</t>
        </is>
      </c>
      <c r="C5601" s="57" t="n"/>
      <c r="D5601" s="57" t="n"/>
      <c r="E5601" s="57" t="n"/>
    </row>
    <row r="5602" ht="44" customHeight="1">
      <c r="A5602" s="47" t="inlineStr">
        <is>
          <t>Blocker</t>
        </is>
      </c>
      <c r="B5602" s="56" t="inlineStr">
        <is>
          <t>• G-PREP-UNASSESSED: Chưa có xác minh fixture, đường thực hiện và phép quan sát trên build của từng case chưa đánh giá.</t>
        </is>
      </c>
      <c r="C5602" s="57" t="n"/>
      <c r="D5602" s="57" t="n"/>
      <c r="E5602" s="57" t="n"/>
    </row>
    <row r="5603" ht="30" customHeight="1">
      <c r="A5603" s="58" t="inlineStr">
        <is>
          <t>Thao tác</t>
        </is>
      </c>
      <c r="B5603" s="59" t="n"/>
      <c r="C5603" s="59" t="n"/>
      <c r="D5603" s="59" t="n"/>
      <c r="E5603" s="59" t="n"/>
    </row>
    <row r="5604" ht="30" customHeight="1">
      <c r="A5604" s="47" t="inlineStr">
        <is>
          <t>Step 1</t>
        </is>
      </c>
      <c r="B5604" s="56" t="inlineStr">
        <is>
          <t>Mở hộp tùy chọn của ô, chọn Thiết lập（設定する）.</t>
        </is>
      </c>
      <c r="C5604" s="57" t="n"/>
      <c r="D5604" s="57" t="n"/>
      <c r="E5604" s="57" t="n"/>
    </row>
    <row r="5605" ht="30" customHeight="1">
      <c r="A5605" s="47" t="inlineStr">
        <is>
          <t>Step 2</t>
        </is>
      </c>
      <c r="B5605" s="56" t="inlineStr">
        <is>
          <t>Ghi lại thứ tự dòng và các lựa chọn của dòng Thiết lập điểm đỏ（赤点設定）.</t>
        </is>
      </c>
      <c r="C5605" s="57" t="n"/>
      <c r="D5605" s="57" t="n"/>
      <c r="E5605" s="57" t="n"/>
    </row>
    <row r="5606" ht="44" customHeight="1">
      <c r="A5606" s="47" t="inlineStr">
        <is>
          <t>Reset</t>
        </is>
      </c>
      <c r="B5606" s="56" t="inlineStr">
        <is>
          <t>Trước mỗi biến thể, dựng lại điều kiện/dữ liệu đầu của case bằng đường được phép; giữ các reset/fixture độc lập đã nêu trong thủ tục.</t>
        </is>
      </c>
      <c r="C5606" s="57" t="n"/>
      <c r="D5606" s="57" t="n"/>
      <c r="E5606" s="57" t="n"/>
    </row>
    <row r="5607" ht="30" customHeight="1">
      <c r="A5607" s="58" t="inlineStr">
        <is>
          <t>Kết quả mong đợi</t>
        </is>
      </c>
      <c r="B5607" s="59" t="n"/>
      <c r="C5607" s="59" t="n"/>
      <c r="D5607" s="59" t="n"/>
      <c r="E5607" s="59" t="n"/>
    </row>
    <row r="5608" ht="61" customHeight="1">
      <c r="A5608" s="47" t="inlineStr">
        <is>
          <t>•</t>
        </is>
      </c>
      <c r="B5608" s="56" t="inlineStr">
        <is>
          <t>CONFIRMED: dòng đỏ nằm sau các dòng checkbox và trước Trường hợp ô trống（空欄の場合）; lựa chọn của dòng đỏ là Nguyên trạng（そのまま表示）, Kèm ngoặc（カッコ付き）, Ký tự phía trước（前に任意の文字）, Ký tự phía sau（後ろに任意の文字）; không có Ẩn（表示しない）/Gạch chéo（斜線）.</t>
        </is>
      </c>
      <c r="C5608" s="57" t="n"/>
      <c r="D5608" s="57" t="n"/>
      <c r="E5608" s="57" t="n"/>
    </row>
    <row r="5609" ht="30" customHeight="1">
      <c r="A5609" s="47" t="inlineStr">
        <is>
          <t>•</t>
        </is>
      </c>
      <c r="B5609" s="56" t="inlineStr">
        <is>
          <t>PROPOSED: nhãn dòng 「赤点設定」 (thiết lập điểm đỏ) và câu ghi chú.</t>
        </is>
      </c>
      <c r="C5609" s="57" t="n"/>
      <c r="D5609" s="57" t="n"/>
      <c r="E5609" s="57" t="n"/>
    </row>
    <row r="5610" ht="44" customHeight="1">
      <c r="A5610" s="47" t="inlineStr">
        <is>
          <t>Giữ nguyên</t>
        </is>
      </c>
      <c r="B5610" s="56" t="inlineStr">
        <is>
          <t>• Giữ điểm, cấu hình và đối tượng không đích theo expected;
• Chỉ thay phần thủ tục yêu cầu, không tự đổi oracle hoặc mở rộng phạm vi.</t>
        </is>
      </c>
      <c r="C5610" s="57" t="n"/>
      <c r="D5610" s="57" t="n"/>
      <c r="E5610" s="57" t="n"/>
    </row>
    <row r="5611" ht="61" customHeight="1">
      <c r="A5611" s="47" t="inlineStr">
        <is>
          <t>Quan sát tại</t>
        </is>
      </c>
      <c r="B5611" s="56" t="inlineStr">
        <is>
          <t>• Dùng trích xuất không lọc để thấy cả ô đối chứng. Trạng thái không có dấu đỏ cần đọc thêm trạng thái lưu;
• Output Excel/PDF dùng file thật.</t>
        </is>
      </c>
      <c r="C5611" s="57" t="n"/>
      <c r="D5611" s="57" t="n"/>
      <c r="E5611" s="57" t="n"/>
    </row>
    <row r="5612" ht="30" customHeight="1">
      <c r="A5612" s="58" t="inlineStr">
        <is>
          <t>Kết quả thực tế</t>
        </is>
      </c>
      <c r="B5612" s="59" t="n"/>
      <c r="C5612" s="59" t="n"/>
      <c r="D5612" s="59" t="n"/>
      <c r="E5612" s="59" t="n"/>
    </row>
    <row r="5613" ht="30" customHeight="1">
      <c r="A5613" s="47" t="inlineStr">
        <is>
          <t>Dữ liệu biến thể</t>
        </is>
      </c>
      <c r="B5613" s="56" t="inlineStr">
        <is>
          <t>Toàn bộ thủ tục theo đúng thứ tự; các đối chứng cùng fixture được kiểm trong cùng lượt, không bỏ bước</t>
        </is>
      </c>
      <c r="C5613" s="57" t="n"/>
      <c r="D5613" s="57" t="n"/>
      <c r="E5613" s="57" t="n"/>
    </row>
    <row r="5614" ht="30" customHeight="1">
      <c r="A5614" s="62" t="inlineStr">
        <is>
          <t>Kết quả thực tế</t>
        </is>
      </c>
    </row>
    <row r="5615" ht="64" customHeight="1">
      <c r="A5615" s="63" t="inlineStr"/>
      <c r="B5615" s="64" t="n"/>
      <c r="C5615" s="64" t="n"/>
      <c r="D5615" s="64" t="n"/>
      <c r="E5615" s="65" t="n"/>
    </row>
    <row r="5616" ht="30" customHeight="1">
      <c r="A5616" s="62" t="inlineStr">
        <is>
          <t>Ảnh minh chứng</t>
        </is>
      </c>
    </row>
    <row r="5617" ht="90" customHeight="1">
      <c r="A5617" s="63" t="inlineStr"/>
      <c r="B5617" s="64" t="n"/>
      <c r="C5617" s="64" t="n"/>
      <c r="D5617" s="64" t="n"/>
      <c r="E5617" s="65" t="n"/>
    </row>
    <row r="5618" ht="12" customHeight="1">
      <c r="A5618" s="66" t="inlineStr"/>
    </row>
    <row r="5619" ht="20" customHeight="1">
      <c r="A5619" s="66" t="inlineStr"/>
    </row>
    <row r="5620" ht="30" customHeight="1">
      <c r="A5620" s="46" t="inlineStr">
        <is>
          <t>TC-RS-REG-009 — Phiếu điểm: các điều kiện hiển thị hiện có giữ hành vi</t>
        </is>
      </c>
      <c r="B5620" s="23" t="n"/>
      <c r="C5620" s="23" t="n"/>
      <c r="D5620" s="23" t="n"/>
      <c r="E5620" s="23" t="n"/>
    </row>
    <row r="5621" ht="30" customHeight="1">
      <c r="A5621" s="47" t="inlineStr">
        <is>
          <t>Trạng thái</t>
        </is>
      </c>
      <c r="B5621" s="56">
        <f>IF(0&gt;0,"Không đạt",IF(0=2,"Đạt",IF(SUMPRODUCT(--EXACT('Testcases'!B5639:B5647,"Không thực hiện"))=2,"Không thực hiện",IF(SUMPRODUCT(--EXACT('Testcases'!B5639:B5647,"Bị chặn"))&gt;0,"Bị chặn",IF(SUMPRODUCT(--EXACT('Testcases'!B5639:B5647,"Chưa thực hiện"))=2,"Chưa thực hiện","Chưa đủ kết luận")))))</f>
        <v/>
      </c>
      <c r="C5621" s="57" t="n"/>
      <c r="D5621" s="57" t="n"/>
      <c r="E5621" s="57" t="n"/>
    </row>
    <row r="5622" ht="30" customHeight="1">
      <c r="A5622" s="47" t="inlineStr">
        <is>
          <t>Màn hình / chức năng</t>
        </is>
      </c>
      <c r="B5622" s="47" t="inlineStr">
        <is>
          <t>Công cụ phiếu điểm（通知表ツール）</t>
        </is>
      </c>
      <c r="C5622" s="57" t="n"/>
      <c r="D5622" s="47" t="inlineStr">
        <is>
          <t>Đường dẫn</t>
        </is>
      </c>
      <c r="E5622" s="56" t="inlineStr">
        <is>
          <t>Chưa xác minh</t>
        </is>
      </c>
    </row>
    <row r="5623" ht="30" customHeight="1">
      <c r="A5623" s="58" t="inlineStr">
        <is>
          <t>Điều kiện kiểm thử</t>
        </is>
      </c>
      <c r="B5623" s="59" t="n"/>
      <c r="C5623" s="59" t="n"/>
      <c r="D5623" s="59" t="n"/>
      <c r="E5623" s="59" t="n"/>
    </row>
    <row r="5624" ht="61" customHeight="1">
      <c r="A5624" s="47" t="inlineStr">
        <is>
          <t>Cấu hình</t>
        </is>
      </c>
      <c r="B5624" s="56" t="inlineStr">
        <is>
          <t>• Hai bảng điểm hiện có: (a) dùng điều kiện môn cụ thể và ô trống;
• (B) dùng checkbox Chưa dự thi（未受験） với ẩn. Baseline PDF. Mục có quy tắc “Cố định 30” (dưới 30);
• Hai bảng chưa bật dòng đỏ.</t>
        </is>
      </c>
      <c r="C5624" s="57" t="n"/>
      <c r="D5624" s="57" t="n"/>
      <c r="E5624" s="57" t="n"/>
    </row>
    <row r="5625" ht="61" customHeight="1">
      <c r="A5625" s="47" t="inlineStr">
        <is>
          <t>Vai trò / quyền</t>
        </is>
      </c>
      <c r="B562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625" s="57" t="n"/>
      <c r="D5625" s="57" t="n"/>
      <c r="E5625" s="57" t="n"/>
    </row>
    <row r="5626" ht="44" customHeight="1">
      <c r="A5626" s="47" t="inlineStr">
        <is>
          <t>Dữ liệu test</t>
        </is>
      </c>
      <c r="B5626" s="56" t="inlineStr">
        <is>
          <t>• Quy tắc “Cố định 30” (dưới 30);
• Học sinh S05 (ô trống), học sinh S07 (điểm 35, cờ Chưa dự thi（未受験）)</t>
        </is>
      </c>
      <c r="C5626" s="57" t="n"/>
      <c r="D5626" s="57" t="n"/>
      <c r="E5626" s="57" t="n"/>
    </row>
    <row r="5627" ht="30" customHeight="1">
      <c r="A5627" s="47" t="inlineStr">
        <is>
          <t>Trigger</t>
        </is>
      </c>
      <c r="B5627" s="56" t="inlineStr">
        <is>
          <t>• Chỉ xem/xuất không tự chạy xét.</t>
        </is>
      </c>
      <c r="C5627" s="57" t="n"/>
      <c r="D5627" s="57" t="n"/>
      <c r="E5627" s="57" t="n"/>
    </row>
    <row r="5628" ht="44" customHeight="1">
      <c r="A5628" s="47" t="inlineStr">
        <is>
          <t>Blocker</t>
        </is>
      </c>
      <c r="B5628" s="56" t="inlineStr">
        <is>
          <t>• G-PREP-UNASSESSED: Chưa có xác minh fixture, đường thực hiện và phép quan sát trên build của từng case chưa đánh giá.</t>
        </is>
      </c>
      <c r="C5628" s="57" t="n"/>
      <c r="D5628" s="57" t="n"/>
      <c r="E5628" s="57" t="n"/>
    </row>
    <row r="5629" ht="30" customHeight="1">
      <c r="A5629" s="58" t="inlineStr">
        <is>
          <t>Thao tác</t>
        </is>
      </c>
      <c r="B5629" s="59" t="n"/>
      <c r="C5629" s="59" t="n"/>
      <c r="D5629" s="59" t="n"/>
      <c r="E5629" s="59" t="n"/>
    </row>
    <row r="5630" ht="30" customHeight="1">
      <c r="A5630" s="47" t="inlineStr">
        <is>
          <t>•</t>
        </is>
      </c>
      <c r="B5630" s="56" t="inlineStr">
        <is>
          <t>Xuất PDF hai bảng, so với baseline.</t>
        </is>
      </c>
      <c r="C5630" s="57" t="n"/>
      <c r="D5630" s="57" t="n"/>
      <c r="E5630" s="57" t="n"/>
    </row>
    <row r="5631" ht="44" customHeight="1">
      <c r="A5631" s="47" t="inlineStr">
        <is>
          <t>Reset</t>
        </is>
      </c>
      <c r="B5631" s="56" t="inlineStr">
        <is>
          <t>Trước mỗi biến thể, dựng lại điều kiện/dữ liệu đầu của case bằng đường được phép; giữ các reset/fixture độc lập đã nêu trong thủ tục.</t>
        </is>
      </c>
      <c r="C5631" s="57" t="n"/>
      <c r="D5631" s="57" t="n"/>
      <c r="E5631" s="57" t="n"/>
    </row>
    <row r="5632" ht="30" customHeight="1">
      <c r="A5632" s="58" t="inlineStr">
        <is>
          <t>Kết quả mong đợi</t>
        </is>
      </c>
      <c r="B5632" s="59" t="n"/>
      <c r="C5632" s="59" t="n"/>
      <c r="D5632" s="59" t="n"/>
      <c r="E5632" s="59" t="n"/>
    </row>
    <row r="5633" ht="30" customHeight="1">
      <c r="A5633" s="47" t="inlineStr">
        <is>
          <t>•</t>
        </is>
      </c>
      <c r="B5633" s="56" t="inlineStr">
        <is>
          <t>PDF bằng baseline (cùng ký hiệu, ô ẩn, ô trống).</t>
        </is>
      </c>
      <c r="C5633" s="57" t="n"/>
      <c r="D5633" s="57" t="n"/>
      <c r="E5633" s="57" t="n"/>
    </row>
    <row r="5634" ht="44" customHeight="1">
      <c r="A5634" s="47" t="inlineStr">
        <is>
          <t>Giữ nguyên</t>
        </is>
      </c>
      <c r="B5634" s="56" t="inlineStr">
        <is>
          <t>• Giữ điểm, cấu hình và đối tượng không đích theo expected;
• Chỉ thay phần thủ tục yêu cầu, không tự đổi oracle hoặc mở rộng phạm vi.</t>
        </is>
      </c>
      <c r="C5634" s="57" t="n"/>
      <c r="D5634" s="57" t="n"/>
      <c r="E5634" s="57" t="n"/>
    </row>
    <row r="5635" ht="61" customHeight="1">
      <c r="A5635" s="47" t="inlineStr">
        <is>
          <t>Quan sát tại</t>
        </is>
      </c>
      <c r="B5635" s="56" t="inlineStr">
        <is>
          <t>• Dùng trích xuất không lọc để thấy cả ô đối chứng. Trạng thái không có dấu đỏ cần đọc thêm trạng thái lưu;
• Output Excel/PDF dùng file thật.</t>
        </is>
      </c>
      <c r="C5635" s="57" t="n"/>
      <c r="D5635" s="57" t="n"/>
      <c r="E5635" s="57" t="n"/>
    </row>
    <row r="5636" ht="30" customHeight="1">
      <c r="A5636" s="58" t="inlineStr">
        <is>
          <t>Kết quả thực tế</t>
        </is>
      </c>
      <c r="B5636" s="59" t="n"/>
      <c r="C5636" s="59" t="n"/>
      <c r="D5636" s="59" t="n"/>
      <c r="E5636" s="59" t="n"/>
    </row>
    <row r="5637" ht="30" customHeight="1">
      <c r="A5637" s="60" t="inlineStr">
        <is>
          <t>TC-RS-REG-009 / subject-empty</t>
        </is>
      </c>
      <c r="B5637" s="36" t="n"/>
      <c r="C5637" s="36" t="n"/>
      <c r="D5637" s="36" t="n"/>
      <c r="E5637" s="36" t="n"/>
    </row>
    <row r="5638" ht="30" customHeight="1">
      <c r="A5638" s="47" t="inlineStr">
        <is>
          <t>Dữ liệu biến thể</t>
        </is>
      </c>
      <c r="B5638" s="56" t="inlineStr">
        <is>
          <t>Bảng a môn cụ thể và ô trống</t>
        </is>
      </c>
      <c r="C5638" s="57" t="n"/>
      <c r="D5638" s="57" t="n"/>
      <c r="E5638" s="57" t="n"/>
    </row>
    <row r="5639" ht="30" customHeight="1">
      <c r="A5639" s="47" t="inlineStr">
        <is>
          <t>Trạng thái</t>
        </is>
      </c>
      <c r="B5639" s="61" t="inlineStr">
        <is>
          <t>Chưa thực hiện</t>
        </is>
      </c>
      <c r="C5639" s="57" t="n"/>
      <c r="D5639" s="57" t="n"/>
      <c r="E5639" s="57" t="n"/>
    </row>
    <row r="5640" ht="30" customHeight="1">
      <c r="A5640" s="62" t="inlineStr">
        <is>
          <t>Kết quả thực tế</t>
        </is>
      </c>
    </row>
    <row r="5641" ht="64" customHeight="1">
      <c r="A5641" s="63" t="inlineStr"/>
      <c r="B5641" s="64" t="n"/>
      <c r="C5641" s="64" t="n"/>
      <c r="D5641" s="64" t="n"/>
      <c r="E5641" s="65" t="n"/>
    </row>
    <row r="5642" ht="30" customHeight="1">
      <c r="A5642" s="62" t="inlineStr">
        <is>
          <t>Ảnh minh chứng</t>
        </is>
      </c>
    </row>
    <row r="5643" ht="90" customHeight="1">
      <c r="A5643" s="63" t="inlineStr"/>
      <c r="B5643" s="64" t="n"/>
      <c r="C5643" s="64" t="n"/>
      <c r="D5643" s="64" t="n"/>
      <c r="E5643" s="65" t="n"/>
    </row>
    <row r="5644" ht="12" customHeight="1">
      <c r="A5644" s="66" t="inlineStr"/>
    </row>
    <row r="5645" ht="30" customHeight="1">
      <c r="A5645" s="60" t="inlineStr">
        <is>
          <t>TC-RS-REG-009 / notexam-hidden</t>
        </is>
      </c>
      <c r="B5645" s="36" t="n"/>
      <c r="C5645" s="36" t="n"/>
      <c r="D5645" s="36" t="n"/>
      <c r="E5645" s="36" t="n"/>
    </row>
    <row r="5646" ht="30" customHeight="1">
      <c r="A5646" s="47" t="inlineStr">
        <is>
          <t>Dữ liệu biến thể</t>
        </is>
      </c>
      <c r="B5646" s="56" t="inlineStr">
        <is>
          <t>Bảng b chưa dự thi và ẩn</t>
        </is>
      </c>
      <c r="C5646" s="57" t="n"/>
      <c r="D5646" s="57" t="n"/>
      <c r="E5646" s="57" t="n"/>
    </row>
    <row r="5647" ht="30" customHeight="1">
      <c r="A5647" s="47" t="inlineStr">
        <is>
          <t>Trạng thái</t>
        </is>
      </c>
      <c r="B5647" s="61" t="inlineStr">
        <is>
          <t>Chưa thực hiện</t>
        </is>
      </c>
      <c r="C5647" s="57" t="n"/>
      <c r="D5647" s="57" t="n"/>
      <c r="E5647" s="57" t="n"/>
    </row>
    <row r="5648" ht="30" customHeight="1">
      <c r="A5648" s="62" t="inlineStr">
        <is>
          <t>Kết quả thực tế</t>
        </is>
      </c>
    </row>
    <row r="5649" ht="64" customHeight="1">
      <c r="A5649" s="63" t="inlineStr"/>
      <c r="B5649" s="64" t="n"/>
      <c r="C5649" s="64" t="n"/>
      <c r="D5649" s="64" t="n"/>
      <c r="E5649" s="65" t="n"/>
    </row>
    <row r="5650" ht="30" customHeight="1">
      <c r="A5650" s="62" t="inlineStr">
        <is>
          <t>Ảnh minh chứng</t>
        </is>
      </c>
    </row>
    <row r="5651" ht="90" customHeight="1">
      <c r="A5651" s="63" t="inlineStr"/>
      <c r="B5651" s="64" t="n"/>
      <c r="C5651" s="64" t="n"/>
      <c r="D5651" s="64" t="n"/>
      <c r="E5651" s="65" t="n"/>
    </row>
    <row r="5652" ht="12" customHeight="1">
      <c r="A5652" s="66" t="inlineStr"/>
    </row>
    <row r="5653" ht="20" customHeight="1">
      <c r="A5653" s="66" t="inlineStr"/>
    </row>
    <row r="5654" ht="30" customHeight="1">
      <c r="A5654" s="46" t="inlineStr">
        <is>
          <t>TC-RS-REG-010 — PDF phiếu: bố cục template không đổi khi có dấu đỏ</t>
        </is>
      </c>
      <c r="B5654" s="23" t="n"/>
      <c r="C5654" s="23" t="n"/>
      <c r="D5654" s="23" t="n"/>
      <c r="E5654" s="23" t="n"/>
    </row>
    <row r="5655" ht="30" customHeight="1">
      <c r="A5655" s="47" t="inlineStr">
        <is>
          <t>Trạng thái</t>
        </is>
      </c>
      <c r="B5655" s="61" t="inlineStr">
        <is>
          <t>Chưa thực hiện</t>
        </is>
      </c>
      <c r="C5655" s="57" t="n"/>
      <c r="D5655" s="57" t="n"/>
      <c r="E5655" s="57" t="n"/>
    </row>
    <row r="5656" ht="30" customHeight="1">
      <c r="A5656" s="47" t="inlineStr">
        <is>
          <t>Màn hình / chức năng</t>
        </is>
      </c>
      <c r="B5656" s="47" t="inlineStr">
        <is>
          <t>Công cụ phiếu điểm（通知表ツール）</t>
        </is>
      </c>
      <c r="C5656" s="57" t="n"/>
      <c r="D5656" s="47" t="inlineStr">
        <is>
          <t>Đường dẫn</t>
        </is>
      </c>
      <c r="E5656" s="56" t="inlineStr">
        <is>
          <t>Chưa xác minh</t>
        </is>
      </c>
    </row>
    <row r="5657" ht="30" customHeight="1">
      <c r="A5657" s="58" t="inlineStr">
        <is>
          <t>Điều kiện kiểm thử</t>
        </is>
      </c>
      <c r="B5657" s="59" t="n"/>
      <c r="C5657" s="59" t="n"/>
      <c r="D5657" s="59" t="n"/>
      <c r="E5657" s="59" t="n"/>
    </row>
    <row r="5658" ht="61" customHeight="1">
      <c r="A5658" s="47" t="inlineStr">
        <is>
          <t>Cấu hình</t>
        </is>
      </c>
      <c r="B5658" s="56" t="inlineStr">
        <is>
          <t>• Cấu hình phiếu điểm: ký tự “※” phía trước với ký tự [※];
• Ô hẹp nhất của template chứa điểm 3 chữ số (ví dụ 100 nếu có quy tắc [≤100], hoặc 29.5 cho mục thập phân).</t>
        </is>
      </c>
      <c r="C5658" s="57" t="n"/>
      <c r="D5658" s="57" t="n"/>
      <c r="E5658" s="57" t="n"/>
    </row>
    <row r="5659" ht="61" customHeight="1">
      <c r="A5659" s="47" t="inlineStr">
        <is>
          <t>Vai trò / quyền</t>
        </is>
      </c>
      <c r="B565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659" s="57" t="n"/>
      <c r="D5659" s="57" t="n"/>
      <c r="E5659" s="57" t="n"/>
    </row>
    <row r="5660" ht="44" customHeight="1">
      <c r="A5660" s="47" t="inlineStr">
        <is>
          <t>Dữ liệu test</t>
        </is>
      </c>
      <c r="B5660" s="56" t="inlineStr">
        <is>
          <t>• Cấu hình phiếu điểm: ký tự “※” phía trước;
• Học sinh S01 (điểm 29), học sinh S09 (mục số thập phân 29.5)</t>
        </is>
      </c>
      <c r="C5660" s="57" t="n"/>
      <c r="D5660" s="57" t="n"/>
      <c r="E5660" s="57" t="n"/>
    </row>
    <row r="5661" ht="30" customHeight="1">
      <c r="A5661" s="47" t="inlineStr">
        <is>
          <t>Trigger</t>
        </is>
      </c>
      <c r="B5661" s="56" t="inlineStr">
        <is>
          <t>• Chỉ xem/xuất không tự chạy xét.</t>
        </is>
      </c>
      <c r="C5661" s="57" t="n"/>
      <c r="D5661" s="57" t="n"/>
      <c r="E5661" s="57" t="n"/>
    </row>
    <row r="5662" ht="44" customHeight="1">
      <c r="A5662" s="47" t="inlineStr">
        <is>
          <t>Blocker</t>
        </is>
      </c>
      <c r="B5662" s="56" t="inlineStr">
        <is>
          <t>• G-PREP-UNASSESSED: Chưa có xác minh fixture, đường thực hiện và phép quan sát trên build của từng case chưa đánh giá.</t>
        </is>
      </c>
      <c r="C5662" s="57" t="n"/>
      <c r="D5662" s="57" t="n"/>
      <c r="E5662" s="57" t="n"/>
    </row>
    <row r="5663" ht="30" customHeight="1">
      <c r="A5663" s="58" t="inlineStr">
        <is>
          <t>Thao tác</t>
        </is>
      </c>
      <c r="B5663" s="59" t="n"/>
      <c r="C5663" s="59" t="n"/>
      <c r="D5663" s="59" t="n"/>
      <c r="E5663" s="59" t="n"/>
    </row>
    <row r="5664" ht="30" customHeight="1">
      <c r="A5664" s="47" t="inlineStr">
        <is>
          <t>•</t>
        </is>
      </c>
      <c r="B5664" s="56" t="inlineStr">
        <is>
          <t>Xuất PDF; so với baseline.</t>
        </is>
      </c>
      <c r="C5664" s="57" t="n"/>
      <c r="D5664" s="57" t="n"/>
      <c r="E5664" s="57" t="n"/>
    </row>
    <row r="5665" ht="44" customHeight="1">
      <c r="A5665" s="47" t="inlineStr">
        <is>
          <t>Reset</t>
        </is>
      </c>
      <c r="B5665" s="56" t="inlineStr">
        <is>
          <t>Trước mỗi biến thể, dựng lại điều kiện/dữ liệu đầu của case bằng đường được phép; giữ các reset/fixture độc lập đã nêu trong thủ tục.</t>
        </is>
      </c>
      <c r="C5665" s="57" t="n"/>
      <c r="D5665" s="57" t="n"/>
      <c r="E5665" s="57" t="n"/>
    </row>
    <row r="5666" ht="30" customHeight="1">
      <c r="A5666" s="58" t="inlineStr">
        <is>
          <t>Kết quả mong đợi</t>
        </is>
      </c>
      <c r="B5666" s="59" t="n"/>
      <c r="C5666" s="59" t="n"/>
      <c r="D5666" s="59" t="n"/>
      <c r="E5666" s="59" t="n"/>
    </row>
    <row r="5667" ht="30" customHeight="1">
      <c r="A5667" s="47" t="inlineStr">
        <is>
          <t>•</t>
        </is>
      </c>
      <c r="B5667" s="56" t="inlineStr">
        <is>
          <t>Dấu hiển thị đủ trong ô; không mất ký tự, không nền đỏ; các phần khác bằng baseline.</t>
        </is>
      </c>
      <c r="C5667" s="57" t="n"/>
      <c r="D5667" s="57" t="n"/>
      <c r="E5667" s="57" t="n"/>
    </row>
    <row r="5668" ht="44" customHeight="1">
      <c r="A5668" s="47" t="inlineStr">
        <is>
          <t>Giữ nguyên</t>
        </is>
      </c>
      <c r="B5668" s="56" t="inlineStr">
        <is>
          <t>• Giữ điểm, cấu hình và đối tượng không đích theo expected;
• Chỉ thay phần thủ tục yêu cầu, không tự đổi oracle hoặc mở rộng phạm vi.</t>
        </is>
      </c>
      <c r="C5668" s="57" t="n"/>
      <c r="D5668" s="57" t="n"/>
      <c r="E5668" s="57" t="n"/>
    </row>
    <row r="5669" ht="61" customHeight="1">
      <c r="A5669" s="47" t="inlineStr">
        <is>
          <t>Quan sát tại</t>
        </is>
      </c>
      <c r="B5669" s="56" t="inlineStr">
        <is>
          <t>• Dùng trích xuất không lọc để thấy cả ô đối chứng. Trạng thái không có dấu đỏ cần đọc thêm trạng thái lưu;
• Output Excel/PDF dùng file thật.</t>
        </is>
      </c>
      <c r="C5669" s="57" t="n"/>
      <c r="D5669" s="57" t="n"/>
      <c r="E5669" s="57" t="n"/>
    </row>
    <row r="5670" ht="30" customHeight="1">
      <c r="A5670" s="58" t="inlineStr">
        <is>
          <t>Kết quả thực tế</t>
        </is>
      </c>
      <c r="B5670" s="59" t="n"/>
      <c r="C5670" s="59" t="n"/>
      <c r="D5670" s="59" t="n"/>
      <c r="E5670" s="59" t="n"/>
    </row>
    <row r="5671" ht="30" customHeight="1">
      <c r="A5671" s="47" t="inlineStr">
        <is>
          <t>Dữ liệu biến thể</t>
        </is>
      </c>
      <c r="B5671" s="56" t="inlineStr">
        <is>
          <t>Toàn bộ thủ tục theo đúng thứ tự; các đối chứng cùng fixture được kiểm trong cùng lượt, không bỏ bước</t>
        </is>
      </c>
      <c r="C5671" s="57" t="n"/>
      <c r="D5671" s="57" t="n"/>
      <c r="E5671" s="57" t="n"/>
    </row>
    <row r="5672" ht="30" customHeight="1">
      <c r="A5672" s="62" t="inlineStr">
        <is>
          <t>Kết quả thực tế</t>
        </is>
      </c>
    </row>
    <row r="5673" ht="64" customHeight="1">
      <c r="A5673" s="63" t="inlineStr"/>
      <c r="B5673" s="64" t="n"/>
      <c r="C5673" s="64" t="n"/>
      <c r="D5673" s="64" t="n"/>
      <c r="E5673" s="65" t="n"/>
    </row>
    <row r="5674" ht="30" customHeight="1">
      <c r="A5674" s="62" t="inlineStr">
        <is>
          <t>Ảnh minh chứng</t>
        </is>
      </c>
    </row>
    <row r="5675" ht="90" customHeight="1">
      <c r="A5675" s="63" t="inlineStr"/>
      <c r="B5675" s="64" t="n"/>
      <c r="C5675" s="64" t="n"/>
      <c r="D5675" s="64" t="n"/>
      <c r="E5675" s="65" t="n"/>
    </row>
    <row r="5676" ht="12" customHeight="1">
      <c r="A5676" s="66" t="inlineStr"/>
    </row>
    <row r="5677" ht="20" customHeight="1">
      <c r="A5677" s="66" t="inlineStr"/>
    </row>
    <row r="5678" ht="30" customHeight="1">
      <c r="A5678" s="46" t="inlineStr">
        <is>
          <t>TC-RS-FUNC-032 — Ba đầu ra dùng cùng kết quả cho cùng ô</t>
        </is>
      </c>
      <c r="B5678" s="23" t="n"/>
      <c r="C5678" s="23" t="n"/>
      <c r="D5678" s="23" t="n"/>
      <c r="E5678" s="23" t="n"/>
    </row>
    <row r="5679" ht="30" customHeight="1">
      <c r="A5679" s="47" t="inlineStr">
        <is>
          <t>Trạng thái</t>
        </is>
      </c>
      <c r="B5679" s="56">
        <f>IF(0&gt;0,"Không đạt",IF(0=4,"Đạt",IF(SUMPRODUCT(--EXACT('Testcases'!B5701:B5725,"Không thực hiện"))=4,"Không thực hiện",IF(SUMPRODUCT(--EXACT('Testcases'!B5701:B5725,"Bị chặn"))&gt;0,"Bị chặn",IF(SUMPRODUCT(--EXACT('Testcases'!B5701:B5725,"Chưa thực hiện"))=4,"Chưa thực hiện","Chưa đủ kết luận")))))</f>
        <v/>
      </c>
      <c r="C5679" s="57" t="n"/>
      <c r="D5679" s="57" t="n"/>
      <c r="E5679" s="57" t="n"/>
    </row>
    <row r="5680" ht="30" customHeight="1">
      <c r="A5680" s="47" t="inlineStr">
        <is>
          <t>Màn hình / chức năng</t>
        </is>
      </c>
      <c r="B5680" s="47" t="inlineStr">
        <is>
          <t>Kết quả dùng chung</t>
        </is>
      </c>
      <c r="C5680" s="57" t="n"/>
      <c r="D5680" s="47" t="inlineStr">
        <is>
          <t>Đường dẫn</t>
        </is>
      </c>
      <c r="E5680" s="56" t="inlineStr">
        <is>
          <t>Chưa xác minh</t>
        </is>
      </c>
    </row>
    <row r="5681" ht="30" customHeight="1">
      <c r="A5681" s="58" t="inlineStr">
        <is>
          <t>Điều kiện kiểm thử</t>
        </is>
      </c>
      <c r="B5681" s="59" t="n"/>
      <c r="C5681" s="59" t="n"/>
      <c r="D5681" s="59" t="n"/>
      <c r="E5681" s="59" t="n"/>
    </row>
    <row r="5682" ht="44" customHeight="1">
      <c r="A5682" s="47" t="inlineStr">
        <is>
          <t>Cấu hình</t>
        </is>
      </c>
      <c r="B5682" s="56" t="inlineStr">
        <is>
          <t>• Cùng một lượt xét đã lưu kết quả S01 Đỏ, S03 Không đỏ, S05 Không có điểm;
• Actor có quyền xem trích xuất, công khai và phiếu điểm.</t>
        </is>
      </c>
      <c r="C5682" s="57" t="n"/>
      <c r="D5682" s="57" t="n"/>
      <c r="E5682" s="57" t="n"/>
    </row>
    <row r="5683" ht="61" customHeight="1">
      <c r="A5683" s="47" t="inlineStr">
        <is>
          <t>Vai trò / quyền</t>
        </is>
      </c>
      <c r="B568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683" s="57" t="n"/>
      <c r="D5683" s="57" t="n"/>
      <c r="E5683" s="57" t="n"/>
    </row>
    <row r="5684" ht="78" customHeight="1">
      <c r="A5684" s="47" t="inlineStr">
        <is>
          <t>Dữ liệu test</t>
        </is>
      </c>
      <c r="B5684" s="56" t="inlineStr">
        <is>
          <t>• S01 [S=29], S03 [S=31], S05 ô trống;
• Cấu hình trích xuất lọc + “*” + tô màu;
• Công khai “*”;
• Phiếu điểm “※”.</t>
        </is>
      </c>
      <c r="C5684" s="57" t="n"/>
      <c r="D5684" s="57" t="n"/>
      <c r="E5684" s="57" t="n"/>
    </row>
    <row r="5685" ht="30" customHeight="1">
      <c r="A5685" s="47" t="inlineStr">
        <is>
          <t>Trigger</t>
        </is>
      </c>
      <c r="B5685" s="56" t="inlineStr">
        <is>
          <t>• Chỉ xem/xuất không tự chạy xét.</t>
        </is>
      </c>
      <c r="C5685" s="57" t="n"/>
      <c r="D5685" s="57" t="n"/>
      <c r="E5685" s="57" t="n"/>
    </row>
    <row r="5686" ht="44" customHeight="1">
      <c r="A5686" s="47" t="inlineStr">
        <is>
          <t>Blocker</t>
        </is>
      </c>
      <c r="B5686" s="56" t="inlineStr">
        <is>
          <t>• G-PREP-UNASSESSED: Chưa có xác minh fixture, đường thực hiện và phép quan sát trên build của từng case chưa đánh giá.</t>
        </is>
      </c>
      <c r="C5686" s="57" t="n"/>
      <c r="D5686" s="57" t="n"/>
      <c r="E5686" s="57" t="n"/>
    </row>
    <row r="5687" ht="30" customHeight="1">
      <c r="A5687" s="58" t="inlineStr">
        <is>
          <t>Thao tác</t>
        </is>
      </c>
      <c r="B5687" s="59" t="n"/>
      <c r="C5687" s="59" t="n"/>
      <c r="D5687" s="59" t="n"/>
      <c r="E5687" s="59" t="n"/>
    </row>
    <row r="5688" ht="30" customHeight="1">
      <c r="A5688" s="47" t="inlineStr">
        <is>
          <t>Step 1</t>
        </is>
      </c>
      <c r="B5688" s="56" t="inlineStr">
        <is>
          <t>Chạy một lượt đối chứng không lọc để S01, S03 và S05 đều có mặt; lưu file Excel làm baseline.</t>
        </is>
      </c>
      <c r="C5688" s="57" t="n"/>
      <c r="D5688" s="57" t="n"/>
      <c r="E5688" s="57" t="n"/>
    </row>
    <row r="5689" ht="30" customHeight="1">
      <c r="A5689" s="47" t="inlineStr">
        <is>
          <t>Step 2</t>
        </is>
      </c>
      <c r="B5689" s="56" t="inlineStr">
        <is>
          <t>Chạy lại trích xuất với lọc bật và lưu file Excel trước/sau khi xem lại.</t>
        </is>
      </c>
      <c r="C5689" s="57" t="n"/>
      <c r="D5689" s="57" t="n"/>
      <c r="E5689" s="57" t="n"/>
    </row>
    <row r="5690" ht="30" customHeight="1">
      <c r="A5690" s="47" t="inlineStr">
        <is>
          <t>Step 3</t>
        </is>
      </c>
      <c r="B5690" s="56" t="inlineStr">
        <is>
          <t>Mở màn học sinh công khai của cùng kỳ và cùng lượt xét.</t>
        </is>
      </c>
      <c r="C5690" s="57" t="n"/>
      <c r="D5690" s="57" t="n"/>
      <c r="E5690" s="57" t="n"/>
    </row>
    <row r="5691" ht="30" customHeight="1">
      <c r="A5691" s="47" t="inlineStr">
        <is>
          <t>Step 4</t>
        </is>
      </c>
      <c r="B5691" s="56" t="inlineStr">
        <is>
          <t>Xuất PDF phiếu điểm của cùng học sinh/kỳ.</t>
        </is>
      </c>
      <c r="C5691" s="57" t="n"/>
      <c r="D5691" s="57" t="n"/>
      <c r="E5691" s="57" t="n"/>
    </row>
    <row r="5692" ht="44" customHeight="1">
      <c r="A5692" s="47" t="inlineStr">
        <is>
          <t>Step 5</t>
        </is>
      </c>
      <c r="B5692" s="56" t="inlineStr">
        <is>
          <t>Đối chiếu ba output với kết quả đã lưu, không chỉ đối chiếu giao diện; không loại S03/S05 khỏi fixture trước khi kiểm tra.</t>
        </is>
      </c>
      <c r="C5692" s="57" t="n"/>
      <c r="D5692" s="57" t="n"/>
      <c r="E5692" s="57" t="n"/>
    </row>
    <row r="5693" ht="44" customHeight="1">
      <c r="A5693" s="47" t="inlineStr">
        <is>
          <t>Reset</t>
        </is>
      </c>
      <c r="B5693" s="56" t="inlineStr">
        <is>
          <t>Trước mỗi biến thể, dựng lại điều kiện/dữ liệu đầu của case bằng đường được phép; giữ các reset/fixture độc lập đã nêu trong thủ tục.</t>
        </is>
      </c>
      <c r="C5693" s="57" t="n"/>
      <c r="D5693" s="57" t="n"/>
      <c r="E5693" s="57" t="n"/>
    </row>
    <row r="5694" ht="30" customHeight="1">
      <c r="A5694" s="58" t="inlineStr">
        <is>
          <t>Kết quả mong đợi</t>
        </is>
      </c>
      <c r="B5694" s="59" t="n"/>
      <c r="C5694" s="59" t="n"/>
      <c r="D5694" s="59" t="n"/>
      <c r="E5694" s="59" t="n"/>
    </row>
    <row r="5695" ht="78" customHeight="1">
      <c r="A5695" s="47" t="inlineStr">
        <is>
          <t>•</t>
        </is>
      </c>
      <c r="B5695" s="56" t="inlineStr">
        <is>
          <t>Cả ba đầu ra đều dùng cùng kết quả đã lưu: S01 có dấu đỏ theo cấu hình riêng của từng output; S03 không có dấu đỏ; S05 không bị coi là điểm 0 và không có dấu đỏ. Excel phải giữ nguyên dữ liệu; màn công khai và PDF không được tự chọn lại rule hoặc tính lại ngưỡng. Nếu chạy lại sau khi chỉ xem/xuất, kết quả và bằng chứng phải không đổi.</t>
        </is>
      </c>
      <c r="C5695" s="57" t="n"/>
      <c r="D5695" s="57" t="n"/>
      <c r="E5695" s="57" t="n"/>
    </row>
    <row r="5696" ht="44" customHeight="1">
      <c r="A5696" s="47" t="inlineStr">
        <is>
          <t>Giữ nguyên</t>
        </is>
      </c>
      <c r="B5696" s="56" t="inlineStr">
        <is>
          <t>• Giữ điểm, cấu hình và đối tượng không đích theo expected;
• Chỉ thay phần thủ tục yêu cầu, không tự đổi oracle hoặc mở rộng phạm vi.</t>
        </is>
      </c>
      <c r="C5696" s="57" t="n"/>
      <c r="D5696" s="57" t="n"/>
      <c r="E5696" s="57" t="n"/>
    </row>
    <row r="5697" ht="61" customHeight="1">
      <c r="A5697" s="47" t="inlineStr">
        <is>
          <t>Quan sát tại</t>
        </is>
      </c>
      <c r="B5697" s="56" t="inlineStr">
        <is>
          <t>• Dùng trích xuất không lọc để thấy cả ô đối chứng. Trạng thái không có dấu đỏ cần đọc thêm trạng thái lưu;
• Output Excel/PDF dùng file thật.</t>
        </is>
      </c>
      <c r="C5697" s="57" t="n"/>
      <c r="D5697" s="57" t="n"/>
      <c r="E5697" s="57" t="n"/>
    </row>
    <row r="5698" ht="30" customHeight="1">
      <c r="A5698" s="58" t="inlineStr">
        <is>
          <t>Kết quả thực tế</t>
        </is>
      </c>
      <c r="B5698" s="59" t="n"/>
      <c r="C5698" s="59" t="n"/>
      <c r="D5698" s="59" t="n"/>
      <c r="E5698" s="59" t="n"/>
    </row>
    <row r="5699" ht="30" customHeight="1">
      <c r="A5699" s="60" t="inlineStr">
        <is>
          <t>TC-RS-FUNC-032 / extract-off</t>
        </is>
      </c>
      <c r="B5699" s="36" t="n"/>
      <c r="C5699" s="36" t="n"/>
      <c r="D5699" s="36" t="n"/>
      <c r="E5699" s="36" t="n"/>
    </row>
    <row r="5700" ht="30" customHeight="1">
      <c r="A5700" s="47" t="inlineStr">
        <is>
          <t>Dữ liệu biến thể</t>
        </is>
      </c>
      <c r="B5700" s="56" t="inlineStr">
        <is>
          <t>Bước 1 và 5, không lọc</t>
        </is>
      </c>
      <c r="C5700" s="57" t="n"/>
      <c r="D5700" s="57" t="n"/>
      <c r="E5700" s="57" t="n"/>
    </row>
    <row r="5701" ht="30" customHeight="1">
      <c r="A5701" s="47" t="inlineStr">
        <is>
          <t>Trạng thái</t>
        </is>
      </c>
      <c r="B5701" s="61" t="inlineStr">
        <is>
          <t>Chưa thực hiện</t>
        </is>
      </c>
      <c r="C5701" s="57" t="n"/>
      <c r="D5701" s="57" t="n"/>
      <c r="E5701" s="57" t="n"/>
    </row>
    <row r="5702" ht="30" customHeight="1">
      <c r="A5702" s="62" t="inlineStr">
        <is>
          <t>Kết quả thực tế</t>
        </is>
      </c>
    </row>
    <row r="5703" ht="64" customHeight="1">
      <c r="A5703" s="63" t="inlineStr"/>
      <c r="B5703" s="64" t="n"/>
      <c r="C5703" s="64" t="n"/>
      <c r="D5703" s="64" t="n"/>
      <c r="E5703" s="65" t="n"/>
    </row>
    <row r="5704" ht="30" customHeight="1">
      <c r="A5704" s="62" t="inlineStr">
        <is>
          <t>Ảnh minh chứng</t>
        </is>
      </c>
    </row>
    <row r="5705" ht="90" customHeight="1">
      <c r="A5705" s="63" t="inlineStr"/>
      <c r="B5705" s="64" t="n"/>
      <c r="C5705" s="64" t="n"/>
      <c r="D5705" s="64" t="n"/>
      <c r="E5705" s="65" t="n"/>
    </row>
    <row r="5706" ht="12" customHeight="1">
      <c r="A5706" s="66" t="inlineStr"/>
    </row>
    <row r="5707" ht="30" customHeight="1">
      <c r="A5707" s="60" t="inlineStr">
        <is>
          <t>TC-RS-FUNC-032 / extract-on</t>
        </is>
      </c>
      <c r="B5707" s="36" t="n"/>
      <c r="C5707" s="36" t="n"/>
      <c r="D5707" s="36" t="n"/>
      <c r="E5707" s="36" t="n"/>
    </row>
    <row r="5708" ht="30" customHeight="1">
      <c r="A5708" s="47" t="inlineStr">
        <is>
          <t>Dữ liệu biến thể</t>
        </is>
      </c>
      <c r="B5708" s="56" t="inlineStr">
        <is>
          <t>Bước 2 và 5, bật lọc</t>
        </is>
      </c>
      <c r="C5708" s="57" t="n"/>
      <c r="D5708" s="57" t="n"/>
      <c r="E5708" s="57" t="n"/>
    </row>
    <row r="5709" ht="30" customHeight="1">
      <c r="A5709" s="47" t="inlineStr">
        <is>
          <t>Trạng thái</t>
        </is>
      </c>
      <c r="B5709" s="61" t="inlineStr">
        <is>
          <t>Chưa thực hiện</t>
        </is>
      </c>
      <c r="C5709" s="57" t="n"/>
      <c r="D5709" s="57" t="n"/>
      <c r="E5709" s="57" t="n"/>
    </row>
    <row r="5710" ht="30" customHeight="1">
      <c r="A5710" s="62" t="inlineStr">
        <is>
          <t>Kết quả thực tế</t>
        </is>
      </c>
    </row>
    <row r="5711" ht="64" customHeight="1">
      <c r="A5711" s="63" t="inlineStr"/>
      <c r="B5711" s="64" t="n"/>
      <c r="C5711" s="64" t="n"/>
      <c r="D5711" s="64" t="n"/>
      <c r="E5711" s="65" t="n"/>
    </row>
    <row r="5712" ht="30" customHeight="1">
      <c r="A5712" s="62" t="inlineStr">
        <is>
          <t>Ảnh minh chứng</t>
        </is>
      </c>
    </row>
    <row r="5713" ht="90" customHeight="1">
      <c r="A5713" s="63" t="inlineStr"/>
      <c r="B5713" s="64" t="n"/>
      <c r="C5713" s="64" t="n"/>
      <c r="D5713" s="64" t="n"/>
      <c r="E5713" s="65" t="n"/>
    </row>
    <row r="5714" ht="12" customHeight="1">
      <c r="A5714" s="66" t="inlineStr"/>
    </row>
    <row r="5715" ht="30" customHeight="1">
      <c r="A5715" s="60" t="inlineStr">
        <is>
          <t>TC-RS-FUNC-032 / publish</t>
        </is>
      </c>
      <c r="B5715" s="36" t="n"/>
      <c r="C5715" s="36" t="n"/>
      <c r="D5715" s="36" t="n"/>
      <c r="E5715" s="36" t="n"/>
    </row>
    <row r="5716" ht="30" customHeight="1">
      <c r="A5716" s="47" t="inlineStr">
        <is>
          <t>Dữ liệu biến thể</t>
        </is>
      </c>
      <c r="B5716" s="56" t="inlineStr">
        <is>
          <t>Bước 3 và 5</t>
        </is>
      </c>
      <c r="C5716" s="57" t="n"/>
      <c r="D5716" s="57" t="n"/>
      <c r="E5716" s="57" t="n"/>
    </row>
    <row r="5717" ht="30" customHeight="1">
      <c r="A5717" s="47" t="inlineStr">
        <is>
          <t>Trạng thái</t>
        </is>
      </c>
      <c r="B5717" s="61" t="inlineStr">
        <is>
          <t>Chưa thực hiện</t>
        </is>
      </c>
      <c r="C5717" s="57" t="n"/>
      <c r="D5717" s="57" t="n"/>
      <c r="E5717" s="57" t="n"/>
    </row>
    <row r="5718" ht="30" customHeight="1">
      <c r="A5718" s="62" t="inlineStr">
        <is>
          <t>Kết quả thực tế</t>
        </is>
      </c>
    </row>
    <row r="5719" ht="64" customHeight="1">
      <c r="A5719" s="63" t="inlineStr"/>
      <c r="B5719" s="64" t="n"/>
      <c r="C5719" s="64" t="n"/>
      <c r="D5719" s="64" t="n"/>
      <c r="E5719" s="65" t="n"/>
    </row>
    <row r="5720" ht="30" customHeight="1">
      <c r="A5720" s="62" t="inlineStr">
        <is>
          <t>Ảnh minh chứng</t>
        </is>
      </c>
    </row>
    <row r="5721" ht="90" customHeight="1">
      <c r="A5721" s="63" t="inlineStr"/>
      <c r="B5721" s="64" t="n"/>
      <c r="C5721" s="64" t="n"/>
      <c r="D5721" s="64" t="n"/>
      <c r="E5721" s="65" t="n"/>
    </row>
    <row r="5722" ht="12" customHeight="1">
      <c r="A5722" s="66" t="inlineStr"/>
    </row>
    <row r="5723" ht="30" customHeight="1">
      <c r="A5723" s="60" t="inlineStr">
        <is>
          <t>TC-RS-FUNC-032 / report</t>
        </is>
      </c>
      <c r="B5723" s="36" t="n"/>
      <c r="C5723" s="36" t="n"/>
      <c r="D5723" s="36" t="n"/>
      <c r="E5723" s="36" t="n"/>
    </row>
    <row r="5724" ht="30" customHeight="1">
      <c r="A5724" s="47" t="inlineStr">
        <is>
          <t>Dữ liệu biến thể</t>
        </is>
      </c>
      <c r="B5724" s="56" t="inlineStr">
        <is>
          <t>Bước 4 và 5</t>
        </is>
      </c>
      <c r="C5724" s="57" t="n"/>
      <c r="D5724" s="57" t="n"/>
      <c r="E5724" s="57" t="n"/>
    </row>
    <row r="5725" ht="30" customHeight="1">
      <c r="A5725" s="47" t="inlineStr">
        <is>
          <t>Trạng thái</t>
        </is>
      </c>
      <c r="B5725" s="61" t="inlineStr">
        <is>
          <t>Chưa thực hiện</t>
        </is>
      </c>
      <c r="C5725" s="57" t="n"/>
      <c r="D5725" s="57" t="n"/>
      <c r="E5725" s="57" t="n"/>
    </row>
    <row r="5726" ht="30" customHeight="1">
      <c r="A5726" s="62" t="inlineStr">
        <is>
          <t>Kết quả thực tế</t>
        </is>
      </c>
    </row>
    <row r="5727" ht="64" customHeight="1">
      <c r="A5727" s="63" t="inlineStr"/>
      <c r="B5727" s="64" t="n"/>
      <c r="C5727" s="64" t="n"/>
      <c r="D5727" s="64" t="n"/>
      <c r="E5727" s="65" t="n"/>
    </row>
    <row r="5728" ht="30" customHeight="1">
      <c r="A5728" s="62" t="inlineStr">
        <is>
          <t>Ảnh minh chứng</t>
        </is>
      </c>
    </row>
    <row r="5729" ht="90" customHeight="1">
      <c r="A5729" s="63" t="inlineStr"/>
      <c r="B5729" s="64" t="n"/>
      <c r="C5729" s="64" t="n"/>
      <c r="D5729" s="64" t="n"/>
      <c r="E5729" s="65" t="n"/>
    </row>
    <row r="5730" ht="12" customHeight="1">
      <c r="A5730" s="66" t="inlineStr"/>
    </row>
    <row r="5731" ht="20" customHeight="1">
      <c r="A5731" s="66" t="inlineStr"/>
    </row>
    <row r="5732" ht="30" customHeight="1">
      <c r="A5732" s="46" t="inlineStr">
        <is>
          <t>TC-RS-ERR-014 — Mục bị ẩn theo thiết lập ẩn mục nhập</t>
        </is>
      </c>
      <c r="B5732" s="23" t="n"/>
      <c r="C5732" s="23" t="n"/>
      <c r="D5732" s="23" t="n"/>
      <c r="E5732" s="23" t="n"/>
    </row>
    <row r="5733" ht="30" customHeight="1">
      <c r="A5733" s="47" t="inlineStr">
        <is>
          <t>Trạng thái</t>
        </is>
      </c>
      <c r="B5733" s="56">
        <f>IF(0&gt;0,"Không đạt",IF(0=3,"Đạt",IF(SUMPRODUCT(--EXACT('Testcases'!B5751:B5767,"Không thực hiện"))=3,"Không thực hiện",IF(SUMPRODUCT(--EXACT('Testcases'!B5751:B5767,"Bị chặn"))&gt;0,"Bị chặn",IF(SUMPRODUCT(--EXACT('Testcases'!B5751:B5767,"Chưa thực hiện"))=3,"Chưa thực hiện","Chưa đủ kết luận")))))</f>
        <v/>
      </c>
      <c r="C5733" s="57" t="n"/>
      <c r="D5733" s="57" t="n"/>
      <c r="E5733" s="57" t="n"/>
    </row>
    <row r="5734" ht="30" customHeight="1">
      <c r="A5734" s="47" t="inlineStr">
        <is>
          <t>Màn hình / chức năng</t>
        </is>
      </c>
      <c r="B5734" s="47" t="inlineStr">
        <is>
          <t>Kết quả dùng chung</t>
        </is>
      </c>
      <c r="C5734" s="57" t="n"/>
      <c r="D5734" s="47" t="inlineStr">
        <is>
          <t>Đường dẫn</t>
        </is>
      </c>
      <c r="E5734" s="56" t="inlineStr">
        <is>
          <t>Chưa xác minh</t>
        </is>
      </c>
    </row>
    <row r="5735" ht="30" customHeight="1">
      <c r="A5735" s="58" t="inlineStr">
        <is>
          <t>Điều kiện kiểm thử</t>
        </is>
      </c>
      <c r="B5735" s="59" t="n"/>
      <c r="C5735" s="59" t="n"/>
      <c r="D5735" s="59" t="n"/>
      <c r="E5735" s="59" t="n"/>
    </row>
    <row r="5736" ht="30" customHeight="1">
      <c r="A5736" s="47" t="inlineStr">
        <is>
          <t>Cấu hình</t>
        </is>
      </c>
      <c r="B5736" s="56" t="inlineStr">
        <is>
          <t>• Mục số nguyên (M=100) có quy tắc, bị ẩn cho G-B qua Thiết lập ẩn mục nhập（入力項目の非表示設定）.</t>
        </is>
      </c>
      <c r="C5736" s="57" t="n"/>
      <c r="D5736" s="57" t="n"/>
      <c r="E5736" s="57" t="n"/>
    </row>
    <row r="5737" ht="61" customHeight="1">
      <c r="A5737" s="47" t="inlineStr">
        <is>
          <t>Vai trò / quyền</t>
        </is>
      </c>
      <c r="B573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737" s="57" t="n"/>
      <c r="D5737" s="57" t="n"/>
      <c r="E5737" s="57" t="n"/>
    </row>
    <row r="5738" ht="44" customHeight="1">
      <c r="A5738" s="47" t="inlineStr">
        <is>
          <t>Dữ liệu test</t>
        </is>
      </c>
      <c r="B5738" s="56" t="inlineStr">
        <is>
          <t>• Mục số nguyên (M=100);
• Học sinh S06 (điểm dự kiến 24)</t>
        </is>
      </c>
      <c r="C5738" s="57" t="n"/>
      <c r="D5738" s="57" t="n"/>
      <c r="E5738" s="57" t="n"/>
    </row>
    <row r="5739" ht="30" customHeight="1">
      <c r="A5739" s="47" t="inlineStr">
        <is>
          <t>Trigger</t>
        </is>
      </c>
      <c r="B5739" s="56" t="inlineStr">
        <is>
          <t>• Chỉ xem/xuất không tự chạy xét.</t>
        </is>
      </c>
      <c r="C5739" s="57" t="n"/>
      <c r="D5739" s="57" t="n"/>
      <c r="E5739" s="57" t="n"/>
    </row>
    <row r="5740" ht="78" customHeight="1">
      <c r="A5740" s="47" t="inlineStr">
        <is>
          <t>Blocker</t>
        </is>
      </c>
      <c r="B5740" s="56" t="inlineStr">
        <is>
          <t>• G-ORACLE-TC-RS-ERR-014: Phần kỳ vọng chưa chốt trong bản nguồn: Có xét hay không: TBD (chưa chốt). CONFIRMED phần không tranh chấp: không đầu ra nào làm hiện lại điểm đang bị ẩn.
• G-PREP-UNASSESSED: Chưa có xác minh fixture, đường thực hiện và phép quan sát trên build của từng case chưa đánh giá.</t>
        </is>
      </c>
      <c r="C5740" s="57" t="n"/>
      <c r="D5740" s="57" t="n"/>
      <c r="E5740" s="57" t="n"/>
    </row>
    <row r="5741" ht="30" customHeight="1">
      <c r="A5741" s="58" t="inlineStr">
        <is>
          <t>Thao tác</t>
        </is>
      </c>
      <c r="B5741" s="59" t="n"/>
      <c r="C5741" s="59" t="n"/>
      <c r="D5741" s="59" t="n"/>
      <c r="E5741" s="59" t="n"/>
    </row>
    <row r="5742" ht="30" customHeight="1">
      <c r="A5742" s="47" t="inlineStr">
        <is>
          <t>•</t>
        </is>
      </c>
      <c r="B5742" s="56" t="inlineStr">
        <is>
          <t>Chạy xét; xem ba đầu ra cho S06.</t>
        </is>
      </c>
      <c r="C5742" s="57" t="n"/>
      <c r="D5742" s="57" t="n"/>
      <c r="E5742" s="57" t="n"/>
    </row>
    <row r="5743" ht="44" customHeight="1">
      <c r="A5743" s="47" t="inlineStr">
        <is>
          <t>Reset</t>
        </is>
      </c>
      <c r="B5743" s="56" t="inlineStr">
        <is>
          <t>Trước mỗi biến thể, dựng lại điều kiện/dữ liệu đầu của case bằng đường được phép; giữ các reset/fixture độc lập đã nêu trong thủ tục.</t>
        </is>
      </c>
      <c r="C5743" s="57" t="n"/>
      <c r="D5743" s="57" t="n"/>
      <c r="E5743" s="57" t="n"/>
    </row>
    <row r="5744" ht="30" customHeight="1">
      <c r="A5744" s="58" t="inlineStr">
        <is>
          <t>Kết quả mong đợi</t>
        </is>
      </c>
      <c r="B5744" s="59" t="n"/>
      <c r="C5744" s="59" t="n"/>
      <c r="D5744" s="59" t="n"/>
      <c r="E5744" s="59" t="n"/>
    </row>
    <row r="5745" ht="44" customHeight="1">
      <c r="A5745" s="47" t="inlineStr">
        <is>
          <t>•</t>
        </is>
      </c>
      <c r="B5745" s="56" t="inlineStr">
        <is>
          <t>Có xét hay không: TBD (chưa chốt). CONFIRMED phần không tranh chấp: không đầu ra nào làm hiện lại điểm đang bị ẩn.</t>
        </is>
      </c>
      <c r="C5745" s="57" t="n"/>
      <c r="D5745" s="57" t="n"/>
      <c r="E5745" s="57" t="n"/>
    </row>
    <row r="5746" ht="44" customHeight="1">
      <c r="A5746" s="47" t="inlineStr">
        <is>
          <t>Giữ nguyên</t>
        </is>
      </c>
      <c r="B5746" s="56" t="inlineStr">
        <is>
          <t>• Giữ điểm, cấu hình và đối tượng không đích theo expected;
• Chỉ thay phần thủ tục yêu cầu, không tự đổi oracle hoặc mở rộng phạm vi.</t>
        </is>
      </c>
      <c r="C5746" s="57" t="n"/>
      <c r="D5746" s="57" t="n"/>
      <c r="E5746" s="57" t="n"/>
    </row>
    <row r="5747" ht="61" customHeight="1">
      <c r="A5747" s="47" t="inlineStr">
        <is>
          <t>Quan sát tại</t>
        </is>
      </c>
      <c r="B5747" s="56" t="inlineStr">
        <is>
          <t>• Dùng trích xuất không lọc để thấy cả ô đối chứng. Trạng thái không có dấu đỏ cần đọc thêm trạng thái lưu;
• Output Excel/PDF dùng file thật.</t>
        </is>
      </c>
      <c r="C5747" s="57" t="n"/>
      <c r="D5747" s="57" t="n"/>
      <c r="E5747" s="57" t="n"/>
    </row>
    <row r="5748" ht="30" customHeight="1">
      <c r="A5748" s="58" t="inlineStr">
        <is>
          <t>Kết quả thực tế</t>
        </is>
      </c>
      <c r="B5748" s="59" t="n"/>
      <c r="C5748" s="59" t="n"/>
      <c r="D5748" s="59" t="n"/>
      <c r="E5748" s="59" t="n"/>
    </row>
    <row r="5749" ht="30" customHeight="1">
      <c r="A5749" s="60" t="inlineStr">
        <is>
          <t>TC-RS-ERR-014 / extract</t>
        </is>
      </c>
      <c r="B5749" s="36" t="n"/>
      <c r="C5749" s="36" t="n"/>
      <c r="D5749" s="36" t="n"/>
      <c r="E5749" s="36" t="n"/>
    </row>
    <row r="5750" ht="30" customHeight="1">
      <c r="A5750" s="47" t="inlineStr">
        <is>
          <t>Dữ liệu biến thể</t>
        </is>
      </c>
      <c r="B5750" s="56" t="inlineStr">
        <is>
          <t>Trích xuất</t>
        </is>
      </c>
      <c r="C5750" s="57" t="n"/>
      <c r="D5750" s="57" t="n"/>
      <c r="E5750" s="57" t="n"/>
    </row>
    <row r="5751" ht="30" customHeight="1">
      <c r="A5751" s="47" t="inlineStr">
        <is>
          <t>Trạng thái</t>
        </is>
      </c>
      <c r="B5751" s="61" t="inlineStr">
        <is>
          <t>Chưa thực hiện</t>
        </is>
      </c>
      <c r="C5751" s="57" t="n"/>
      <c r="D5751" s="57" t="n"/>
      <c r="E5751" s="57" t="n"/>
    </row>
    <row r="5752" ht="30" customHeight="1">
      <c r="A5752" s="62" t="inlineStr">
        <is>
          <t>Kết quả thực tế</t>
        </is>
      </c>
    </row>
    <row r="5753" ht="64" customHeight="1">
      <c r="A5753" s="63" t="inlineStr"/>
      <c r="B5753" s="64" t="n"/>
      <c r="C5753" s="64" t="n"/>
      <c r="D5753" s="64" t="n"/>
      <c r="E5753" s="65" t="n"/>
    </row>
    <row r="5754" ht="30" customHeight="1">
      <c r="A5754" s="62" t="inlineStr">
        <is>
          <t>Ảnh minh chứng</t>
        </is>
      </c>
    </row>
    <row r="5755" ht="90" customHeight="1">
      <c r="A5755" s="63" t="inlineStr"/>
      <c r="B5755" s="64" t="n"/>
      <c r="C5755" s="64" t="n"/>
      <c r="D5755" s="64" t="n"/>
      <c r="E5755" s="65" t="n"/>
    </row>
    <row r="5756" ht="12" customHeight="1">
      <c r="A5756" s="66" t="inlineStr"/>
    </row>
    <row r="5757" ht="30" customHeight="1">
      <c r="A5757" s="60" t="inlineStr">
        <is>
          <t>TC-RS-ERR-014 / publish</t>
        </is>
      </c>
      <c r="B5757" s="36" t="n"/>
      <c r="C5757" s="36" t="n"/>
      <c r="D5757" s="36" t="n"/>
      <c r="E5757" s="36" t="n"/>
    </row>
    <row r="5758" ht="30" customHeight="1">
      <c r="A5758" s="47" t="inlineStr">
        <is>
          <t>Dữ liệu biến thể</t>
        </is>
      </c>
      <c r="B5758" s="56" t="inlineStr">
        <is>
          <t>Công khai</t>
        </is>
      </c>
      <c r="C5758" s="57" t="n"/>
      <c r="D5758" s="57" t="n"/>
      <c r="E5758" s="57" t="n"/>
    </row>
    <row r="5759" ht="30" customHeight="1">
      <c r="A5759" s="47" t="inlineStr">
        <is>
          <t>Trạng thái</t>
        </is>
      </c>
      <c r="B5759" s="61" t="inlineStr">
        <is>
          <t>Chưa thực hiện</t>
        </is>
      </c>
      <c r="C5759" s="57" t="n"/>
      <c r="D5759" s="57" t="n"/>
      <c r="E5759" s="57" t="n"/>
    </row>
    <row r="5760" ht="30" customHeight="1">
      <c r="A5760" s="62" t="inlineStr">
        <is>
          <t>Kết quả thực tế</t>
        </is>
      </c>
    </row>
    <row r="5761" ht="64" customHeight="1">
      <c r="A5761" s="63" t="inlineStr"/>
      <c r="B5761" s="64" t="n"/>
      <c r="C5761" s="64" t="n"/>
      <c r="D5761" s="64" t="n"/>
      <c r="E5761" s="65" t="n"/>
    </row>
    <row r="5762" ht="30" customHeight="1">
      <c r="A5762" s="62" t="inlineStr">
        <is>
          <t>Ảnh minh chứng</t>
        </is>
      </c>
    </row>
    <row r="5763" ht="90" customHeight="1">
      <c r="A5763" s="63" t="inlineStr"/>
      <c r="B5763" s="64" t="n"/>
      <c r="C5763" s="64" t="n"/>
      <c r="D5763" s="64" t="n"/>
      <c r="E5763" s="65" t="n"/>
    </row>
    <row r="5764" ht="12" customHeight="1">
      <c r="A5764" s="66" t="inlineStr"/>
    </row>
    <row r="5765" ht="30" customHeight="1">
      <c r="A5765" s="60" t="inlineStr">
        <is>
          <t>TC-RS-ERR-014 / report</t>
        </is>
      </c>
      <c r="B5765" s="36" t="n"/>
      <c r="C5765" s="36" t="n"/>
      <c r="D5765" s="36" t="n"/>
      <c r="E5765" s="36" t="n"/>
    </row>
    <row r="5766" ht="30" customHeight="1">
      <c r="A5766" s="47" t="inlineStr">
        <is>
          <t>Dữ liệu biến thể</t>
        </is>
      </c>
      <c r="B5766" s="56" t="inlineStr">
        <is>
          <t>Phiếu điểm</t>
        </is>
      </c>
      <c r="C5766" s="57" t="n"/>
      <c r="D5766" s="57" t="n"/>
      <c r="E5766" s="57" t="n"/>
    </row>
    <row r="5767" ht="30" customHeight="1">
      <c r="A5767" s="47" t="inlineStr">
        <is>
          <t>Trạng thái</t>
        </is>
      </c>
      <c r="B5767" s="61" t="inlineStr">
        <is>
          <t>Chưa thực hiện</t>
        </is>
      </c>
      <c r="C5767" s="57" t="n"/>
      <c r="D5767" s="57" t="n"/>
      <c r="E5767" s="57" t="n"/>
    </row>
    <row r="5768" ht="30" customHeight="1">
      <c r="A5768" s="62" t="inlineStr">
        <is>
          <t>Kết quả thực tế</t>
        </is>
      </c>
    </row>
    <row r="5769" ht="64" customHeight="1">
      <c r="A5769" s="63" t="inlineStr"/>
      <c r="B5769" s="64" t="n"/>
      <c r="C5769" s="64" t="n"/>
      <c r="D5769" s="64" t="n"/>
      <c r="E5769" s="65" t="n"/>
    </row>
    <row r="5770" ht="30" customHeight="1">
      <c r="A5770" s="62" t="inlineStr">
        <is>
          <t>Ảnh minh chứng</t>
        </is>
      </c>
    </row>
    <row r="5771" ht="90" customHeight="1">
      <c r="A5771" s="63" t="inlineStr"/>
      <c r="B5771" s="64" t="n"/>
      <c r="C5771" s="64" t="n"/>
      <c r="D5771" s="64" t="n"/>
      <c r="E5771" s="65" t="n"/>
    </row>
    <row r="5772" ht="12" customHeight="1">
      <c r="A5772" s="66" t="inlineStr"/>
    </row>
    <row r="5773" ht="20" customHeight="1">
      <c r="A5773" s="66" t="inlineStr"/>
    </row>
    <row r="5774" ht="30" customHeight="1">
      <c r="A5774" s="46" t="inlineStr">
        <is>
          <t>TC-RS-BR-001 — Chọn quy tắc khớp đầu tiên theo ưu tiên, không lấy ngưỡng nghiêm hơn</t>
        </is>
      </c>
      <c r="B5774" s="23" t="n"/>
      <c r="C5774" s="23" t="n"/>
      <c r="D5774" s="23" t="n"/>
      <c r="E5774" s="23" t="n"/>
    </row>
    <row r="5775" ht="30" customHeight="1">
      <c r="A5775" s="47" t="inlineStr">
        <is>
          <t>Trạng thái</t>
        </is>
      </c>
      <c r="B5775" s="56">
        <f>IF(0&gt;0,"Không đạt",IF(0=2,"Đạt",IF(SUMPRODUCT(--EXACT('Testcases'!B5796:B5804,"Không thực hiện"))=2,"Không thực hiện",IF(SUMPRODUCT(--EXACT('Testcases'!B5796:B5804,"Bị chặn"))&gt;0,"Bị chặn",IF(SUMPRODUCT(--EXACT('Testcases'!B5796:B5804,"Chưa thực hiện"))=2,"Chưa thực hiện","Chưa đủ kết luận")))))</f>
        <v/>
      </c>
      <c r="C5775" s="57" t="n"/>
      <c r="D5775" s="57" t="n"/>
      <c r="E5775" s="57" t="n"/>
    </row>
    <row r="5776" ht="30" customHeight="1">
      <c r="A5776" s="47" t="inlineStr">
        <is>
          <t>Màn hình / chức năng</t>
        </is>
      </c>
      <c r="B5776" s="47" t="inlineStr">
        <is>
          <t>Xét theo ưu tiên</t>
        </is>
      </c>
      <c r="C5776" s="57" t="n"/>
      <c r="D5776" s="47" t="inlineStr">
        <is>
          <t>Đường dẫn</t>
        </is>
      </c>
      <c r="E5776" s="56" t="inlineStr">
        <is>
          <t>Chưa xác minh</t>
        </is>
      </c>
    </row>
    <row r="5777" ht="30" customHeight="1">
      <c r="A5777" s="58" t="inlineStr">
        <is>
          <t>Điều kiện kiểm thử</t>
        </is>
      </c>
      <c r="B5777" s="59" t="n"/>
      <c r="C5777" s="59" t="n"/>
      <c r="D5777" s="59" t="n"/>
      <c r="E5777" s="59" t="n"/>
    </row>
    <row r="5778" ht="44" customHeight="1">
      <c r="A5778" s="47" t="inlineStr">
        <is>
          <t>Cấu hình</t>
        </is>
      </c>
      <c r="B5778" s="56" t="inlineStr">
        <is>
          <t>• Mục số nguyên (M=100) có cặp quy tắc cùng áp dụng (dưới 20 và dưới 30) (ưu tiên 1: [&lt;20], ưu tiên 2: [&lt;30]).</t>
        </is>
      </c>
      <c r="C5778" s="57" t="n"/>
      <c r="D5778" s="57" t="n"/>
      <c r="E5778" s="57" t="n"/>
    </row>
    <row r="5779" ht="61" customHeight="1">
      <c r="A5779" s="47" t="inlineStr">
        <is>
          <t>Vai trò / quyền</t>
        </is>
      </c>
      <c r="B577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779" s="57" t="n"/>
      <c r="D5779" s="57" t="n"/>
      <c r="E5779" s="57" t="n"/>
    </row>
    <row r="5780" ht="61" customHeight="1">
      <c r="A5780" s="47" t="inlineStr">
        <is>
          <t>Dữ liệu test</t>
        </is>
      </c>
      <c r="B5780" s="56" t="inlineStr">
        <is>
          <t>• Mục số nguyên (M=100);
• Cặp quy tắc cùng áp dụng (dưới 20 và dưới 30);
• S02 được sửa thành 25</t>
        </is>
      </c>
      <c r="C5780" s="57" t="n"/>
      <c r="D5780" s="57" t="n"/>
      <c r="E5780" s="57" t="n"/>
    </row>
    <row r="5781" ht="30" customHeight="1">
      <c r="A5781" s="47" t="inlineStr">
        <is>
          <t>Trigger</t>
        </is>
      </c>
      <c r="B5781" s="56" t="inlineStr">
        <is>
          <t>• Chỉ xem/xuất không tự chạy xét.</t>
        </is>
      </c>
      <c r="C5781" s="57" t="n"/>
      <c r="D5781" s="57" t="n"/>
      <c r="E5781" s="57" t="n"/>
    </row>
    <row r="5782" ht="44" customHeight="1">
      <c r="A5782" s="47" t="inlineStr">
        <is>
          <t>Blocker</t>
        </is>
      </c>
      <c r="B5782" s="56" t="inlineStr">
        <is>
          <t>• G-PREP-UNASSESSED: Chưa có xác minh fixture, đường thực hiện và phép quan sát trên build của từng case chưa đánh giá.</t>
        </is>
      </c>
      <c r="C5782" s="57" t="n"/>
      <c r="D5782" s="57" t="n"/>
      <c r="E5782" s="57" t="n"/>
    </row>
    <row r="5783" ht="30" customHeight="1">
      <c r="A5783" s="58" t="inlineStr">
        <is>
          <t>Thao tác</t>
        </is>
      </c>
      <c r="B5783" s="59" t="n"/>
      <c r="C5783" s="59" t="n"/>
      <c r="D5783" s="59" t="n"/>
      <c r="E5783" s="59" t="n"/>
    </row>
    <row r="5784" ht="30" customHeight="1">
      <c r="A5784" s="47" t="inlineStr">
        <is>
          <t>Step 1</t>
        </is>
      </c>
      <c r="B5784" s="56" t="inlineStr">
        <is>
          <t>Đăng ký S02=25.</t>
        </is>
      </c>
      <c r="C5784" s="57" t="n"/>
      <c r="D5784" s="57" t="n"/>
      <c r="E5784" s="57" t="n"/>
    </row>
    <row r="5785" ht="30" customHeight="1">
      <c r="A5785" s="47" t="inlineStr">
        <is>
          <t>Step 2</t>
        </is>
      </c>
      <c r="B5785" s="56" t="inlineStr">
        <is>
          <t>Đổi thứ tự (ưu tiên 1 là [&lt;30]), bấm chạy lại (đăng ký lại điểm hoặc nút cam).</t>
        </is>
      </c>
      <c r="C5785" s="57" t="n"/>
      <c r="D5785" s="57" t="n"/>
      <c r="E5785" s="57" t="n"/>
    </row>
    <row r="5786" ht="30" customHeight="1">
      <c r="A5786" s="47" t="inlineStr">
        <is>
          <t>Step 3</t>
        </is>
      </c>
      <c r="B5786" s="56" t="inlineStr">
        <is>
          <t>Xem kết quả sau mỗi lần xét.</t>
        </is>
      </c>
      <c r="C5786" s="57" t="n"/>
      <c r="D5786" s="57" t="n"/>
      <c r="E5786" s="57" t="n"/>
    </row>
    <row r="5787" ht="44" customHeight="1">
      <c r="A5787" s="47" t="inlineStr">
        <is>
          <t>Reset</t>
        </is>
      </c>
      <c r="B5787" s="56" t="inlineStr">
        <is>
          <t>Trước mỗi biến thể, dựng lại điều kiện/dữ liệu đầu của case bằng đường được phép; giữ các reset/fixture độc lập đã nêu trong thủ tục.</t>
        </is>
      </c>
      <c r="C5787" s="57" t="n"/>
      <c r="D5787" s="57" t="n"/>
      <c r="E5787" s="57" t="n"/>
    </row>
    <row r="5788" ht="30" customHeight="1">
      <c r="A5788" s="58" t="inlineStr">
        <is>
          <t>Kết quả mong đợi</t>
        </is>
      </c>
      <c r="B5788" s="59" t="n"/>
      <c r="C5788" s="59" t="n"/>
      <c r="D5788" s="59" t="n"/>
      <c r="E5788" s="59" t="n"/>
    </row>
    <row r="5789" ht="30" customHeight="1">
      <c r="A5789" s="47" t="inlineStr">
        <is>
          <t>1.</t>
        </is>
      </c>
      <c r="B5789" s="56" t="inlineStr">
        <is>
          <t>Lần 1: chọn quy tắc [&lt;20] → Không đỏ.</t>
        </is>
      </c>
      <c r="C5789" s="57" t="n"/>
      <c r="D5789" s="57" t="n"/>
      <c r="E5789" s="57" t="n"/>
    </row>
    <row r="5790" ht="30" customHeight="1">
      <c r="A5790" s="47" t="inlineStr">
        <is>
          <t>2.</t>
        </is>
      </c>
      <c r="B5790" s="56" t="inlineStr">
        <is>
          <t>Lần 2 (sau chạy lại): chọn quy tắc [&lt;30] → Đỏ.</t>
        </is>
      </c>
      <c r="C5790" s="57" t="n"/>
      <c r="D5790" s="57" t="n"/>
      <c r="E5790" s="57" t="n"/>
    </row>
    <row r="5791" ht="44" customHeight="1">
      <c r="A5791" s="47" t="inlineStr">
        <is>
          <t>Giữ nguyên</t>
        </is>
      </c>
      <c r="B5791" s="56" t="inlineStr">
        <is>
          <t>• Giữ điểm, cấu hình và đối tượng không đích theo expected;
• Chỉ thay phần thủ tục yêu cầu, không tự đổi oracle hoặc mở rộng phạm vi.</t>
        </is>
      </c>
      <c r="C5791" s="57" t="n"/>
      <c r="D5791" s="57" t="n"/>
      <c r="E5791" s="57" t="n"/>
    </row>
    <row r="5792" ht="61" customHeight="1">
      <c r="A5792" s="47" t="inlineStr">
        <is>
          <t>Quan sát tại</t>
        </is>
      </c>
      <c r="B5792" s="56" t="inlineStr">
        <is>
          <t>• Dùng trích xuất không lọc để thấy cả ô đối chứng. Trạng thái không có dấu đỏ cần đọc thêm trạng thái lưu;
• Output Excel/PDF dùng file thật.</t>
        </is>
      </c>
      <c r="C5792" s="57" t="n"/>
      <c r="D5792" s="57" t="n"/>
      <c r="E5792" s="57" t="n"/>
    </row>
    <row r="5793" ht="30" customHeight="1">
      <c r="A5793" s="58" t="inlineStr">
        <is>
          <t>Kết quả thực tế</t>
        </is>
      </c>
      <c r="B5793" s="59" t="n"/>
      <c r="C5793" s="59" t="n"/>
      <c r="D5793" s="59" t="n"/>
      <c r="E5793" s="59" t="n"/>
    </row>
    <row r="5794" ht="30" customHeight="1">
      <c r="A5794" s="60" t="inlineStr">
        <is>
          <t>TC-RS-BR-001 / priority20</t>
        </is>
      </c>
      <c r="B5794" s="36" t="n"/>
      <c r="C5794" s="36" t="n"/>
      <c r="D5794" s="36" t="n"/>
      <c r="E5794" s="36" t="n"/>
    </row>
    <row r="5795" ht="30" customHeight="1">
      <c r="A5795" s="47" t="inlineStr">
        <is>
          <t>Dữ liệu biến thể</t>
        </is>
      </c>
      <c r="B5795" s="56" t="inlineStr">
        <is>
          <t>Thứ tự ban đầu</t>
        </is>
      </c>
      <c r="C5795" s="57" t="n"/>
      <c r="D5795" s="57" t="n"/>
      <c r="E5795" s="57" t="n"/>
    </row>
    <row r="5796" ht="30" customHeight="1">
      <c r="A5796" s="47" t="inlineStr">
        <is>
          <t>Trạng thái</t>
        </is>
      </c>
      <c r="B5796" s="61" t="inlineStr">
        <is>
          <t>Chưa thực hiện</t>
        </is>
      </c>
      <c r="C5796" s="57" t="n"/>
      <c r="D5796" s="57" t="n"/>
      <c r="E5796" s="57" t="n"/>
    </row>
    <row r="5797" ht="30" customHeight="1">
      <c r="A5797" s="62" t="inlineStr">
        <is>
          <t>Kết quả thực tế</t>
        </is>
      </c>
    </row>
    <row r="5798" ht="64" customHeight="1">
      <c r="A5798" s="63" t="inlineStr"/>
      <c r="B5798" s="64" t="n"/>
      <c r="C5798" s="64" t="n"/>
      <c r="D5798" s="64" t="n"/>
      <c r="E5798" s="65" t="n"/>
    </row>
    <row r="5799" ht="30" customHeight="1">
      <c r="A5799" s="62" t="inlineStr">
        <is>
          <t>Ảnh minh chứng</t>
        </is>
      </c>
    </row>
    <row r="5800" ht="90" customHeight="1">
      <c r="A5800" s="63" t="inlineStr"/>
      <c r="B5800" s="64" t="n"/>
      <c r="C5800" s="64" t="n"/>
      <c r="D5800" s="64" t="n"/>
      <c r="E5800" s="65" t="n"/>
    </row>
    <row r="5801" ht="12" customHeight="1">
      <c r="A5801" s="66" t="inlineStr"/>
    </row>
    <row r="5802" ht="30" customHeight="1">
      <c r="A5802" s="60" t="inlineStr">
        <is>
          <t>TC-RS-BR-001 / priority30</t>
        </is>
      </c>
      <c r="B5802" s="36" t="n"/>
      <c r="C5802" s="36" t="n"/>
      <c r="D5802" s="36" t="n"/>
      <c r="E5802" s="36" t="n"/>
    </row>
    <row r="5803" ht="30" customHeight="1">
      <c r="A5803" s="47" t="inlineStr">
        <is>
          <t>Dữ liệu biến thể</t>
        </is>
      </c>
      <c r="B5803" s="56" t="inlineStr">
        <is>
          <t>Đổi thứ tự rồi xét lại</t>
        </is>
      </c>
      <c r="C5803" s="57" t="n"/>
      <c r="D5803" s="57" t="n"/>
      <c r="E5803" s="57" t="n"/>
    </row>
    <row r="5804" ht="30" customHeight="1">
      <c r="A5804" s="47" t="inlineStr">
        <is>
          <t>Trạng thái</t>
        </is>
      </c>
      <c r="B5804" s="61" t="inlineStr">
        <is>
          <t>Chưa thực hiện</t>
        </is>
      </c>
      <c r="C5804" s="57" t="n"/>
      <c r="D5804" s="57" t="n"/>
      <c r="E5804" s="57" t="n"/>
    </row>
    <row r="5805" ht="30" customHeight="1">
      <c r="A5805" s="62" t="inlineStr">
        <is>
          <t>Kết quả thực tế</t>
        </is>
      </c>
    </row>
    <row r="5806" ht="64" customHeight="1">
      <c r="A5806" s="63" t="inlineStr"/>
      <c r="B5806" s="64" t="n"/>
      <c r="C5806" s="64" t="n"/>
      <c r="D5806" s="64" t="n"/>
      <c r="E5806" s="65" t="n"/>
    </row>
    <row r="5807" ht="30" customHeight="1">
      <c r="A5807" s="62" t="inlineStr">
        <is>
          <t>Ảnh minh chứng</t>
        </is>
      </c>
    </row>
    <row r="5808" ht="90" customHeight="1">
      <c r="A5808" s="63" t="inlineStr"/>
      <c r="B5808" s="64" t="n"/>
      <c r="C5808" s="64" t="n"/>
      <c r="D5808" s="64" t="n"/>
      <c r="E5808" s="65" t="n"/>
    </row>
    <row r="5809" ht="12" customHeight="1">
      <c r="A5809" s="66" t="inlineStr"/>
    </row>
    <row r="5810" ht="20" customHeight="1">
      <c r="A5810" s="66" t="inlineStr"/>
    </row>
    <row r="5811" ht="30" customHeight="1">
      <c r="A5811" s="46" t="inlineStr">
        <is>
          <t>TC-RS-BR-002 — Không quy tắc nào khớp khi đủ dữ liệu → Không áp dụng</t>
        </is>
      </c>
      <c r="B5811" s="23" t="n"/>
      <c r="C5811" s="23" t="n"/>
      <c r="D5811" s="23" t="n"/>
      <c r="E5811" s="23" t="n"/>
    </row>
    <row r="5812" ht="30" customHeight="1">
      <c r="A5812" s="47" t="inlineStr">
        <is>
          <t>Trạng thái</t>
        </is>
      </c>
      <c r="B5812" s="61" t="inlineStr">
        <is>
          <t>Chưa thực hiện</t>
        </is>
      </c>
      <c r="C5812" s="57" t="n"/>
      <c r="D5812" s="57" t="n"/>
      <c r="E5812" s="57" t="n"/>
    </row>
    <row r="5813" ht="30" customHeight="1">
      <c r="A5813" s="47" t="inlineStr">
        <is>
          <t>Màn hình / chức năng</t>
        </is>
      </c>
      <c r="B5813" s="47" t="inlineStr">
        <is>
          <t>Xét theo ưu tiên</t>
        </is>
      </c>
      <c r="C5813" s="57" t="n"/>
      <c r="D5813" s="47" t="inlineStr">
        <is>
          <t>Đường dẫn</t>
        </is>
      </c>
      <c r="E5813" s="56" t="inlineStr">
        <is>
          <t>Chưa xác minh</t>
        </is>
      </c>
    </row>
    <row r="5814" ht="30" customHeight="1">
      <c r="A5814" s="58" t="inlineStr">
        <is>
          <t>Điều kiện kiểm thử</t>
        </is>
      </c>
      <c r="B5814" s="59" t="n"/>
      <c r="C5814" s="59" t="n"/>
      <c r="D5814" s="59" t="n"/>
      <c r="E5814" s="59" t="n"/>
    </row>
    <row r="5815" ht="44" customHeight="1">
      <c r="A5815" s="47" t="inlineStr">
        <is>
          <t>Cấu hình</t>
        </is>
      </c>
      <c r="B5815" s="56" t="inlineStr">
        <is>
          <t>• Mục số nguyên (M=100) chỉ có quy tắc có bộ lọc kết hợp (khối 1 hoặc 2, nhóm Nâng cao) (khối 1/2 và nhóm Nâng cao). S07 thuộc khối 2 nhưng không thuộc nhóm Nâng cao.</t>
        </is>
      </c>
      <c r="C5815" s="57" t="n"/>
      <c r="D5815" s="57" t="n"/>
      <c r="E5815" s="57" t="n"/>
    </row>
    <row r="5816" ht="61" customHeight="1">
      <c r="A5816" s="47" t="inlineStr">
        <is>
          <t>Vai trò / quyền</t>
        </is>
      </c>
      <c r="B581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816" s="57" t="n"/>
      <c r="D5816" s="57" t="n"/>
      <c r="E5816" s="57" t="n"/>
    </row>
    <row r="5817" ht="61" customHeight="1">
      <c r="A5817" s="47" t="inlineStr">
        <is>
          <t>Dữ liệu test</t>
        </is>
      </c>
      <c r="B5817" s="56" t="inlineStr">
        <is>
          <t>• Mục số nguyên (M=100);
• Quy tắc có bộ lọc kết hợp (khối 1 hoặc 2, nhóm Nâng cao), học sinh S07 (điểm 35, cờ Chưa dự thi（未受験）)</t>
        </is>
      </c>
      <c r="C5817" s="57" t="n"/>
      <c r="D5817" s="57" t="n"/>
      <c r="E5817" s="57" t="n"/>
    </row>
    <row r="5818" ht="30" customHeight="1">
      <c r="A5818" s="47" t="inlineStr">
        <is>
          <t>Trigger</t>
        </is>
      </c>
      <c r="B5818" s="56" t="inlineStr">
        <is>
          <t>• Chỉ xem/xuất không tự chạy xét.</t>
        </is>
      </c>
      <c r="C5818" s="57" t="n"/>
      <c r="D5818" s="57" t="n"/>
      <c r="E5818" s="57" t="n"/>
    </row>
    <row r="5819" ht="44" customHeight="1">
      <c r="A5819" s="47" t="inlineStr">
        <is>
          <t>Blocker</t>
        </is>
      </c>
      <c r="B5819" s="56" t="inlineStr">
        <is>
          <t>• G-PREP-UNASSESSED: Chưa có xác minh fixture, đường thực hiện và phép quan sát trên build của từng case chưa đánh giá.</t>
        </is>
      </c>
      <c r="C5819" s="57" t="n"/>
      <c r="D5819" s="57" t="n"/>
      <c r="E5819" s="57" t="n"/>
    </row>
    <row r="5820" ht="30" customHeight="1">
      <c r="A5820" s="58" t="inlineStr">
        <is>
          <t>Thao tác</t>
        </is>
      </c>
      <c r="B5820" s="59" t="n"/>
      <c r="C5820" s="59" t="n"/>
      <c r="D5820" s="59" t="n"/>
      <c r="E5820" s="59" t="n"/>
    </row>
    <row r="5821" ht="30" customHeight="1">
      <c r="A5821" s="47" t="inlineStr">
        <is>
          <t>Step 1</t>
        </is>
      </c>
      <c r="B5821" s="56" t="inlineStr">
        <is>
          <t>Đăng ký S07=20.</t>
        </is>
      </c>
      <c r="C5821" s="57" t="n"/>
      <c r="D5821" s="57" t="n"/>
      <c r="E5821" s="57" t="n"/>
    </row>
    <row r="5822" ht="30" customHeight="1">
      <c r="A5822" s="47" t="inlineStr">
        <is>
          <t>Step 2</t>
        </is>
      </c>
      <c r="B5822" s="56" t="inlineStr">
        <is>
          <t>Xem kết quả ở ba đầu ra.</t>
        </is>
      </c>
      <c r="C5822" s="57" t="n"/>
      <c r="D5822" s="57" t="n"/>
      <c r="E5822" s="57" t="n"/>
    </row>
    <row r="5823" ht="44" customHeight="1">
      <c r="A5823" s="47" t="inlineStr">
        <is>
          <t>Reset</t>
        </is>
      </c>
      <c r="B5823" s="56" t="inlineStr">
        <is>
          <t>Trước mỗi biến thể, dựng lại điều kiện/dữ liệu đầu của case bằng đường được phép; giữ các reset/fixture độc lập đã nêu trong thủ tục.</t>
        </is>
      </c>
      <c r="C5823" s="57" t="n"/>
      <c r="D5823" s="57" t="n"/>
      <c r="E5823" s="57" t="n"/>
    </row>
    <row r="5824" ht="30" customHeight="1">
      <c r="A5824" s="58" t="inlineStr">
        <is>
          <t>Kết quả mong đợi</t>
        </is>
      </c>
      <c r="B5824" s="59" t="n"/>
      <c r="C5824" s="59" t="n"/>
      <c r="D5824" s="59" t="n"/>
      <c r="E5824" s="59" t="n"/>
    </row>
    <row r="5825" ht="30" customHeight="1">
      <c r="A5825" s="47" t="inlineStr">
        <is>
          <t>•</t>
        </is>
      </c>
      <c r="B5825" s="56" t="inlineStr">
        <is>
          <t>S07 ở trạng thái Không áp dụng: không có dấu/lọc đỏ; không được coi là "đạt một ngưỡng".</t>
        </is>
      </c>
      <c r="C5825" s="57" t="n"/>
      <c r="D5825" s="57" t="n"/>
      <c r="E5825" s="57" t="n"/>
    </row>
    <row r="5826" ht="44" customHeight="1">
      <c r="A5826" s="47" t="inlineStr">
        <is>
          <t>Giữ nguyên</t>
        </is>
      </c>
      <c r="B5826" s="56" t="inlineStr">
        <is>
          <t>• Giữ điểm, cấu hình và đối tượng không đích theo expected;
• Chỉ thay phần thủ tục yêu cầu, không tự đổi oracle hoặc mở rộng phạm vi.</t>
        </is>
      </c>
      <c r="C5826" s="57" t="n"/>
      <c r="D5826" s="57" t="n"/>
      <c r="E5826" s="57" t="n"/>
    </row>
    <row r="5827" ht="61" customHeight="1">
      <c r="A5827" s="47" t="inlineStr">
        <is>
          <t>Quan sát tại</t>
        </is>
      </c>
      <c r="B5827" s="56" t="inlineStr">
        <is>
          <t>• Dùng trích xuất không lọc để thấy cả ô đối chứng. Trạng thái không có dấu đỏ cần đọc thêm trạng thái lưu;
• Output Excel/PDF dùng file thật.</t>
        </is>
      </c>
      <c r="C5827" s="57" t="n"/>
      <c r="D5827" s="57" t="n"/>
      <c r="E5827" s="57" t="n"/>
    </row>
    <row r="5828" ht="30" customHeight="1">
      <c r="A5828" s="58" t="inlineStr">
        <is>
          <t>Kết quả thực tế</t>
        </is>
      </c>
      <c r="B5828" s="59" t="n"/>
      <c r="C5828" s="59" t="n"/>
      <c r="D5828" s="59" t="n"/>
      <c r="E5828" s="59" t="n"/>
    </row>
    <row r="5829" ht="30" customHeight="1">
      <c r="A5829" s="47" t="inlineStr">
        <is>
          <t>Dữ liệu biến thể</t>
        </is>
      </c>
      <c r="B5829" s="56" t="inlineStr">
        <is>
          <t>Toàn bộ thủ tục theo đúng thứ tự; các đối chứng cùng fixture được kiểm trong cùng lượt, không bỏ bước</t>
        </is>
      </c>
      <c r="C5829" s="57" t="n"/>
      <c r="D5829" s="57" t="n"/>
      <c r="E5829" s="57" t="n"/>
    </row>
    <row r="5830" ht="30" customHeight="1">
      <c r="A5830" s="62" t="inlineStr">
        <is>
          <t>Kết quả thực tế</t>
        </is>
      </c>
    </row>
    <row r="5831" ht="64" customHeight="1">
      <c r="A5831" s="63" t="inlineStr"/>
      <c r="B5831" s="64" t="n"/>
      <c r="C5831" s="64" t="n"/>
      <c r="D5831" s="64" t="n"/>
      <c r="E5831" s="65" t="n"/>
    </row>
    <row r="5832" ht="30" customHeight="1">
      <c r="A5832" s="62" t="inlineStr">
        <is>
          <t>Ảnh minh chứng</t>
        </is>
      </c>
    </row>
    <row r="5833" ht="90" customHeight="1">
      <c r="A5833" s="63" t="inlineStr"/>
      <c r="B5833" s="64" t="n"/>
      <c r="C5833" s="64" t="n"/>
      <c r="D5833" s="64" t="n"/>
      <c r="E5833" s="65" t="n"/>
    </row>
    <row r="5834" ht="12" customHeight="1">
      <c r="A5834" s="66" t="inlineStr"/>
    </row>
    <row r="5835" ht="20" customHeight="1">
      <c r="A5835" s="66" t="inlineStr"/>
    </row>
    <row r="5836" ht="30" customHeight="1">
      <c r="A5836" s="46" t="inlineStr">
        <is>
          <t>TC-RS-BR-003 — Ưu tiên 1 khớp nhưng thiếu dữ liệu → Chưa xét được, không chuyển xuống ưu tiên 2</t>
        </is>
      </c>
      <c r="B5836" s="23" t="n"/>
      <c r="C5836" s="23" t="n"/>
      <c r="D5836" s="23" t="n"/>
      <c r="E5836" s="23" t="n"/>
    </row>
    <row r="5837" ht="30" customHeight="1">
      <c r="A5837" s="47" t="inlineStr">
        <is>
          <t>Trạng thái</t>
        </is>
      </c>
      <c r="B5837" s="56">
        <f>IF(0&gt;0,"Không đạt",IF(0=3,"Đạt",IF(SUMPRODUCT(--EXACT('Testcases'!B5857:B5873,"Không thực hiện"))=3,"Không thực hiện",IF(SUMPRODUCT(--EXACT('Testcases'!B5857:B5873,"Bị chặn"))&gt;0,"Bị chặn",IF(SUMPRODUCT(--EXACT('Testcases'!B5857:B5873,"Chưa thực hiện"))=3,"Chưa thực hiện","Chưa đủ kết luận")))))</f>
        <v/>
      </c>
      <c r="C5837" s="57" t="n"/>
      <c r="D5837" s="57" t="n"/>
      <c r="E5837" s="57" t="n"/>
    </row>
    <row r="5838" ht="30" customHeight="1">
      <c r="A5838" s="47" t="inlineStr">
        <is>
          <t>Màn hình / chức năng</t>
        </is>
      </c>
      <c r="B5838" s="47" t="inlineStr">
        <is>
          <t>Xét theo ưu tiên</t>
        </is>
      </c>
      <c r="C5838" s="57" t="n"/>
      <c r="D5838" s="47" t="inlineStr">
        <is>
          <t>Đường dẫn</t>
        </is>
      </c>
      <c r="E5838" s="56" t="inlineStr">
        <is>
          <t>Chưa xác minh</t>
        </is>
      </c>
    </row>
    <row r="5839" ht="30" customHeight="1">
      <c r="A5839" s="58" t="inlineStr">
        <is>
          <t>Điều kiện kiểm thử</t>
        </is>
      </c>
      <c r="B5839" s="59" t="n"/>
      <c r="C5839" s="59" t="n"/>
      <c r="D5839" s="59" t="n"/>
      <c r="E5839" s="59" t="n"/>
    </row>
    <row r="5840" ht="146" customHeight="1">
      <c r="A5840" s="47" t="inlineStr">
        <is>
          <t>Cấu hình</t>
        </is>
      </c>
      <c r="B5840" s="56" t="inlineStr">
        <is>
          <t>• Hai cấu hình thử: (A) ưu tiên 1 = quy tắc công thức 100 ÷ trung bình (100 ÷ A, Toàn bộ) với nguồn nhóm có trung bình 0 ([A=0]);
• Ưu tiên 2 = quy tắc “Cố định 30” (dưới 30). (B) ưu tiên 1 = quy tắc có điều kiện [A≥60] với nguồn nguồn chưa có kết quả tổng hợp (không có tổng hợp);
• Ưu tiên 2 = quy tắc “Cố định 30” (dưới 30). (C) ưu tiên 1 = quy tắc có bộ lọc Môn（教科・科目）= Ngữ văn và điều kiện [A≥60] (nguồn nguồn chưa có kết quả tổng hợp);
• Ưu tiên 2 = quy tắc “Cố định 30” (dưới 30);
• Ô đang xét là Toán.</t>
        </is>
      </c>
      <c r="C5840" s="57" t="n"/>
      <c r="D5840" s="57" t="n"/>
      <c r="E5840" s="57" t="n"/>
    </row>
    <row r="5841" ht="61" customHeight="1">
      <c r="A5841" s="47" t="inlineStr">
        <is>
          <t>Vai trò / quyền</t>
        </is>
      </c>
      <c r="B584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841" s="57" t="n"/>
      <c r="D5841" s="57" t="n"/>
      <c r="E5841" s="57" t="n"/>
    </row>
    <row r="5842" ht="44" customHeight="1">
      <c r="A5842" s="47" t="inlineStr">
        <is>
          <t>Dữ liệu test</t>
        </is>
      </c>
      <c r="B5842" s="56" t="inlineStr">
        <is>
          <t>• Quy tắc công thức 100 ÷ trung bình, quy tắc “Cố định 30” (dưới 30), nhóm có trung bình 0, nguồn chưa có kết quả tổng hợp, học sinh S01 (điểm 29)</t>
        </is>
      </c>
      <c r="C5842" s="57" t="n"/>
      <c r="D5842" s="57" t="n"/>
      <c r="E5842" s="57" t="n"/>
    </row>
    <row r="5843" ht="30" customHeight="1">
      <c r="A5843" s="47" t="inlineStr">
        <is>
          <t>Trigger</t>
        </is>
      </c>
      <c r="B5843" s="56" t="inlineStr">
        <is>
          <t>• Chỉ xem/xuất không tự chạy xét.</t>
        </is>
      </c>
      <c r="C5843" s="57" t="n"/>
      <c r="D5843" s="57" t="n"/>
      <c r="E5843" s="57" t="n"/>
    </row>
    <row r="5844" ht="44" customHeight="1">
      <c r="A5844" s="47" t="inlineStr">
        <is>
          <t>Blocker</t>
        </is>
      </c>
      <c r="B5844" s="56" t="inlineStr">
        <is>
          <t>• G-PREP-UNASSESSED: Chưa có xác minh fixture, đường thực hiện và phép quan sát trên build của từng case chưa đánh giá.</t>
        </is>
      </c>
      <c r="C5844" s="57" t="n"/>
      <c r="D5844" s="57" t="n"/>
      <c r="E5844" s="57" t="n"/>
    </row>
    <row r="5845" ht="30" customHeight="1">
      <c r="A5845" s="58" t="inlineStr">
        <is>
          <t>Thao tác</t>
        </is>
      </c>
      <c r="B5845" s="59" t="n"/>
      <c r="C5845" s="59" t="n"/>
      <c r="D5845" s="59" t="n"/>
      <c r="E5845" s="59" t="n"/>
    </row>
    <row r="5846" ht="30" customHeight="1">
      <c r="A5846" s="47" t="inlineStr">
        <is>
          <t>•</t>
        </is>
      </c>
      <c r="B5846" s="56" t="inlineStr">
        <is>
          <t>Với từng cấu hình (A), (B), (C): đăng ký S01=29, xem kết quả.</t>
        </is>
      </c>
      <c r="C5846" s="57" t="n"/>
      <c r="D5846" s="57" t="n"/>
      <c r="E5846" s="57" t="n"/>
    </row>
    <row r="5847" ht="44" customHeight="1">
      <c r="A5847" s="47" t="inlineStr">
        <is>
          <t>Reset</t>
        </is>
      </c>
      <c r="B5847" s="56" t="inlineStr">
        <is>
          <t>Trước mỗi biến thể, dựng lại điều kiện/dữ liệu đầu của case bằng đường được phép; giữ các reset/fixture độc lập đã nêu trong thủ tục.</t>
        </is>
      </c>
      <c r="C5847" s="57" t="n"/>
      <c r="D5847" s="57" t="n"/>
      <c r="E5847" s="57" t="n"/>
    </row>
    <row r="5848" ht="30" customHeight="1">
      <c r="A5848" s="58" t="inlineStr">
        <is>
          <t>Kết quả mong đợi</t>
        </is>
      </c>
      <c r="B5848" s="59" t="n"/>
      <c r="C5848" s="59" t="n"/>
      <c r="D5848" s="59" t="n"/>
      <c r="E5848" s="59" t="n"/>
    </row>
    <row r="5849" ht="30" customHeight="1">
      <c r="A5849" s="47" t="inlineStr">
        <is>
          <t>•</t>
        </is>
      </c>
      <c r="B5849" s="56" t="inlineStr">
        <is>
          <t>(A) Quy tắc 1 được chọn, chia 0 → Chưa xét được; không dùng ưu tiên 2.</t>
        </is>
      </c>
      <c r="C5849" s="57" t="n"/>
      <c r="D5849" s="57" t="n"/>
      <c r="E5849" s="57" t="n"/>
    </row>
    <row r="5850" ht="44" customHeight="1">
      <c r="A5850" s="47" t="inlineStr">
        <is>
          <t>•</t>
        </is>
      </c>
      <c r="B5850" s="56" t="inlineStr">
        <is>
          <t>(B) Không xác định được điều kiện trung bình → Chưa xét được; không coi thiếu dữ liệu là "không khớp" để xuống ưu tiên 2.</t>
        </is>
      </c>
      <c r="C5850" s="57" t="n"/>
      <c r="D5850" s="57" t="n"/>
      <c r="E5850" s="57" t="n"/>
    </row>
    <row r="5851" ht="44" customHeight="1">
      <c r="A5851" s="47" t="inlineStr">
        <is>
          <t>•</t>
        </is>
      </c>
      <c r="B5851" s="56" t="inlineStr">
        <is>
          <t>(C) Bộ lọc môn đã đủ chứng minh quy tắc 1 không áp dụng → được bỏ qua mà không cần nguồn; ưu tiên 2 áp dụng → Đỏ.</t>
        </is>
      </c>
      <c r="C5851" s="57" t="n"/>
      <c r="D5851" s="57" t="n"/>
      <c r="E5851" s="57" t="n"/>
    </row>
    <row r="5852" ht="44" customHeight="1">
      <c r="A5852" s="47" t="inlineStr">
        <is>
          <t>Giữ nguyên</t>
        </is>
      </c>
      <c r="B5852" s="56" t="inlineStr">
        <is>
          <t>• Giữ điểm, cấu hình và đối tượng không đích theo expected;
• Chỉ thay phần thủ tục yêu cầu, không tự đổi oracle hoặc mở rộng phạm vi.</t>
        </is>
      </c>
      <c r="C5852" s="57" t="n"/>
      <c r="D5852" s="57" t="n"/>
      <c r="E5852" s="57" t="n"/>
    </row>
    <row r="5853" ht="61" customHeight="1">
      <c r="A5853" s="47" t="inlineStr">
        <is>
          <t>Quan sát tại</t>
        </is>
      </c>
      <c r="B5853" s="56" t="inlineStr">
        <is>
          <t>• Dùng trích xuất không lọc để thấy cả ô đối chứng. Trạng thái không có dấu đỏ cần đọc thêm trạng thái lưu;
• Output Excel/PDF dùng file thật.</t>
        </is>
      </c>
      <c r="C5853" s="57" t="n"/>
      <c r="D5853" s="57" t="n"/>
      <c r="E5853" s="57" t="n"/>
    </row>
    <row r="5854" ht="30" customHeight="1">
      <c r="A5854" s="58" t="inlineStr">
        <is>
          <t>Kết quả thực tế</t>
        </is>
      </c>
      <c r="B5854" s="59" t="n"/>
      <c r="C5854" s="59" t="n"/>
      <c r="D5854" s="59" t="n"/>
      <c r="E5854" s="59" t="n"/>
    </row>
    <row r="5855" ht="30" customHeight="1">
      <c r="A5855" s="60" t="inlineStr">
        <is>
          <t>TC-RS-BR-003 / divide-zero</t>
        </is>
      </c>
      <c r="B5855" s="36" t="n"/>
      <c r="C5855" s="36" t="n"/>
      <c r="D5855" s="36" t="n"/>
      <c r="E5855" s="36" t="n"/>
    </row>
    <row r="5856" ht="30" customHeight="1">
      <c r="A5856" s="47" t="inlineStr">
        <is>
          <t>Dữ liệu biến thể</t>
        </is>
      </c>
      <c r="B5856" s="56" t="inlineStr">
        <is>
          <t>Fixture A chia 0</t>
        </is>
      </c>
      <c r="C5856" s="57" t="n"/>
      <c r="D5856" s="57" t="n"/>
      <c r="E5856" s="57" t="n"/>
    </row>
    <row r="5857" ht="30" customHeight="1">
      <c r="A5857" s="47" t="inlineStr">
        <is>
          <t>Trạng thái</t>
        </is>
      </c>
      <c r="B5857" s="61" t="inlineStr">
        <is>
          <t>Chưa thực hiện</t>
        </is>
      </c>
      <c r="C5857" s="57" t="n"/>
      <c r="D5857" s="57" t="n"/>
      <c r="E5857" s="57" t="n"/>
    </row>
    <row r="5858" ht="30" customHeight="1">
      <c r="A5858" s="62" t="inlineStr">
        <is>
          <t>Kết quả thực tế</t>
        </is>
      </c>
    </row>
    <row r="5859" ht="64" customHeight="1">
      <c r="A5859" s="63" t="inlineStr"/>
      <c r="B5859" s="64" t="n"/>
      <c r="C5859" s="64" t="n"/>
      <c r="D5859" s="64" t="n"/>
      <c r="E5859" s="65" t="n"/>
    </row>
    <row r="5860" ht="30" customHeight="1">
      <c r="A5860" s="62" t="inlineStr">
        <is>
          <t>Ảnh minh chứng</t>
        </is>
      </c>
    </row>
    <row r="5861" ht="90" customHeight="1">
      <c r="A5861" s="63" t="inlineStr"/>
      <c r="B5861" s="64" t="n"/>
      <c r="C5861" s="64" t="n"/>
      <c r="D5861" s="64" t="n"/>
      <c r="E5861" s="65" t="n"/>
    </row>
    <row r="5862" ht="12" customHeight="1">
      <c r="A5862" s="66" t="inlineStr"/>
    </row>
    <row r="5863" ht="30" customHeight="1">
      <c r="A5863" s="60" t="inlineStr">
        <is>
          <t>TC-RS-BR-003 / missing-average</t>
        </is>
      </c>
      <c r="B5863" s="36" t="n"/>
      <c r="C5863" s="36" t="n"/>
      <c r="D5863" s="36" t="n"/>
      <c r="E5863" s="36" t="n"/>
    </row>
    <row r="5864" ht="30" customHeight="1">
      <c r="A5864" s="47" t="inlineStr">
        <is>
          <t>Dữ liệu biến thể</t>
        </is>
      </c>
      <c r="B5864" s="56" t="inlineStr">
        <is>
          <t>Fixture B thiếu trung bình</t>
        </is>
      </c>
      <c r="C5864" s="57" t="n"/>
      <c r="D5864" s="57" t="n"/>
      <c r="E5864" s="57" t="n"/>
    </row>
    <row r="5865" ht="30" customHeight="1">
      <c r="A5865" s="47" t="inlineStr">
        <is>
          <t>Trạng thái</t>
        </is>
      </c>
      <c r="B5865" s="61" t="inlineStr">
        <is>
          <t>Chưa thực hiện</t>
        </is>
      </c>
      <c r="C5865" s="57" t="n"/>
      <c r="D5865" s="57" t="n"/>
      <c r="E5865" s="57" t="n"/>
    </row>
    <row r="5866" ht="30" customHeight="1">
      <c r="A5866" s="62" t="inlineStr">
        <is>
          <t>Kết quả thực tế</t>
        </is>
      </c>
    </row>
    <row r="5867" ht="64" customHeight="1">
      <c r="A5867" s="63" t="inlineStr"/>
      <c r="B5867" s="64" t="n"/>
      <c r="C5867" s="64" t="n"/>
      <c r="D5867" s="64" t="n"/>
      <c r="E5867" s="65" t="n"/>
    </row>
    <row r="5868" ht="30" customHeight="1">
      <c r="A5868" s="62" t="inlineStr">
        <is>
          <t>Ảnh minh chứng</t>
        </is>
      </c>
    </row>
    <row r="5869" ht="90" customHeight="1">
      <c r="A5869" s="63" t="inlineStr"/>
      <c r="B5869" s="64" t="n"/>
      <c r="C5869" s="64" t="n"/>
      <c r="D5869" s="64" t="n"/>
      <c r="E5869" s="65" t="n"/>
    </row>
    <row r="5870" ht="12" customHeight="1">
      <c r="A5870" s="66" t="inlineStr"/>
    </row>
    <row r="5871" ht="30" customHeight="1">
      <c r="A5871" s="60" t="inlineStr">
        <is>
          <t>TC-RS-BR-003 / filter-miss</t>
        </is>
      </c>
      <c r="B5871" s="36" t="n"/>
      <c r="C5871" s="36" t="n"/>
      <c r="D5871" s="36" t="n"/>
      <c r="E5871" s="36" t="n"/>
    </row>
    <row r="5872" ht="30" customHeight="1">
      <c r="A5872" s="47" t="inlineStr">
        <is>
          <t>Dữ liệu biến thể</t>
        </is>
      </c>
      <c r="B5872" s="56" t="inlineStr">
        <is>
          <t>Fixture C không khớp lọc</t>
        </is>
      </c>
      <c r="C5872" s="57" t="n"/>
      <c r="D5872" s="57" t="n"/>
      <c r="E5872" s="57" t="n"/>
    </row>
    <row r="5873" ht="30" customHeight="1">
      <c r="A5873" s="47" t="inlineStr">
        <is>
          <t>Trạng thái</t>
        </is>
      </c>
      <c r="B5873" s="61" t="inlineStr">
        <is>
          <t>Chưa thực hiện</t>
        </is>
      </c>
      <c r="C5873" s="57" t="n"/>
      <c r="D5873" s="57" t="n"/>
      <c r="E5873" s="57" t="n"/>
    </row>
    <row r="5874" ht="30" customHeight="1">
      <c r="A5874" s="62" t="inlineStr">
        <is>
          <t>Kết quả thực tế</t>
        </is>
      </c>
    </row>
    <row r="5875" ht="64" customHeight="1">
      <c r="A5875" s="63" t="inlineStr"/>
      <c r="B5875" s="64" t="n"/>
      <c r="C5875" s="64" t="n"/>
      <c r="D5875" s="64" t="n"/>
      <c r="E5875" s="65" t="n"/>
    </row>
    <row r="5876" ht="30" customHeight="1">
      <c r="A5876" s="62" t="inlineStr">
        <is>
          <t>Ảnh minh chứng</t>
        </is>
      </c>
    </row>
    <row r="5877" ht="90" customHeight="1">
      <c r="A5877" s="63" t="inlineStr"/>
      <c r="B5877" s="64" t="n"/>
      <c r="C5877" s="64" t="n"/>
      <c r="D5877" s="64" t="n"/>
      <c r="E5877" s="65" t="n"/>
    </row>
    <row r="5878" ht="12" customHeight="1">
      <c r="A5878" s="66" t="inlineStr"/>
    </row>
    <row r="5879" ht="20" customHeight="1">
      <c r="A5879" s="66" t="inlineStr"/>
    </row>
    <row r="5880" ht="30" customHeight="1">
      <c r="A5880" s="46" t="inlineStr">
        <is>
          <t>TC-RS-BR-036 — Cùng lượt đăng ký: ô thiếu nguồn chưa xét được, ô ngưỡng cố định vẫn được xét</t>
        </is>
      </c>
      <c r="B5880" s="23" t="n"/>
      <c r="C5880" s="23" t="n"/>
      <c r="D5880" s="23" t="n"/>
      <c r="E5880" s="23" t="n"/>
    </row>
    <row r="5881" ht="30" customHeight="1">
      <c r="A5881" s="47" t="inlineStr">
        <is>
          <t>Trạng thái</t>
        </is>
      </c>
      <c r="B5881" s="61" t="inlineStr">
        <is>
          <t>Chưa thực hiện</t>
        </is>
      </c>
      <c r="C5881" s="57" t="n"/>
      <c r="D5881" s="57" t="n"/>
      <c r="E5881" s="57" t="n"/>
    </row>
    <row r="5882" ht="30" customHeight="1">
      <c r="A5882" s="47" t="inlineStr">
        <is>
          <t>Màn hình / chức năng</t>
        </is>
      </c>
      <c r="B5882" s="47" t="inlineStr">
        <is>
          <t>Xét theo ưu tiên</t>
        </is>
      </c>
      <c r="C5882" s="57" t="n"/>
      <c r="D5882" s="47" t="inlineStr">
        <is>
          <t>Đường dẫn</t>
        </is>
      </c>
      <c r="E5882" s="56" t="inlineStr">
        <is>
          <t>Chưa xác minh</t>
        </is>
      </c>
    </row>
    <row r="5883" ht="30" customHeight="1">
      <c r="A5883" s="58" t="inlineStr">
        <is>
          <t>Điều kiện kiểm thử</t>
        </is>
      </c>
      <c r="B5883" s="59" t="n"/>
      <c r="C5883" s="59" t="n"/>
      <c r="D5883" s="59" t="n"/>
      <c r="E5883" s="59" t="n"/>
    </row>
    <row r="5884" ht="61" customHeight="1">
      <c r="A5884" s="47" t="inlineStr">
        <is>
          <t>Cấu hình</t>
        </is>
      </c>
      <c r="B5884" s="56" t="inlineStr">
        <is>
          <t>• Trên mục số nguyên (M=100): ưu tiên 1 = quy tắc công thức hai dòng (trung bình ÷ 2 × 0.8) (dùng trung bình, nguồn nguồn chưa có kết quả tổng hợp), ưu tiên 2 = quy tắc “Cố định 30” (dưới 30). Trên mục số thập phân (M=100): chỉ quy tắc “Cố định 30” (dưới 30). Lớp G-A có S01.</t>
        </is>
      </c>
      <c r="C5884" s="57" t="n"/>
      <c r="D5884" s="57" t="n"/>
      <c r="E5884" s="57" t="n"/>
    </row>
    <row r="5885" ht="61" customHeight="1">
      <c r="A5885" s="47" t="inlineStr">
        <is>
          <t>Vai trò / quyền</t>
        </is>
      </c>
      <c r="B588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885" s="57" t="n"/>
      <c r="D5885" s="57" t="n"/>
      <c r="E5885" s="57" t="n"/>
    </row>
    <row r="5886" ht="146" customHeight="1">
      <c r="A5886" s="47" t="inlineStr">
        <is>
          <t>Dữ liệu test</t>
        </is>
      </c>
      <c r="B5886" s="56" t="inlineStr">
        <is>
          <t>• Mục số nguyên (M=100);
• Mục số thập phân (M=100);
• Quy tắc công thức hai dòng (trung bình ÷ 2 × 0.8);
• Quy tắc “Cố định 30” (dưới 30);
• Nguồn chưa có kết quả tổng hợp;
• Các lớp học phần G-A, G-B, G-C;
• Học sinh S01 (điểm 29);
• S01 mục số thập phân (M=100) = 29.5</t>
        </is>
      </c>
      <c r="C5886" s="57" t="n"/>
      <c r="D5886" s="57" t="n"/>
      <c r="E5886" s="57" t="n"/>
    </row>
    <row r="5887" ht="30" customHeight="1">
      <c r="A5887" s="47" t="inlineStr">
        <is>
          <t>Trigger</t>
        </is>
      </c>
      <c r="B5887" s="56" t="inlineStr">
        <is>
          <t>• Chỉ xem/xuất không tự chạy xét.</t>
        </is>
      </c>
      <c r="C5887" s="57" t="n"/>
      <c r="D5887" s="57" t="n"/>
      <c r="E5887" s="57" t="n"/>
    </row>
    <row r="5888" ht="44" customHeight="1">
      <c r="A5888" s="47" t="inlineStr">
        <is>
          <t>Blocker</t>
        </is>
      </c>
      <c r="B5888" s="56" t="inlineStr">
        <is>
          <t>• G-PREP-UNASSESSED: Chưa có xác minh fixture, đường thực hiện và phép quan sát trên build của từng case chưa đánh giá.</t>
        </is>
      </c>
      <c r="C5888" s="57" t="n"/>
      <c r="D5888" s="57" t="n"/>
      <c r="E5888" s="57" t="n"/>
    </row>
    <row r="5889" ht="30" customHeight="1">
      <c r="A5889" s="58" t="inlineStr">
        <is>
          <t>Thao tác</t>
        </is>
      </c>
      <c r="B5889" s="59" t="n"/>
      <c r="C5889" s="59" t="n"/>
      <c r="D5889" s="59" t="n"/>
      <c r="E5889" s="59" t="n"/>
    </row>
    <row r="5890" ht="44" customHeight="1">
      <c r="A5890" s="47" t="inlineStr">
        <is>
          <t>Step 1</t>
        </is>
      </c>
      <c r="B5890" s="56" t="inlineStr">
        <is>
          <t>Trong cùng một lượt đăng ký điểm của lớp G-A, lưu S01: mục số nguyên (M=100) = 29, mục số thập phân (M=100) = 29.5.</t>
        </is>
      </c>
      <c r="C5890" s="57" t="n"/>
      <c r="D5890" s="57" t="n"/>
      <c r="E5890" s="57" t="n"/>
    </row>
    <row r="5891" ht="30" customHeight="1">
      <c r="A5891" s="47" t="inlineStr">
        <is>
          <t>Step 2</t>
        </is>
      </c>
      <c r="B5891" s="56" t="inlineStr">
        <is>
          <t>Xem kết quả hai ô và thông báo.</t>
        </is>
      </c>
      <c r="C5891" s="57" t="n"/>
      <c r="D5891" s="57" t="n"/>
      <c r="E5891" s="57" t="n"/>
    </row>
    <row r="5892" ht="44" customHeight="1">
      <c r="A5892" s="47" t="inlineStr">
        <is>
          <t>Reset</t>
        </is>
      </c>
      <c r="B5892" s="56" t="inlineStr">
        <is>
          <t>Trước mỗi biến thể, dựng lại điều kiện/dữ liệu đầu của case bằng đường được phép; giữ các reset/fixture độc lập đã nêu trong thủ tục.</t>
        </is>
      </c>
      <c r="C5892" s="57" t="n"/>
      <c r="D5892" s="57" t="n"/>
      <c r="E5892" s="57" t="n"/>
    </row>
    <row r="5893" ht="30" customHeight="1">
      <c r="A5893" s="58" t="inlineStr">
        <is>
          <t>Kết quả mong đợi</t>
        </is>
      </c>
      <c r="B5893" s="59" t="n"/>
      <c r="C5893" s="59" t="n"/>
      <c r="D5893" s="59" t="n"/>
      <c r="E5893" s="59" t="n"/>
    </row>
    <row r="5894" ht="30" customHeight="1">
      <c r="A5894" s="47" t="inlineStr">
        <is>
          <t>1.</t>
        </is>
      </c>
      <c r="B5894" s="56" t="inlineStr">
        <is>
          <t>Lượt lưu không dừng hay báo lỗi chung vì ô mục số nguyên (M=100) thiếu nguồn.</t>
        </is>
      </c>
      <c r="C5894" s="57" t="n"/>
      <c r="D5894" s="57" t="n"/>
      <c r="E5894" s="57" t="n"/>
    </row>
    <row r="5895" ht="44" customHeight="1">
      <c r="A5895" s="47" t="inlineStr">
        <is>
          <t>2.</t>
        </is>
      </c>
      <c r="B5895" s="56" t="inlineStr">
        <is>
          <t>Ô mục số nguyên (M=100): Chưa xét được; không dùng ưu tiên 2 (quy tắc “Cố định 30” (dưới 30)) thay thế, nên không Đỏ.</t>
        </is>
      </c>
      <c r="C5895" s="57" t="n"/>
      <c r="D5895" s="57" t="n"/>
      <c r="E5895" s="57" t="n"/>
    </row>
    <row r="5896" ht="30" customHeight="1">
      <c r="A5896" s="47" t="inlineStr">
        <is>
          <t>3.</t>
        </is>
      </c>
      <c r="B5896" s="56" t="inlineStr">
        <is>
          <t>Ô mục số thập phân (M=100): Đỏ (29.5 [&lt;30]).</t>
        </is>
      </c>
      <c r="C5896" s="57" t="n"/>
      <c r="D5896" s="57" t="n"/>
      <c r="E5896" s="57" t="n"/>
    </row>
    <row r="5897" ht="44" customHeight="1">
      <c r="A5897" s="47" t="inlineStr">
        <is>
          <t>Giữ nguyên</t>
        </is>
      </c>
      <c r="B5897" s="56" t="inlineStr">
        <is>
          <t>• Giữ điểm, cấu hình và đối tượng không đích theo expected;
• Chỉ thay phần thủ tục yêu cầu, không tự đổi oracle hoặc mở rộng phạm vi.</t>
        </is>
      </c>
      <c r="C5897" s="57" t="n"/>
      <c r="D5897" s="57" t="n"/>
      <c r="E5897" s="57" t="n"/>
    </row>
    <row r="5898" ht="61" customHeight="1">
      <c r="A5898" s="47" t="inlineStr">
        <is>
          <t>Quan sát tại</t>
        </is>
      </c>
      <c r="B5898" s="56" t="inlineStr">
        <is>
          <t>• Dùng trích xuất không lọc để thấy cả ô đối chứng. Trạng thái không có dấu đỏ cần đọc thêm trạng thái lưu;
• Output Excel/PDF dùng file thật.</t>
        </is>
      </c>
      <c r="C5898" s="57" t="n"/>
      <c r="D5898" s="57" t="n"/>
      <c r="E5898" s="57" t="n"/>
    </row>
    <row r="5899" ht="30" customHeight="1">
      <c r="A5899" s="58" t="inlineStr">
        <is>
          <t>Kết quả thực tế</t>
        </is>
      </c>
      <c r="B5899" s="59" t="n"/>
      <c r="C5899" s="59" t="n"/>
      <c r="D5899" s="59" t="n"/>
      <c r="E5899" s="59" t="n"/>
    </row>
    <row r="5900" ht="30" customHeight="1">
      <c r="A5900" s="47" t="inlineStr">
        <is>
          <t>Dữ liệu biến thể</t>
        </is>
      </c>
      <c r="B5900" s="56" t="inlineStr">
        <is>
          <t>Toàn bộ thủ tục theo đúng thứ tự; các đối chứng cùng fixture được kiểm trong cùng lượt, không bỏ bước</t>
        </is>
      </c>
      <c r="C5900" s="57" t="n"/>
      <c r="D5900" s="57" t="n"/>
      <c r="E5900" s="57" t="n"/>
    </row>
    <row r="5901" ht="30" customHeight="1">
      <c r="A5901" s="62" t="inlineStr">
        <is>
          <t>Kết quả thực tế</t>
        </is>
      </c>
    </row>
    <row r="5902" ht="64" customHeight="1">
      <c r="A5902" s="63" t="inlineStr"/>
      <c r="B5902" s="64" t="n"/>
      <c r="C5902" s="64" t="n"/>
      <c r="D5902" s="64" t="n"/>
      <c r="E5902" s="65" t="n"/>
    </row>
    <row r="5903" ht="30" customHeight="1">
      <c r="A5903" s="62" t="inlineStr">
        <is>
          <t>Ảnh minh chứng</t>
        </is>
      </c>
    </row>
    <row r="5904" ht="90" customHeight="1">
      <c r="A5904" s="63" t="inlineStr"/>
      <c r="B5904" s="64" t="n"/>
      <c r="C5904" s="64" t="n"/>
      <c r="D5904" s="64" t="n"/>
      <c r="E5904" s="65" t="n"/>
    </row>
    <row r="5905" ht="12" customHeight="1">
      <c r="A5905" s="66" t="inlineStr"/>
    </row>
    <row r="5906" ht="20" customHeight="1">
      <c r="A5906" s="66" t="inlineStr"/>
    </row>
    <row r="5907" ht="30" customHeight="1">
      <c r="A5907" s="46" t="inlineStr">
        <is>
          <t>TC-RS-CALC-022 — Phân nhánh theo trung bình: A = 40 / 50 / 49.99 (dùng A trước làm tròn)</t>
        </is>
      </c>
      <c r="B5907" s="23" t="n"/>
      <c r="C5907" s="23" t="n"/>
      <c r="D5907" s="23" t="n"/>
      <c r="E5907" s="23" t="n"/>
    </row>
    <row r="5908" ht="30" customHeight="1">
      <c r="A5908" s="47" t="inlineStr">
        <is>
          <t>Trạng thái</t>
        </is>
      </c>
      <c r="B5908" s="56">
        <f>IF(0&gt;0,"Không đạt",IF(0=4,"Đạt",IF(SUMPRODUCT(--EXACT('Testcases'!B5930:B5954,"Không thực hiện"))=4,"Không thực hiện",IF(SUMPRODUCT(--EXACT('Testcases'!B5930:B5954,"Bị chặn"))&gt;0,"Bị chặn",IF(SUMPRODUCT(--EXACT('Testcases'!B5930:B5954,"Chưa thực hiện"))=4,"Chưa thực hiện","Chưa đủ kết luận")))))</f>
        <v/>
      </c>
      <c r="C5908" s="57" t="n"/>
      <c r="D5908" s="57" t="n"/>
      <c r="E5908" s="57" t="n"/>
    </row>
    <row r="5909" ht="30" customHeight="1">
      <c r="A5909" s="47" t="inlineStr">
        <is>
          <t>Màn hình / chức năng</t>
        </is>
      </c>
      <c r="B5909" s="47" t="inlineStr">
        <is>
          <t>Xét theo ưu tiên</t>
        </is>
      </c>
      <c r="C5909" s="57" t="n"/>
      <c r="D5909" s="47" t="inlineStr">
        <is>
          <t>Đường dẫn</t>
        </is>
      </c>
      <c r="E5909" s="56" t="inlineStr">
        <is>
          <t>Chưa xác minh</t>
        </is>
      </c>
    </row>
    <row r="5910" ht="30" customHeight="1">
      <c r="A5910" s="58" t="inlineStr">
        <is>
          <t>Điều kiện kiểm thử</t>
        </is>
      </c>
      <c r="B5910" s="59" t="n"/>
      <c r="C5910" s="59" t="n"/>
      <c r="D5910" s="59" t="n"/>
      <c r="E5910" s="59" t="n"/>
    </row>
    <row r="5911" ht="30" customHeight="1">
      <c r="A5911" s="47" t="inlineStr">
        <is>
          <t>Cấu hình</t>
        </is>
      </c>
      <c r="B5911" s="56" t="inlineStr">
        <is>
          <t>• Ưu tiên 1: [A≥50] → cố định 30 [&lt;]. Ưu tiên 2: [A&lt;50] → [A×0.5] [&lt;]. mục số thập phân (M=100).</t>
        </is>
      </c>
      <c r="C5911" s="57" t="n"/>
      <c r="D5911" s="57" t="n"/>
      <c r="E5911" s="57" t="n"/>
    </row>
    <row r="5912" ht="61" customHeight="1">
      <c r="A5912" s="47" t="inlineStr">
        <is>
          <t>Vai trò / quyền</t>
        </is>
      </c>
      <c r="B591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912" s="57" t="n"/>
      <c r="D5912" s="57" t="n"/>
      <c r="E5912" s="57" t="n"/>
    </row>
    <row r="5913" ht="61" customHeight="1">
      <c r="A5913" s="47" t="inlineStr">
        <is>
          <t>Dữ liệu test</t>
        </is>
      </c>
      <c r="B5913" s="56" t="inlineStr">
        <is>
          <t>• Mục số thập phân (M=100);
• Nguồn [A=40], [A=50], [A=49.99] (bản tổng hợp đã chốt (trung bình 49.99), màn tổng hợp hiện 50.0);
• S = 19, 20, 24.99, 25, 29, 30</t>
        </is>
      </c>
      <c r="C5913" s="57" t="n"/>
      <c r="D5913" s="57" t="n"/>
      <c r="E5913" s="57" t="n"/>
    </row>
    <row r="5914" ht="30" customHeight="1">
      <c r="A5914" s="47" t="inlineStr">
        <is>
          <t>Trigger</t>
        </is>
      </c>
      <c r="B5914" s="56" t="inlineStr">
        <is>
          <t>• Chỉ xem/xuất không tự chạy xét.</t>
        </is>
      </c>
      <c r="C5914" s="57" t="n"/>
      <c r="D5914" s="57" t="n"/>
      <c r="E5914" s="57" t="n"/>
    </row>
    <row r="5915" ht="44" customHeight="1">
      <c r="A5915" s="47" t="inlineStr">
        <is>
          <t>Blocker</t>
        </is>
      </c>
      <c r="B5915" s="56" t="inlineStr">
        <is>
          <t>• G-PREP-UNASSESSED: Chưa có xác minh fixture, đường thực hiện và phép quan sát trên build của từng case chưa đánh giá.</t>
        </is>
      </c>
      <c r="C5915" s="57" t="n"/>
      <c r="D5915" s="57" t="n"/>
      <c r="E5915" s="57" t="n"/>
    </row>
    <row r="5916" ht="30" customHeight="1">
      <c r="A5916" s="58" t="inlineStr">
        <is>
          <t>Thao tác</t>
        </is>
      </c>
      <c r="B5916" s="59" t="n"/>
      <c r="C5916" s="59" t="n"/>
      <c r="D5916" s="59" t="n"/>
      <c r="E5916" s="59" t="n"/>
    </row>
    <row r="5917" ht="30" customHeight="1">
      <c r="A5917" s="47" t="inlineStr">
        <is>
          <t>Step 1</t>
        </is>
      </c>
      <c r="B5917" s="56" t="inlineStr">
        <is>
          <t>Với từng nguồn, chạy nút cam, xem kết quả.</t>
        </is>
      </c>
      <c r="C5917" s="57" t="n"/>
      <c r="D5917" s="57" t="n"/>
      <c r="E5917" s="57" t="n"/>
    </row>
    <row r="5918" ht="30" customHeight="1">
      <c r="A5918" s="47" t="inlineStr">
        <is>
          <t>Step 2</t>
        </is>
      </c>
      <c r="B5918" s="56" t="inlineStr">
        <is>
          <t>Với [A=49.99]: bật gần nhất p1 cho dòng [A×0.5], chạy lại.</t>
        </is>
      </c>
      <c r="C5918" s="57" t="n"/>
      <c r="D5918" s="57" t="n"/>
      <c r="E5918" s="57" t="n"/>
    </row>
    <row r="5919" ht="44" customHeight="1">
      <c r="A5919" s="47" t="inlineStr">
        <is>
          <t>Reset</t>
        </is>
      </c>
      <c r="B5919" s="56" t="inlineStr">
        <is>
          <t>Trước mỗi biến thể, dựng lại điều kiện/dữ liệu đầu của case bằng đường được phép; giữ các reset/fixture độc lập đã nêu trong thủ tục.</t>
        </is>
      </c>
      <c r="C5919" s="57" t="n"/>
      <c r="D5919" s="57" t="n"/>
      <c r="E5919" s="57" t="n"/>
    </row>
    <row r="5920" ht="30" customHeight="1">
      <c r="A5920" s="58" t="inlineStr">
        <is>
          <t>Kết quả mong đợi</t>
        </is>
      </c>
      <c r="B5920" s="59" t="n"/>
      <c r="C5920" s="59" t="n"/>
      <c r="D5920" s="59" t="n"/>
      <c r="E5920" s="59" t="n"/>
    </row>
    <row r="5921" ht="30" customHeight="1">
      <c r="A5921" s="47" t="inlineStr">
        <is>
          <t>•</t>
        </is>
      </c>
      <c r="B5921" s="56" t="inlineStr">
        <is>
          <t>[A=40] → ưu tiên 2, [T=20]: 19 Đỏ; 20 Không đỏ.</t>
        </is>
      </c>
      <c r="C5921" s="57" t="n"/>
      <c r="D5921" s="57" t="n"/>
      <c r="E5921" s="57" t="n"/>
    </row>
    <row r="5922" ht="30" customHeight="1">
      <c r="A5922" s="47" t="inlineStr">
        <is>
          <t>•</t>
        </is>
      </c>
      <c r="B5922" s="56" t="inlineStr">
        <is>
          <t>[A=50] → ưu tiên 1, [T=30]: 29 Đỏ; 30 Không đỏ.</t>
        </is>
      </c>
      <c r="C5922" s="57" t="n"/>
      <c r="D5922" s="57" t="n"/>
      <c r="E5922" s="57" t="n"/>
    </row>
    <row r="5923" ht="30" customHeight="1">
      <c r="A5923" s="47" t="inlineStr">
        <is>
          <t>•</t>
        </is>
      </c>
      <c r="B5923" s="56" t="inlineStr">
        <is>
          <t>[A=49.99] → ưu tiên 2, [T=24.995]: 24.99 Đỏ; 25 Không đỏ; 29 Không đỏ (nếu dùng 50 thì 29 Đỏ — sai).</t>
        </is>
      </c>
      <c r="C5923" s="57" t="n"/>
      <c r="D5923" s="57" t="n"/>
      <c r="E5923" s="57" t="n"/>
    </row>
    <row r="5924" ht="30" customHeight="1">
      <c r="A5924" s="47" t="inlineStr">
        <is>
          <t>•</t>
        </is>
      </c>
      <c r="B5924" s="56" t="inlineStr">
        <is>
          <t>Bước 2: [T=25], vẫn ưu tiên 2: 24.99 Đỏ; 29 Không đỏ.</t>
        </is>
      </c>
      <c r="C5924" s="57" t="n"/>
      <c r="D5924" s="57" t="n"/>
      <c r="E5924" s="57" t="n"/>
    </row>
    <row r="5925" ht="44" customHeight="1">
      <c r="A5925" s="47" t="inlineStr">
        <is>
          <t>Giữ nguyên</t>
        </is>
      </c>
      <c r="B5925" s="56" t="inlineStr">
        <is>
          <t>• Giữ điểm, cấu hình và đối tượng không đích theo expected;
• Chỉ thay phần thủ tục yêu cầu, không tự đổi oracle hoặc mở rộng phạm vi.</t>
        </is>
      </c>
      <c r="C5925" s="57" t="n"/>
      <c r="D5925" s="57" t="n"/>
      <c r="E5925" s="57" t="n"/>
    </row>
    <row r="5926" ht="61" customHeight="1">
      <c r="A5926" s="47" t="inlineStr">
        <is>
          <t>Quan sát tại</t>
        </is>
      </c>
      <c r="B5926" s="56" t="inlineStr">
        <is>
          <t>• Dùng trích xuất không lọc để thấy cả ô đối chứng. Trạng thái không có dấu đỏ cần đọc thêm trạng thái lưu;
• Output Excel/PDF dùng file thật.</t>
        </is>
      </c>
      <c r="C5926" s="57" t="n"/>
      <c r="D5926" s="57" t="n"/>
      <c r="E5926" s="57" t="n"/>
    </row>
    <row r="5927" ht="30" customHeight="1">
      <c r="A5927" s="58" t="inlineStr">
        <is>
          <t>Kết quả thực tế</t>
        </is>
      </c>
      <c r="B5927" s="59" t="n"/>
      <c r="C5927" s="59" t="n"/>
      <c r="D5927" s="59" t="n"/>
      <c r="E5927" s="59" t="n"/>
    </row>
    <row r="5928" ht="30" customHeight="1">
      <c r="A5928" s="60" t="inlineStr">
        <is>
          <t>TC-RS-CALC-022 / a40</t>
        </is>
      </c>
      <c r="B5928" s="36" t="n"/>
      <c r="C5928" s="36" t="n"/>
      <c r="D5928" s="36" t="n"/>
      <c r="E5928" s="36" t="n"/>
    </row>
    <row r="5929" ht="30" customHeight="1">
      <c r="A5929" s="47" t="inlineStr">
        <is>
          <t>Dữ liệu biến thể</t>
        </is>
      </c>
      <c r="B5929" s="56" t="inlineStr">
        <is>
          <t>A40</t>
        </is>
      </c>
      <c r="C5929" s="57" t="n"/>
      <c r="D5929" s="57" t="n"/>
      <c r="E5929" s="57" t="n"/>
    </row>
    <row r="5930" ht="30" customHeight="1">
      <c r="A5930" s="47" t="inlineStr">
        <is>
          <t>Trạng thái</t>
        </is>
      </c>
      <c r="B5930" s="61" t="inlineStr">
        <is>
          <t>Chưa thực hiện</t>
        </is>
      </c>
      <c r="C5930" s="57" t="n"/>
      <c r="D5930" s="57" t="n"/>
      <c r="E5930" s="57" t="n"/>
    </row>
    <row r="5931" ht="30" customHeight="1">
      <c r="A5931" s="62" t="inlineStr">
        <is>
          <t>Kết quả thực tế</t>
        </is>
      </c>
    </row>
    <row r="5932" ht="64" customHeight="1">
      <c r="A5932" s="63" t="inlineStr"/>
      <c r="B5932" s="64" t="n"/>
      <c r="C5932" s="64" t="n"/>
      <c r="D5932" s="64" t="n"/>
      <c r="E5932" s="65" t="n"/>
    </row>
    <row r="5933" ht="30" customHeight="1">
      <c r="A5933" s="62" t="inlineStr">
        <is>
          <t>Ảnh minh chứng</t>
        </is>
      </c>
    </row>
    <row r="5934" ht="90" customHeight="1">
      <c r="A5934" s="63" t="inlineStr"/>
      <c r="B5934" s="64" t="n"/>
      <c r="C5934" s="64" t="n"/>
      <c r="D5934" s="64" t="n"/>
      <c r="E5934" s="65" t="n"/>
    </row>
    <row r="5935" ht="12" customHeight="1">
      <c r="A5935" s="66" t="inlineStr"/>
    </row>
    <row r="5936" ht="30" customHeight="1">
      <c r="A5936" s="60" t="inlineStr">
        <is>
          <t>TC-RS-CALC-022 / a50</t>
        </is>
      </c>
      <c r="B5936" s="36" t="n"/>
      <c r="C5936" s="36" t="n"/>
      <c r="D5936" s="36" t="n"/>
      <c r="E5936" s="36" t="n"/>
    </row>
    <row r="5937" ht="30" customHeight="1">
      <c r="A5937" s="47" t="inlineStr">
        <is>
          <t>Dữ liệu biến thể</t>
        </is>
      </c>
      <c r="B5937" s="56" t="inlineStr">
        <is>
          <t>A50</t>
        </is>
      </c>
      <c r="C5937" s="57" t="n"/>
      <c r="D5937" s="57" t="n"/>
      <c r="E5937" s="57" t="n"/>
    </row>
    <row r="5938" ht="30" customHeight="1">
      <c r="A5938" s="47" t="inlineStr">
        <is>
          <t>Trạng thái</t>
        </is>
      </c>
      <c r="B5938" s="61" t="inlineStr">
        <is>
          <t>Chưa thực hiện</t>
        </is>
      </c>
      <c r="C5938" s="57" t="n"/>
      <c r="D5938" s="57" t="n"/>
      <c r="E5938" s="57" t="n"/>
    </row>
    <row r="5939" ht="30" customHeight="1">
      <c r="A5939" s="62" t="inlineStr">
        <is>
          <t>Kết quả thực tế</t>
        </is>
      </c>
    </row>
    <row r="5940" ht="64" customHeight="1">
      <c r="A5940" s="63" t="inlineStr"/>
      <c r="B5940" s="64" t="n"/>
      <c r="C5940" s="64" t="n"/>
      <c r="D5940" s="64" t="n"/>
      <c r="E5940" s="65" t="n"/>
    </row>
    <row r="5941" ht="30" customHeight="1">
      <c r="A5941" s="62" t="inlineStr">
        <is>
          <t>Ảnh minh chứng</t>
        </is>
      </c>
    </row>
    <row r="5942" ht="90" customHeight="1">
      <c r="A5942" s="63" t="inlineStr"/>
      <c r="B5942" s="64" t="n"/>
      <c r="C5942" s="64" t="n"/>
      <c r="D5942" s="64" t="n"/>
      <c r="E5942" s="65" t="n"/>
    </row>
    <row r="5943" ht="12" customHeight="1">
      <c r="A5943" s="66" t="inlineStr"/>
    </row>
    <row r="5944" ht="30" customHeight="1">
      <c r="A5944" s="60" t="inlineStr">
        <is>
          <t>TC-RS-CALC-022 / a4999-none</t>
        </is>
      </c>
      <c r="B5944" s="36" t="n"/>
      <c r="C5944" s="36" t="n"/>
      <c r="D5944" s="36" t="n"/>
      <c r="E5944" s="36" t="n"/>
    </row>
    <row r="5945" ht="30" customHeight="1">
      <c r="A5945" s="47" t="inlineStr">
        <is>
          <t>Dữ liệu biến thể</t>
        </is>
      </c>
      <c r="B5945" s="56" t="inlineStr">
        <is>
          <t>A49.99 không làm tròn</t>
        </is>
      </c>
      <c r="C5945" s="57" t="n"/>
      <c r="D5945" s="57" t="n"/>
      <c r="E5945" s="57" t="n"/>
    </row>
    <row r="5946" ht="30" customHeight="1">
      <c r="A5946" s="47" t="inlineStr">
        <is>
          <t>Trạng thái</t>
        </is>
      </c>
      <c r="B5946" s="61" t="inlineStr">
        <is>
          <t>Chưa thực hiện</t>
        </is>
      </c>
      <c r="C5946" s="57" t="n"/>
      <c r="D5946" s="57" t="n"/>
      <c r="E5946" s="57" t="n"/>
    </row>
    <row r="5947" ht="30" customHeight="1">
      <c r="A5947" s="62" t="inlineStr">
        <is>
          <t>Kết quả thực tế</t>
        </is>
      </c>
    </row>
    <row r="5948" ht="64" customHeight="1">
      <c r="A5948" s="63" t="inlineStr"/>
      <c r="B5948" s="64" t="n"/>
      <c r="C5948" s="64" t="n"/>
      <c r="D5948" s="64" t="n"/>
      <c r="E5948" s="65" t="n"/>
    </row>
    <row r="5949" ht="30" customHeight="1">
      <c r="A5949" s="62" t="inlineStr">
        <is>
          <t>Ảnh minh chứng</t>
        </is>
      </c>
    </row>
    <row r="5950" ht="90" customHeight="1">
      <c r="A5950" s="63" t="inlineStr"/>
      <c r="B5950" s="64" t="n"/>
      <c r="C5950" s="64" t="n"/>
      <c r="D5950" s="64" t="n"/>
      <c r="E5950" s="65" t="n"/>
    </row>
    <row r="5951" ht="12" customHeight="1">
      <c r="A5951" s="66" t="inlineStr"/>
    </row>
    <row r="5952" ht="30" customHeight="1">
      <c r="A5952" s="60" t="inlineStr">
        <is>
          <t>TC-RS-CALC-022 / a4999-round</t>
        </is>
      </c>
      <c r="B5952" s="36" t="n"/>
      <c r="C5952" s="36" t="n"/>
      <c r="D5952" s="36" t="n"/>
      <c r="E5952" s="36" t="n"/>
    </row>
    <row r="5953" ht="30" customHeight="1">
      <c r="A5953" s="47" t="inlineStr">
        <is>
          <t>Dữ liệu biến thể</t>
        </is>
      </c>
      <c r="B5953" s="56" t="inlineStr">
        <is>
          <t>A49.99 có làm tròn</t>
        </is>
      </c>
      <c r="C5953" s="57" t="n"/>
      <c r="D5953" s="57" t="n"/>
      <c r="E5953" s="57" t="n"/>
    </row>
    <row r="5954" ht="30" customHeight="1">
      <c r="A5954" s="47" t="inlineStr">
        <is>
          <t>Trạng thái</t>
        </is>
      </c>
      <c r="B5954" s="61" t="inlineStr">
        <is>
          <t>Chưa thực hiện</t>
        </is>
      </c>
      <c r="C5954" s="57" t="n"/>
      <c r="D5954" s="57" t="n"/>
      <c r="E5954" s="57" t="n"/>
    </row>
    <row r="5955" ht="30" customHeight="1">
      <c r="A5955" s="62" t="inlineStr">
        <is>
          <t>Kết quả thực tế</t>
        </is>
      </c>
    </row>
    <row r="5956" ht="64" customHeight="1">
      <c r="A5956" s="63" t="inlineStr"/>
      <c r="B5956" s="64" t="n"/>
      <c r="C5956" s="64" t="n"/>
      <c r="D5956" s="64" t="n"/>
      <c r="E5956" s="65" t="n"/>
    </row>
    <row r="5957" ht="30" customHeight="1">
      <c r="A5957" s="62" t="inlineStr">
        <is>
          <t>Ảnh minh chứng</t>
        </is>
      </c>
    </row>
    <row r="5958" ht="90" customHeight="1">
      <c r="A5958" s="63" t="inlineStr"/>
      <c r="B5958" s="64" t="n"/>
      <c r="C5958" s="64" t="n"/>
      <c r="D5958" s="64" t="n"/>
      <c r="E5958" s="65" t="n"/>
    </row>
    <row r="5959" ht="12" customHeight="1">
      <c r="A5959" s="66" t="inlineStr"/>
    </row>
    <row r="5960" ht="20" customHeight="1">
      <c r="A5960" s="66" t="inlineStr"/>
    </row>
    <row r="5961" ht="30" customHeight="1">
      <c r="A5961" s="46" t="inlineStr">
        <is>
          <t>TC-RS-CALC-023 — Biên nhánh A=60.00 và A=59.96</t>
        </is>
      </c>
      <c r="B5961" s="23" t="n"/>
      <c r="C5961" s="23" t="n"/>
      <c r="D5961" s="23" t="n"/>
      <c r="E5961" s="23" t="n"/>
    </row>
    <row r="5962" ht="30" customHeight="1">
      <c r="A5962" s="47" t="inlineStr">
        <is>
          <t>Trạng thái</t>
        </is>
      </c>
      <c r="B5962" s="56">
        <f>IF(0&gt;0,"Không đạt",IF(0=2,"Đạt",IF(SUMPRODUCT(--EXACT('Testcases'!B5981:B5989,"Không thực hiện"))=2,"Không thực hiện",IF(SUMPRODUCT(--EXACT('Testcases'!B5981:B5989,"Bị chặn"))&gt;0,"Bị chặn",IF(SUMPRODUCT(--EXACT('Testcases'!B5981:B5989,"Chưa thực hiện"))=2,"Chưa thực hiện","Chưa đủ kết luận")))))</f>
        <v/>
      </c>
      <c r="C5962" s="57" t="n"/>
      <c r="D5962" s="57" t="n"/>
      <c r="E5962" s="57" t="n"/>
    </row>
    <row r="5963" ht="30" customHeight="1">
      <c r="A5963" s="47" t="inlineStr">
        <is>
          <t>Màn hình / chức năng</t>
        </is>
      </c>
      <c r="B5963" s="47" t="inlineStr">
        <is>
          <t>Xét theo ưu tiên</t>
        </is>
      </c>
      <c r="C5963" s="57" t="n"/>
      <c r="D5963" s="47" t="inlineStr">
        <is>
          <t>Đường dẫn</t>
        </is>
      </c>
      <c r="E5963" s="56" t="inlineStr">
        <is>
          <t>Chưa xác minh</t>
        </is>
      </c>
    </row>
    <row r="5964" ht="30" customHeight="1">
      <c r="A5964" s="58" t="inlineStr">
        <is>
          <t>Điều kiện kiểm thử</t>
        </is>
      </c>
      <c r="B5964" s="59" t="n"/>
      <c r="C5964" s="59" t="n"/>
      <c r="D5964" s="59" t="n"/>
      <c r="E5964" s="59" t="n"/>
    </row>
    <row r="5965" ht="30" customHeight="1">
      <c r="A5965" s="47" t="inlineStr">
        <is>
          <t>Cấu hình</t>
        </is>
      </c>
      <c r="B5965" s="56" t="inlineStr">
        <is>
          <t>• Ưu tiên 1: [A≥60] → cố định 25 [&lt;]. Ưu tiên 2: [A&lt;60] → [A×0.5] [&lt;]. mục số thập phân (M=100).</t>
        </is>
      </c>
      <c r="C5965" s="57" t="n"/>
      <c r="D5965" s="57" t="n"/>
      <c r="E5965" s="57" t="n"/>
    </row>
    <row r="5966" ht="61" customHeight="1">
      <c r="A5966" s="47" t="inlineStr">
        <is>
          <t>Vai trò / quyền</t>
        </is>
      </c>
      <c r="B596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5966" s="57" t="n"/>
      <c r="D5966" s="57" t="n"/>
      <c r="E5966" s="57" t="n"/>
    </row>
    <row r="5967" ht="78" customHeight="1">
      <c r="A5967" s="47" t="inlineStr">
        <is>
          <t>Dữ liệu test</t>
        </is>
      </c>
      <c r="B5967" s="56" t="inlineStr">
        <is>
          <t>• Mục số thập phân (M=100);
• Hai nguồn có trung bình 60 và 59.96 ([A=60.00];
• [A=59.96]);
• S = 27, 29.99</t>
        </is>
      </c>
      <c r="C5967" s="57" t="n"/>
      <c r="D5967" s="57" t="n"/>
      <c r="E5967" s="57" t="n"/>
    </row>
    <row r="5968" ht="30" customHeight="1">
      <c r="A5968" s="47" t="inlineStr">
        <is>
          <t>Trigger</t>
        </is>
      </c>
      <c r="B5968" s="56" t="inlineStr">
        <is>
          <t>• Chỉ xem/xuất không tự chạy xét.</t>
        </is>
      </c>
      <c r="C5968" s="57" t="n"/>
      <c r="D5968" s="57" t="n"/>
      <c r="E5968" s="57" t="n"/>
    </row>
    <row r="5969" ht="44" customHeight="1">
      <c r="A5969" s="47" t="inlineStr">
        <is>
          <t>Blocker</t>
        </is>
      </c>
      <c r="B5969" s="56" t="inlineStr">
        <is>
          <t>• G-PREP-UNASSESSED: Chưa có xác minh fixture, đường thực hiện và phép quan sát trên build của từng case chưa đánh giá.</t>
        </is>
      </c>
      <c r="C5969" s="57" t="n"/>
      <c r="D5969" s="57" t="n"/>
      <c r="E5969" s="57" t="n"/>
    </row>
    <row r="5970" ht="30" customHeight="1">
      <c r="A5970" s="58" t="inlineStr">
        <is>
          <t>Thao tác</t>
        </is>
      </c>
      <c r="B5970" s="59" t="n"/>
      <c r="C5970" s="59" t="n"/>
      <c r="D5970" s="59" t="n"/>
      <c r="E5970" s="59" t="n"/>
    </row>
    <row r="5971" ht="30" customHeight="1">
      <c r="A5971" s="47" t="inlineStr">
        <is>
          <t>•</t>
        </is>
      </c>
      <c r="B5971" s="56" t="inlineStr">
        <is>
          <t>Chạy nút cam với từng nguồn.</t>
        </is>
      </c>
      <c r="C5971" s="57" t="n"/>
      <c r="D5971" s="57" t="n"/>
      <c r="E5971" s="57" t="n"/>
    </row>
    <row r="5972" ht="44" customHeight="1">
      <c r="A5972" s="47" t="inlineStr">
        <is>
          <t>Reset</t>
        </is>
      </c>
      <c r="B5972" s="56" t="inlineStr">
        <is>
          <t>Trước mỗi biến thể, dựng lại điều kiện/dữ liệu đầu của case bằng đường được phép; giữ các reset/fixture độc lập đã nêu trong thủ tục.</t>
        </is>
      </c>
      <c r="C5972" s="57" t="n"/>
      <c r="D5972" s="57" t="n"/>
      <c r="E5972" s="57" t="n"/>
    </row>
    <row r="5973" ht="30" customHeight="1">
      <c r="A5973" s="58" t="inlineStr">
        <is>
          <t>Kết quả mong đợi</t>
        </is>
      </c>
      <c r="B5973" s="59" t="n"/>
      <c r="C5973" s="59" t="n"/>
      <c r="D5973" s="59" t="n"/>
      <c r="E5973" s="59" t="n"/>
    </row>
    <row r="5974" ht="30" customHeight="1">
      <c r="A5974" s="47" t="inlineStr">
        <is>
          <t>•</t>
        </is>
      </c>
      <c r="B5974" s="56" t="inlineStr">
        <is>
          <t>[A=60.00] → ưu tiên 1, [T=25]: 27 Không đỏ.</t>
        </is>
      </c>
      <c r="C5974" s="57" t="n"/>
      <c r="D5974" s="57" t="n"/>
      <c r="E5974" s="57" t="n"/>
    </row>
    <row r="5975" ht="30" customHeight="1">
      <c r="A5975" s="47" t="inlineStr">
        <is>
          <t>•</t>
        </is>
      </c>
      <c r="B5975" s="56" t="inlineStr">
        <is>
          <t>[A=59.96] → ưu tiên 2, [T=29.98]: 27 Đỏ; 29.99 Không đỏ.</t>
        </is>
      </c>
      <c r="C5975" s="57" t="n"/>
      <c r="D5975" s="57" t="n"/>
      <c r="E5975" s="57" t="n"/>
    </row>
    <row r="5976" ht="44" customHeight="1">
      <c r="A5976" s="47" t="inlineStr">
        <is>
          <t>Giữ nguyên</t>
        </is>
      </c>
      <c r="B5976" s="56" t="inlineStr">
        <is>
          <t>• Giữ điểm, cấu hình và đối tượng không đích theo expected;
• Chỉ thay phần thủ tục yêu cầu, không tự đổi oracle hoặc mở rộng phạm vi.</t>
        </is>
      </c>
      <c r="C5976" s="57" t="n"/>
      <c r="D5976" s="57" t="n"/>
      <c r="E5976" s="57" t="n"/>
    </row>
    <row r="5977" ht="61" customHeight="1">
      <c r="A5977" s="47" t="inlineStr">
        <is>
          <t>Quan sát tại</t>
        </is>
      </c>
      <c r="B5977" s="56" t="inlineStr">
        <is>
          <t>• Dùng trích xuất không lọc để thấy cả ô đối chứng. Trạng thái không có dấu đỏ cần đọc thêm trạng thái lưu;
• Output Excel/PDF dùng file thật.</t>
        </is>
      </c>
      <c r="C5977" s="57" t="n"/>
      <c r="D5977" s="57" t="n"/>
      <c r="E5977" s="57" t="n"/>
    </row>
    <row r="5978" ht="30" customHeight="1">
      <c r="A5978" s="58" t="inlineStr">
        <is>
          <t>Kết quả thực tế</t>
        </is>
      </c>
      <c r="B5978" s="59" t="n"/>
      <c r="C5978" s="59" t="n"/>
      <c r="D5978" s="59" t="n"/>
      <c r="E5978" s="59" t="n"/>
    </row>
    <row r="5979" ht="30" customHeight="1">
      <c r="A5979" s="60" t="inlineStr">
        <is>
          <t>TC-RS-CALC-023 / a60</t>
        </is>
      </c>
      <c r="B5979" s="36" t="n"/>
      <c r="C5979" s="36" t="n"/>
      <c r="D5979" s="36" t="n"/>
      <c r="E5979" s="36" t="n"/>
    </row>
    <row r="5980" ht="30" customHeight="1">
      <c r="A5980" s="47" t="inlineStr">
        <is>
          <t>Dữ liệu biến thể</t>
        </is>
      </c>
      <c r="B5980" s="56" t="inlineStr">
        <is>
          <t>A60</t>
        </is>
      </c>
      <c r="C5980" s="57" t="n"/>
      <c r="D5980" s="57" t="n"/>
      <c r="E5980" s="57" t="n"/>
    </row>
    <row r="5981" ht="30" customHeight="1">
      <c r="A5981" s="47" t="inlineStr">
        <is>
          <t>Trạng thái</t>
        </is>
      </c>
      <c r="B5981" s="61" t="inlineStr">
        <is>
          <t>Chưa thực hiện</t>
        </is>
      </c>
      <c r="C5981" s="57" t="n"/>
      <c r="D5981" s="57" t="n"/>
      <c r="E5981" s="57" t="n"/>
    </row>
    <row r="5982" ht="30" customHeight="1">
      <c r="A5982" s="62" t="inlineStr">
        <is>
          <t>Kết quả thực tế</t>
        </is>
      </c>
    </row>
    <row r="5983" ht="64" customHeight="1">
      <c r="A5983" s="63" t="inlineStr"/>
      <c r="B5983" s="64" t="n"/>
      <c r="C5983" s="64" t="n"/>
      <c r="D5983" s="64" t="n"/>
      <c r="E5983" s="65" t="n"/>
    </row>
    <row r="5984" ht="30" customHeight="1">
      <c r="A5984" s="62" t="inlineStr">
        <is>
          <t>Ảnh minh chứng</t>
        </is>
      </c>
    </row>
    <row r="5985" ht="90" customHeight="1">
      <c r="A5985" s="63" t="inlineStr"/>
      <c r="B5985" s="64" t="n"/>
      <c r="C5985" s="64" t="n"/>
      <c r="D5985" s="64" t="n"/>
      <c r="E5985" s="65" t="n"/>
    </row>
    <row r="5986" ht="12" customHeight="1">
      <c r="A5986" s="66" t="inlineStr"/>
    </row>
    <row r="5987" ht="30" customHeight="1">
      <c r="A5987" s="60" t="inlineStr">
        <is>
          <t>TC-RS-CALC-023 / a5996</t>
        </is>
      </c>
      <c r="B5987" s="36" t="n"/>
      <c r="C5987" s="36" t="n"/>
      <c r="D5987" s="36" t="n"/>
      <c r="E5987" s="36" t="n"/>
    </row>
    <row r="5988" ht="30" customHeight="1">
      <c r="A5988" s="47" t="inlineStr">
        <is>
          <t>Dữ liệu biến thể</t>
        </is>
      </c>
      <c r="B5988" s="56" t="inlineStr">
        <is>
          <t>A59.96</t>
        </is>
      </c>
      <c r="C5988" s="57" t="n"/>
      <c r="D5988" s="57" t="n"/>
      <c r="E5988" s="57" t="n"/>
    </row>
    <row r="5989" ht="30" customHeight="1">
      <c r="A5989" s="47" t="inlineStr">
        <is>
          <t>Trạng thái</t>
        </is>
      </c>
      <c r="B5989" s="61" t="inlineStr">
        <is>
          <t>Chưa thực hiện</t>
        </is>
      </c>
      <c r="C5989" s="57" t="n"/>
      <c r="D5989" s="57" t="n"/>
      <c r="E5989" s="57" t="n"/>
    </row>
    <row r="5990" ht="30" customHeight="1">
      <c r="A5990" s="62" t="inlineStr">
        <is>
          <t>Kết quả thực tế</t>
        </is>
      </c>
    </row>
    <row r="5991" ht="64" customHeight="1">
      <c r="A5991" s="63" t="inlineStr"/>
      <c r="B5991" s="64" t="n"/>
      <c r="C5991" s="64" t="n"/>
      <c r="D5991" s="64" t="n"/>
      <c r="E5991" s="65" t="n"/>
    </row>
    <row r="5992" ht="30" customHeight="1">
      <c r="A5992" s="62" t="inlineStr">
        <is>
          <t>Ảnh minh chứng</t>
        </is>
      </c>
    </row>
    <row r="5993" ht="90" customHeight="1">
      <c r="A5993" s="63" t="inlineStr"/>
      <c r="B5993" s="64" t="n"/>
      <c r="C5993" s="64" t="n"/>
      <c r="D5993" s="64" t="n"/>
      <c r="E5993" s="65" t="n"/>
    </row>
    <row r="5994" ht="12" customHeight="1">
      <c r="A5994" s="66" t="inlineStr"/>
    </row>
    <row r="5995" ht="20" customHeight="1">
      <c r="A5995" s="66" t="inlineStr"/>
    </row>
    <row r="5996" ht="30" customHeight="1">
      <c r="A5996" s="46" t="inlineStr">
        <is>
          <t>TC-RS-CALC-024 — Tỷ lệ nhóm R = 70% khớp điều kiện ≥ 65%</t>
        </is>
      </c>
      <c r="B5996" s="23" t="n"/>
      <c r="C5996" s="23" t="n"/>
      <c r="D5996" s="23" t="n"/>
      <c r="E5996" s="23" t="n"/>
    </row>
    <row r="5997" ht="30" customHeight="1">
      <c r="A5997" s="47" t="inlineStr">
        <is>
          <t>Trạng thái</t>
        </is>
      </c>
      <c r="B5997" s="56">
        <f>IF(0&gt;0,"Không đạt",IF(0=2,"Đạt",IF(SUMPRODUCT(--EXACT('Testcases'!B6016:B6024,"Không thực hiện"))=2,"Không thực hiện",IF(SUMPRODUCT(--EXACT('Testcases'!B6016:B6024,"Bị chặn"))&gt;0,"Bị chặn",IF(SUMPRODUCT(--EXACT('Testcases'!B6016:B6024,"Chưa thực hiện"))=2,"Chưa thực hiện","Chưa đủ kết luận")))))</f>
        <v/>
      </c>
      <c r="C5997" s="57" t="n"/>
      <c r="D5997" s="57" t="n"/>
      <c r="E5997" s="57" t="n"/>
    </row>
    <row r="5998" ht="30" customHeight="1">
      <c r="A5998" s="47" t="inlineStr">
        <is>
          <t>Màn hình / chức năng</t>
        </is>
      </c>
      <c r="B5998" s="47" t="inlineStr">
        <is>
          <t>Xét theo ưu tiên</t>
        </is>
      </c>
      <c r="C5998" s="57" t="n"/>
      <c r="D5998" s="47" t="inlineStr">
        <is>
          <t>Đường dẫn</t>
        </is>
      </c>
      <c r="E5998" s="56" t="inlineStr">
        <is>
          <t>Chưa xác minh</t>
        </is>
      </c>
    </row>
    <row r="5999" ht="30" customHeight="1">
      <c r="A5999" s="58" t="inlineStr">
        <is>
          <t>Điều kiện kiểm thử</t>
        </is>
      </c>
      <c r="B5999" s="59" t="n"/>
      <c r="C5999" s="59" t="n"/>
      <c r="D5999" s="59" t="n"/>
      <c r="E5999" s="59" t="n"/>
    </row>
    <row r="6000" ht="30" customHeight="1">
      <c r="A6000" s="47" t="inlineStr">
        <is>
          <t>Cấu hình</t>
        </is>
      </c>
      <c r="B6000" s="56" t="inlineStr">
        <is>
          <t>• Quy tắc theo tỷ lệ điểm của nhóm từ 65% là quy tắc duy nhất.</t>
        </is>
      </c>
      <c r="C6000" s="57" t="n"/>
      <c r="D6000" s="57" t="n"/>
      <c r="E6000" s="57" t="n"/>
    </row>
    <row r="6001" ht="61" customHeight="1">
      <c r="A6001" s="47" t="inlineStr">
        <is>
          <t>Vai trò / quyền</t>
        </is>
      </c>
      <c r="B600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001" s="57" t="n"/>
      <c r="D6001" s="57" t="n"/>
      <c r="E6001" s="57" t="n"/>
    </row>
    <row r="6002" ht="78" customHeight="1">
      <c r="A6002" s="47" t="inlineStr">
        <is>
          <t>Dữ liệu test</t>
        </is>
      </c>
      <c r="B6002" s="56" t="inlineStr">
        <is>
          <t>• Quy tắc theo tỷ lệ điểm của nhóm từ 65%;
• (A) nhóm có tỷ lệ điểm 70% (cùng M) (60/100, 80/100);
• (B) nguồn 50/100, 70/100;
• S = 60, 70, 80</t>
        </is>
      </c>
      <c r="C6002" s="57" t="n"/>
      <c r="D6002" s="57" t="n"/>
      <c r="E6002" s="57" t="n"/>
    </row>
    <row r="6003" ht="30" customHeight="1">
      <c r="A6003" s="47" t="inlineStr">
        <is>
          <t>Trigger</t>
        </is>
      </c>
      <c r="B6003" s="56" t="inlineStr">
        <is>
          <t>• Chỉ xem/xuất không tự chạy xét.</t>
        </is>
      </c>
      <c r="C6003" s="57" t="n"/>
      <c r="D6003" s="57" t="n"/>
      <c r="E6003" s="57" t="n"/>
    </row>
    <row r="6004" ht="44" customHeight="1">
      <c r="A6004" s="47" t="inlineStr">
        <is>
          <t>Blocker</t>
        </is>
      </c>
      <c r="B6004" s="56" t="inlineStr">
        <is>
          <t>• G-PREP-UNASSESSED: Chưa có xác minh fixture, đường thực hiện và phép quan sát trên build của từng case chưa đánh giá.</t>
        </is>
      </c>
      <c r="C6004" s="57" t="n"/>
      <c r="D6004" s="57" t="n"/>
      <c r="E6004" s="57" t="n"/>
    </row>
    <row r="6005" ht="30" customHeight="1">
      <c r="A6005" s="58" t="inlineStr">
        <is>
          <t>Thao tác</t>
        </is>
      </c>
      <c r="B6005" s="59" t="n"/>
      <c r="C6005" s="59" t="n"/>
      <c r="D6005" s="59" t="n"/>
      <c r="E6005" s="59" t="n"/>
    </row>
    <row r="6006" ht="30" customHeight="1">
      <c r="A6006" s="47" t="inlineStr">
        <is>
          <t>•</t>
        </is>
      </c>
      <c r="B6006" s="56" t="inlineStr">
        <is>
          <t>Chạy nút xanh rồi nút cam cho từng nguồn.</t>
        </is>
      </c>
      <c r="C6006" s="57" t="n"/>
      <c r="D6006" s="57" t="n"/>
      <c r="E6006" s="57" t="n"/>
    </row>
    <row r="6007" ht="44" customHeight="1">
      <c r="A6007" s="47" t="inlineStr">
        <is>
          <t>Reset</t>
        </is>
      </c>
      <c r="B6007" s="56" t="inlineStr">
        <is>
          <t>Trước mỗi biến thể, dựng lại điều kiện/dữ liệu đầu của case bằng đường được phép; giữ các reset/fixture độc lập đã nêu trong thủ tục.</t>
        </is>
      </c>
      <c r="C6007" s="57" t="n"/>
      <c r="D6007" s="57" t="n"/>
      <c r="E6007" s="57" t="n"/>
    </row>
    <row r="6008" ht="30" customHeight="1">
      <c r="A6008" s="58" t="inlineStr">
        <is>
          <t>Kết quả mong đợi</t>
        </is>
      </c>
      <c r="B6008" s="59" t="n"/>
      <c r="C6008" s="59" t="n"/>
      <c r="D6008" s="59" t="n"/>
      <c r="E6008" s="59" t="n"/>
    </row>
    <row r="6009" ht="30" customHeight="1">
      <c r="A6009" s="47" t="inlineStr">
        <is>
          <t>•</t>
        </is>
      </c>
      <c r="B6009" s="56" t="inlineStr">
        <is>
          <t>(A) [R=140/200×100=70%] → khớp; [T=70]: 60 Đỏ; 70 Không đỏ; 80 Không đỏ.</t>
        </is>
      </c>
      <c r="C6009" s="57" t="n"/>
      <c r="D6009" s="57" t="n"/>
      <c r="E6009" s="57" t="n"/>
    </row>
    <row r="6010" ht="30" customHeight="1">
      <c r="A6010" s="47" t="inlineStr">
        <is>
          <t>•</t>
        </is>
      </c>
      <c r="B6010" s="56" t="inlineStr">
        <is>
          <t>(B) [R=120/200×100=60%] → không khớp → cả ba Không áp dụng.</t>
        </is>
      </c>
      <c r="C6010" s="57" t="n"/>
      <c r="D6010" s="57" t="n"/>
      <c r="E6010" s="57" t="n"/>
    </row>
    <row r="6011" ht="44" customHeight="1">
      <c r="A6011" s="47" t="inlineStr">
        <is>
          <t>Giữ nguyên</t>
        </is>
      </c>
      <c r="B6011" s="56" t="inlineStr">
        <is>
          <t>• Giữ điểm, cấu hình và đối tượng không đích theo expected;
• Chỉ thay phần thủ tục yêu cầu, không tự đổi oracle hoặc mở rộng phạm vi.</t>
        </is>
      </c>
      <c r="C6011" s="57" t="n"/>
      <c r="D6011" s="57" t="n"/>
      <c r="E6011" s="57" t="n"/>
    </row>
    <row r="6012" ht="61" customHeight="1">
      <c r="A6012" s="47" t="inlineStr">
        <is>
          <t>Quan sát tại</t>
        </is>
      </c>
      <c r="B6012" s="56" t="inlineStr">
        <is>
          <t>• Dùng trích xuất không lọc để thấy cả ô đối chứng. Trạng thái không có dấu đỏ cần đọc thêm trạng thái lưu;
• Output Excel/PDF dùng file thật.</t>
        </is>
      </c>
      <c r="C6012" s="57" t="n"/>
      <c r="D6012" s="57" t="n"/>
      <c r="E6012" s="57" t="n"/>
    </row>
    <row r="6013" ht="30" customHeight="1">
      <c r="A6013" s="58" t="inlineStr">
        <is>
          <t>Kết quả thực tế</t>
        </is>
      </c>
      <c r="B6013" s="59" t="n"/>
      <c r="C6013" s="59" t="n"/>
      <c r="D6013" s="59" t="n"/>
      <c r="E6013" s="59" t="n"/>
    </row>
    <row r="6014" ht="30" customHeight="1">
      <c r="A6014" s="60" t="inlineStr">
        <is>
          <t>TC-RS-CALC-024 / r70</t>
        </is>
      </c>
      <c r="B6014" s="36" t="n"/>
      <c r="C6014" s="36" t="n"/>
      <c r="D6014" s="36" t="n"/>
      <c r="E6014" s="36" t="n"/>
    </row>
    <row r="6015" ht="30" customHeight="1">
      <c r="A6015" s="47" t="inlineStr">
        <is>
          <t>Dữ liệu biến thể</t>
        </is>
      </c>
      <c r="B6015" s="56" t="inlineStr">
        <is>
          <t>R70</t>
        </is>
      </c>
      <c r="C6015" s="57" t="n"/>
      <c r="D6015" s="57" t="n"/>
      <c r="E6015" s="57" t="n"/>
    </row>
    <row r="6016" ht="30" customHeight="1">
      <c r="A6016" s="47" t="inlineStr">
        <is>
          <t>Trạng thái</t>
        </is>
      </c>
      <c r="B6016" s="61" t="inlineStr">
        <is>
          <t>Chưa thực hiện</t>
        </is>
      </c>
      <c r="C6016" s="57" t="n"/>
      <c r="D6016" s="57" t="n"/>
      <c r="E6016" s="57" t="n"/>
    </row>
    <row r="6017" ht="30" customHeight="1">
      <c r="A6017" s="62" t="inlineStr">
        <is>
          <t>Kết quả thực tế</t>
        </is>
      </c>
    </row>
    <row r="6018" ht="64" customHeight="1">
      <c r="A6018" s="63" t="inlineStr"/>
      <c r="B6018" s="64" t="n"/>
      <c r="C6018" s="64" t="n"/>
      <c r="D6018" s="64" t="n"/>
      <c r="E6018" s="65" t="n"/>
    </row>
    <row r="6019" ht="30" customHeight="1">
      <c r="A6019" s="62" t="inlineStr">
        <is>
          <t>Ảnh minh chứng</t>
        </is>
      </c>
    </row>
    <row r="6020" ht="90" customHeight="1">
      <c r="A6020" s="63" t="inlineStr"/>
      <c r="B6020" s="64" t="n"/>
      <c r="C6020" s="64" t="n"/>
      <c r="D6020" s="64" t="n"/>
      <c r="E6020" s="65" t="n"/>
    </row>
    <row r="6021" ht="12" customHeight="1">
      <c r="A6021" s="66" t="inlineStr"/>
    </row>
    <row r="6022" ht="30" customHeight="1">
      <c r="A6022" s="60" t="inlineStr">
        <is>
          <t>TC-RS-CALC-024 / r60</t>
        </is>
      </c>
      <c r="B6022" s="36" t="n"/>
      <c r="C6022" s="36" t="n"/>
      <c r="D6022" s="36" t="n"/>
      <c r="E6022" s="36" t="n"/>
    </row>
    <row r="6023" ht="30" customHeight="1">
      <c r="A6023" s="47" t="inlineStr">
        <is>
          <t>Dữ liệu biến thể</t>
        </is>
      </c>
      <c r="B6023" s="56" t="inlineStr">
        <is>
          <t>R60</t>
        </is>
      </c>
      <c r="C6023" s="57" t="n"/>
      <c r="D6023" s="57" t="n"/>
      <c r="E6023" s="57" t="n"/>
    </row>
    <row r="6024" ht="30" customHeight="1">
      <c r="A6024" s="47" t="inlineStr">
        <is>
          <t>Trạng thái</t>
        </is>
      </c>
      <c r="B6024" s="61" t="inlineStr">
        <is>
          <t>Chưa thực hiện</t>
        </is>
      </c>
      <c r="C6024" s="57" t="n"/>
      <c r="D6024" s="57" t="n"/>
      <c r="E6024" s="57" t="n"/>
    </row>
    <row r="6025" ht="30" customHeight="1">
      <c r="A6025" s="62" t="inlineStr">
        <is>
          <t>Kết quả thực tế</t>
        </is>
      </c>
    </row>
    <row r="6026" ht="64" customHeight="1">
      <c r="A6026" s="63" t="inlineStr"/>
      <c r="B6026" s="64" t="n"/>
      <c r="C6026" s="64" t="n"/>
      <c r="D6026" s="64" t="n"/>
      <c r="E6026" s="65" t="n"/>
    </row>
    <row r="6027" ht="30" customHeight="1">
      <c r="A6027" s="62" t="inlineStr">
        <is>
          <t>Ảnh minh chứng</t>
        </is>
      </c>
    </row>
    <row r="6028" ht="90" customHeight="1">
      <c r="A6028" s="63" t="inlineStr"/>
      <c r="B6028" s="64" t="n"/>
      <c r="C6028" s="64" t="n"/>
      <c r="D6028" s="64" t="n"/>
      <c r="E6028" s="65" t="n"/>
    </row>
    <row r="6029" ht="12" customHeight="1">
      <c r="A6029" s="66" t="inlineStr"/>
    </row>
    <row r="6030" ht="20" customHeight="1">
      <c r="A6030" s="66" t="inlineStr"/>
    </row>
    <row r="6031" ht="30" customHeight="1">
      <c r="A6031" s="46" t="inlineStr">
        <is>
          <t>TC-RS-CALC-025 — Tỷ lệ nhóm 64.99% (hiển thị 65.0) không khớp ≥ 65%</t>
        </is>
      </c>
      <c r="B6031" s="23" t="n"/>
      <c r="C6031" s="23" t="n"/>
      <c r="D6031" s="23" t="n"/>
      <c r="E6031" s="23" t="n"/>
    </row>
    <row r="6032" ht="30" customHeight="1">
      <c r="A6032" s="47" t="inlineStr">
        <is>
          <t>Trạng thái</t>
        </is>
      </c>
      <c r="B6032" s="56">
        <f>IF(0&gt;0,"Không đạt",IF(0=2,"Đạt",IF(SUMPRODUCT(--EXACT('Testcases'!B6051:B6059,"Không thực hiện"))=2,"Không thực hiện",IF(SUMPRODUCT(--EXACT('Testcases'!B6051:B6059,"Bị chặn"))&gt;0,"Bị chặn",IF(SUMPRODUCT(--EXACT('Testcases'!B6051:B6059,"Chưa thực hiện"))=2,"Chưa thực hiện","Chưa đủ kết luận")))))</f>
        <v/>
      </c>
      <c r="C6032" s="57" t="n"/>
      <c r="D6032" s="57" t="n"/>
      <c r="E6032" s="57" t="n"/>
    </row>
    <row r="6033" ht="30" customHeight="1">
      <c r="A6033" s="47" t="inlineStr">
        <is>
          <t>Màn hình / chức năng</t>
        </is>
      </c>
      <c r="B6033" s="47" t="inlineStr">
        <is>
          <t>Xét theo ưu tiên</t>
        </is>
      </c>
      <c r="C6033" s="57" t="n"/>
      <c r="D6033" s="47" t="inlineStr">
        <is>
          <t>Đường dẫn</t>
        </is>
      </c>
      <c r="E6033" s="56" t="inlineStr">
        <is>
          <t>Chưa xác minh</t>
        </is>
      </c>
    </row>
    <row r="6034" ht="30" customHeight="1">
      <c r="A6034" s="58" t="inlineStr">
        <is>
          <t>Điều kiện kiểm thử</t>
        </is>
      </c>
      <c r="B6034" s="59" t="n"/>
      <c r="C6034" s="59" t="n"/>
      <c r="D6034" s="59" t="n"/>
      <c r="E6034" s="59" t="n"/>
    </row>
    <row r="6035" ht="44" customHeight="1">
      <c r="A6035" s="47" t="inlineStr">
        <is>
          <t>Cấu hình</t>
        </is>
      </c>
      <c r="B6035" s="56" t="inlineStr">
        <is>
          <t>• Quy tắc theo tỷ lệ điểm của nhóm từ 65%;
• Mục thập phân.</t>
        </is>
      </c>
      <c r="C6035" s="57" t="n"/>
      <c r="D6035" s="57" t="n"/>
      <c r="E6035" s="57" t="n"/>
    </row>
    <row r="6036" ht="61" customHeight="1">
      <c r="A6036" s="47" t="inlineStr">
        <is>
          <t>Vai trò / quyền</t>
        </is>
      </c>
      <c r="B603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036" s="57" t="n"/>
      <c r="D6036" s="57" t="n"/>
      <c r="E6036" s="57" t="n"/>
    </row>
    <row r="6037" ht="78" customHeight="1">
      <c r="A6037" s="47" t="inlineStr">
        <is>
          <t>Dữ liệu test</t>
        </is>
      </c>
      <c r="B6037" s="56" t="inlineStr">
        <is>
          <t>• Quy tắc theo tỷ lệ điểm của nhóm từ 65%;
• (A) Nguồn 64.98/100 và 65.00/100 → [R=64.99%];
• (B) 65/100 và 65/100 → [R=65%];
• S = 60</t>
        </is>
      </c>
      <c r="C6037" s="57" t="n"/>
      <c r="D6037" s="57" t="n"/>
      <c r="E6037" s="57" t="n"/>
    </row>
    <row r="6038" ht="30" customHeight="1">
      <c r="A6038" s="47" t="inlineStr">
        <is>
          <t>Trigger</t>
        </is>
      </c>
      <c r="B6038" s="56" t="inlineStr">
        <is>
          <t>• Chỉ xem/xuất không tự chạy xét.</t>
        </is>
      </c>
      <c r="C6038" s="57" t="n"/>
      <c r="D6038" s="57" t="n"/>
      <c r="E6038" s="57" t="n"/>
    </row>
    <row r="6039" ht="44" customHeight="1">
      <c r="A6039" s="47" t="inlineStr">
        <is>
          <t>Blocker</t>
        </is>
      </c>
      <c r="B6039" s="56" t="inlineStr">
        <is>
          <t>• G-PREP-TC-RS-CALC-025: BLOCKED — cần seam/fixture cho phép quan sát R thô 64.99;
• Nếu chỉ trả 65.0 đã làm tròn thì không được PASS.</t>
        </is>
      </c>
      <c r="C6039" s="57" t="n"/>
      <c r="D6039" s="57" t="n"/>
      <c r="E6039" s="57" t="n"/>
    </row>
    <row r="6040" ht="30" customHeight="1">
      <c r="A6040" s="58" t="inlineStr">
        <is>
          <t>Thao tác</t>
        </is>
      </c>
      <c r="B6040" s="59" t="n"/>
      <c r="C6040" s="59" t="n"/>
      <c r="D6040" s="59" t="n"/>
      <c r="E6040" s="59" t="n"/>
    </row>
    <row r="6041" ht="30" customHeight="1">
      <c r="A6041" s="47" t="inlineStr">
        <is>
          <t>•</t>
        </is>
      </c>
      <c r="B6041" s="56" t="inlineStr">
        <is>
          <t>Chạy nút xanh rồi nút cam cho từng nguồn.</t>
        </is>
      </c>
      <c r="C6041" s="57" t="n"/>
      <c r="D6041" s="57" t="n"/>
      <c r="E6041" s="57" t="n"/>
    </row>
    <row r="6042" ht="44" customHeight="1">
      <c r="A6042" s="47" t="inlineStr">
        <is>
          <t>Reset</t>
        </is>
      </c>
      <c r="B6042" s="56" t="inlineStr">
        <is>
          <t>Trước mỗi biến thể, dựng lại điều kiện/dữ liệu đầu của case bằng đường được phép; giữ các reset/fixture độc lập đã nêu trong thủ tục.</t>
        </is>
      </c>
      <c r="C6042" s="57" t="n"/>
      <c r="D6042" s="57" t="n"/>
      <c r="E6042" s="57" t="n"/>
    </row>
    <row r="6043" ht="30" customHeight="1">
      <c r="A6043" s="58" t="inlineStr">
        <is>
          <t>Kết quả mong đợi</t>
        </is>
      </c>
      <c r="B6043" s="59" t="n"/>
      <c r="C6043" s="59" t="n"/>
      <c r="D6043" s="59" t="n"/>
      <c r="E6043" s="59" t="n"/>
    </row>
    <row r="6044" ht="44" customHeight="1">
      <c r="A6044" s="47" t="inlineStr">
        <is>
          <t>•</t>
        </is>
      </c>
      <c r="B6044" s="56" t="inlineStr">
        <is>
          <t>(A) [R] thô = [64.99%] không khớp [≥65%] → Không áp dụng. Nếu seam chỉ cung cấp [65.0%] đã làm tròn, case bị BLOCKED/NEEDS_EVIDENCE vì thiếu dữ liệu nguồn, không được đổi oracle thành khớp.</t>
        </is>
      </c>
      <c r="C6044" s="57" t="n"/>
      <c r="D6044" s="57" t="n"/>
      <c r="E6044" s="57" t="n"/>
    </row>
    <row r="6045" ht="30" customHeight="1">
      <c r="A6045" s="47" t="inlineStr">
        <is>
          <t>•</t>
        </is>
      </c>
      <c r="B6045" s="56" t="inlineStr">
        <is>
          <t>(B) Khớp → S=60 Đỏ.</t>
        </is>
      </c>
      <c r="C6045" s="57" t="n"/>
      <c r="D6045" s="57" t="n"/>
      <c r="E6045" s="57" t="n"/>
    </row>
    <row r="6046" ht="44" customHeight="1">
      <c r="A6046" s="47" t="inlineStr">
        <is>
          <t>Giữ nguyên</t>
        </is>
      </c>
      <c r="B6046" s="56" t="inlineStr">
        <is>
          <t>• Giữ điểm, cấu hình và đối tượng không đích theo expected;
• Chỉ thay phần thủ tục yêu cầu, không tự đổi oracle hoặc mở rộng phạm vi.</t>
        </is>
      </c>
      <c r="C6046" s="57" t="n"/>
      <c r="D6046" s="57" t="n"/>
      <c r="E6046" s="57" t="n"/>
    </row>
    <row r="6047" ht="61" customHeight="1">
      <c r="A6047" s="47" t="inlineStr">
        <is>
          <t>Quan sát tại</t>
        </is>
      </c>
      <c r="B6047" s="56" t="inlineStr">
        <is>
          <t>• Dùng trích xuất không lọc để thấy cả ô đối chứng. Trạng thái không có dấu đỏ cần đọc thêm trạng thái lưu;
• Output Excel/PDF dùng file thật.</t>
        </is>
      </c>
      <c r="C6047" s="57" t="n"/>
      <c r="D6047" s="57" t="n"/>
      <c r="E6047" s="57" t="n"/>
    </row>
    <row r="6048" ht="30" customHeight="1">
      <c r="A6048" s="58" t="inlineStr">
        <is>
          <t>Kết quả thực tế</t>
        </is>
      </c>
      <c r="B6048" s="59" t="n"/>
      <c r="C6048" s="59" t="n"/>
      <c r="D6048" s="59" t="n"/>
      <c r="E6048" s="59" t="n"/>
    </row>
    <row r="6049" ht="30" customHeight="1">
      <c r="A6049" s="60" t="inlineStr">
        <is>
          <t>TC-RS-CALC-025 / r6499</t>
        </is>
      </c>
      <c r="B6049" s="36" t="n"/>
      <c r="C6049" s="36" t="n"/>
      <c r="D6049" s="36" t="n"/>
      <c r="E6049" s="36" t="n"/>
    </row>
    <row r="6050" ht="30" customHeight="1">
      <c r="A6050" s="47" t="inlineStr">
        <is>
          <t>Dữ liệu biến thể</t>
        </is>
      </c>
      <c r="B6050" s="56" t="inlineStr">
        <is>
          <t>R64.99</t>
        </is>
      </c>
      <c r="C6050" s="57" t="n"/>
      <c r="D6050" s="57" t="n"/>
      <c r="E6050" s="57" t="n"/>
    </row>
    <row r="6051" ht="30" customHeight="1">
      <c r="A6051" s="47" t="inlineStr">
        <is>
          <t>Trạng thái</t>
        </is>
      </c>
      <c r="B6051" s="61" t="inlineStr">
        <is>
          <t>Chưa thực hiện</t>
        </is>
      </c>
      <c r="C6051" s="57" t="n"/>
      <c r="D6051" s="57" t="n"/>
      <c r="E6051" s="57" t="n"/>
    </row>
    <row r="6052" ht="30" customHeight="1">
      <c r="A6052" s="62" t="inlineStr">
        <is>
          <t>Kết quả thực tế</t>
        </is>
      </c>
    </row>
    <row r="6053" ht="64" customHeight="1">
      <c r="A6053" s="63" t="inlineStr"/>
      <c r="B6053" s="64" t="n"/>
      <c r="C6053" s="64" t="n"/>
      <c r="D6053" s="64" t="n"/>
      <c r="E6053" s="65" t="n"/>
    </row>
    <row r="6054" ht="30" customHeight="1">
      <c r="A6054" s="62" t="inlineStr">
        <is>
          <t>Ảnh minh chứng</t>
        </is>
      </c>
    </row>
    <row r="6055" ht="90" customHeight="1">
      <c r="A6055" s="63" t="inlineStr"/>
      <c r="B6055" s="64" t="n"/>
      <c r="C6055" s="64" t="n"/>
      <c r="D6055" s="64" t="n"/>
      <c r="E6055" s="65" t="n"/>
    </row>
    <row r="6056" ht="12" customHeight="1">
      <c r="A6056" s="66" t="inlineStr"/>
    </row>
    <row r="6057" ht="30" customHeight="1">
      <c r="A6057" s="60" t="inlineStr">
        <is>
          <t>TC-RS-CALC-025 / r65</t>
        </is>
      </c>
      <c r="B6057" s="36" t="n"/>
      <c r="C6057" s="36" t="n"/>
      <c r="D6057" s="36" t="n"/>
      <c r="E6057" s="36" t="n"/>
    </row>
    <row r="6058" ht="30" customHeight="1">
      <c r="A6058" s="47" t="inlineStr">
        <is>
          <t>Dữ liệu biến thể</t>
        </is>
      </c>
      <c r="B6058" s="56" t="inlineStr">
        <is>
          <t>R65</t>
        </is>
      </c>
      <c r="C6058" s="57" t="n"/>
      <c r="D6058" s="57" t="n"/>
      <c r="E6058" s="57" t="n"/>
    </row>
    <row r="6059" ht="30" customHeight="1">
      <c r="A6059" s="47" t="inlineStr">
        <is>
          <t>Trạng thái</t>
        </is>
      </c>
      <c r="B6059" s="61" t="inlineStr">
        <is>
          <t>Chưa thực hiện</t>
        </is>
      </c>
      <c r="C6059" s="57" t="n"/>
      <c r="D6059" s="57" t="n"/>
      <c r="E6059" s="57" t="n"/>
    </row>
    <row r="6060" ht="30" customHeight="1">
      <c r="A6060" s="62" t="inlineStr">
        <is>
          <t>Kết quả thực tế</t>
        </is>
      </c>
    </row>
    <row r="6061" ht="64" customHeight="1">
      <c r="A6061" s="63" t="inlineStr"/>
      <c r="B6061" s="64" t="n"/>
      <c r="C6061" s="64" t="n"/>
      <c r="D6061" s="64" t="n"/>
      <c r="E6061" s="65" t="n"/>
    </row>
    <row r="6062" ht="30" customHeight="1">
      <c r="A6062" s="62" t="inlineStr">
        <is>
          <t>Ảnh minh chứng</t>
        </is>
      </c>
    </row>
    <row r="6063" ht="90" customHeight="1">
      <c r="A6063" s="63" t="inlineStr"/>
      <c r="B6063" s="64" t="n"/>
      <c r="C6063" s="64" t="n"/>
      <c r="D6063" s="64" t="n"/>
      <c r="E6063" s="65" t="n"/>
    </row>
    <row r="6064" ht="12" customHeight="1">
      <c r="A6064" s="66" t="inlineStr"/>
    </row>
    <row r="6065" ht="20" customHeight="1">
      <c r="A6065" s="66" t="inlineStr"/>
    </row>
    <row r="6066" ht="30" customHeight="1">
      <c r="A6066" s="46" t="inlineStr">
        <is>
          <t>TC-RS-BR-012 — Điểm được xét là điểm cuối đã lưu (dự kiến, sửa tay, sau giới hạn miền điểm)</t>
        </is>
      </c>
      <c r="B6066" s="23" t="n"/>
      <c r="C6066" s="23" t="n"/>
      <c r="D6066" s="23" t="n"/>
      <c r="E6066" s="23" t="n"/>
    </row>
    <row r="6067" ht="30" customHeight="1">
      <c r="A6067" s="47" t="inlineStr">
        <is>
          <t>Trạng thái</t>
        </is>
      </c>
      <c r="B6067" s="56">
        <f>IF(0&gt;0,"Không đạt",IF(0=4,"Đạt",IF(SUMPRODUCT(--EXACT('Testcases'!B6089:B6113,"Không thực hiện"))=4,"Không thực hiện",IF(SUMPRODUCT(--EXACT('Testcases'!B6089:B6113,"Bị chặn"))&gt;0,"Bị chặn",IF(SUMPRODUCT(--EXACT('Testcases'!B6089:B6113,"Chưa thực hiện"))=4,"Chưa thực hiện","Chưa đủ kết luận")))))</f>
        <v/>
      </c>
      <c r="C6067" s="57" t="n"/>
      <c r="D6067" s="57" t="n"/>
      <c r="E6067" s="57" t="n"/>
    </row>
    <row r="6068" ht="30" customHeight="1">
      <c r="A6068" s="47" t="inlineStr">
        <is>
          <t>Màn hình / chức năng</t>
        </is>
      </c>
      <c r="B6068" s="47" t="inlineStr">
        <is>
          <t>Đăng ký thành tích（成績登録）</t>
        </is>
      </c>
      <c r="C6068" s="57" t="n"/>
      <c r="D6068" s="47" t="inlineStr">
        <is>
          <t>Đường dẫn</t>
        </is>
      </c>
      <c r="E6068" s="56" t="inlineStr">
        <is>
          <t>Chưa xác minh</t>
        </is>
      </c>
    </row>
    <row r="6069" ht="30" customHeight="1">
      <c r="A6069" s="58" t="inlineStr">
        <is>
          <t>Điều kiện kiểm thử</t>
        </is>
      </c>
      <c r="B6069" s="59" t="n"/>
      <c r="C6069" s="59" t="n"/>
      <c r="D6069" s="59" t="n"/>
      <c r="E6069" s="59" t="n"/>
    </row>
    <row r="6070" ht="44" customHeight="1">
      <c r="A6070" s="47" t="inlineStr">
        <is>
          <t>Cấu hình</t>
        </is>
      </c>
      <c r="B6070" s="56" t="inlineStr">
        <is>
          <t>• Mục số nguyên (M=100) có quy tắc “Cố định 30” (dưới 30) và (cho biến thể c) mục số nguyên có thêm tính tự động có quy tắc tính tự động cho kết quả vượt 100.</t>
        </is>
      </c>
      <c r="C6070" s="57" t="n"/>
      <c r="D6070" s="57" t="n"/>
      <c r="E6070" s="57" t="n"/>
    </row>
    <row r="6071" ht="61" customHeight="1">
      <c r="A6071" s="47" t="inlineStr">
        <is>
          <t>Vai trò / quyền</t>
        </is>
      </c>
      <c r="B607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071" s="57" t="n"/>
      <c r="D6071" s="57" t="n"/>
      <c r="E6071" s="57" t="n"/>
    </row>
    <row r="6072" ht="44" customHeight="1">
      <c r="A6072" s="47" t="inlineStr">
        <is>
          <t>Dữ liệu test</t>
        </is>
      </c>
      <c r="B6072" s="56" t="inlineStr">
        <is>
          <t>• Mục số nguyên (M=100), mục số nguyên có thêm tính tự động;
• Học sinh S06 (điểm dự kiến 24), học sinh S08 (sửa tay 28 thành 35), quy tắc “Cố định 30” (dưới 30)</t>
        </is>
      </c>
      <c r="C6072" s="57" t="n"/>
      <c r="D6072" s="57" t="n"/>
      <c r="E6072" s="57" t="n"/>
    </row>
    <row r="6073" ht="30" customHeight="1">
      <c r="A6073" s="47" t="inlineStr">
        <is>
          <t>Trigger</t>
        </is>
      </c>
      <c r="B6073" s="56" t="inlineStr">
        <is>
          <t>• Chỉ xem/xuất không tự chạy xét.</t>
        </is>
      </c>
      <c r="C6073" s="57" t="n"/>
      <c r="D6073" s="57" t="n"/>
      <c r="E6073" s="57" t="n"/>
    </row>
    <row r="6074" ht="44" customHeight="1">
      <c r="A6074" s="47" t="inlineStr">
        <is>
          <t>Blocker</t>
        </is>
      </c>
      <c r="B6074" s="56" t="inlineStr">
        <is>
          <t>• G-PREP-UNASSESSED: Chưa có xác minh fixture, đường thực hiện và phép quan sát trên build của từng case chưa đánh giá.</t>
        </is>
      </c>
      <c r="C6074" s="57" t="n"/>
      <c r="D6074" s="57" t="n"/>
      <c r="E6074" s="57" t="n"/>
    </row>
    <row r="6075" ht="30" customHeight="1">
      <c r="A6075" s="58" t="inlineStr">
        <is>
          <t>Thao tác</t>
        </is>
      </c>
      <c r="B6075" s="59" t="n"/>
      <c r="C6075" s="59" t="n"/>
      <c r="D6075" s="59" t="n"/>
      <c r="E6075" s="59" t="n"/>
    </row>
    <row r="6076" ht="30" customHeight="1">
      <c r="A6076" s="47" t="inlineStr">
        <is>
          <t>•</t>
        </is>
      </c>
      <c r="B6076" s="56" t="inlineStr">
        <is>
          <t>(A) S06 = 24 là Điểm dự kiến（見込点）: đăng ký.</t>
        </is>
      </c>
      <c r="C6076" s="57" t="n"/>
      <c r="D6076" s="57" t="n"/>
      <c r="E6076" s="57" t="n"/>
    </row>
    <row r="6077" ht="30" customHeight="1">
      <c r="A6077" s="47" t="inlineStr">
        <is>
          <t>•</t>
        </is>
      </c>
      <c r="B6077" s="56" t="inlineStr">
        <is>
          <t>(B) S08: nhập 28, lưu; sửa tay thành 35, lưu.</t>
        </is>
      </c>
      <c r="C6077" s="57" t="n"/>
      <c r="D6077" s="57" t="n"/>
      <c r="E6077" s="57" t="n"/>
    </row>
    <row r="6078" ht="44" customHeight="1">
      <c r="A6078" s="47" t="inlineStr">
        <is>
          <t>•</t>
        </is>
      </c>
      <c r="B6078" s="56" t="inlineStr">
        <is>
          <t>(C) Tạo dữ liệu mà phép tính cho 120 nhưng điểm lưu hợp lệ là 100; áp quy tắc cố định 100 [&lt;] và 100 [≤].</t>
        </is>
      </c>
      <c r="C6078" s="57" t="n"/>
      <c r="D6078" s="57" t="n"/>
      <c r="E6078" s="57" t="n"/>
    </row>
    <row r="6079" ht="44" customHeight="1">
      <c r="A6079" s="47" t="inlineStr">
        <is>
          <t>Reset</t>
        </is>
      </c>
      <c r="B6079" s="56" t="inlineStr">
        <is>
          <t>Trước mỗi biến thể, dựng lại điều kiện/dữ liệu đầu của case bằng đường được phép; giữ các reset/fixture độc lập đã nêu trong thủ tục.</t>
        </is>
      </c>
      <c r="C6079" s="57" t="n"/>
      <c r="D6079" s="57" t="n"/>
      <c r="E6079" s="57" t="n"/>
    </row>
    <row r="6080" ht="30" customHeight="1">
      <c r="A6080" s="58" t="inlineStr">
        <is>
          <t>Kết quả mong đợi</t>
        </is>
      </c>
      <c r="B6080" s="59" t="n"/>
      <c r="C6080" s="59" t="n"/>
      <c r="D6080" s="59" t="n"/>
      <c r="E6080" s="59" t="n"/>
    </row>
    <row r="6081" ht="30" customHeight="1">
      <c r="A6081" s="47" t="inlineStr">
        <is>
          <t>•</t>
        </is>
      </c>
      <c r="B6081" s="56" t="inlineStr">
        <is>
          <t>(A) Đỏ.</t>
        </is>
      </c>
      <c r="C6081" s="57" t="n"/>
      <c r="D6081" s="57" t="n"/>
      <c r="E6081" s="57" t="n"/>
    </row>
    <row r="6082" ht="30" customHeight="1">
      <c r="A6082" s="47" t="inlineStr">
        <is>
          <t>•</t>
        </is>
      </c>
      <c r="B6082" s="56" t="inlineStr">
        <is>
          <t>(B) Sau lần lưu thứ hai: xét 35 → Không đỏ.</t>
        </is>
      </c>
      <c r="C6082" s="57" t="n"/>
      <c r="D6082" s="57" t="n"/>
      <c r="E6082" s="57" t="n"/>
    </row>
    <row r="6083" ht="30" customHeight="1">
      <c r="A6083" s="47" t="inlineStr">
        <is>
          <t>•</t>
        </is>
      </c>
      <c r="B6083" s="56" t="inlineStr">
        <is>
          <t>(C) Xét [S=100]: [&lt;100] Không đỏ; [≤100] Đỏ.</t>
        </is>
      </c>
      <c r="C6083" s="57" t="n"/>
      <c r="D6083" s="57" t="n"/>
      <c r="E6083" s="57" t="n"/>
    </row>
    <row r="6084" ht="44" customHeight="1">
      <c r="A6084" s="47" t="inlineStr">
        <is>
          <t>Giữ nguyên</t>
        </is>
      </c>
      <c r="B6084" s="56" t="inlineStr">
        <is>
          <t>• Giữ điểm, cấu hình và đối tượng không đích theo expected;
• Chỉ thay phần thủ tục yêu cầu, không tự đổi oracle hoặc mở rộng phạm vi.</t>
        </is>
      </c>
      <c r="C6084" s="57" t="n"/>
      <c r="D6084" s="57" t="n"/>
      <c r="E6084" s="57" t="n"/>
    </row>
    <row r="6085" ht="61" customHeight="1">
      <c r="A6085" s="47" t="inlineStr">
        <is>
          <t>Quan sát tại</t>
        </is>
      </c>
      <c r="B6085" s="56" t="inlineStr">
        <is>
          <t>• Dùng trích xuất không lọc để thấy cả ô đối chứng. Trạng thái không có dấu đỏ cần đọc thêm trạng thái lưu;
• Output Excel/PDF dùng file thật.</t>
        </is>
      </c>
      <c r="C6085" s="57" t="n"/>
      <c r="D6085" s="57" t="n"/>
      <c r="E6085" s="57" t="n"/>
    </row>
    <row r="6086" ht="30" customHeight="1">
      <c r="A6086" s="58" t="inlineStr">
        <is>
          <t>Kết quả thực tế</t>
        </is>
      </c>
      <c r="B6086" s="59" t="n"/>
      <c r="C6086" s="59" t="n"/>
      <c r="D6086" s="59" t="n"/>
      <c r="E6086" s="59" t="n"/>
    </row>
    <row r="6087" ht="30" customHeight="1">
      <c r="A6087" s="60" t="inlineStr">
        <is>
          <t>TC-RS-BR-012 / projected</t>
        </is>
      </c>
      <c r="B6087" s="36" t="n"/>
      <c r="C6087" s="36" t="n"/>
      <c r="D6087" s="36" t="n"/>
      <c r="E6087" s="36" t="n"/>
    </row>
    <row r="6088" ht="30" customHeight="1">
      <c r="A6088" s="47" t="inlineStr">
        <is>
          <t>Dữ liệu biến thể</t>
        </is>
      </c>
      <c r="B6088" s="56" t="inlineStr">
        <is>
          <t>Điểm dự kiến 24</t>
        </is>
      </c>
      <c r="C6088" s="57" t="n"/>
      <c r="D6088" s="57" t="n"/>
      <c r="E6088" s="57" t="n"/>
    </row>
    <row r="6089" ht="30" customHeight="1">
      <c r="A6089" s="47" t="inlineStr">
        <is>
          <t>Trạng thái</t>
        </is>
      </c>
      <c r="B6089" s="61" t="inlineStr">
        <is>
          <t>Chưa thực hiện</t>
        </is>
      </c>
      <c r="C6089" s="57" t="n"/>
      <c r="D6089" s="57" t="n"/>
      <c r="E6089" s="57" t="n"/>
    </row>
    <row r="6090" ht="30" customHeight="1">
      <c r="A6090" s="62" t="inlineStr">
        <is>
          <t>Kết quả thực tế</t>
        </is>
      </c>
    </row>
    <row r="6091" ht="64" customHeight="1">
      <c r="A6091" s="63" t="inlineStr"/>
      <c r="B6091" s="64" t="n"/>
      <c r="C6091" s="64" t="n"/>
      <c r="D6091" s="64" t="n"/>
      <c r="E6091" s="65" t="n"/>
    </row>
    <row r="6092" ht="30" customHeight="1">
      <c r="A6092" s="62" t="inlineStr">
        <is>
          <t>Ảnh minh chứng</t>
        </is>
      </c>
    </row>
    <row r="6093" ht="90" customHeight="1">
      <c r="A6093" s="63" t="inlineStr"/>
      <c r="B6093" s="64" t="n"/>
      <c r="C6093" s="64" t="n"/>
      <c r="D6093" s="64" t="n"/>
      <c r="E6093" s="65" t="n"/>
    </row>
    <row r="6094" ht="12" customHeight="1">
      <c r="A6094" s="66" t="inlineStr"/>
    </row>
    <row r="6095" ht="30" customHeight="1">
      <c r="A6095" s="60" t="inlineStr">
        <is>
          <t>TC-RS-BR-012 / manual</t>
        </is>
      </c>
      <c r="B6095" s="36" t="n"/>
      <c r="C6095" s="36" t="n"/>
      <c r="D6095" s="36" t="n"/>
      <c r="E6095" s="36" t="n"/>
    </row>
    <row r="6096" ht="30" customHeight="1">
      <c r="A6096" s="47" t="inlineStr">
        <is>
          <t>Dữ liệu biến thể</t>
        </is>
      </c>
      <c r="B6096" s="56" t="inlineStr">
        <is>
          <t>Chuỗi sửa tay 28 thành 35</t>
        </is>
      </c>
      <c r="C6096" s="57" t="n"/>
      <c r="D6096" s="57" t="n"/>
      <c r="E6096" s="57" t="n"/>
    </row>
    <row r="6097" ht="30" customHeight="1">
      <c r="A6097" s="47" t="inlineStr">
        <is>
          <t>Trạng thái</t>
        </is>
      </c>
      <c r="B6097" s="61" t="inlineStr">
        <is>
          <t>Chưa thực hiện</t>
        </is>
      </c>
      <c r="C6097" s="57" t="n"/>
      <c r="D6097" s="57" t="n"/>
      <c r="E6097" s="57" t="n"/>
    </row>
    <row r="6098" ht="30" customHeight="1">
      <c r="A6098" s="62" t="inlineStr">
        <is>
          <t>Kết quả thực tế</t>
        </is>
      </c>
    </row>
    <row r="6099" ht="64" customHeight="1">
      <c r="A6099" s="63" t="inlineStr"/>
      <c r="B6099" s="64" t="n"/>
      <c r="C6099" s="64" t="n"/>
      <c r="D6099" s="64" t="n"/>
      <c r="E6099" s="65" t="n"/>
    </row>
    <row r="6100" ht="30" customHeight="1">
      <c r="A6100" s="62" t="inlineStr">
        <is>
          <t>Ảnh minh chứng</t>
        </is>
      </c>
    </row>
    <row r="6101" ht="90" customHeight="1">
      <c r="A6101" s="63" t="inlineStr"/>
      <c r="B6101" s="64" t="n"/>
      <c r="C6101" s="64" t="n"/>
      <c r="D6101" s="64" t="n"/>
      <c r="E6101" s="65" t="n"/>
    </row>
    <row r="6102" ht="12" customHeight="1">
      <c r="A6102" s="66" t="inlineStr"/>
    </row>
    <row r="6103" ht="30" customHeight="1">
      <c r="A6103" s="60" t="inlineStr">
        <is>
          <t>TC-RS-BR-012 / clamp-lt</t>
        </is>
      </c>
      <c r="B6103" s="36" t="n"/>
      <c r="C6103" s="36" t="n"/>
      <c r="D6103" s="36" t="n"/>
      <c r="E6103" s="36" t="n"/>
    </row>
    <row r="6104" ht="30" customHeight="1">
      <c r="A6104" s="47" t="inlineStr">
        <is>
          <t>Dữ liệu biến thể</t>
        </is>
      </c>
      <c r="B6104" s="56" t="inlineStr">
        <is>
          <t>Điểm sau chặn 100 với nhỏ hơn</t>
        </is>
      </c>
      <c r="C6104" s="57" t="n"/>
      <c r="D6104" s="57" t="n"/>
      <c r="E6104" s="57" t="n"/>
    </row>
    <row r="6105" ht="30" customHeight="1">
      <c r="A6105" s="47" t="inlineStr">
        <is>
          <t>Trạng thái</t>
        </is>
      </c>
      <c r="B6105" s="61" t="inlineStr">
        <is>
          <t>Chưa thực hiện</t>
        </is>
      </c>
      <c r="C6105" s="57" t="n"/>
      <c r="D6105" s="57" t="n"/>
      <c r="E6105" s="57" t="n"/>
    </row>
    <row r="6106" ht="30" customHeight="1">
      <c r="A6106" s="62" t="inlineStr">
        <is>
          <t>Kết quả thực tế</t>
        </is>
      </c>
    </row>
    <row r="6107" ht="64" customHeight="1">
      <c r="A6107" s="63" t="inlineStr"/>
      <c r="B6107" s="64" t="n"/>
      <c r="C6107" s="64" t="n"/>
      <c r="D6107" s="64" t="n"/>
      <c r="E6107" s="65" t="n"/>
    </row>
    <row r="6108" ht="30" customHeight="1">
      <c r="A6108" s="62" t="inlineStr">
        <is>
          <t>Ảnh minh chứng</t>
        </is>
      </c>
    </row>
    <row r="6109" ht="90" customHeight="1">
      <c r="A6109" s="63" t="inlineStr"/>
      <c r="B6109" s="64" t="n"/>
      <c r="C6109" s="64" t="n"/>
      <c r="D6109" s="64" t="n"/>
      <c r="E6109" s="65" t="n"/>
    </row>
    <row r="6110" ht="12" customHeight="1">
      <c r="A6110" s="66" t="inlineStr"/>
    </row>
    <row r="6111" ht="30" customHeight="1">
      <c r="A6111" s="60" t="inlineStr">
        <is>
          <t>TC-RS-BR-012 / clamp-le</t>
        </is>
      </c>
      <c r="B6111" s="36" t="n"/>
      <c r="C6111" s="36" t="n"/>
      <c r="D6111" s="36" t="n"/>
      <c r="E6111" s="36" t="n"/>
    </row>
    <row r="6112" ht="30" customHeight="1">
      <c r="A6112" s="47" t="inlineStr">
        <is>
          <t>Dữ liệu biến thể</t>
        </is>
      </c>
      <c r="B6112" s="56" t="inlineStr">
        <is>
          <t>Điểm sau chặn 100 với nhỏ hơn hoặc bằng</t>
        </is>
      </c>
      <c r="C6112" s="57" t="n"/>
      <c r="D6112" s="57" t="n"/>
      <c r="E6112" s="57" t="n"/>
    </row>
    <row r="6113" ht="30" customHeight="1">
      <c r="A6113" s="47" t="inlineStr">
        <is>
          <t>Trạng thái</t>
        </is>
      </c>
      <c r="B6113" s="61" t="inlineStr">
        <is>
          <t>Chưa thực hiện</t>
        </is>
      </c>
      <c r="C6113" s="57" t="n"/>
      <c r="D6113" s="57" t="n"/>
      <c r="E6113" s="57" t="n"/>
    </row>
    <row r="6114" ht="30" customHeight="1">
      <c r="A6114" s="62" t="inlineStr">
        <is>
          <t>Kết quả thực tế</t>
        </is>
      </c>
    </row>
    <row r="6115" ht="64" customHeight="1">
      <c r="A6115" s="63" t="inlineStr"/>
      <c r="B6115" s="64" t="n"/>
      <c r="C6115" s="64" t="n"/>
      <c r="D6115" s="64" t="n"/>
      <c r="E6115" s="65" t="n"/>
    </row>
    <row r="6116" ht="30" customHeight="1">
      <c r="A6116" s="62" t="inlineStr">
        <is>
          <t>Ảnh minh chứng</t>
        </is>
      </c>
    </row>
    <row r="6117" ht="90" customHeight="1">
      <c r="A6117" s="63" t="inlineStr"/>
      <c r="B6117" s="64" t="n"/>
      <c r="C6117" s="64" t="n"/>
      <c r="D6117" s="64" t="n"/>
      <c r="E6117" s="65" t="n"/>
    </row>
    <row r="6118" ht="12" customHeight="1">
      <c r="A6118" s="66" t="inlineStr"/>
    </row>
    <row r="6119" ht="20" customHeight="1">
      <c r="A6119" s="66" t="inlineStr"/>
    </row>
    <row r="6120" ht="30" customHeight="1">
      <c r="A6120" s="46" t="inlineStr">
        <is>
          <t>TC-RS-BR-013 — Cờ Chưa dự thi（未受験） không loại điểm số khỏi xét</t>
        </is>
      </c>
      <c r="B6120" s="23" t="n"/>
      <c r="C6120" s="23" t="n"/>
      <c r="D6120" s="23" t="n"/>
      <c r="E6120" s="23" t="n"/>
    </row>
    <row r="6121" ht="30" customHeight="1">
      <c r="A6121" s="47" t="inlineStr">
        <is>
          <t>Trạng thái</t>
        </is>
      </c>
      <c r="B6121" s="56">
        <f>IF(0&gt;0,"Không đạt",IF(0=3,"Đạt",IF(SUMPRODUCT(--EXACT('Testcases'!B6143:B6159,"Không thực hiện"))=3,"Không thực hiện",IF(SUMPRODUCT(--EXACT('Testcases'!B6143:B6159,"Bị chặn"))&gt;0,"Bị chặn",IF(SUMPRODUCT(--EXACT('Testcases'!B6143:B6159,"Chưa thực hiện"))=3,"Chưa thực hiện","Chưa đủ kết luận")))))</f>
        <v/>
      </c>
      <c r="C6121" s="57" t="n"/>
      <c r="D6121" s="57" t="n"/>
      <c r="E6121" s="57" t="n"/>
    </row>
    <row r="6122" ht="30" customHeight="1">
      <c r="A6122" s="47" t="inlineStr">
        <is>
          <t>Màn hình / chức năng</t>
        </is>
      </c>
      <c r="B6122" s="47" t="inlineStr">
        <is>
          <t>Đăng ký thành tích（成績登録）</t>
        </is>
      </c>
      <c r="C6122" s="57" t="n"/>
      <c r="D6122" s="47" t="inlineStr">
        <is>
          <t>Đường dẫn</t>
        </is>
      </c>
      <c r="E6122" s="56" t="inlineStr">
        <is>
          <t>Chưa xác minh</t>
        </is>
      </c>
    </row>
    <row r="6123" ht="30" customHeight="1">
      <c r="A6123" s="58" t="inlineStr">
        <is>
          <t>Điều kiện kiểm thử</t>
        </is>
      </c>
      <c r="B6123" s="59" t="n"/>
      <c r="C6123" s="59" t="n"/>
      <c r="D6123" s="59" t="n"/>
      <c r="E6123" s="59" t="n"/>
    </row>
    <row r="6124" ht="30" customHeight="1">
      <c r="A6124" s="47" t="inlineStr">
        <is>
          <t>Cấu hình</t>
        </is>
      </c>
      <c r="B6124" s="56" t="inlineStr">
        <is>
          <t>• Quy tắc “Cố định 30” (dưới 30) ([&lt;30]).</t>
        </is>
      </c>
      <c r="C6124" s="57" t="n"/>
      <c r="D6124" s="57" t="n"/>
      <c r="E6124" s="57" t="n"/>
    </row>
    <row r="6125" ht="61" customHeight="1">
      <c r="A6125" s="47" t="inlineStr">
        <is>
          <t>Vai trò / quyền</t>
        </is>
      </c>
      <c r="B612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125" s="57" t="n"/>
      <c r="D6125" s="57" t="n"/>
      <c r="E6125" s="57" t="n"/>
    </row>
    <row r="6126" ht="95" customHeight="1">
      <c r="A6126" s="47" t="inlineStr">
        <is>
          <t>Dữ liệu test</t>
        </is>
      </c>
      <c r="B6126" s="56" t="inlineStr">
        <is>
          <t>• Quy tắc “Cố định 30” (dưới 30);
• Học sinh S07 (điểm 35, cờ Chưa dự thi（未受験）) (35, cờ Chưa dự thi) và biến thể S07 = 25 cùng cờ;
• Học sinh S09 (mục số thập phân 29.5) (mục số thập phân (M=100) = 29.5) được thiết lập loại khỏi xếp hạng;
• Mục số thập phân (M=100) có quy tắc “Cố định 30” (dưới 30)</t>
        </is>
      </c>
      <c r="C6126" s="57" t="n"/>
      <c r="D6126" s="57" t="n"/>
      <c r="E6126" s="57" t="n"/>
    </row>
    <row r="6127" ht="30" customHeight="1">
      <c r="A6127" s="47" t="inlineStr">
        <is>
          <t>Trigger</t>
        </is>
      </c>
      <c r="B6127" s="56" t="inlineStr">
        <is>
          <t>• Chỉ xem/xuất không tự chạy xét.</t>
        </is>
      </c>
      <c r="C6127" s="57" t="n"/>
      <c r="D6127" s="57" t="n"/>
      <c r="E6127" s="57" t="n"/>
    </row>
    <row r="6128" ht="44" customHeight="1">
      <c r="A6128" s="47" t="inlineStr">
        <is>
          <t>Blocker</t>
        </is>
      </c>
      <c r="B6128" s="56" t="inlineStr">
        <is>
          <t>• G-PREP-UNASSESSED: Chưa có xác minh fixture, đường thực hiện và phép quan sát trên build của từng case chưa đánh giá.</t>
        </is>
      </c>
      <c r="C6128" s="57" t="n"/>
      <c r="D6128" s="57" t="n"/>
      <c r="E6128" s="57" t="n"/>
    </row>
    <row r="6129" ht="30" customHeight="1">
      <c r="A6129" s="58" t="inlineStr">
        <is>
          <t>Thao tác</t>
        </is>
      </c>
      <c r="B6129" s="59" t="n"/>
      <c r="C6129" s="59" t="n"/>
      <c r="D6129" s="59" t="n"/>
      <c r="E6129" s="59" t="n"/>
    </row>
    <row r="6130" ht="30" customHeight="1">
      <c r="A6130" s="47" t="inlineStr">
        <is>
          <t>Step 1</t>
        </is>
      </c>
      <c r="B6130" s="56" t="inlineStr">
        <is>
          <t>Đăng ký S07=35 kèm cờ Chưa dự thi（未受験）.</t>
        </is>
      </c>
      <c r="C6130" s="57" t="n"/>
      <c r="D6130" s="57" t="n"/>
      <c r="E6130" s="57" t="n"/>
    </row>
    <row r="6131" ht="30" customHeight="1">
      <c r="A6131" s="47" t="inlineStr">
        <is>
          <t>Step 2</t>
        </is>
      </c>
      <c r="B6131" s="56" t="inlineStr">
        <is>
          <t>Sửa S07=25, giữ cờ.</t>
        </is>
      </c>
      <c r="C6131" s="57" t="n"/>
      <c r="D6131" s="57" t="n"/>
      <c r="E6131" s="57" t="n"/>
    </row>
    <row r="6132" ht="30" customHeight="1">
      <c r="A6132" s="47" t="inlineStr">
        <is>
          <t>Step 3</t>
        </is>
      </c>
      <c r="B6132" s="56" t="inlineStr">
        <is>
          <t>Đăng ký điểm 29.5 cho S09 (học sinh bị loại khỏi xếp hạng); chạy nút xanh rồi nút cam.</t>
        </is>
      </c>
      <c r="C6132" s="57" t="n"/>
      <c r="D6132" s="57" t="n"/>
      <c r="E6132" s="57" t="n"/>
    </row>
    <row r="6133" ht="44" customHeight="1">
      <c r="A6133" s="47" t="inlineStr">
        <is>
          <t>Reset</t>
        </is>
      </c>
      <c r="B6133" s="56" t="inlineStr">
        <is>
          <t>Trước mỗi biến thể, dựng lại điều kiện/dữ liệu đầu của case bằng đường được phép; giữ các reset/fixture độc lập đã nêu trong thủ tục.</t>
        </is>
      </c>
      <c r="C6133" s="57" t="n"/>
      <c r="D6133" s="57" t="n"/>
      <c r="E6133" s="57" t="n"/>
    </row>
    <row r="6134" ht="30" customHeight="1">
      <c r="A6134" s="58" t="inlineStr">
        <is>
          <t>Kết quả mong đợi</t>
        </is>
      </c>
      <c r="B6134" s="59" t="n"/>
      <c r="C6134" s="59" t="n"/>
      <c r="D6134" s="59" t="n"/>
      <c r="E6134" s="59" t="n"/>
    </row>
    <row r="6135" ht="30" customHeight="1">
      <c r="A6135" s="47" t="inlineStr">
        <is>
          <t>1.</t>
        </is>
      </c>
      <c r="B6135" s="56" t="inlineStr">
        <is>
          <t>Được xét → Không đỏ.</t>
        </is>
      </c>
      <c r="C6135" s="57" t="n"/>
      <c r="D6135" s="57" t="n"/>
      <c r="E6135" s="57" t="n"/>
    </row>
    <row r="6136" ht="30" customHeight="1">
      <c r="A6136" s="47" t="inlineStr">
        <is>
          <t>2.</t>
        </is>
      </c>
      <c r="B6136" s="56" t="inlineStr">
        <is>
          <t>Được xét → Đỏ.</t>
        </is>
      </c>
      <c r="C6136" s="57" t="n"/>
      <c r="D6136" s="57" t="n"/>
      <c r="E6136" s="57" t="n"/>
    </row>
    <row r="6137" ht="30" customHeight="1">
      <c r="A6137" s="47" t="inlineStr">
        <is>
          <t>3.</t>
        </is>
      </c>
      <c r="B6137" s="56" t="inlineStr">
        <is>
          <t>S09 được xét → Đỏ (29.5 [&lt;30]); việc bị loại khỏi xếp hạng không loại ô khỏi xét đỏ.</t>
        </is>
      </c>
      <c r="C6137" s="57" t="n"/>
      <c r="D6137" s="57" t="n"/>
      <c r="E6137" s="57" t="n"/>
    </row>
    <row r="6138" ht="44" customHeight="1">
      <c r="A6138" s="47" t="inlineStr">
        <is>
          <t>Giữ nguyên</t>
        </is>
      </c>
      <c r="B6138" s="56" t="inlineStr">
        <is>
          <t>• Giữ điểm, cấu hình và đối tượng không đích theo expected;
• Chỉ thay phần thủ tục yêu cầu, không tự đổi oracle hoặc mở rộng phạm vi.</t>
        </is>
      </c>
      <c r="C6138" s="57" t="n"/>
      <c r="D6138" s="57" t="n"/>
      <c r="E6138" s="57" t="n"/>
    </row>
    <row r="6139" ht="61" customHeight="1">
      <c r="A6139" s="47" t="inlineStr">
        <is>
          <t>Quan sát tại</t>
        </is>
      </c>
      <c r="B6139" s="56" t="inlineStr">
        <is>
          <t>• Dùng trích xuất không lọc để thấy cả ô đối chứng. Trạng thái không có dấu đỏ cần đọc thêm trạng thái lưu;
• Output Excel/PDF dùng file thật.</t>
        </is>
      </c>
      <c r="C6139" s="57" t="n"/>
      <c r="D6139" s="57" t="n"/>
      <c r="E6139" s="57" t="n"/>
    </row>
    <row r="6140" ht="30" customHeight="1">
      <c r="A6140" s="58" t="inlineStr">
        <is>
          <t>Kết quả thực tế</t>
        </is>
      </c>
      <c r="B6140" s="59" t="n"/>
      <c r="C6140" s="59" t="n"/>
      <c r="D6140" s="59" t="n"/>
      <c r="E6140" s="59" t="n"/>
    </row>
    <row r="6141" ht="30" customHeight="1">
      <c r="A6141" s="60" t="inlineStr">
        <is>
          <t>TC-RS-BR-013 / notexam35</t>
        </is>
      </c>
      <c r="B6141" s="36" t="n"/>
      <c r="C6141" s="36" t="n"/>
      <c r="D6141" s="36" t="n"/>
      <c r="E6141" s="36" t="n"/>
    </row>
    <row r="6142" ht="30" customHeight="1">
      <c r="A6142" s="47" t="inlineStr">
        <is>
          <t>Dữ liệu biến thể</t>
        </is>
      </c>
      <c r="B6142" s="56" t="inlineStr">
        <is>
          <t>Cờ chưa dự thi với điểm 35</t>
        </is>
      </c>
      <c r="C6142" s="57" t="n"/>
      <c r="D6142" s="57" t="n"/>
      <c r="E6142" s="57" t="n"/>
    </row>
    <row r="6143" ht="30" customHeight="1">
      <c r="A6143" s="47" t="inlineStr">
        <is>
          <t>Trạng thái</t>
        </is>
      </c>
      <c r="B6143" s="61" t="inlineStr">
        <is>
          <t>Chưa thực hiện</t>
        </is>
      </c>
      <c r="C6143" s="57" t="n"/>
      <c r="D6143" s="57" t="n"/>
      <c r="E6143" s="57" t="n"/>
    </row>
    <row r="6144" ht="30" customHeight="1">
      <c r="A6144" s="62" t="inlineStr">
        <is>
          <t>Kết quả thực tế</t>
        </is>
      </c>
    </row>
    <row r="6145" ht="64" customHeight="1">
      <c r="A6145" s="63" t="inlineStr"/>
      <c r="B6145" s="64" t="n"/>
      <c r="C6145" s="64" t="n"/>
      <c r="D6145" s="64" t="n"/>
      <c r="E6145" s="65" t="n"/>
    </row>
    <row r="6146" ht="30" customHeight="1">
      <c r="A6146" s="62" t="inlineStr">
        <is>
          <t>Ảnh minh chứng</t>
        </is>
      </c>
    </row>
    <row r="6147" ht="90" customHeight="1">
      <c r="A6147" s="63" t="inlineStr"/>
      <c r="B6147" s="64" t="n"/>
      <c r="C6147" s="64" t="n"/>
      <c r="D6147" s="64" t="n"/>
      <c r="E6147" s="65" t="n"/>
    </row>
    <row r="6148" ht="12" customHeight="1">
      <c r="A6148" s="66" t="inlineStr"/>
    </row>
    <row r="6149" ht="30" customHeight="1">
      <c r="A6149" s="60" t="inlineStr">
        <is>
          <t>TC-RS-BR-013 / notexam25</t>
        </is>
      </c>
      <c r="B6149" s="36" t="n"/>
      <c r="C6149" s="36" t="n"/>
      <c r="D6149" s="36" t="n"/>
      <c r="E6149" s="36" t="n"/>
    </row>
    <row r="6150" ht="30" customHeight="1">
      <c r="A6150" s="47" t="inlineStr">
        <is>
          <t>Dữ liệu biến thể</t>
        </is>
      </c>
      <c r="B6150" s="56" t="inlineStr">
        <is>
          <t>Cờ chưa dự thi với điểm 25</t>
        </is>
      </c>
      <c r="C6150" s="57" t="n"/>
      <c r="D6150" s="57" t="n"/>
      <c r="E6150" s="57" t="n"/>
    </row>
    <row r="6151" ht="30" customHeight="1">
      <c r="A6151" s="47" t="inlineStr">
        <is>
          <t>Trạng thái</t>
        </is>
      </c>
      <c r="B6151" s="61" t="inlineStr">
        <is>
          <t>Chưa thực hiện</t>
        </is>
      </c>
      <c r="C6151" s="57" t="n"/>
      <c r="D6151" s="57" t="n"/>
      <c r="E6151" s="57" t="n"/>
    </row>
    <row r="6152" ht="30" customHeight="1">
      <c r="A6152" s="62" t="inlineStr">
        <is>
          <t>Kết quả thực tế</t>
        </is>
      </c>
    </row>
    <row r="6153" ht="64" customHeight="1">
      <c r="A6153" s="63" t="inlineStr"/>
      <c r="B6153" s="64" t="n"/>
      <c r="C6153" s="64" t="n"/>
      <c r="D6153" s="64" t="n"/>
      <c r="E6153" s="65" t="n"/>
    </row>
    <row r="6154" ht="30" customHeight="1">
      <c r="A6154" s="62" t="inlineStr">
        <is>
          <t>Ảnh minh chứng</t>
        </is>
      </c>
    </row>
    <row r="6155" ht="90" customHeight="1">
      <c r="A6155" s="63" t="inlineStr"/>
      <c r="B6155" s="64" t="n"/>
      <c r="C6155" s="64" t="n"/>
      <c r="D6155" s="64" t="n"/>
      <c r="E6155" s="65" t="n"/>
    </row>
    <row r="6156" ht="12" customHeight="1">
      <c r="A6156" s="66" t="inlineStr"/>
    </row>
    <row r="6157" ht="30" customHeight="1">
      <c r="A6157" s="60" t="inlineStr">
        <is>
          <t>TC-RS-BR-013 / ranking-excluded</t>
        </is>
      </c>
      <c r="B6157" s="36" t="n"/>
      <c r="C6157" s="36" t="n"/>
      <c r="D6157" s="36" t="n"/>
      <c r="E6157" s="36" t="n"/>
    </row>
    <row r="6158" ht="30" customHeight="1">
      <c r="A6158" s="47" t="inlineStr">
        <is>
          <t>Dữ liệu biến thể</t>
        </is>
      </c>
      <c r="B6158" s="56" t="inlineStr">
        <is>
          <t>Loại khỏi xếp hạng với điểm 29.5</t>
        </is>
      </c>
      <c r="C6158" s="57" t="n"/>
      <c r="D6158" s="57" t="n"/>
      <c r="E6158" s="57" t="n"/>
    </row>
    <row r="6159" ht="30" customHeight="1">
      <c r="A6159" s="47" t="inlineStr">
        <is>
          <t>Trạng thái</t>
        </is>
      </c>
      <c r="B6159" s="61" t="inlineStr">
        <is>
          <t>Chưa thực hiện</t>
        </is>
      </c>
      <c r="C6159" s="57" t="n"/>
      <c r="D6159" s="57" t="n"/>
      <c r="E6159" s="57" t="n"/>
    </row>
    <row r="6160" ht="30" customHeight="1">
      <c r="A6160" s="62" t="inlineStr">
        <is>
          <t>Kết quả thực tế</t>
        </is>
      </c>
    </row>
    <row r="6161" ht="64" customHeight="1">
      <c r="A6161" s="63" t="inlineStr"/>
      <c r="B6161" s="64" t="n"/>
      <c r="C6161" s="64" t="n"/>
      <c r="D6161" s="64" t="n"/>
      <c r="E6161" s="65" t="n"/>
    </row>
    <row r="6162" ht="30" customHeight="1">
      <c r="A6162" s="62" t="inlineStr">
        <is>
          <t>Ảnh minh chứng</t>
        </is>
      </c>
    </row>
    <row r="6163" ht="90" customHeight="1">
      <c r="A6163" s="63" t="inlineStr"/>
      <c r="B6163" s="64" t="n"/>
      <c r="C6163" s="64" t="n"/>
      <c r="D6163" s="64" t="n"/>
      <c r="E6163" s="65" t="n"/>
    </row>
    <row r="6164" ht="12" customHeight="1">
      <c r="A6164" s="66" t="inlineStr"/>
    </row>
    <row r="6165" ht="20" customHeight="1">
      <c r="A6165" s="66" t="inlineStr"/>
    </row>
    <row r="6166" ht="30" customHeight="1">
      <c r="A6166" s="46" t="inlineStr">
        <is>
          <t>TC-RS-BR-014 — Ô trống không bị coi là 0 (trạng thái Không có điểm)</t>
        </is>
      </c>
      <c r="B6166" s="23" t="n"/>
      <c r="C6166" s="23" t="n"/>
      <c r="D6166" s="23" t="n"/>
      <c r="E6166" s="23" t="n"/>
    </row>
    <row r="6167" ht="30" customHeight="1">
      <c r="A6167" s="47" t="inlineStr">
        <is>
          <t>Trạng thái</t>
        </is>
      </c>
      <c r="B6167" s="56">
        <f>IF(0&gt;0,"Không đạt",IF(0=2,"Đạt",IF(SUMPRODUCT(--EXACT('Testcases'!B6187:B6195,"Không thực hiện"))=2,"Không thực hiện",IF(SUMPRODUCT(--EXACT('Testcases'!B6187:B6195,"Bị chặn"))&gt;0,"Bị chặn",IF(SUMPRODUCT(--EXACT('Testcases'!B6187:B6195,"Chưa thực hiện"))=2,"Chưa thực hiện","Chưa đủ kết luận")))))</f>
        <v/>
      </c>
      <c r="C6167" s="57" t="n"/>
      <c r="D6167" s="57" t="n"/>
      <c r="E6167" s="57" t="n"/>
    </row>
    <row r="6168" ht="30" customHeight="1">
      <c r="A6168" s="47" t="inlineStr">
        <is>
          <t>Màn hình / chức năng</t>
        </is>
      </c>
      <c r="B6168" s="47" t="inlineStr">
        <is>
          <t>Đăng ký thành tích（成績登録）</t>
        </is>
      </c>
      <c r="C6168" s="57" t="n"/>
      <c r="D6168" s="47" t="inlineStr">
        <is>
          <t>Đường dẫn</t>
        </is>
      </c>
      <c r="E6168" s="56" t="inlineStr">
        <is>
          <t>Chưa xác minh</t>
        </is>
      </c>
    </row>
    <row r="6169" ht="30" customHeight="1">
      <c r="A6169" s="58" t="inlineStr">
        <is>
          <t>Điều kiện kiểm thử</t>
        </is>
      </c>
      <c r="B6169" s="59" t="n"/>
      <c r="C6169" s="59" t="n"/>
      <c r="D6169" s="59" t="n"/>
      <c r="E6169" s="59" t="n"/>
    </row>
    <row r="6170" ht="44" customHeight="1">
      <c r="A6170" s="47" t="inlineStr">
        <is>
          <t>Cấu hình</t>
        </is>
      </c>
      <c r="B6170" s="56" t="inlineStr">
        <is>
          <t>• Quy tắc “Cố định 30” (dưới 30) ([&lt;30]) và quy tắc cố định 30 với Nhỏ hơn hoặc bằng（以下） biến thể cố định 0 [≤].</t>
        </is>
      </c>
      <c r="C6170" s="57" t="n"/>
      <c r="D6170" s="57" t="n"/>
      <c r="E6170" s="57" t="n"/>
    </row>
    <row r="6171" ht="61" customHeight="1">
      <c r="A6171" s="47" t="inlineStr">
        <is>
          <t>Vai trò / quyền</t>
        </is>
      </c>
      <c r="B617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171" s="57" t="n"/>
      <c r="D6171" s="57" t="n"/>
      <c r="E6171" s="57" t="n"/>
    </row>
    <row r="6172" ht="44" customHeight="1">
      <c r="A6172" s="47" t="inlineStr">
        <is>
          <t>Dữ liệu test</t>
        </is>
      </c>
      <c r="B6172" s="56" t="inlineStr">
        <is>
          <t>• Quy tắc “Cố định 30” (dưới 30), quy tắc cố định 30 với Nhỏ hơn hoặc bằng（以下）;
• Học sinh S05 (ô trống) (trống), học sinh S04 (điểm 0) (0)</t>
        </is>
      </c>
      <c r="C6172" s="57" t="n"/>
      <c r="D6172" s="57" t="n"/>
      <c r="E6172" s="57" t="n"/>
    </row>
    <row r="6173" ht="30" customHeight="1">
      <c r="A6173" s="47" t="inlineStr">
        <is>
          <t>Trigger</t>
        </is>
      </c>
      <c r="B6173" s="56" t="inlineStr">
        <is>
          <t>• Chỉ xem/xuất không tự chạy xét.</t>
        </is>
      </c>
      <c r="C6173" s="57" t="n"/>
      <c r="D6173" s="57" t="n"/>
      <c r="E6173" s="57" t="n"/>
    </row>
    <row r="6174" ht="44" customHeight="1">
      <c r="A6174" s="47" t="inlineStr">
        <is>
          <t>Blocker</t>
        </is>
      </c>
      <c r="B6174" s="56" t="inlineStr">
        <is>
          <t>• G-PREP-UNASSESSED: Chưa có xác minh fixture, đường thực hiện và phép quan sát trên build của từng case chưa đánh giá.</t>
        </is>
      </c>
      <c r="C6174" s="57" t="n"/>
      <c r="D6174" s="57" t="n"/>
      <c r="E6174" s="57" t="n"/>
    </row>
    <row r="6175" ht="30" customHeight="1">
      <c r="A6175" s="58" t="inlineStr">
        <is>
          <t>Thao tác</t>
        </is>
      </c>
      <c r="B6175" s="59" t="n"/>
      <c r="C6175" s="59" t="n"/>
      <c r="D6175" s="59" t="n"/>
      <c r="E6175" s="59" t="n"/>
    </row>
    <row r="6176" ht="30" customHeight="1">
      <c r="A6176" s="47" t="inlineStr">
        <is>
          <t>Step 1</t>
        </is>
      </c>
      <c r="B6176" s="56" t="inlineStr">
        <is>
          <t>Với quy tắc “Cố định 30” (dưới 30): đăng ký S04=0, để S05 trống.</t>
        </is>
      </c>
      <c r="C6176" s="57" t="n"/>
      <c r="D6176" s="57" t="n"/>
      <c r="E6176" s="57" t="n"/>
    </row>
    <row r="6177" ht="30" customHeight="1">
      <c r="A6177" s="47" t="inlineStr">
        <is>
          <t>Step 2</t>
        </is>
      </c>
      <c r="B6177" s="56" t="inlineStr">
        <is>
          <t>Đổi thành quy tắc cố định 0 [≤], chạy lại.</t>
        </is>
      </c>
      <c r="C6177" s="57" t="n"/>
      <c r="D6177" s="57" t="n"/>
      <c r="E6177" s="57" t="n"/>
    </row>
    <row r="6178" ht="44" customHeight="1">
      <c r="A6178" s="47" t="inlineStr">
        <is>
          <t>Reset</t>
        </is>
      </c>
      <c r="B6178" s="56" t="inlineStr">
        <is>
          <t>Trước mỗi biến thể, dựng lại điều kiện/dữ liệu đầu của case bằng đường được phép; giữ các reset/fixture độc lập đã nêu trong thủ tục.</t>
        </is>
      </c>
      <c r="C6178" s="57" t="n"/>
      <c r="D6178" s="57" t="n"/>
      <c r="E6178" s="57" t="n"/>
    </row>
    <row r="6179" ht="30" customHeight="1">
      <c r="A6179" s="58" t="inlineStr">
        <is>
          <t>Kết quả mong đợi</t>
        </is>
      </c>
      <c r="B6179" s="59" t="n"/>
      <c r="C6179" s="59" t="n"/>
      <c r="D6179" s="59" t="n"/>
      <c r="E6179" s="59" t="n"/>
    </row>
    <row r="6180" ht="30" customHeight="1">
      <c r="A6180" s="47" t="inlineStr">
        <is>
          <t>1.</t>
        </is>
      </c>
      <c r="B6180" s="56" t="inlineStr">
        <is>
          <t>S04 Đỏ (0 hợp lệ là số); S05 Không có điểm, không dấu đỏ.</t>
        </is>
      </c>
      <c r="C6180" s="57" t="n"/>
      <c r="D6180" s="57" t="n"/>
      <c r="E6180" s="57" t="n"/>
    </row>
    <row r="6181" ht="30" customHeight="1">
      <c r="A6181" s="47" t="inlineStr">
        <is>
          <t>2.</t>
        </is>
      </c>
      <c r="B6181" s="56" t="inlineStr">
        <is>
          <t>S04 Đỏ ([0≤0]); S05 vẫn Không có điểm (không thành Đỏ như thể là 0).</t>
        </is>
      </c>
      <c r="C6181" s="57" t="n"/>
      <c r="D6181" s="57" t="n"/>
      <c r="E6181" s="57" t="n"/>
    </row>
    <row r="6182" ht="44" customHeight="1">
      <c r="A6182" s="47" t="inlineStr">
        <is>
          <t>Giữ nguyên</t>
        </is>
      </c>
      <c r="B6182" s="56" t="inlineStr">
        <is>
          <t>• Giữ điểm, cấu hình và đối tượng không đích theo expected;
• Chỉ thay phần thủ tục yêu cầu, không tự đổi oracle hoặc mở rộng phạm vi.</t>
        </is>
      </c>
      <c r="C6182" s="57" t="n"/>
      <c r="D6182" s="57" t="n"/>
      <c r="E6182" s="57" t="n"/>
    </row>
    <row r="6183" ht="61" customHeight="1">
      <c r="A6183" s="47" t="inlineStr">
        <is>
          <t>Quan sát tại</t>
        </is>
      </c>
      <c r="B6183" s="56" t="inlineStr">
        <is>
          <t>• Dùng trích xuất không lọc để thấy cả ô đối chứng. Trạng thái không có dấu đỏ cần đọc thêm trạng thái lưu;
• Output Excel/PDF dùng file thật.</t>
        </is>
      </c>
      <c r="C6183" s="57" t="n"/>
      <c r="D6183" s="57" t="n"/>
      <c r="E6183" s="57" t="n"/>
    </row>
    <row r="6184" ht="30" customHeight="1">
      <c r="A6184" s="58" t="inlineStr">
        <is>
          <t>Kết quả thực tế</t>
        </is>
      </c>
      <c r="B6184" s="59" t="n"/>
      <c r="C6184" s="59" t="n"/>
      <c r="D6184" s="59" t="n"/>
      <c r="E6184" s="59" t="n"/>
    </row>
    <row r="6185" ht="30" customHeight="1">
      <c r="A6185" s="60" t="inlineStr">
        <is>
          <t>TC-RS-BR-014 / fixed30-lt</t>
        </is>
      </c>
      <c r="B6185" s="36" t="n"/>
      <c r="C6185" s="36" t="n"/>
      <c r="D6185" s="36" t="n"/>
      <c r="E6185" s="36" t="n"/>
    </row>
    <row r="6186" ht="30" customHeight="1">
      <c r="A6186" s="47" t="inlineStr">
        <is>
          <t>Dữ liệu biến thể</t>
        </is>
      </c>
      <c r="B6186" s="56" t="inlineStr">
        <is>
          <t>Ngưỡng 30 nhỏ hơn, kiểm cả trống và 0</t>
        </is>
      </c>
      <c r="C6186" s="57" t="n"/>
      <c r="D6186" s="57" t="n"/>
      <c r="E6186" s="57" t="n"/>
    </row>
    <row r="6187" ht="30" customHeight="1">
      <c r="A6187" s="47" t="inlineStr">
        <is>
          <t>Trạng thái</t>
        </is>
      </c>
      <c r="B6187" s="61" t="inlineStr">
        <is>
          <t>Chưa thực hiện</t>
        </is>
      </c>
      <c r="C6187" s="57" t="n"/>
      <c r="D6187" s="57" t="n"/>
      <c r="E6187" s="57" t="n"/>
    </row>
    <row r="6188" ht="30" customHeight="1">
      <c r="A6188" s="62" t="inlineStr">
        <is>
          <t>Kết quả thực tế</t>
        </is>
      </c>
    </row>
    <row r="6189" ht="64" customHeight="1">
      <c r="A6189" s="63" t="inlineStr"/>
      <c r="B6189" s="64" t="n"/>
      <c r="C6189" s="64" t="n"/>
      <c r="D6189" s="64" t="n"/>
      <c r="E6189" s="65" t="n"/>
    </row>
    <row r="6190" ht="30" customHeight="1">
      <c r="A6190" s="62" t="inlineStr">
        <is>
          <t>Ảnh minh chứng</t>
        </is>
      </c>
    </row>
    <row r="6191" ht="90" customHeight="1">
      <c r="A6191" s="63" t="inlineStr"/>
      <c r="B6191" s="64" t="n"/>
      <c r="C6191" s="64" t="n"/>
      <c r="D6191" s="64" t="n"/>
      <c r="E6191" s="65" t="n"/>
    </row>
    <row r="6192" ht="12" customHeight="1">
      <c r="A6192" s="66" t="inlineStr"/>
    </row>
    <row r="6193" ht="30" customHeight="1">
      <c r="A6193" s="60" t="inlineStr">
        <is>
          <t>TC-RS-BR-014 / fixed0-le</t>
        </is>
      </c>
      <c r="B6193" s="36" t="n"/>
      <c r="C6193" s="36" t="n"/>
      <c r="D6193" s="36" t="n"/>
      <c r="E6193" s="36" t="n"/>
    </row>
    <row r="6194" ht="30" customHeight="1">
      <c r="A6194" s="47" t="inlineStr">
        <is>
          <t>Dữ liệu biến thể</t>
        </is>
      </c>
      <c r="B6194" s="56" t="inlineStr">
        <is>
          <t>Ngưỡng 0 nhỏ hơn hoặc bằng, kiểm cả trống và 0</t>
        </is>
      </c>
      <c r="C6194" s="57" t="n"/>
      <c r="D6194" s="57" t="n"/>
      <c r="E6194" s="57" t="n"/>
    </row>
    <row r="6195" ht="30" customHeight="1">
      <c r="A6195" s="47" t="inlineStr">
        <is>
          <t>Trạng thái</t>
        </is>
      </c>
      <c r="B6195" s="61" t="inlineStr">
        <is>
          <t>Chưa thực hiện</t>
        </is>
      </c>
      <c r="C6195" s="57" t="n"/>
      <c r="D6195" s="57" t="n"/>
      <c r="E6195" s="57" t="n"/>
    </row>
    <row r="6196" ht="30" customHeight="1">
      <c r="A6196" s="62" t="inlineStr">
        <is>
          <t>Kết quả thực tế</t>
        </is>
      </c>
    </row>
    <row r="6197" ht="64" customHeight="1">
      <c r="A6197" s="63" t="inlineStr"/>
      <c r="B6197" s="64" t="n"/>
      <c r="C6197" s="64" t="n"/>
      <c r="D6197" s="64" t="n"/>
      <c r="E6197" s="65" t="n"/>
    </row>
    <row r="6198" ht="30" customHeight="1">
      <c r="A6198" s="62" t="inlineStr">
        <is>
          <t>Ảnh minh chứng</t>
        </is>
      </c>
    </row>
    <row r="6199" ht="90" customHeight="1">
      <c r="A6199" s="63" t="inlineStr"/>
      <c r="B6199" s="64" t="n"/>
      <c r="C6199" s="64" t="n"/>
      <c r="D6199" s="64" t="n"/>
      <c r="E6199" s="65" t="n"/>
    </row>
    <row r="6200" ht="12" customHeight="1">
      <c r="A6200" s="66" t="inlineStr"/>
    </row>
    <row r="6201" ht="20" customHeight="1">
      <c r="A6201" s="66" t="inlineStr"/>
    </row>
    <row r="6202" ht="30" customHeight="1">
      <c r="A6202" s="46" t="inlineStr">
        <is>
          <t>TC-RS-BR-030 — Ô điểm đơn vị được xét riêng theo từng đơn vị</t>
        </is>
      </c>
      <c r="B6202" s="23" t="n"/>
      <c r="C6202" s="23" t="n"/>
      <c r="D6202" s="23" t="n"/>
      <c r="E6202" s="23" t="n"/>
    </row>
    <row r="6203" ht="30" customHeight="1">
      <c r="A6203" s="47" t="inlineStr">
        <is>
          <t>Trạng thái</t>
        </is>
      </c>
      <c r="B6203" s="61" t="inlineStr">
        <is>
          <t>Chưa thực hiện</t>
        </is>
      </c>
      <c r="C6203" s="57" t="n"/>
      <c r="D6203" s="57" t="n"/>
      <c r="E6203" s="57" t="n"/>
    </row>
    <row r="6204" ht="30" customHeight="1">
      <c r="A6204" s="47" t="inlineStr">
        <is>
          <t>Màn hình / chức năng</t>
        </is>
      </c>
      <c r="B6204" s="47" t="inlineStr">
        <is>
          <t>Đăng ký thành tích（成績登録）</t>
        </is>
      </c>
      <c r="C6204" s="57" t="n"/>
      <c r="D6204" s="47" t="inlineStr">
        <is>
          <t>Đường dẫn</t>
        </is>
      </c>
      <c r="E6204" s="56" t="inlineStr">
        <is>
          <t>Chưa xác minh</t>
        </is>
      </c>
    </row>
    <row r="6205" ht="30" customHeight="1">
      <c r="A6205" s="58" t="inlineStr">
        <is>
          <t>Điều kiện kiểm thử</t>
        </is>
      </c>
      <c r="B6205" s="59" t="n"/>
      <c r="C6205" s="59" t="n"/>
      <c r="D6205" s="59" t="n"/>
      <c r="E6205" s="59" t="n"/>
    </row>
    <row r="6206" ht="44" customHeight="1">
      <c r="A6206" s="47" t="inlineStr">
        <is>
          <t>Cấu hình</t>
        </is>
      </c>
      <c r="B6206" s="56" t="inlineStr">
        <is>
          <t>• Mục điểm đơn vị (đơn vị U1 có M riêng 40) có quy tắc “Cố định 30” (dưới 30) ([&lt;30]). S06 (G-B): U1 = 25, U2 = 35.</t>
        </is>
      </c>
      <c r="C6206" s="57" t="n"/>
      <c r="D6206" s="57" t="n"/>
      <c r="E6206" s="57" t="n"/>
    </row>
    <row r="6207" ht="61" customHeight="1">
      <c r="A6207" s="47" t="inlineStr">
        <is>
          <t>Vai trò / quyền</t>
        </is>
      </c>
      <c r="B620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207" s="57" t="n"/>
      <c r="D6207" s="57" t="n"/>
      <c r="E6207" s="57" t="n"/>
    </row>
    <row r="6208" ht="44" customHeight="1">
      <c r="A6208" s="47" t="inlineStr">
        <is>
          <t>Dữ liệu test</t>
        </is>
      </c>
      <c r="B6208" s="56" t="inlineStr">
        <is>
          <t>• Quy tắc “Cố định 30” (dưới 30);
• Mục điểm đơn vị (đơn vị U1 có M riêng 40)</t>
        </is>
      </c>
      <c r="C6208" s="57" t="n"/>
      <c r="D6208" s="57" t="n"/>
      <c r="E6208" s="57" t="n"/>
    </row>
    <row r="6209" ht="30" customHeight="1">
      <c r="A6209" s="47" t="inlineStr">
        <is>
          <t>Trigger</t>
        </is>
      </c>
      <c r="B6209" s="56" t="inlineStr">
        <is>
          <t>• Chỉ xem/xuất không tự chạy xét.</t>
        </is>
      </c>
      <c r="C6209" s="57" t="n"/>
      <c r="D6209" s="57" t="n"/>
      <c r="E6209" s="57" t="n"/>
    </row>
    <row r="6210" ht="44" customHeight="1">
      <c r="A6210" s="47" t="inlineStr">
        <is>
          <t>Blocker</t>
        </is>
      </c>
      <c r="B6210" s="56" t="inlineStr">
        <is>
          <t>• G-PREP-UNASSESSED: Chưa có xác minh fixture, đường thực hiện và phép quan sát trên build của từng case chưa đánh giá.</t>
        </is>
      </c>
      <c r="C6210" s="57" t="n"/>
      <c r="D6210" s="57" t="n"/>
      <c r="E6210" s="57" t="n"/>
    </row>
    <row r="6211" ht="30" customHeight="1">
      <c r="A6211" s="58" t="inlineStr">
        <is>
          <t>Thao tác</t>
        </is>
      </c>
      <c r="B6211" s="59" t="n"/>
      <c r="C6211" s="59" t="n"/>
      <c r="D6211" s="59" t="n"/>
      <c r="E6211" s="59" t="n"/>
    </row>
    <row r="6212" ht="30" customHeight="1">
      <c r="A6212" s="47" t="inlineStr">
        <is>
          <t>Step 1</t>
        </is>
      </c>
      <c r="B6212" s="56" t="inlineStr">
        <is>
          <t>Đăng ký điểm U1, U2 của S06.</t>
        </is>
      </c>
      <c r="C6212" s="57" t="n"/>
      <c r="D6212" s="57" t="n"/>
      <c r="E6212" s="57" t="n"/>
    </row>
    <row r="6213" ht="30" customHeight="1">
      <c r="A6213" s="47" t="inlineStr">
        <is>
          <t>Step 2</t>
        </is>
      </c>
      <c r="B6213" s="56" t="inlineStr">
        <is>
          <t>Xem ba đầu ra ở phạm vi đơn vị.</t>
        </is>
      </c>
      <c r="C6213" s="57" t="n"/>
      <c r="D6213" s="57" t="n"/>
      <c r="E6213" s="57" t="n"/>
    </row>
    <row r="6214" ht="44" customHeight="1">
      <c r="A6214" s="47" t="inlineStr">
        <is>
          <t>Reset</t>
        </is>
      </c>
      <c r="B6214" s="56" t="inlineStr">
        <is>
          <t>Trước mỗi biến thể, dựng lại điều kiện/dữ liệu đầu của case bằng đường được phép; giữ các reset/fixture độc lập đã nêu trong thủ tục.</t>
        </is>
      </c>
      <c r="C6214" s="57" t="n"/>
      <c r="D6214" s="57" t="n"/>
      <c r="E6214" s="57" t="n"/>
    </row>
    <row r="6215" ht="30" customHeight="1">
      <c r="A6215" s="58" t="inlineStr">
        <is>
          <t>Kết quả mong đợi</t>
        </is>
      </c>
      <c r="B6215" s="59" t="n"/>
      <c r="C6215" s="59" t="n"/>
      <c r="D6215" s="59" t="n"/>
      <c r="E6215" s="59" t="n"/>
    </row>
    <row r="6216" ht="30" customHeight="1">
      <c r="A6216" s="47" t="inlineStr">
        <is>
          <t>•</t>
        </is>
      </c>
      <c r="B6216" s="56" t="inlineStr">
        <is>
          <t>U1 Đỏ, U2 Không đỏ; dấu chỉ ở ô U1. Hai đơn vị không bị gộp thành một ô.</t>
        </is>
      </c>
      <c r="C6216" s="57" t="n"/>
      <c r="D6216" s="57" t="n"/>
      <c r="E6216" s="57" t="n"/>
    </row>
    <row r="6217" ht="44" customHeight="1">
      <c r="A6217" s="47" t="inlineStr">
        <is>
          <t>Giữ nguyên</t>
        </is>
      </c>
      <c r="B6217" s="56" t="inlineStr">
        <is>
          <t>• Giữ điểm, cấu hình và đối tượng không đích theo expected;
• Chỉ thay phần thủ tục yêu cầu, không tự đổi oracle hoặc mở rộng phạm vi.</t>
        </is>
      </c>
      <c r="C6217" s="57" t="n"/>
      <c r="D6217" s="57" t="n"/>
      <c r="E6217" s="57" t="n"/>
    </row>
    <row r="6218" ht="61" customHeight="1">
      <c r="A6218" s="47" t="inlineStr">
        <is>
          <t>Quan sát tại</t>
        </is>
      </c>
      <c r="B6218" s="56" t="inlineStr">
        <is>
          <t>• Dùng trích xuất không lọc để thấy cả ô đối chứng. Trạng thái không có dấu đỏ cần đọc thêm trạng thái lưu;
• Output Excel/PDF dùng file thật.</t>
        </is>
      </c>
      <c r="C6218" s="57" t="n"/>
      <c r="D6218" s="57" t="n"/>
      <c r="E6218" s="57" t="n"/>
    </row>
    <row r="6219" ht="30" customHeight="1">
      <c r="A6219" s="58" t="inlineStr">
        <is>
          <t>Kết quả thực tế</t>
        </is>
      </c>
      <c r="B6219" s="59" t="n"/>
      <c r="C6219" s="59" t="n"/>
      <c r="D6219" s="59" t="n"/>
      <c r="E6219" s="59" t="n"/>
    </row>
    <row r="6220" ht="30" customHeight="1">
      <c r="A6220" s="47" t="inlineStr">
        <is>
          <t>Dữ liệu biến thể</t>
        </is>
      </c>
      <c r="B6220" s="56" t="inlineStr">
        <is>
          <t>Toàn bộ thủ tục theo đúng thứ tự; các đối chứng cùng fixture được kiểm trong cùng lượt, không bỏ bước</t>
        </is>
      </c>
      <c r="C6220" s="57" t="n"/>
      <c r="D6220" s="57" t="n"/>
      <c r="E6220" s="57" t="n"/>
    </row>
    <row r="6221" ht="30" customHeight="1">
      <c r="A6221" s="62" t="inlineStr">
        <is>
          <t>Kết quả thực tế</t>
        </is>
      </c>
    </row>
    <row r="6222" ht="64" customHeight="1">
      <c r="A6222" s="63" t="inlineStr"/>
      <c r="B6222" s="64" t="n"/>
      <c r="C6222" s="64" t="n"/>
      <c r="D6222" s="64" t="n"/>
      <c r="E6222" s="65" t="n"/>
    </row>
    <row r="6223" ht="30" customHeight="1">
      <c r="A6223" s="62" t="inlineStr">
        <is>
          <t>Ảnh minh chứng</t>
        </is>
      </c>
    </row>
    <row r="6224" ht="90" customHeight="1">
      <c r="A6224" s="63" t="inlineStr"/>
      <c r="B6224" s="64" t="n"/>
      <c r="C6224" s="64" t="n"/>
      <c r="D6224" s="64" t="n"/>
      <c r="E6224" s="65" t="n"/>
    </row>
    <row r="6225" ht="12" customHeight="1">
      <c r="A6225" s="66" t="inlineStr"/>
    </row>
    <row r="6226" ht="20" customHeight="1">
      <c r="A6226" s="66" t="inlineStr"/>
    </row>
    <row r="6227" ht="30" customHeight="1">
      <c r="A6227" s="46" t="inlineStr">
        <is>
          <t>TC-RS-REG-003 — Ô nhập tay được AutoRating bỏ qua vẫn giữ giá trị tay và vẫn được xét đỏ</t>
        </is>
      </c>
      <c r="B6227" s="23" t="n"/>
      <c r="C6227" s="23" t="n"/>
      <c r="D6227" s="23" t="n"/>
      <c r="E6227" s="23" t="n"/>
    </row>
    <row r="6228" ht="30" customHeight="1">
      <c r="A6228" s="47" t="inlineStr">
        <is>
          <t>Trạng thái</t>
        </is>
      </c>
      <c r="B6228" s="61" t="inlineStr">
        <is>
          <t>Chưa thực hiện</t>
        </is>
      </c>
      <c r="C6228" s="57" t="n"/>
      <c r="D6228" s="57" t="n"/>
      <c r="E6228" s="57" t="n"/>
    </row>
    <row r="6229" ht="30" customHeight="1">
      <c r="A6229" s="47" t="inlineStr">
        <is>
          <t>Màn hình / chức năng</t>
        </is>
      </c>
      <c r="B6229" s="47" t="inlineStr">
        <is>
          <t>Đăng ký thành tích（成績登録）</t>
        </is>
      </c>
      <c r="C6229" s="57" t="n"/>
      <c r="D6229" s="47" t="inlineStr">
        <is>
          <t>Đường dẫn</t>
        </is>
      </c>
      <c r="E6229" s="56" t="inlineStr">
        <is>
          <t>Chưa xác minh</t>
        </is>
      </c>
    </row>
    <row r="6230" ht="30" customHeight="1">
      <c r="A6230" s="58" t="inlineStr">
        <is>
          <t>Điều kiện kiểm thử</t>
        </is>
      </c>
      <c r="B6230" s="59" t="n"/>
      <c r="C6230" s="59" t="n"/>
      <c r="D6230" s="59" t="n"/>
      <c r="E6230" s="59" t="n"/>
    </row>
    <row r="6231" ht="44" customHeight="1">
      <c r="A6231" s="47" t="inlineStr">
        <is>
          <t>Cấu hình</t>
        </is>
      </c>
      <c r="B6231" s="56" t="inlineStr">
        <is>
          <t>• Mục số nguyên có thêm tính tự động + quy tắc “Cố định 30” (dưới 30);
• S08 nhập tay 28.</t>
        </is>
      </c>
      <c r="C6231" s="57" t="n"/>
      <c r="D6231" s="57" t="n"/>
      <c r="E6231" s="57" t="n"/>
    </row>
    <row r="6232" ht="61" customHeight="1">
      <c r="A6232" s="47" t="inlineStr">
        <is>
          <t>Vai trò / quyền</t>
        </is>
      </c>
      <c r="B623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232" s="57" t="n"/>
      <c r="D6232" s="57" t="n"/>
      <c r="E6232" s="57" t="n"/>
    </row>
    <row r="6233" ht="44" customHeight="1">
      <c r="A6233" s="47" t="inlineStr">
        <is>
          <t>Dữ liệu test</t>
        </is>
      </c>
      <c r="B6233" s="56" t="inlineStr">
        <is>
          <t>• Mục số nguyên có thêm tính tự động, quy tắc “Cố định 30” (dưới 30);
• Học sinh S08 (sửa tay 28 thành 35)</t>
        </is>
      </c>
      <c r="C6233" s="57" t="n"/>
      <c r="D6233" s="57" t="n"/>
      <c r="E6233" s="57" t="n"/>
    </row>
    <row r="6234" ht="30" customHeight="1">
      <c r="A6234" s="47" t="inlineStr">
        <is>
          <t>Trigger</t>
        </is>
      </c>
      <c r="B6234" s="56" t="inlineStr">
        <is>
          <t>• Chỉ xem/xuất không tự chạy xét.</t>
        </is>
      </c>
      <c r="C6234" s="57" t="n"/>
      <c r="D6234" s="57" t="n"/>
      <c r="E6234" s="57" t="n"/>
    </row>
    <row r="6235" ht="44" customHeight="1">
      <c r="A6235" s="47" t="inlineStr">
        <is>
          <t>Blocker</t>
        </is>
      </c>
      <c r="B6235" s="56" t="inlineStr">
        <is>
          <t>• G-PREP-UNASSESSED: Chưa có xác minh fixture, đường thực hiện và phép quan sát trên build của từng case chưa đánh giá.</t>
        </is>
      </c>
      <c r="C6235" s="57" t="n"/>
      <c r="D6235" s="57" t="n"/>
      <c r="E6235" s="57" t="n"/>
    </row>
    <row r="6236" ht="30" customHeight="1">
      <c r="A6236" s="58" t="inlineStr">
        <is>
          <t>Thao tác</t>
        </is>
      </c>
      <c r="B6236" s="59" t="n"/>
      <c r="C6236" s="59" t="n"/>
      <c r="D6236" s="59" t="n"/>
      <c r="E6236" s="59" t="n"/>
    </row>
    <row r="6237" ht="30" customHeight="1">
      <c r="A6237" s="47" t="inlineStr">
        <is>
          <t>Step 1</t>
        </is>
      </c>
      <c r="B6237" s="56" t="inlineStr">
        <is>
          <t>Lưu S08=28 bằng nhập tay; chạy nút cam.</t>
        </is>
      </c>
      <c r="C6237" s="57" t="n"/>
      <c r="D6237" s="57" t="n"/>
      <c r="E6237" s="57" t="n"/>
    </row>
    <row r="6238" ht="30" customHeight="1">
      <c r="A6238" s="47" t="inlineStr">
        <is>
          <t>Step 2</t>
        </is>
      </c>
      <c r="B6238" s="56" t="inlineStr">
        <is>
          <t>Xem điểm và kết quả đỏ.</t>
        </is>
      </c>
      <c r="C6238" s="57" t="n"/>
      <c r="D6238" s="57" t="n"/>
      <c r="E6238" s="57" t="n"/>
    </row>
    <row r="6239" ht="44" customHeight="1">
      <c r="A6239" s="47" t="inlineStr">
        <is>
          <t>Reset</t>
        </is>
      </c>
      <c r="B6239" s="56" t="inlineStr">
        <is>
          <t>Trước mỗi biến thể, dựng lại điều kiện/dữ liệu đầu của case bằng đường được phép; giữ các reset/fixture độc lập đã nêu trong thủ tục.</t>
        </is>
      </c>
      <c r="C6239" s="57" t="n"/>
      <c r="D6239" s="57" t="n"/>
      <c r="E6239" s="57" t="n"/>
    </row>
    <row r="6240" ht="30" customHeight="1">
      <c r="A6240" s="58" t="inlineStr">
        <is>
          <t>Kết quả mong đợi</t>
        </is>
      </c>
      <c r="B6240" s="59" t="n"/>
      <c r="C6240" s="59" t="n"/>
      <c r="D6240" s="59" t="n"/>
      <c r="E6240" s="59" t="n"/>
    </row>
    <row r="6241" ht="30" customHeight="1">
      <c r="A6241" s="47" t="inlineStr">
        <is>
          <t>•</t>
        </is>
      </c>
      <c r="B6241" s="56" t="inlineStr">
        <is>
          <t>Điểm S08 vẫn 28 (không bị AutoRating ghi đè); S08 Đỏ.</t>
        </is>
      </c>
      <c r="C6241" s="57" t="n"/>
      <c r="D6241" s="57" t="n"/>
      <c r="E6241" s="57" t="n"/>
    </row>
    <row r="6242" ht="44" customHeight="1">
      <c r="A6242" s="47" t="inlineStr">
        <is>
          <t>Giữ nguyên</t>
        </is>
      </c>
      <c r="B6242" s="56" t="inlineStr">
        <is>
          <t>• Giữ điểm, cấu hình và đối tượng không đích theo expected;
• Chỉ thay phần thủ tục yêu cầu, không tự đổi oracle hoặc mở rộng phạm vi.</t>
        </is>
      </c>
      <c r="C6242" s="57" t="n"/>
      <c r="D6242" s="57" t="n"/>
      <c r="E6242" s="57" t="n"/>
    </row>
    <row r="6243" ht="61" customHeight="1">
      <c r="A6243" s="47" t="inlineStr">
        <is>
          <t>Quan sát tại</t>
        </is>
      </c>
      <c r="B6243" s="56" t="inlineStr">
        <is>
          <t>• Dùng trích xuất không lọc để thấy cả ô đối chứng. Trạng thái không có dấu đỏ cần đọc thêm trạng thái lưu;
• Output Excel/PDF dùng file thật.</t>
        </is>
      </c>
      <c r="C6243" s="57" t="n"/>
      <c r="D6243" s="57" t="n"/>
      <c r="E6243" s="57" t="n"/>
    </row>
    <row r="6244" ht="30" customHeight="1">
      <c r="A6244" s="58" t="inlineStr">
        <is>
          <t>Kết quả thực tế</t>
        </is>
      </c>
      <c r="B6244" s="59" t="n"/>
      <c r="C6244" s="59" t="n"/>
      <c r="D6244" s="59" t="n"/>
      <c r="E6244" s="59" t="n"/>
    </row>
    <row r="6245" ht="30" customHeight="1">
      <c r="A6245" s="47" t="inlineStr">
        <is>
          <t>Dữ liệu biến thể</t>
        </is>
      </c>
      <c r="B6245" s="56" t="inlineStr">
        <is>
          <t>Toàn bộ thủ tục theo đúng thứ tự; các đối chứng cùng fixture được kiểm trong cùng lượt, không bỏ bước</t>
        </is>
      </c>
      <c r="C6245" s="57" t="n"/>
      <c r="D6245" s="57" t="n"/>
      <c r="E6245" s="57" t="n"/>
    </row>
    <row r="6246" ht="30" customHeight="1">
      <c r="A6246" s="62" t="inlineStr">
        <is>
          <t>Kết quả thực tế</t>
        </is>
      </c>
    </row>
    <row r="6247" ht="64" customHeight="1">
      <c r="A6247" s="63" t="inlineStr"/>
      <c r="B6247" s="64" t="n"/>
      <c r="C6247" s="64" t="n"/>
      <c r="D6247" s="64" t="n"/>
      <c r="E6247" s="65" t="n"/>
    </row>
    <row r="6248" ht="30" customHeight="1">
      <c r="A6248" s="62" t="inlineStr">
        <is>
          <t>Ảnh minh chứng</t>
        </is>
      </c>
    </row>
    <row r="6249" ht="90" customHeight="1">
      <c r="A6249" s="63" t="inlineStr"/>
      <c r="B6249" s="64" t="n"/>
      <c r="C6249" s="64" t="n"/>
      <c r="D6249" s="64" t="n"/>
      <c r="E6249" s="65" t="n"/>
    </row>
    <row r="6250" ht="12" customHeight="1">
      <c r="A6250" s="66" t="inlineStr"/>
    </row>
    <row r="6251" ht="20" customHeight="1">
      <c r="A6251" s="66" t="inlineStr"/>
    </row>
    <row r="6252" ht="30" customHeight="1">
      <c r="A6252" s="46" t="inlineStr">
        <is>
          <t>TC-RS-BR-031 — Giáo viên có quyền sửa mục cấu hình được quy tắc đỏ</t>
        </is>
      </c>
      <c r="B6252" s="23" t="n"/>
      <c r="C6252" s="23" t="n"/>
      <c r="D6252" s="23" t="n"/>
      <c r="E6252" s="23" t="n"/>
    </row>
    <row r="6253" ht="30" customHeight="1">
      <c r="A6253" s="47" t="inlineStr">
        <is>
          <t>Trạng thái</t>
        </is>
      </c>
      <c r="B6253" s="56">
        <f>IF(0&gt;0,"Không đạt",IF(0=5,"Đạt",IF(SUMPRODUCT(--EXACT('Testcases'!B6271:B6303,"Không thực hiện"))=5,"Không thực hiện",IF(SUMPRODUCT(--EXACT('Testcases'!B6271:B6303,"Bị chặn"))&gt;0,"Bị chặn",IF(SUMPRODUCT(--EXACT('Testcases'!B6271:B6303,"Chưa thực hiện"))=5,"Chưa thực hiện","Chưa đủ kết luận")))))</f>
        <v/>
      </c>
      <c r="C6253" s="57" t="n"/>
      <c r="D6253" s="57" t="n"/>
      <c r="E6253" s="57" t="n"/>
    </row>
    <row r="6254" ht="30" customHeight="1">
      <c r="A6254" s="47" t="inlineStr">
        <is>
          <t>Màn hình / chức năng</t>
        </is>
      </c>
      <c r="B6254" s="47" t="inlineStr">
        <is>
          <t>Quyền thao tác</t>
        </is>
      </c>
      <c r="C6254" s="57" t="n"/>
      <c r="D6254" s="47" t="inlineStr">
        <is>
          <t>Đường dẫn</t>
        </is>
      </c>
      <c r="E6254" s="56" t="inlineStr">
        <is>
          <t>Chưa xác minh</t>
        </is>
      </c>
    </row>
    <row r="6255" ht="30" customHeight="1">
      <c r="A6255" s="58" t="inlineStr">
        <is>
          <t>Điều kiện kiểm thử</t>
        </is>
      </c>
      <c r="B6255" s="59" t="n"/>
      <c r="C6255" s="59" t="n"/>
      <c r="D6255" s="59" t="n"/>
      <c r="E6255" s="59" t="n"/>
    </row>
    <row r="6256" ht="30" customHeight="1">
      <c r="A6256" s="47" t="inlineStr">
        <is>
          <t>Cấu hình</t>
        </is>
      </c>
      <c r="B6256" s="56" t="inlineStr">
        <is>
          <t>• Đăng nhập tài khoản giáo viên có quyền sửa mục (giáo viên thường, không phải nhân viên nội bộ).</t>
        </is>
      </c>
      <c r="C6256" s="57" t="n"/>
      <c r="D6256" s="57" t="n"/>
      <c r="E6256" s="57" t="n"/>
    </row>
    <row r="6257" ht="61" customHeight="1">
      <c r="A6257" s="47" t="inlineStr">
        <is>
          <t>Vai trò / quyền</t>
        </is>
      </c>
      <c r="B625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257" s="57" t="n"/>
      <c r="D6257" s="57" t="n"/>
      <c r="E6257" s="57" t="n"/>
    </row>
    <row r="6258" ht="30" customHeight="1">
      <c r="A6258" s="47" t="inlineStr">
        <is>
          <t>Dữ liệu test</t>
        </is>
      </c>
      <c r="B6258" s="56" t="inlineStr">
        <is>
          <t>• Tài khoản giáo viên có quyền sửa mục, mục số nguyên (M=100)</t>
        </is>
      </c>
      <c r="C6258" s="57" t="n"/>
      <c r="D6258" s="57" t="n"/>
      <c r="E6258" s="57" t="n"/>
    </row>
    <row r="6259" ht="30" customHeight="1">
      <c r="A6259" s="47" t="inlineStr">
        <is>
          <t>Trigger</t>
        </is>
      </c>
      <c r="B6259" s="56" t="inlineStr">
        <is>
          <t>• Chỉ xem/xuất không tự chạy xét.</t>
        </is>
      </c>
      <c r="C6259" s="57" t="n"/>
      <c r="D6259" s="57" t="n"/>
      <c r="E6259" s="57" t="n"/>
    </row>
    <row r="6260" ht="44" customHeight="1">
      <c r="A6260" s="47" t="inlineStr">
        <is>
          <t>Blocker</t>
        </is>
      </c>
      <c r="B6260" s="56" t="inlineStr">
        <is>
          <t>• G-PREP-UNASSESSED: Chưa có xác minh fixture, đường thực hiện và phép quan sát trên build của từng case chưa đánh giá.</t>
        </is>
      </c>
      <c r="C6260" s="57" t="n"/>
      <c r="D6260" s="57" t="n"/>
      <c r="E6260" s="57" t="n"/>
    </row>
    <row r="6261" ht="30" customHeight="1">
      <c r="A6261" s="58" t="inlineStr">
        <is>
          <t>Thao tác</t>
        </is>
      </c>
      <c r="B6261" s="59" t="n"/>
      <c r="C6261" s="59" t="n"/>
      <c r="D6261" s="59" t="n"/>
      <c r="E6261" s="59" t="n"/>
    </row>
    <row r="6262" ht="30" customHeight="1">
      <c r="A6262" s="47" t="inlineStr">
        <is>
          <t>•</t>
        </is>
      </c>
      <c r="B6262" s="56" t="inlineStr">
        <is>
          <t>Thêm, sửa điều kiện, sửa ngưỡng, đổi thứ tự, xóa một quy tắc của mục số nguyên (M=100).</t>
        </is>
      </c>
      <c r="C6262" s="57" t="n"/>
      <c r="D6262" s="57" t="n"/>
      <c r="E6262" s="57" t="n"/>
    </row>
    <row r="6263" ht="44" customHeight="1">
      <c r="A6263" s="47" t="inlineStr">
        <is>
          <t>Reset</t>
        </is>
      </c>
      <c r="B6263" s="56" t="inlineStr">
        <is>
          <t>Trước mỗi biến thể, dựng lại điều kiện/dữ liệu đầu của case bằng đường được phép; giữ các reset/fixture độc lập đã nêu trong thủ tục.</t>
        </is>
      </c>
      <c r="C6263" s="57" t="n"/>
      <c r="D6263" s="57" t="n"/>
      <c r="E6263" s="57" t="n"/>
    </row>
    <row r="6264" ht="30" customHeight="1">
      <c r="A6264" s="58" t="inlineStr">
        <is>
          <t>Kết quả mong đợi</t>
        </is>
      </c>
      <c r="B6264" s="59" t="n"/>
      <c r="C6264" s="59" t="n"/>
      <c r="D6264" s="59" t="n"/>
      <c r="E6264" s="59" t="n"/>
    </row>
    <row r="6265" ht="30" customHeight="1">
      <c r="A6265" s="47" t="inlineStr">
        <is>
          <t>•</t>
        </is>
      </c>
      <c r="B6265" s="56" t="inlineStr">
        <is>
          <t>Mọi thao tác thành công.</t>
        </is>
      </c>
      <c r="C6265" s="57" t="n"/>
      <c r="D6265" s="57" t="n"/>
      <c r="E6265" s="57" t="n"/>
    </row>
    <row r="6266" ht="44" customHeight="1">
      <c r="A6266" s="47" t="inlineStr">
        <is>
          <t>Giữ nguyên</t>
        </is>
      </c>
      <c r="B6266" s="56" t="inlineStr">
        <is>
          <t>• Giữ điểm, cấu hình và đối tượng không đích theo expected;
• Chỉ thay phần thủ tục yêu cầu, không tự đổi oracle hoặc mở rộng phạm vi.</t>
        </is>
      </c>
      <c r="C6266" s="57" t="n"/>
      <c r="D6266" s="57" t="n"/>
      <c r="E6266" s="57" t="n"/>
    </row>
    <row r="6267" ht="61" customHeight="1">
      <c r="A6267" s="47" t="inlineStr">
        <is>
          <t>Quan sát tại</t>
        </is>
      </c>
      <c r="B6267" s="56" t="inlineStr">
        <is>
          <t>• Dùng trích xuất không lọc để thấy cả ô đối chứng. Trạng thái không có dấu đỏ cần đọc thêm trạng thái lưu;
• Output Excel/PDF dùng file thật.</t>
        </is>
      </c>
      <c r="C6267" s="57" t="n"/>
      <c r="D6267" s="57" t="n"/>
      <c r="E6267" s="57" t="n"/>
    </row>
    <row r="6268" ht="30" customHeight="1">
      <c r="A6268" s="58" t="inlineStr">
        <is>
          <t>Kết quả thực tế</t>
        </is>
      </c>
      <c r="B6268" s="59" t="n"/>
      <c r="C6268" s="59" t="n"/>
      <c r="D6268" s="59" t="n"/>
      <c r="E6268" s="59" t="n"/>
    </row>
    <row r="6269" ht="30" customHeight="1">
      <c r="A6269" s="60" t="inlineStr">
        <is>
          <t>TC-RS-BR-031 / add</t>
        </is>
      </c>
      <c r="B6269" s="36" t="n"/>
      <c r="C6269" s="36" t="n"/>
      <c r="D6269" s="36" t="n"/>
      <c r="E6269" s="36" t="n"/>
    </row>
    <row r="6270" ht="30" customHeight="1">
      <c r="A6270" s="47" t="inlineStr">
        <is>
          <t>Dữ liệu biến thể</t>
        </is>
      </c>
      <c r="B6270" s="56" t="inlineStr">
        <is>
          <t>Thử thêm</t>
        </is>
      </c>
      <c r="C6270" s="57" t="n"/>
      <c r="D6270" s="57" t="n"/>
      <c r="E6270" s="57" t="n"/>
    </row>
    <row r="6271" ht="30" customHeight="1">
      <c r="A6271" s="47" t="inlineStr">
        <is>
          <t>Trạng thái</t>
        </is>
      </c>
      <c r="B6271" s="61" t="inlineStr">
        <is>
          <t>Chưa thực hiện</t>
        </is>
      </c>
      <c r="C6271" s="57" t="n"/>
      <c r="D6271" s="57" t="n"/>
      <c r="E6271" s="57" t="n"/>
    </row>
    <row r="6272" ht="30" customHeight="1">
      <c r="A6272" s="62" t="inlineStr">
        <is>
          <t>Kết quả thực tế</t>
        </is>
      </c>
    </row>
    <row r="6273" ht="64" customHeight="1">
      <c r="A6273" s="63" t="inlineStr"/>
      <c r="B6273" s="64" t="n"/>
      <c r="C6273" s="64" t="n"/>
      <c r="D6273" s="64" t="n"/>
      <c r="E6273" s="65" t="n"/>
    </row>
    <row r="6274" ht="30" customHeight="1">
      <c r="A6274" s="62" t="inlineStr">
        <is>
          <t>Ảnh minh chứng</t>
        </is>
      </c>
    </row>
    <row r="6275" ht="90" customHeight="1">
      <c r="A6275" s="63" t="inlineStr"/>
      <c r="B6275" s="64" t="n"/>
      <c r="C6275" s="64" t="n"/>
      <c r="D6275" s="64" t="n"/>
      <c r="E6275" s="65" t="n"/>
    </row>
    <row r="6276" ht="12" customHeight="1">
      <c r="A6276" s="66" t="inlineStr"/>
    </row>
    <row r="6277" ht="30" customHeight="1">
      <c r="A6277" s="60" t="inlineStr">
        <is>
          <t>TC-RS-BR-031 / condition</t>
        </is>
      </c>
      <c r="B6277" s="36" t="n"/>
      <c r="C6277" s="36" t="n"/>
      <c r="D6277" s="36" t="n"/>
      <c r="E6277" s="36" t="n"/>
    </row>
    <row r="6278" ht="30" customHeight="1">
      <c r="A6278" s="47" t="inlineStr">
        <is>
          <t>Dữ liệu biến thể</t>
        </is>
      </c>
      <c r="B6278" s="56" t="inlineStr">
        <is>
          <t>Thử sửa điều kiện</t>
        </is>
      </c>
      <c r="C6278" s="57" t="n"/>
      <c r="D6278" s="57" t="n"/>
      <c r="E6278" s="57" t="n"/>
    </row>
    <row r="6279" ht="30" customHeight="1">
      <c r="A6279" s="47" t="inlineStr">
        <is>
          <t>Trạng thái</t>
        </is>
      </c>
      <c r="B6279" s="61" t="inlineStr">
        <is>
          <t>Chưa thực hiện</t>
        </is>
      </c>
      <c r="C6279" s="57" t="n"/>
      <c r="D6279" s="57" t="n"/>
      <c r="E6279" s="57" t="n"/>
    </row>
    <row r="6280" ht="30" customHeight="1">
      <c r="A6280" s="62" t="inlineStr">
        <is>
          <t>Kết quả thực tế</t>
        </is>
      </c>
    </row>
    <row r="6281" ht="64" customHeight="1">
      <c r="A6281" s="63" t="inlineStr"/>
      <c r="B6281" s="64" t="n"/>
      <c r="C6281" s="64" t="n"/>
      <c r="D6281" s="64" t="n"/>
      <c r="E6281" s="65" t="n"/>
    </row>
    <row r="6282" ht="30" customHeight="1">
      <c r="A6282" s="62" t="inlineStr">
        <is>
          <t>Ảnh minh chứng</t>
        </is>
      </c>
    </row>
    <row r="6283" ht="90" customHeight="1">
      <c r="A6283" s="63" t="inlineStr"/>
      <c r="B6283" s="64" t="n"/>
      <c r="C6283" s="64" t="n"/>
      <c r="D6283" s="64" t="n"/>
      <c r="E6283" s="65" t="n"/>
    </row>
    <row r="6284" ht="12" customHeight="1">
      <c r="A6284" s="66" t="inlineStr"/>
    </row>
    <row r="6285" ht="30" customHeight="1">
      <c r="A6285" s="60" t="inlineStr">
        <is>
          <t>TC-RS-BR-031 / threshold</t>
        </is>
      </c>
      <c r="B6285" s="36" t="n"/>
      <c r="C6285" s="36" t="n"/>
      <c r="D6285" s="36" t="n"/>
      <c r="E6285" s="36" t="n"/>
    </row>
    <row r="6286" ht="30" customHeight="1">
      <c r="A6286" s="47" t="inlineStr">
        <is>
          <t>Dữ liệu biến thể</t>
        </is>
      </c>
      <c r="B6286" s="56" t="inlineStr">
        <is>
          <t>Thử sửa ngưỡng</t>
        </is>
      </c>
      <c r="C6286" s="57" t="n"/>
      <c r="D6286" s="57" t="n"/>
      <c r="E6286" s="57" t="n"/>
    </row>
    <row r="6287" ht="30" customHeight="1">
      <c r="A6287" s="47" t="inlineStr">
        <is>
          <t>Trạng thái</t>
        </is>
      </c>
      <c r="B6287" s="61" t="inlineStr">
        <is>
          <t>Chưa thực hiện</t>
        </is>
      </c>
      <c r="C6287" s="57" t="n"/>
      <c r="D6287" s="57" t="n"/>
      <c r="E6287" s="57" t="n"/>
    </row>
    <row r="6288" ht="30" customHeight="1">
      <c r="A6288" s="62" t="inlineStr">
        <is>
          <t>Kết quả thực tế</t>
        </is>
      </c>
    </row>
    <row r="6289" ht="64" customHeight="1">
      <c r="A6289" s="63" t="inlineStr"/>
      <c r="B6289" s="64" t="n"/>
      <c r="C6289" s="64" t="n"/>
      <c r="D6289" s="64" t="n"/>
      <c r="E6289" s="65" t="n"/>
    </row>
    <row r="6290" ht="30" customHeight="1">
      <c r="A6290" s="62" t="inlineStr">
        <is>
          <t>Ảnh minh chứng</t>
        </is>
      </c>
    </row>
    <row r="6291" ht="90" customHeight="1">
      <c r="A6291" s="63" t="inlineStr"/>
      <c r="B6291" s="64" t="n"/>
      <c r="C6291" s="64" t="n"/>
      <c r="D6291" s="64" t="n"/>
      <c r="E6291" s="65" t="n"/>
    </row>
    <row r="6292" ht="12" customHeight="1">
      <c r="A6292" s="66" t="inlineStr"/>
    </row>
    <row r="6293" ht="30" customHeight="1">
      <c r="A6293" s="60" t="inlineStr">
        <is>
          <t>TC-RS-BR-031 / reorder</t>
        </is>
      </c>
      <c r="B6293" s="36" t="n"/>
      <c r="C6293" s="36" t="n"/>
      <c r="D6293" s="36" t="n"/>
      <c r="E6293" s="36" t="n"/>
    </row>
    <row r="6294" ht="30" customHeight="1">
      <c r="A6294" s="47" t="inlineStr">
        <is>
          <t>Dữ liệu biến thể</t>
        </is>
      </c>
      <c r="B6294" s="56" t="inlineStr">
        <is>
          <t>Thử đổi thứ tự</t>
        </is>
      </c>
      <c r="C6294" s="57" t="n"/>
      <c r="D6294" s="57" t="n"/>
      <c r="E6294" s="57" t="n"/>
    </row>
    <row r="6295" ht="30" customHeight="1">
      <c r="A6295" s="47" t="inlineStr">
        <is>
          <t>Trạng thái</t>
        </is>
      </c>
      <c r="B6295" s="61" t="inlineStr">
        <is>
          <t>Chưa thực hiện</t>
        </is>
      </c>
      <c r="C6295" s="57" t="n"/>
      <c r="D6295" s="57" t="n"/>
      <c r="E6295" s="57" t="n"/>
    </row>
    <row r="6296" ht="30" customHeight="1">
      <c r="A6296" s="62" t="inlineStr">
        <is>
          <t>Kết quả thực tế</t>
        </is>
      </c>
    </row>
    <row r="6297" ht="64" customHeight="1">
      <c r="A6297" s="63" t="inlineStr"/>
      <c r="B6297" s="64" t="n"/>
      <c r="C6297" s="64" t="n"/>
      <c r="D6297" s="64" t="n"/>
      <c r="E6297" s="65" t="n"/>
    </row>
    <row r="6298" ht="30" customHeight="1">
      <c r="A6298" s="62" t="inlineStr">
        <is>
          <t>Ảnh minh chứng</t>
        </is>
      </c>
    </row>
    <row r="6299" ht="90" customHeight="1">
      <c r="A6299" s="63" t="inlineStr"/>
      <c r="B6299" s="64" t="n"/>
      <c r="C6299" s="64" t="n"/>
      <c r="D6299" s="64" t="n"/>
      <c r="E6299" s="65" t="n"/>
    </row>
    <row r="6300" ht="12" customHeight="1">
      <c r="A6300" s="66" t="inlineStr"/>
    </row>
    <row r="6301" ht="30" customHeight="1">
      <c r="A6301" s="60" t="inlineStr">
        <is>
          <t>TC-RS-BR-031 / delete</t>
        </is>
      </c>
      <c r="B6301" s="36" t="n"/>
      <c r="C6301" s="36" t="n"/>
      <c r="D6301" s="36" t="n"/>
      <c r="E6301" s="36" t="n"/>
    </row>
    <row r="6302" ht="30" customHeight="1">
      <c r="A6302" s="47" t="inlineStr">
        <is>
          <t>Dữ liệu biến thể</t>
        </is>
      </c>
      <c r="B6302" s="56" t="inlineStr">
        <is>
          <t>Thử xóa</t>
        </is>
      </c>
      <c r="C6302" s="57" t="n"/>
      <c r="D6302" s="57" t="n"/>
      <c r="E6302" s="57" t="n"/>
    </row>
    <row r="6303" ht="30" customHeight="1">
      <c r="A6303" s="47" t="inlineStr">
        <is>
          <t>Trạng thái</t>
        </is>
      </c>
      <c r="B6303" s="61" t="inlineStr">
        <is>
          <t>Chưa thực hiện</t>
        </is>
      </c>
      <c r="C6303" s="57" t="n"/>
      <c r="D6303" s="57" t="n"/>
      <c r="E6303" s="57" t="n"/>
    </row>
    <row r="6304" ht="30" customHeight="1">
      <c r="A6304" s="62" t="inlineStr">
        <is>
          <t>Kết quả thực tế</t>
        </is>
      </c>
    </row>
    <row r="6305" ht="64" customHeight="1">
      <c r="A6305" s="63" t="inlineStr"/>
      <c r="B6305" s="64" t="n"/>
      <c r="C6305" s="64" t="n"/>
      <c r="D6305" s="64" t="n"/>
      <c r="E6305" s="65" t="n"/>
    </row>
    <row r="6306" ht="30" customHeight="1">
      <c r="A6306" s="62" t="inlineStr">
        <is>
          <t>Ảnh minh chứng</t>
        </is>
      </c>
    </row>
    <row r="6307" ht="90" customHeight="1">
      <c r="A6307" s="63" t="inlineStr"/>
      <c r="B6307" s="64" t="n"/>
      <c r="C6307" s="64" t="n"/>
      <c r="D6307" s="64" t="n"/>
      <c r="E6307" s="65" t="n"/>
    </row>
    <row r="6308" ht="12" customHeight="1">
      <c r="A6308" s="66" t="inlineStr"/>
    </row>
    <row r="6309" ht="20" customHeight="1">
      <c r="A6309" s="66" t="inlineStr"/>
    </row>
    <row r="6310" ht="30" customHeight="1">
      <c r="A6310" s="46" t="inlineStr">
        <is>
          <t>TC-RS-BR-032 — Vào được màn nhưng không có quyền sửa mục → không sửa được quy tắc của mục đó</t>
        </is>
      </c>
      <c r="B6310" s="23" t="n"/>
      <c r="C6310" s="23" t="n"/>
      <c r="D6310" s="23" t="n"/>
      <c r="E6310" s="23" t="n"/>
    </row>
    <row r="6311" ht="30" customHeight="1">
      <c r="A6311" s="47" t="inlineStr">
        <is>
          <t>Trạng thái</t>
        </is>
      </c>
      <c r="B6311" s="61" t="inlineStr">
        <is>
          <t>Chưa thực hiện</t>
        </is>
      </c>
      <c r="C6311" s="57" t="n"/>
      <c r="D6311" s="57" t="n"/>
      <c r="E6311" s="57" t="n"/>
    </row>
    <row r="6312" ht="30" customHeight="1">
      <c r="A6312" s="47" t="inlineStr">
        <is>
          <t>Màn hình / chức năng</t>
        </is>
      </c>
      <c r="B6312" s="47" t="inlineStr">
        <is>
          <t>Quyền thao tác</t>
        </is>
      </c>
      <c r="C6312" s="57" t="n"/>
      <c r="D6312" s="47" t="inlineStr">
        <is>
          <t>Đường dẫn</t>
        </is>
      </c>
      <c r="E6312" s="56" t="inlineStr">
        <is>
          <t>Chưa xác minh</t>
        </is>
      </c>
    </row>
    <row r="6313" ht="30" customHeight="1">
      <c r="A6313" s="58" t="inlineStr">
        <is>
          <t>Điều kiện kiểm thử</t>
        </is>
      </c>
      <c r="B6313" s="59" t="n"/>
      <c r="C6313" s="59" t="n"/>
      <c r="D6313" s="59" t="n"/>
      <c r="E6313" s="59" t="n"/>
    </row>
    <row r="6314" ht="30" customHeight="1">
      <c r="A6314" s="47" t="inlineStr">
        <is>
          <t>Cấu hình</t>
        </is>
      </c>
      <c r="B6314" s="56" t="inlineStr">
        <is>
          <t>• Đăng nhập tài khoản giáo viên không có quyền sửa mục. mục chỉ dành nội bộ có một quy tắc.</t>
        </is>
      </c>
      <c r="C6314" s="57" t="n"/>
      <c r="D6314" s="57" t="n"/>
      <c r="E6314" s="57" t="n"/>
    </row>
    <row r="6315" ht="61" customHeight="1">
      <c r="A6315" s="47" t="inlineStr">
        <is>
          <t>Vai trò / quyền</t>
        </is>
      </c>
      <c r="B631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315" s="57" t="n"/>
      <c r="D6315" s="57" t="n"/>
      <c r="E6315" s="57" t="n"/>
    </row>
    <row r="6316" ht="30" customHeight="1">
      <c r="A6316" s="47" t="inlineStr">
        <is>
          <t>Dữ liệu test</t>
        </is>
      </c>
      <c r="B6316" s="56" t="inlineStr">
        <is>
          <t>• Tài khoản giáo viên không có quyền sửa mục, mục chỉ dành nội bộ</t>
        </is>
      </c>
      <c r="C6316" s="57" t="n"/>
      <c r="D6316" s="57" t="n"/>
      <c r="E6316" s="57" t="n"/>
    </row>
    <row r="6317" ht="30" customHeight="1">
      <c r="A6317" s="47" t="inlineStr">
        <is>
          <t>Trigger</t>
        </is>
      </c>
      <c r="B6317" s="56" t="inlineStr">
        <is>
          <t>• Chỉ xem/xuất không tự chạy xét.</t>
        </is>
      </c>
      <c r="C6317" s="57" t="n"/>
      <c r="D6317" s="57" t="n"/>
      <c r="E6317" s="57" t="n"/>
    </row>
    <row r="6318" ht="44" customHeight="1">
      <c r="A6318" s="47" t="inlineStr">
        <is>
          <t>Blocker</t>
        </is>
      </c>
      <c r="B6318" s="56" t="inlineStr">
        <is>
          <t>• G-PREP-UNASSESSED: Chưa có xác minh fixture, đường thực hiện và phép quan sát trên build của từng case chưa đánh giá.</t>
        </is>
      </c>
      <c r="C6318" s="57" t="n"/>
      <c r="D6318" s="57" t="n"/>
      <c r="E6318" s="57" t="n"/>
    </row>
    <row r="6319" ht="30" customHeight="1">
      <c r="A6319" s="58" t="inlineStr">
        <is>
          <t>Thao tác</t>
        </is>
      </c>
      <c r="B6319" s="59" t="n"/>
      <c r="C6319" s="59" t="n"/>
      <c r="D6319" s="59" t="n"/>
      <c r="E6319" s="59" t="n"/>
    </row>
    <row r="6320" ht="30" customHeight="1">
      <c r="A6320" s="47" t="inlineStr">
        <is>
          <t>Step 1</t>
        </is>
      </c>
      <c r="B6320" s="56" t="inlineStr">
        <is>
          <t>Mở Thiết lập ô nhập（入力欄設定）.</t>
        </is>
      </c>
      <c r="C6320" s="57" t="n"/>
      <c r="D6320" s="57" t="n"/>
      <c r="E6320" s="57" t="n"/>
    </row>
    <row r="6321" ht="30" customHeight="1">
      <c r="A6321" s="47" t="inlineStr">
        <is>
          <t>Step 2</t>
        </is>
      </c>
      <c r="B6321" s="56" t="inlineStr">
        <is>
          <t>Thử mở và sửa quy tắc của mục chỉ dành nội bộ.</t>
        </is>
      </c>
      <c r="C6321" s="57" t="n"/>
      <c r="D6321" s="57" t="n"/>
      <c r="E6321" s="57" t="n"/>
    </row>
    <row r="6322" ht="44" customHeight="1">
      <c r="A6322" s="47" t="inlineStr">
        <is>
          <t>Reset</t>
        </is>
      </c>
      <c r="B6322" s="56" t="inlineStr">
        <is>
          <t>Trước mỗi biến thể, dựng lại điều kiện/dữ liệu đầu của case bằng đường được phép; giữ các reset/fixture độc lập đã nêu trong thủ tục.</t>
        </is>
      </c>
      <c r="C6322" s="57" t="n"/>
      <c r="D6322" s="57" t="n"/>
      <c r="E6322" s="57" t="n"/>
    </row>
    <row r="6323" ht="30" customHeight="1">
      <c r="A6323" s="58" t="inlineStr">
        <is>
          <t>Kết quả mong đợi</t>
        </is>
      </c>
      <c r="B6323" s="59" t="n"/>
      <c r="C6323" s="59" t="n"/>
      <c r="D6323" s="59" t="n"/>
      <c r="E6323" s="59" t="n"/>
    </row>
    <row r="6324" ht="30" customHeight="1">
      <c r="A6324" s="47" t="inlineStr">
        <is>
          <t>•</t>
        </is>
      </c>
      <c r="B6324" s="56" t="inlineStr">
        <is>
          <t>Không có thao tác sửa/thêm/xóa cho mục chỉ dành nội bộ trên màn, hoặc lưu bị từ chối. Quy tắc không đổi.</t>
        </is>
      </c>
      <c r="C6324" s="57" t="n"/>
      <c r="D6324" s="57" t="n"/>
      <c r="E6324" s="57" t="n"/>
    </row>
    <row r="6325" ht="44" customHeight="1">
      <c r="A6325" s="47" t="inlineStr">
        <is>
          <t>Giữ nguyên</t>
        </is>
      </c>
      <c r="B6325" s="56" t="inlineStr">
        <is>
          <t>• Giữ điểm, cấu hình và đối tượng không đích theo expected;
• Chỉ thay phần thủ tục yêu cầu, không tự đổi oracle hoặc mở rộng phạm vi.</t>
        </is>
      </c>
      <c r="C6325" s="57" t="n"/>
      <c r="D6325" s="57" t="n"/>
      <c r="E6325" s="57" t="n"/>
    </row>
    <row r="6326" ht="61" customHeight="1">
      <c r="A6326" s="47" t="inlineStr">
        <is>
          <t>Quan sát tại</t>
        </is>
      </c>
      <c r="B6326" s="56" t="inlineStr">
        <is>
          <t>• Dùng trích xuất không lọc để thấy cả ô đối chứng. Trạng thái không có dấu đỏ cần đọc thêm trạng thái lưu;
• Output Excel/PDF dùng file thật.</t>
        </is>
      </c>
      <c r="C6326" s="57" t="n"/>
      <c r="D6326" s="57" t="n"/>
      <c r="E6326" s="57" t="n"/>
    </row>
    <row r="6327" ht="30" customHeight="1">
      <c r="A6327" s="58" t="inlineStr">
        <is>
          <t>Kết quả thực tế</t>
        </is>
      </c>
      <c r="B6327" s="59" t="n"/>
      <c r="C6327" s="59" t="n"/>
      <c r="D6327" s="59" t="n"/>
      <c r="E6327" s="59" t="n"/>
    </row>
    <row r="6328" ht="30" customHeight="1">
      <c r="A6328" s="47" t="inlineStr">
        <is>
          <t>Dữ liệu biến thể</t>
        </is>
      </c>
      <c r="B6328" s="56" t="inlineStr">
        <is>
          <t>Toàn bộ thủ tục theo đúng thứ tự; các đối chứng cùng fixture được kiểm trong cùng lượt, không bỏ bước</t>
        </is>
      </c>
      <c r="C6328" s="57" t="n"/>
      <c r="D6328" s="57" t="n"/>
      <c r="E6328" s="57" t="n"/>
    </row>
    <row r="6329" ht="30" customHeight="1">
      <c r="A6329" s="62" t="inlineStr">
        <is>
          <t>Kết quả thực tế</t>
        </is>
      </c>
    </row>
    <row r="6330" ht="64" customHeight="1">
      <c r="A6330" s="63" t="inlineStr"/>
      <c r="B6330" s="64" t="n"/>
      <c r="C6330" s="64" t="n"/>
      <c r="D6330" s="64" t="n"/>
      <c r="E6330" s="65" t="n"/>
    </row>
    <row r="6331" ht="30" customHeight="1">
      <c r="A6331" s="62" t="inlineStr">
        <is>
          <t>Ảnh minh chứng</t>
        </is>
      </c>
    </row>
    <row r="6332" ht="90" customHeight="1">
      <c r="A6332" s="63" t="inlineStr"/>
      <c r="B6332" s="64" t="n"/>
      <c r="C6332" s="64" t="n"/>
      <c r="D6332" s="64" t="n"/>
      <c r="E6332" s="65" t="n"/>
    </row>
    <row r="6333" ht="12" customHeight="1">
      <c r="A6333" s="66" t="inlineStr"/>
    </row>
    <row r="6334" ht="20" customHeight="1">
      <c r="A6334" s="66" t="inlineStr"/>
    </row>
    <row r="6335" ht="30" customHeight="1">
      <c r="A6335" s="46" t="inlineStr">
        <is>
          <t>TC-RS-BR-033 — Quyền sửa mục không tự cấp quyền chạy hàng loạt</t>
        </is>
      </c>
      <c r="B6335" s="23" t="n"/>
      <c r="C6335" s="23" t="n"/>
      <c r="D6335" s="23" t="n"/>
      <c r="E6335" s="23" t="n"/>
    </row>
    <row r="6336" ht="30" customHeight="1">
      <c r="A6336" s="47" t="inlineStr">
        <is>
          <t>Trạng thái</t>
        </is>
      </c>
      <c r="B6336" s="61" t="inlineStr">
        <is>
          <t>Chưa thực hiện</t>
        </is>
      </c>
      <c r="C6336" s="57" t="n"/>
      <c r="D6336" s="57" t="n"/>
      <c r="E6336" s="57" t="n"/>
    </row>
    <row r="6337" ht="30" customHeight="1">
      <c r="A6337" s="47" t="inlineStr">
        <is>
          <t>Màn hình / chức năng</t>
        </is>
      </c>
      <c r="B6337" s="47" t="inlineStr">
        <is>
          <t>Quyền thao tác</t>
        </is>
      </c>
      <c r="C6337" s="57" t="n"/>
      <c r="D6337" s="47" t="inlineStr">
        <is>
          <t>Đường dẫn</t>
        </is>
      </c>
      <c r="E6337" s="56" t="inlineStr">
        <is>
          <t>Chưa xác minh</t>
        </is>
      </c>
    </row>
    <row r="6338" ht="30" customHeight="1">
      <c r="A6338" s="58" t="inlineStr">
        <is>
          <t>Điều kiện kiểm thử</t>
        </is>
      </c>
      <c r="B6338" s="59" t="n"/>
      <c r="C6338" s="59" t="n"/>
      <c r="D6338" s="59" t="n"/>
      <c r="E6338" s="59" t="n"/>
    </row>
    <row r="6339" ht="30" customHeight="1">
      <c r="A6339" s="47" t="inlineStr">
        <is>
          <t>Cấu hình</t>
        </is>
      </c>
      <c r="B6339" s="56" t="inlineStr">
        <is>
          <t>• Đăng nhập tài khoản sửa được mục nhưng không có quyền chạy hàng loạt.</t>
        </is>
      </c>
      <c r="C6339" s="57" t="n"/>
      <c r="D6339" s="57" t="n"/>
      <c r="E6339" s="57" t="n"/>
    </row>
    <row r="6340" ht="61" customHeight="1">
      <c r="A6340" s="47" t="inlineStr">
        <is>
          <t>Vai trò / quyền</t>
        </is>
      </c>
      <c r="B634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340" s="57" t="n"/>
      <c r="D6340" s="57" t="n"/>
      <c r="E6340" s="57" t="n"/>
    </row>
    <row r="6341" ht="30" customHeight="1">
      <c r="A6341" s="47" t="inlineStr">
        <is>
          <t>Dữ liệu test</t>
        </is>
      </c>
      <c r="B6341" s="56" t="inlineStr">
        <is>
          <t>• Tài khoản sửa được mục nhưng không có quyền chạy hàng loạt</t>
        </is>
      </c>
      <c r="C6341" s="57" t="n"/>
      <c r="D6341" s="57" t="n"/>
      <c r="E6341" s="57" t="n"/>
    </row>
    <row r="6342" ht="30" customHeight="1">
      <c r="A6342" s="47" t="inlineStr">
        <is>
          <t>Trigger</t>
        </is>
      </c>
      <c r="B6342" s="56" t="inlineStr">
        <is>
          <t>• Chỉ xem/xuất không tự chạy xét.</t>
        </is>
      </c>
      <c r="C6342" s="57" t="n"/>
      <c r="D6342" s="57" t="n"/>
      <c r="E6342" s="57" t="n"/>
    </row>
    <row r="6343" ht="44" customHeight="1">
      <c r="A6343" s="47" t="inlineStr">
        <is>
          <t>Blocker</t>
        </is>
      </c>
      <c r="B6343" s="56" t="inlineStr">
        <is>
          <t>• G-PREP-UNASSESSED: Chưa có xác minh fixture, đường thực hiện và phép quan sát trên build của từng case chưa đánh giá.</t>
        </is>
      </c>
      <c r="C6343" s="57" t="n"/>
      <c r="D6343" s="57" t="n"/>
      <c r="E6343" s="57" t="n"/>
    </row>
    <row r="6344" ht="30" customHeight="1">
      <c r="A6344" s="58" t="inlineStr">
        <is>
          <t>Thao tác</t>
        </is>
      </c>
      <c r="B6344" s="59" t="n"/>
      <c r="C6344" s="59" t="n"/>
      <c r="D6344" s="59" t="n"/>
      <c r="E6344" s="59" t="n"/>
    </row>
    <row r="6345" ht="30" customHeight="1">
      <c r="A6345" s="47" t="inlineStr">
        <is>
          <t>Step 1</t>
        </is>
      </c>
      <c r="B6345" s="56" t="inlineStr">
        <is>
          <t>Sửa một quy tắc (thành công).</t>
        </is>
      </c>
      <c r="C6345" s="57" t="n"/>
      <c r="D6345" s="57" t="n"/>
      <c r="E6345" s="57" t="n"/>
    </row>
    <row r="6346" ht="30" customHeight="1">
      <c r="A6346" s="47" t="inlineStr">
        <is>
          <t>Step 2</t>
        </is>
      </c>
      <c r="B6346" s="56" t="inlineStr">
        <is>
          <t>Mở Tổng hợp thành tích（成績集計）, thử chạy tính toán hàng loạt.</t>
        </is>
      </c>
      <c r="C6346" s="57" t="n"/>
      <c r="D6346" s="57" t="n"/>
      <c r="E6346" s="57" t="n"/>
    </row>
    <row r="6347" ht="44" customHeight="1">
      <c r="A6347" s="47" t="inlineStr">
        <is>
          <t>Reset</t>
        </is>
      </c>
      <c r="B6347" s="56" t="inlineStr">
        <is>
          <t>Trước mỗi biến thể, dựng lại điều kiện/dữ liệu đầu của case bằng đường được phép; giữ các reset/fixture độc lập đã nêu trong thủ tục.</t>
        </is>
      </c>
      <c r="C6347" s="57" t="n"/>
      <c r="D6347" s="57" t="n"/>
      <c r="E6347" s="57" t="n"/>
    </row>
    <row r="6348" ht="30" customHeight="1">
      <c r="A6348" s="58" t="inlineStr">
        <is>
          <t>Kết quả mong đợi</t>
        </is>
      </c>
      <c r="B6348" s="59" t="n"/>
      <c r="C6348" s="59" t="n"/>
      <c r="D6348" s="59" t="n"/>
      <c r="E6348" s="59" t="n"/>
    </row>
    <row r="6349" ht="30" customHeight="1">
      <c r="A6349" s="47" t="inlineStr">
        <is>
          <t>•</t>
        </is>
      </c>
      <c r="B6349" s="56" t="inlineStr">
        <is>
          <t>Không chạy được hàng loạt (thao tác không có hoặc bị từ chối theo quyền hiện hành).</t>
        </is>
      </c>
      <c r="C6349" s="57" t="n"/>
      <c r="D6349" s="57" t="n"/>
      <c r="E6349" s="57" t="n"/>
    </row>
    <row r="6350" ht="44" customHeight="1">
      <c r="A6350" s="47" t="inlineStr">
        <is>
          <t>Giữ nguyên</t>
        </is>
      </c>
      <c r="B6350" s="56" t="inlineStr">
        <is>
          <t>• Giữ điểm, cấu hình và đối tượng không đích theo expected;
• Chỉ thay phần thủ tục yêu cầu, không tự đổi oracle hoặc mở rộng phạm vi.</t>
        </is>
      </c>
      <c r="C6350" s="57" t="n"/>
      <c r="D6350" s="57" t="n"/>
      <c r="E6350" s="57" t="n"/>
    </row>
    <row r="6351" ht="61" customHeight="1">
      <c r="A6351" s="47" t="inlineStr">
        <is>
          <t>Quan sát tại</t>
        </is>
      </c>
      <c r="B6351" s="56" t="inlineStr">
        <is>
          <t>• Dùng trích xuất không lọc để thấy cả ô đối chứng. Trạng thái không có dấu đỏ cần đọc thêm trạng thái lưu;
• Output Excel/PDF dùng file thật.</t>
        </is>
      </c>
      <c r="C6351" s="57" t="n"/>
      <c r="D6351" s="57" t="n"/>
      <c r="E6351" s="57" t="n"/>
    </row>
    <row r="6352" ht="30" customHeight="1">
      <c r="A6352" s="58" t="inlineStr">
        <is>
          <t>Kết quả thực tế</t>
        </is>
      </c>
      <c r="B6352" s="59" t="n"/>
      <c r="C6352" s="59" t="n"/>
      <c r="D6352" s="59" t="n"/>
      <c r="E6352" s="59" t="n"/>
    </row>
    <row r="6353" ht="30" customHeight="1">
      <c r="A6353" s="47" t="inlineStr">
        <is>
          <t>Dữ liệu biến thể</t>
        </is>
      </c>
      <c r="B6353" s="56" t="inlineStr">
        <is>
          <t>Toàn bộ thủ tục theo đúng thứ tự; các đối chứng cùng fixture được kiểm trong cùng lượt, không bỏ bước</t>
        </is>
      </c>
      <c r="C6353" s="57" t="n"/>
      <c r="D6353" s="57" t="n"/>
      <c r="E6353" s="57" t="n"/>
    </row>
    <row r="6354" ht="30" customHeight="1">
      <c r="A6354" s="62" t="inlineStr">
        <is>
          <t>Kết quả thực tế</t>
        </is>
      </c>
    </row>
    <row r="6355" ht="64" customHeight="1">
      <c r="A6355" s="63" t="inlineStr"/>
      <c r="B6355" s="64" t="n"/>
      <c r="C6355" s="64" t="n"/>
      <c r="D6355" s="64" t="n"/>
      <c r="E6355" s="65" t="n"/>
    </row>
    <row r="6356" ht="30" customHeight="1">
      <c r="A6356" s="62" t="inlineStr">
        <is>
          <t>Ảnh minh chứng</t>
        </is>
      </c>
    </row>
    <row r="6357" ht="90" customHeight="1">
      <c r="A6357" s="63" t="inlineStr"/>
      <c r="B6357" s="64" t="n"/>
      <c r="C6357" s="64" t="n"/>
      <c r="D6357" s="64" t="n"/>
      <c r="E6357" s="65" t="n"/>
    </row>
    <row r="6358" ht="12" customHeight="1">
      <c r="A6358" s="66" t="inlineStr"/>
    </row>
    <row r="6359" ht="20" customHeight="1">
      <c r="A6359" s="66" t="inlineStr"/>
    </row>
    <row r="6360" ht="30" customHeight="1">
      <c r="A6360" s="46" t="inlineStr">
        <is>
          <t>TC-RS-ERR-006 — Gửi request lưu quy tắc trực tiếp khi không có quyền sửa mục</t>
        </is>
      </c>
      <c r="B6360" s="23" t="n"/>
      <c r="C6360" s="23" t="n"/>
      <c r="D6360" s="23" t="n"/>
      <c r="E6360" s="23" t="n"/>
    </row>
    <row r="6361" ht="30" customHeight="1">
      <c r="A6361" s="47" t="inlineStr">
        <is>
          <t>Trạng thái</t>
        </is>
      </c>
      <c r="B6361" s="56">
        <f>IF(0&gt;0,"Không đạt",IF(0=3,"Đạt",IF(SUMPRODUCT(--EXACT('Testcases'!B6379:B6395,"Không thực hiện"))=3,"Không thực hiện",IF(SUMPRODUCT(--EXACT('Testcases'!B6379:B6395,"Bị chặn"))&gt;0,"Bị chặn",IF(SUMPRODUCT(--EXACT('Testcases'!B6379:B6395,"Chưa thực hiện"))=3,"Chưa thực hiện","Chưa đủ kết luận")))))</f>
        <v/>
      </c>
      <c r="C6361" s="57" t="n"/>
      <c r="D6361" s="57" t="n"/>
      <c r="E6361" s="57" t="n"/>
    </row>
    <row r="6362" ht="30" customHeight="1">
      <c r="A6362" s="47" t="inlineStr">
        <is>
          <t>Màn hình / chức năng</t>
        </is>
      </c>
      <c r="B6362" s="47" t="inlineStr">
        <is>
          <t>Quyền thao tác</t>
        </is>
      </c>
      <c r="C6362" s="57" t="n"/>
      <c r="D6362" s="47" t="inlineStr">
        <is>
          <t>Đường dẫn</t>
        </is>
      </c>
      <c r="E6362" s="56" t="inlineStr">
        <is>
          <t>Chưa xác minh</t>
        </is>
      </c>
    </row>
    <row r="6363" ht="30" customHeight="1">
      <c r="A6363" s="58" t="inlineStr">
        <is>
          <t>Điều kiện kiểm thử</t>
        </is>
      </c>
      <c r="B6363" s="59" t="n"/>
      <c r="C6363" s="59" t="n"/>
      <c r="D6363" s="59" t="n"/>
      <c r="E6363" s="59" t="n"/>
    </row>
    <row r="6364" ht="61" customHeight="1">
      <c r="A6364" s="47" t="inlineStr">
        <is>
          <t>Cấu hình</t>
        </is>
      </c>
      <c r="B6364" s="56" t="inlineStr">
        <is>
          <t>• Tài khoản giáo viên không có quyền sửa mục;
• Mục chỉ dành nội bộ có một quy tắc. Có bản ghi request lưu/xóa/đổi thứ tự hợp lệ lấy từ tài khoản giáo viên có quyền sửa mục.</t>
        </is>
      </c>
      <c r="C6364" s="57" t="n"/>
      <c r="D6364" s="57" t="n"/>
      <c r="E6364" s="57" t="n"/>
    </row>
    <row r="6365" ht="61" customHeight="1">
      <c r="A6365" s="47" t="inlineStr">
        <is>
          <t>Vai trò / quyền</t>
        </is>
      </c>
      <c r="B636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365" s="57" t="n"/>
      <c r="D6365" s="57" t="n"/>
      <c r="E6365" s="57" t="n"/>
    </row>
    <row r="6366" ht="30" customHeight="1">
      <c r="A6366" s="47" t="inlineStr">
        <is>
          <t>Dữ liệu test</t>
        </is>
      </c>
      <c r="B6366" s="56" t="inlineStr">
        <is>
          <t>• Tài khoản giáo viên không có quyền sửa mục, mục chỉ dành nội bộ</t>
        </is>
      </c>
      <c r="C6366" s="57" t="n"/>
      <c r="D6366" s="57" t="n"/>
      <c r="E6366" s="57" t="n"/>
    </row>
    <row r="6367" ht="30" customHeight="1">
      <c r="A6367" s="47" t="inlineStr">
        <is>
          <t>Trigger</t>
        </is>
      </c>
      <c r="B6367" s="56" t="inlineStr">
        <is>
          <t>• Chỉ xem/xuất không tự chạy xét.</t>
        </is>
      </c>
      <c r="C6367" s="57" t="n"/>
      <c r="D6367" s="57" t="n"/>
      <c r="E6367" s="57" t="n"/>
    </row>
    <row r="6368" ht="44" customHeight="1">
      <c r="A6368" s="47" t="inlineStr">
        <is>
          <t>Blocker</t>
        </is>
      </c>
      <c r="B6368" s="56" t="inlineStr">
        <is>
          <t>• G-PREP-UNASSESSED: Chưa có xác minh fixture, đường thực hiện và phép quan sát trên build của từng case chưa đánh giá.</t>
        </is>
      </c>
      <c r="C6368" s="57" t="n"/>
      <c r="D6368" s="57" t="n"/>
      <c r="E6368" s="57" t="n"/>
    </row>
    <row r="6369" ht="30" customHeight="1">
      <c r="A6369" s="58" t="inlineStr">
        <is>
          <t>Thao tác</t>
        </is>
      </c>
      <c r="B6369" s="59" t="n"/>
      <c r="C6369" s="59" t="n"/>
      <c r="D6369" s="59" t="n"/>
      <c r="E6369" s="59" t="n"/>
    </row>
    <row r="6370" ht="44" customHeight="1">
      <c r="A6370" s="47" t="inlineStr">
        <is>
          <t>•</t>
        </is>
      </c>
      <c r="B6370" s="56" t="inlineStr">
        <is>
          <t>Dùng phiên tài khoản giáo viên không có quyền sửa mục gửi lại các request POST lưu, xóa, đổi thứ tự quy tắc của mục chỉ dành nội bộ.</t>
        </is>
      </c>
      <c r="C6370" s="57" t="n"/>
      <c r="D6370" s="57" t="n"/>
      <c r="E6370" s="57" t="n"/>
    </row>
    <row r="6371" ht="44" customHeight="1">
      <c r="A6371" s="47" t="inlineStr">
        <is>
          <t>Reset</t>
        </is>
      </c>
      <c r="B6371" s="56" t="inlineStr">
        <is>
          <t>Trước mỗi biến thể, dựng lại điều kiện/dữ liệu đầu của case bằng đường được phép; giữ các reset/fixture độc lập đã nêu trong thủ tục.</t>
        </is>
      </c>
      <c r="C6371" s="57" t="n"/>
      <c r="D6371" s="57" t="n"/>
      <c r="E6371" s="57" t="n"/>
    </row>
    <row r="6372" ht="30" customHeight="1">
      <c r="A6372" s="58" t="inlineStr">
        <is>
          <t>Kết quả mong đợi</t>
        </is>
      </c>
      <c r="B6372" s="59" t="n"/>
      <c r="C6372" s="59" t="n"/>
      <c r="D6372" s="59" t="n"/>
      <c r="E6372" s="59" t="n"/>
    </row>
    <row r="6373" ht="30" customHeight="1">
      <c r="A6373" s="47" t="inlineStr">
        <is>
          <t>•</t>
        </is>
      </c>
      <c r="B6373" s="56" t="inlineStr">
        <is>
          <t>Mọi request bị từ chối; cấu hình không đổi; không có lượt xét phát sinh.</t>
        </is>
      </c>
      <c r="C6373" s="57" t="n"/>
      <c r="D6373" s="57" t="n"/>
      <c r="E6373" s="57" t="n"/>
    </row>
    <row r="6374" ht="44" customHeight="1">
      <c r="A6374" s="47" t="inlineStr">
        <is>
          <t>Giữ nguyên</t>
        </is>
      </c>
      <c r="B6374" s="56" t="inlineStr">
        <is>
          <t>• Giữ điểm, cấu hình và đối tượng không đích theo expected;
• Chỉ thay phần thủ tục yêu cầu, không tự đổi oracle hoặc mở rộng phạm vi.</t>
        </is>
      </c>
      <c r="C6374" s="57" t="n"/>
      <c r="D6374" s="57" t="n"/>
      <c r="E6374" s="57" t="n"/>
    </row>
    <row r="6375" ht="61" customHeight="1">
      <c r="A6375" s="47" t="inlineStr">
        <is>
          <t>Quan sát tại</t>
        </is>
      </c>
      <c r="B6375" s="56" t="inlineStr">
        <is>
          <t>• Dùng trích xuất không lọc để thấy cả ô đối chứng. Trạng thái không có dấu đỏ cần đọc thêm trạng thái lưu;
• Output Excel/PDF dùng file thật.</t>
        </is>
      </c>
      <c r="C6375" s="57" t="n"/>
      <c r="D6375" s="57" t="n"/>
      <c r="E6375" s="57" t="n"/>
    </row>
    <row r="6376" ht="30" customHeight="1">
      <c r="A6376" s="58" t="inlineStr">
        <is>
          <t>Kết quả thực tế</t>
        </is>
      </c>
      <c r="B6376" s="59" t="n"/>
      <c r="C6376" s="59" t="n"/>
      <c r="D6376" s="59" t="n"/>
      <c r="E6376" s="59" t="n"/>
    </row>
    <row r="6377" ht="30" customHeight="1">
      <c r="A6377" s="60" t="inlineStr">
        <is>
          <t>TC-RS-ERR-006 / save</t>
        </is>
      </c>
      <c r="B6377" s="36" t="n"/>
      <c r="C6377" s="36" t="n"/>
      <c r="D6377" s="36" t="n"/>
      <c r="E6377" s="36" t="n"/>
    </row>
    <row r="6378" ht="30" customHeight="1">
      <c r="A6378" s="47" t="inlineStr">
        <is>
          <t>Dữ liệu biến thể</t>
        </is>
      </c>
      <c r="B6378" s="56" t="inlineStr">
        <is>
          <t>Gửi lưu</t>
        </is>
      </c>
      <c r="C6378" s="57" t="n"/>
      <c r="D6378" s="57" t="n"/>
      <c r="E6378" s="57" t="n"/>
    </row>
    <row r="6379" ht="30" customHeight="1">
      <c r="A6379" s="47" t="inlineStr">
        <is>
          <t>Trạng thái</t>
        </is>
      </c>
      <c r="B6379" s="61" t="inlineStr">
        <is>
          <t>Chưa thực hiện</t>
        </is>
      </c>
      <c r="C6379" s="57" t="n"/>
      <c r="D6379" s="57" t="n"/>
      <c r="E6379" s="57" t="n"/>
    </row>
    <row r="6380" ht="30" customHeight="1">
      <c r="A6380" s="62" t="inlineStr">
        <is>
          <t>Kết quả thực tế</t>
        </is>
      </c>
    </row>
    <row r="6381" ht="64" customHeight="1">
      <c r="A6381" s="63" t="inlineStr"/>
      <c r="B6381" s="64" t="n"/>
      <c r="C6381" s="64" t="n"/>
      <c r="D6381" s="64" t="n"/>
      <c r="E6381" s="65" t="n"/>
    </row>
    <row r="6382" ht="30" customHeight="1">
      <c r="A6382" s="62" t="inlineStr">
        <is>
          <t>Ảnh minh chứng</t>
        </is>
      </c>
    </row>
    <row r="6383" ht="90" customHeight="1">
      <c r="A6383" s="63" t="inlineStr"/>
      <c r="B6383" s="64" t="n"/>
      <c r="C6383" s="64" t="n"/>
      <c r="D6383" s="64" t="n"/>
      <c r="E6383" s="65" t="n"/>
    </row>
    <row r="6384" ht="12" customHeight="1">
      <c r="A6384" s="66" t="inlineStr"/>
    </row>
    <row r="6385" ht="30" customHeight="1">
      <c r="A6385" s="60" t="inlineStr">
        <is>
          <t>TC-RS-ERR-006 / delete</t>
        </is>
      </c>
      <c r="B6385" s="36" t="n"/>
      <c r="C6385" s="36" t="n"/>
      <c r="D6385" s="36" t="n"/>
      <c r="E6385" s="36" t="n"/>
    </row>
    <row r="6386" ht="30" customHeight="1">
      <c r="A6386" s="47" t="inlineStr">
        <is>
          <t>Dữ liệu biến thể</t>
        </is>
      </c>
      <c r="B6386" s="56" t="inlineStr">
        <is>
          <t>Gửi xóa</t>
        </is>
      </c>
      <c r="C6386" s="57" t="n"/>
      <c r="D6386" s="57" t="n"/>
      <c r="E6386" s="57" t="n"/>
    </row>
    <row r="6387" ht="30" customHeight="1">
      <c r="A6387" s="47" t="inlineStr">
        <is>
          <t>Trạng thái</t>
        </is>
      </c>
      <c r="B6387" s="61" t="inlineStr">
        <is>
          <t>Chưa thực hiện</t>
        </is>
      </c>
      <c r="C6387" s="57" t="n"/>
      <c r="D6387" s="57" t="n"/>
      <c r="E6387" s="57" t="n"/>
    </row>
    <row r="6388" ht="30" customHeight="1">
      <c r="A6388" s="62" t="inlineStr">
        <is>
          <t>Kết quả thực tế</t>
        </is>
      </c>
    </row>
    <row r="6389" ht="64" customHeight="1">
      <c r="A6389" s="63" t="inlineStr"/>
      <c r="B6389" s="64" t="n"/>
      <c r="C6389" s="64" t="n"/>
      <c r="D6389" s="64" t="n"/>
      <c r="E6389" s="65" t="n"/>
    </row>
    <row r="6390" ht="30" customHeight="1">
      <c r="A6390" s="62" t="inlineStr">
        <is>
          <t>Ảnh minh chứng</t>
        </is>
      </c>
    </row>
    <row r="6391" ht="90" customHeight="1">
      <c r="A6391" s="63" t="inlineStr"/>
      <c r="B6391" s="64" t="n"/>
      <c r="C6391" s="64" t="n"/>
      <c r="D6391" s="64" t="n"/>
      <c r="E6391" s="65" t="n"/>
    </row>
    <row r="6392" ht="12" customHeight="1">
      <c r="A6392" s="66" t="inlineStr"/>
    </row>
    <row r="6393" ht="30" customHeight="1">
      <c r="A6393" s="60" t="inlineStr">
        <is>
          <t>TC-RS-ERR-006 / reorder</t>
        </is>
      </c>
      <c r="B6393" s="36" t="n"/>
      <c r="C6393" s="36" t="n"/>
      <c r="D6393" s="36" t="n"/>
      <c r="E6393" s="36" t="n"/>
    </row>
    <row r="6394" ht="30" customHeight="1">
      <c r="A6394" s="47" t="inlineStr">
        <is>
          <t>Dữ liệu biến thể</t>
        </is>
      </c>
      <c r="B6394" s="56" t="inlineStr">
        <is>
          <t>Gửi đổi thứ tự</t>
        </is>
      </c>
      <c r="C6394" s="57" t="n"/>
      <c r="D6394" s="57" t="n"/>
      <c r="E6394" s="57" t="n"/>
    </row>
    <row r="6395" ht="30" customHeight="1">
      <c r="A6395" s="47" t="inlineStr">
        <is>
          <t>Trạng thái</t>
        </is>
      </c>
      <c r="B6395" s="61" t="inlineStr">
        <is>
          <t>Chưa thực hiện</t>
        </is>
      </c>
      <c r="C6395" s="57" t="n"/>
      <c r="D6395" s="57" t="n"/>
      <c r="E6395" s="57" t="n"/>
    </row>
    <row r="6396" ht="30" customHeight="1">
      <c r="A6396" s="62" t="inlineStr">
        <is>
          <t>Kết quả thực tế</t>
        </is>
      </c>
    </row>
    <row r="6397" ht="64" customHeight="1">
      <c r="A6397" s="63" t="inlineStr"/>
      <c r="B6397" s="64" t="n"/>
      <c r="C6397" s="64" t="n"/>
      <c r="D6397" s="64" t="n"/>
      <c r="E6397" s="65" t="n"/>
    </row>
    <row r="6398" ht="30" customHeight="1">
      <c r="A6398" s="62" t="inlineStr">
        <is>
          <t>Ảnh minh chứng</t>
        </is>
      </c>
    </row>
    <row r="6399" ht="90" customHeight="1">
      <c r="A6399" s="63" t="inlineStr"/>
      <c r="B6399" s="64" t="n"/>
      <c r="C6399" s="64" t="n"/>
      <c r="D6399" s="64" t="n"/>
      <c r="E6399" s="65" t="n"/>
    </row>
    <row r="6400" ht="12" customHeight="1">
      <c r="A6400" s="66" t="inlineStr"/>
    </row>
    <row r="6401" ht="20" customHeight="1">
      <c r="A6401" s="66" t="inlineStr"/>
    </row>
    <row r="6402" ht="30" customHeight="1">
      <c r="A6402" s="46" t="inlineStr">
        <is>
          <t>TC-RS-ERR-007 — Giả mạo ID khác trường/năm hoặc nguồn không được phép</t>
        </is>
      </c>
      <c r="B6402" s="23" t="n"/>
      <c r="C6402" s="23" t="n"/>
      <c r="D6402" s="23" t="n"/>
      <c r="E6402" s="23" t="n"/>
    </row>
    <row r="6403" ht="30" customHeight="1">
      <c r="A6403" s="47" t="inlineStr">
        <is>
          <t>Trạng thái</t>
        </is>
      </c>
      <c r="B6403" s="56">
        <f>IF(0&gt;0,"Không đạt",IF(0=11,"Đạt",IF(SUMPRODUCT(--EXACT('Testcases'!B6426:B6506,"Không thực hiện"))=11,"Không thực hiện",IF(SUMPRODUCT(--EXACT('Testcases'!B6426:B6506,"Bị chặn"))&gt;0,"Bị chặn",IF(SUMPRODUCT(--EXACT('Testcases'!B6426:B6506,"Chưa thực hiện"))=11,"Chưa thực hiện","Chưa đủ kết luận")))))</f>
        <v/>
      </c>
      <c r="C6403" s="57" t="n"/>
      <c r="D6403" s="57" t="n"/>
      <c r="E6403" s="57" t="n"/>
    </row>
    <row r="6404" ht="30" customHeight="1">
      <c r="A6404" s="47" t="inlineStr">
        <is>
          <t>Màn hình / chức năng</t>
        </is>
      </c>
      <c r="B6404" s="47" t="inlineStr">
        <is>
          <t>Quyền thao tác</t>
        </is>
      </c>
      <c r="C6404" s="57" t="n"/>
      <c r="D6404" s="47" t="inlineStr">
        <is>
          <t>Đường dẫn</t>
        </is>
      </c>
      <c r="E6404" s="56" t="inlineStr">
        <is>
          <t>Chưa xác minh</t>
        </is>
      </c>
    </row>
    <row r="6405" ht="30" customHeight="1">
      <c r="A6405" s="58" t="inlineStr">
        <is>
          <t>Điều kiện kiểm thử</t>
        </is>
      </c>
      <c r="B6405" s="59" t="n"/>
      <c r="C6405" s="59" t="n"/>
      <c r="D6405" s="59" t="n"/>
      <c r="E6405" s="59" t="n"/>
    </row>
    <row r="6406" ht="44" customHeight="1">
      <c r="A6406" s="47" t="inlineStr">
        <is>
          <t>Cấu hình</t>
        </is>
      </c>
      <c r="B6406" s="56" t="inlineStr">
        <is>
          <t>• Tài khoản của trường B (trường B) và tài khoản giáo viên có quyền sửa mục (trường A). Ghi lại cấu hình, điểm và kết quả đỏ của trường A trước khi chạy.</t>
        </is>
      </c>
      <c r="C6406" s="57" t="n"/>
      <c r="D6406" s="57" t="n"/>
      <c r="E6406" s="57" t="n"/>
    </row>
    <row r="6407" ht="61" customHeight="1">
      <c r="A6407" s="47" t="inlineStr">
        <is>
          <t>Vai trò / quyền</t>
        </is>
      </c>
      <c r="B640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407" s="57" t="n"/>
      <c r="D6407" s="57" t="n"/>
      <c r="E6407" s="57" t="n"/>
    </row>
    <row r="6408" ht="30" customHeight="1">
      <c r="A6408" s="47" t="inlineStr">
        <is>
          <t>Dữ liệu test</t>
        </is>
      </c>
      <c r="B6408" s="56" t="inlineStr">
        <is>
          <t>• Trường B (trường khác), tài khoản của trường B</t>
        </is>
      </c>
      <c r="C6408" s="57" t="n"/>
      <c r="D6408" s="57" t="n"/>
      <c r="E6408" s="57" t="n"/>
    </row>
    <row r="6409" ht="30" customHeight="1">
      <c r="A6409" s="47" t="inlineStr">
        <is>
          <t>Trigger</t>
        </is>
      </c>
      <c r="B6409" s="56" t="inlineStr">
        <is>
          <t>• Chỉ xem/xuất không tự chạy xét.</t>
        </is>
      </c>
      <c r="C6409" s="57" t="n"/>
      <c r="D6409" s="57" t="n"/>
      <c r="E6409" s="57" t="n"/>
    </row>
    <row r="6410" ht="44" customHeight="1">
      <c r="A6410" s="47" t="inlineStr">
        <is>
          <t>Blocker</t>
        </is>
      </c>
      <c r="B6410" s="56" t="inlineStr">
        <is>
          <t>• G-PREP-UNASSESSED: Chưa có xác minh fixture, đường thực hiện và phép quan sát trên build của từng case chưa đánh giá.</t>
        </is>
      </c>
      <c r="C6410" s="57" t="n"/>
      <c r="D6410" s="57" t="n"/>
      <c r="E6410" s="57" t="n"/>
    </row>
    <row r="6411" ht="30" customHeight="1">
      <c r="A6411" s="58" t="inlineStr">
        <is>
          <t>Thao tác</t>
        </is>
      </c>
      <c r="B6411" s="59" t="n"/>
      <c r="C6411" s="59" t="n"/>
      <c r="D6411" s="59" t="n"/>
      <c r="E6411" s="59" t="n"/>
    </row>
    <row r="6412" ht="30" customHeight="1">
      <c r="A6412" s="47" t="inlineStr">
        <is>
          <t>Step 1</t>
        </is>
      </c>
      <c r="B6412" s="56" t="inlineStr">
        <is>
          <t>Tài khoản của trường B mở URL/gửi request xem, lưu, xóa quy tắc với ID mục/quy tắc của trường A.</t>
        </is>
      </c>
      <c r="C6412" s="57" t="n"/>
      <c r="D6412" s="57" t="n"/>
      <c r="E6412" s="57" t="n"/>
    </row>
    <row r="6413" ht="44" customHeight="1">
      <c r="A6413" s="47" t="inlineStr">
        <is>
          <t>Step 2</t>
        </is>
      </c>
      <c r="B6413" s="56" t="inlineStr">
        <is>
          <t>Tài khoản giáo viên có quyền sửa mục lưu quy tắc của trường A nhưng sửa request để nguồn tổng hợp trỏ tới thiết lập tổng hợp của trường B hoặc năm 2025.</t>
        </is>
      </c>
      <c r="C6413" s="57" t="n"/>
      <c r="D6413" s="57" t="n"/>
      <c r="E6413" s="57" t="n"/>
    </row>
    <row r="6414" ht="44" customHeight="1">
      <c r="A6414" s="47" t="inlineStr">
        <is>
          <t>Step 3</t>
        </is>
      </c>
      <c r="B6414" s="56" t="inlineStr">
        <is>
          <t>Tài khoản giáo viên có quyền sửa mục lưu quy tắc của trường A nhưng sửa request: ID lớp/nhóm trong bộ lọc và ID đơn vị thuộc trường B hoặc năm 2025.</t>
        </is>
      </c>
      <c r="C6414" s="57" t="n"/>
      <c r="D6414" s="57" t="n"/>
      <c r="E6414" s="57" t="n"/>
    </row>
    <row r="6415" ht="44" customHeight="1">
      <c r="A6415" s="47" t="inlineStr">
        <is>
          <t>Reset</t>
        </is>
      </c>
      <c r="B6415" s="56" t="inlineStr">
        <is>
          <t>Trước mỗi biến thể, dựng lại điều kiện/dữ liệu đầu của case bằng đường được phép; giữ các reset/fixture độc lập đã nêu trong thủ tục.</t>
        </is>
      </c>
      <c r="C6415" s="57" t="n"/>
      <c r="D6415" s="57" t="n"/>
      <c r="E6415" s="57" t="n"/>
    </row>
    <row r="6416" ht="30" customHeight="1">
      <c r="A6416" s="58" t="inlineStr">
        <is>
          <t>Kết quả mong đợi</t>
        </is>
      </c>
      <c r="B6416" s="59" t="n"/>
      <c r="C6416" s="59" t="n"/>
      <c r="D6416" s="59" t="n"/>
      <c r="E6416" s="59" t="n"/>
    </row>
    <row r="6417" ht="30" customHeight="1">
      <c r="A6417" s="47" t="inlineStr">
        <is>
          <t>1.</t>
        </is>
      </c>
      <c r="B6417" s="56" t="inlineStr">
        <is>
          <t>Bị từ chối, không đọc được dữ liệu trường A.</t>
        </is>
      </c>
      <c r="C6417" s="57" t="n"/>
      <c r="D6417" s="57" t="n"/>
      <c r="E6417" s="57" t="n"/>
    </row>
    <row r="6418" ht="30" customHeight="1">
      <c r="A6418" s="47" t="inlineStr">
        <is>
          <t>2.</t>
        </is>
      </c>
      <c r="B6418" s="56" t="inlineStr">
        <is>
          <t>Bị từ chối khi lưu; không có quy tắc tham chiếu nguồn ngoài phạm vi.</t>
        </is>
      </c>
      <c r="C6418" s="57" t="n"/>
      <c r="D6418" s="57" t="n"/>
      <c r="E6418" s="57" t="n"/>
    </row>
    <row r="6419" ht="30" customHeight="1">
      <c r="A6419" s="47" t="inlineStr">
        <is>
          <t>3.</t>
        </is>
      </c>
      <c r="B6419" s="56" t="inlineStr">
        <is>
          <t>Bị từ chối khi lưu; không có quy tắc mang ID lớp/nhóm/đơn vị ngoài phạm vi.</t>
        </is>
      </c>
      <c r="C6419" s="57" t="n"/>
      <c r="D6419" s="57" t="n"/>
      <c r="E6419" s="57" t="n"/>
    </row>
    <row r="6420" ht="30" customHeight="1">
      <c r="A6420" s="47" t="inlineStr">
        <is>
          <t>•</t>
        </is>
      </c>
      <c r="B6420" s="56" t="inlineStr">
        <is>
          <t>Sau cả ba bước: cấu hình, điểm và kết quả đỏ của trường A giống lúc trước khi chạy.</t>
        </is>
      </c>
      <c r="C6420" s="57" t="n"/>
      <c r="D6420" s="57" t="n"/>
      <c r="E6420" s="57" t="n"/>
    </row>
    <row r="6421" ht="44" customHeight="1">
      <c r="A6421" s="47" t="inlineStr">
        <is>
          <t>Giữ nguyên</t>
        </is>
      </c>
      <c r="B6421" s="56" t="inlineStr">
        <is>
          <t>• Giữ điểm, cấu hình và đối tượng không đích theo expected;
• Chỉ thay phần thủ tục yêu cầu, không tự đổi oracle hoặc mở rộng phạm vi.</t>
        </is>
      </c>
      <c r="C6421" s="57" t="n"/>
      <c r="D6421" s="57" t="n"/>
      <c r="E6421" s="57" t="n"/>
    </row>
    <row r="6422" ht="61" customHeight="1">
      <c r="A6422" s="47" t="inlineStr">
        <is>
          <t>Quan sát tại</t>
        </is>
      </c>
      <c r="B6422" s="56" t="inlineStr">
        <is>
          <t>• Dùng trích xuất không lọc để thấy cả ô đối chứng. Trạng thái không có dấu đỏ cần đọc thêm trạng thái lưu;
• Output Excel/PDF dùng file thật.</t>
        </is>
      </c>
      <c r="C6422" s="57" t="n"/>
      <c r="D6422" s="57" t="n"/>
      <c r="E6422" s="57" t="n"/>
    </row>
    <row r="6423" ht="30" customHeight="1">
      <c r="A6423" s="58" t="inlineStr">
        <is>
          <t>Kết quả thực tế</t>
        </is>
      </c>
      <c r="B6423" s="59" t="n"/>
      <c r="C6423" s="59" t="n"/>
      <c r="D6423" s="59" t="n"/>
      <c r="E6423" s="59" t="n"/>
    </row>
    <row r="6424" ht="30" customHeight="1">
      <c r="A6424" s="60" t="inlineStr">
        <is>
          <t>TC-RS-ERR-007 / read-school</t>
        </is>
      </c>
      <c r="B6424" s="36" t="n"/>
      <c r="C6424" s="36" t="n"/>
      <c r="D6424" s="36" t="n"/>
      <c r="E6424" s="36" t="n"/>
    </row>
    <row r="6425" ht="30" customHeight="1">
      <c r="A6425" s="47" t="inlineStr">
        <is>
          <t>Dữ liệu biến thể</t>
        </is>
      </c>
      <c r="B6425" s="56" t="inlineStr">
        <is>
          <t>Đọc mục trường khác</t>
        </is>
      </c>
      <c r="C6425" s="57" t="n"/>
      <c r="D6425" s="57" t="n"/>
      <c r="E6425" s="57" t="n"/>
    </row>
    <row r="6426" ht="30" customHeight="1">
      <c r="A6426" s="47" t="inlineStr">
        <is>
          <t>Trạng thái</t>
        </is>
      </c>
      <c r="B6426" s="61" t="inlineStr">
        <is>
          <t>Chưa thực hiện</t>
        </is>
      </c>
      <c r="C6426" s="57" t="n"/>
      <c r="D6426" s="57" t="n"/>
      <c r="E6426" s="57" t="n"/>
    </row>
    <row r="6427" ht="30" customHeight="1">
      <c r="A6427" s="62" t="inlineStr">
        <is>
          <t>Kết quả thực tế</t>
        </is>
      </c>
    </row>
    <row r="6428" ht="64" customHeight="1">
      <c r="A6428" s="63" t="inlineStr"/>
      <c r="B6428" s="64" t="n"/>
      <c r="C6428" s="64" t="n"/>
      <c r="D6428" s="64" t="n"/>
      <c r="E6428" s="65" t="n"/>
    </row>
    <row r="6429" ht="30" customHeight="1">
      <c r="A6429" s="62" t="inlineStr">
        <is>
          <t>Ảnh minh chứng</t>
        </is>
      </c>
    </row>
    <row r="6430" ht="90" customHeight="1">
      <c r="A6430" s="63" t="inlineStr"/>
      <c r="B6430" s="64" t="n"/>
      <c r="C6430" s="64" t="n"/>
      <c r="D6430" s="64" t="n"/>
      <c r="E6430" s="65" t="n"/>
    </row>
    <row r="6431" ht="12" customHeight="1">
      <c r="A6431" s="66" t="inlineStr"/>
    </row>
    <row r="6432" ht="30" customHeight="1">
      <c r="A6432" s="60" t="inlineStr">
        <is>
          <t>TC-RS-ERR-007 / save-school</t>
        </is>
      </c>
      <c r="B6432" s="36" t="n"/>
      <c r="C6432" s="36" t="n"/>
      <c r="D6432" s="36" t="n"/>
      <c r="E6432" s="36" t="n"/>
    </row>
    <row r="6433" ht="30" customHeight="1">
      <c r="A6433" s="47" t="inlineStr">
        <is>
          <t>Dữ liệu biến thể</t>
        </is>
      </c>
      <c r="B6433" s="56" t="inlineStr">
        <is>
          <t>Lưu mục trường khác</t>
        </is>
      </c>
      <c r="C6433" s="57" t="n"/>
      <c r="D6433" s="57" t="n"/>
      <c r="E6433" s="57" t="n"/>
    </row>
    <row r="6434" ht="30" customHeight="1">
      <c r="A6434" s="47" t="inlineStr">
        <is>
          <t>Trạng thái</t>
        </is>
      </c>
      <c r="B6434" s="61" t="inlineStr">
        <is>
          <t>Chưa thực hiện</t>
        </is>
      </c>
      <c r="C6434" s="57" t="n"/>
      <c r="D6434" s="57" t="n"/>
      <c r="E6434" s="57" t="n"/>
    </row>
    <row r="6435" ht="30" customHeight="1">
      <c r="A6435" s="62" t="inlineStr">
        <is>
          <t>Kết quả thực tế</t>
        </is>
      </c>
    </row>
    <row r="6436" ht="64" customHeight="1">
      <c r="A6436" s="63" t="inlineStr"/>
      <c r="B6436" s="64" t="n"/>
      <c r="C6436" s="64" t="n"/>
      <c r="D6436" s="64" t="n"/>
      <c r="E6436" s="65" t="n"/>
    </row>
    <row r="6437" ht="30" customHeight="1">
      <c r="A6437" s="62" t="inlineStr">
        <is>
          <t>Ảnh minh chứng</t>
        </is>
      </c>
    </row>
    <row r="6438" ht="90" customHeight="1">
      <c r="A6438" s="63" t="inlineStr"/>
      <c r="B6438" s="64" t="n"/>
      <c r="C6438" s="64" t="n"/>
      <c r="D6438" s="64" t="n"/>
      <c r="E6438" s="65" t="n"/>
    </row>
    <row r="6439" ht="12" customHeight="1">
      <c r="A6439" s="66" t="inlineStr"/>
    </row>
    <row r="6440" ht="30" customHeight="1">
      <c r="A6440" s="60" t="inlineStr">
        <is>
          <t>TC-RS-ERR-007 / delete-school</t>
        </is>
      </c>
      <c r="B6440" s="36" t="n"/>
      <c r="C6440" s="36" t="n"/>
      <c r="D6440" s="36" t="n"/>
      <c r="E6440" s="36" t="n"/>
    </row>
    <row r="6441" ht="30" customHeight="1">
      <c r="A6441" s="47" t="inlineStr">
        <is>
          <t>Dữ liệu biến thể</t>
        </is>
      </c>
      <c r="B6441" s="56" t="inlineStr">
        <is>
          <t>Xóa mục trường khác</t>
        </is>
      </c>
      <c r="C6441" s="57" t="n"/>
      <c r="D6441" s="57" t="n"/>
      <c r="E6441" s="57" t="n"/>
    </row>
    <row r="6442" ht="30" customHeight="1">
      <c r="A6442" s="47" t="inlineStr">
        <is>
          <t>Trạng thái</t>
        </is>
      </c>
      <c r="B6442" s="61" t="inlineStr">
        <is>
          <t>Chưa thực hiện</t>
        </is>
      </c>
      <c r="C6442" s="57" t="n"/>
      <c r="D6442" s="57" t="n"/>
      <c r="E6442" s="57" t="n"/>
    </row>
    <row r="6443" ht="30" customHeight="1">
      <c r="A6443" s="62" t="inlineStr">
        <is>
          <t>Kết quả thực tế</t>
        </is>
      </c>
    </row>
    <row r="6444" ht="64" customHeight="1">
      <c r="A6444" s="63" t="inlineStr"/>
      <c r="B6444" s="64" t="n"/>
      <c r="C6444" s="64" t="n"/>
      <c r="D6444" s="64" t="n"/>
      <c r="E6444" s="65" t="n"/>
    </row>
    <row r="6445" ht="30" customHeight="1">
      <c r="A6445" s="62" t="inlineStr">
        <is>
          <t>Ảnh minh chứng</t>
        </is>
      </c>
    </row>
    <row r="6446" ht="90" customHeight="1">
      <c r="A6446" s="63" t="inlineStr"/>
      <c r="B6446" s="64" t="n"/>
      <c r="C6446" s="64" t="n"/>
      <c r="D6446" s="64" t="n"/>
      <c r="E6446" s="65" t="n"/>
    </row>
    <row r="6447" ht="12" customHeight="1">
      <c r="A6447" s="66" t="inlineStr"/>
    </row>
    <row r="6448" ht="30" customHeight="1">
      <c r="A6448" s="60" t="inlineStr">
        <is>
          <t>TC-RS-ERR-007 / source-school</t>
        </is>
      </c>
      <c r="B6448" s="36" t="n"/>
      <c r="C6448" s="36" t="n"/>
      <c r="D6448" s="36" t="n"/>
      <c r="E6448" s="36" t="n"/>
    </row>
    <row r="6449" ht="30" customHeight="1">
      <c r="A6449" s="47" t="inlineStr">
        <is>
          <t>Dữ liệu biến thể</t>
        </is>
      </c>
      <c r="B6449" s="56" t="inlineStr">
        <is>
          <t>Nguồn trường khác</t>
        </is>
      </c>
      <c r="C6449" s="57" t="n"/>
      <c r="D6449" s="57" t="n"/>
      <c r="E6449" s="57" t="n"/>
    </row>
    <row r="6450" ht="30" customHeight="1">
      <c r="A6450" s="47" t="inlineStr">
        <is>
          <t>Trạng thái</t>
        </is>
      </c>
      <c r="B6450" s="61" t="inlineStr">
        <is>
          <t>Chưa thực hiện</t>
        </is>
      </c>
      <c r="C6450" s="57" t="n"/>
      <c r="D6450" s="57" t="n"/>
      <c r="E6450" s="57" t="n"/>
    </row>
    <row r="6451" ht="30" customHeight="1">
      <c r="A6451" s="62" t="inlineStr">
        <is>
          <t>Kết quả thực tế</t>
        </is>
      </c>
    </row>
    <row r="6452" ht="64" customHeight="1">
      <c r="A6452" s="63" t="inlineStr"/>
      <c r="B6452" s="64" t="n"/>
      <c r="C6452" s="64" t="n"/>
      <c r="D6452" s="64" t="n"/>
      <c r="E6452" s="65" t="n"/>
    </row>
    <row r="6453" ht="30" customHeight="1">
      <c r="A6453" s="62" t="inlineStr">
        <is>
          <t>Ảnh minh chứng</t>
        </is>
      </c>
    </row>
    <row r="6454" ht="90" customHeight="1">
      <c r="A6454" s="63" t="inlineStr"/>
      <c r="B6454" s="64" t="n"/>
      <c r="C6454" s="64" t="n"/>
      <c r="D6454" s="64" t="n"/>
      <c r="E6454" s="65" t="n"/>
    </row>
    <row r="6455" ht="12" customHeight="1">
      <c r="A6455" s="66" t="inlineStr"/>
    </row>
    <row r="6456" ht="30" customHeight="1">
      <c r="A6456" s="60" t="inlineStr">
        <is>
          <t>TC-RS-ERR-007 / source-year</t>
        </is>
      </c>
      <c r="B6456" s="36" t="n"/>
      <c r="C6456" s="36" t="n"/>
      <c r="D6456" s="36" t="n"/>
      <c r="E6456" s="36" t="n"/>
    </row>
    <row r="6457" ht="30" customHeight="1">
      <c r="A6457" s="47" t="inlineStr">
        <is>
          <t>Dữ liệu biến thể</t>
        </is>
      </c>
      <c r="B6457" s="56" t="inlineStr">
        <is>
          <t>Nguồn năm khác</t>
        </is>
      </c>
      <c r="C6457" s="57" t="n"/>
      <c r="D6457" s="57" t="n"/>
      <c r="E6457" s="57" t="n"/>
    </row>
    <row r="6458" ht="30" customHeight="1">
      <c r="A6458" s="47" t="inlineStr">
        <is>
          <t>Trạng thái</t>
        </is>
      </c>
      <c r="B6458" s="61" t="inlineStr">
        <is>
          <t>Chưa thực hiện</t>
        </is>
      </c>
      <c r="C6458" s="57" t="n"/>
      <c r="D6458" s="57" t="n"/>
      <c r="E6458" s="57" t="n"/>
    </row>
    <row r="6459" ht="30" customHeight="1">
      <c r="A6459" s="62" t="inlineStr">
        <is>
          <t>Kết quả thực tế</t>
        </is>
      </c>
    </row>
    <row r="6460" ht="64" customHeight="1">
      <c r="A6460" s="63" t="inlineStr"/>
      <c r="B6460" s="64" t="n"/>
      <c r="C6460" s="64" t="n"/>
      <c r="D6460" s="64" t="n"/>
      <c r="E6460" s="65" t="n"/>
    </row>
    <row r="6461" ht="30" customHeight="1">
      <c r="A6461" s="62" t="inlineStr">
        <is>
          <t>Ảnh minh chứng</t>
        </is>
      </c>
    </row>
    <row r="6462" ht="90" customHeight="1">
      <c r="A6462" s="63" t="inlineStr"/>
      <c r="B6462" s="64" t="n"/>
      <c r="C6462" s="64" t="n"/>
      <c r="D6462" s="64" t="n"/>
      <c r="E6462" s="65" t="n"/>
    </row>
    <row r="6463" ht="12" customHeight="1">
      <c r="A6463" s="66" t="inlineStr"/>
    </row>
    <row r="6464" ht="30" customHeight="1">
      <c r="A6464" s="60" t="inlineStr">
        <is>
          <t>TC-RS-ERR-007 / class-school</t>
        </is>
      </c>
      <c r="B6464" s="36" t="n"/>
      <c r="C6464" s="36" t="n"/>
      <c r="D6464" s="36" t="n"/>
      <c r="E6464" s="36" t="n"/>
    </row>
    <row r="6465" ht="30" customHeight="1">
      <c r="A6465" s="47" t="inlineStr">
        <is>
          <t>Dữ liệu biến thể</t>
        </is>
      </c>
      <c r="B6465" s="56" t="inlineStr">
        <is>
          <t>Lớp trường khác</t>
        </is>
      </c>
      <c r="C6465" s="57" t="n"/>
      <c r="D6465" s="57" t="n"/>
      <c r="E6465" s="57" t="n"/>
    </row>
    <row r="6466" ht="30" customHeight="1">
      <c r="A6466" s="47" t="inlineStr">
        <is>
          <t>Trạng thái</t>
        </is>
      </c>
      <c r="B6466" s="61" t="inlineStr">
        <is>
          <t>Chưa thực hiện</t>
        </is>
      </c>
      <c r="C6466" s="57" t="n"/>
      <c r="D6466" s="57" t="n"/>
      <c r="E6466" s="57" t="n"/>
    </row>
    <row r="6467" ht="30" customHeight="1">
      <c r="A6467" s="62" t="inlineStr">
        <is>
          <t>Kết quả thực tế</t>
        </is>
      </c>
    </row>
    <row r="6468" ht="64" customHeight="1">
      <c r="A6468" s="63" t="inlineStr"/>
      <c r="B6468" s="64" t="n"/>
      <c r="C6468" s="64" t="n"/>
      <c r="D6468" s="64" t="n"/>
      <c r="E6468" s="65" t="n"/>
    </row>
    <row r="6469" ht="30" customHeight="1">
      <c r="A6469" s="62" t="inlineStr">
        <is>
          <t>Ảnh minh chứng</t>
        </is>
      </c>
    </row>
    <row r="6470" ht="90" customHeight="1">
      <c r="A6470" s="63" t="inlineStr"/>
      <c r="B6470" s="64" t="n"/>
      <c r="C6470" s="64" t="n"/>
      <c r="D6470" s="64" t="n"/>
      <c r="E6470" s="65" t="n"/>
    </row>
    <row r="6471" ht="12" customHeight="1">
      <c r="A6471" s="66" t="inlineStr"/>
    </row>
    <row r="6472" ht="30" customHeight="1">
      <c r="A6472" s="60" t="inlineStr">
        <is>
          <t>TC-RS-ERR-007 / class-year</t>
        </is>
      </c>
      <c r="B6472" s="36" t="n"/>
      <c r="C6472" s="36" t="n"/>
      <c r="D6472" s="36" t="n"/>
      <c r="E6472" s="36" t="n"/>
    </row>
    <row r="6473" ht="30" customHeight="1">
      <c r="A6473" s="47" t="inlineStr">
        <is>
          <t>Dữ liệu biến thể</t>
        </is>
      </c>
      <c r="B6473" s="56" t="inlineStr">
        <is>
          <t>Lớp năm khác</t>
        </is>
      </c>
      <c r="C6473" s="57" t="n"/>
      <c r="D6473" s="57" t="n"/>
      <c r="E6473" s="57" t="n"/>
    </row>
    <row r="6474" ht="30" customHeight="1">
      <c r="A6474" s="47" t="inlineStr">
        <is>
          <t>Trạng thái</t>
        </is>
      </c>
      <c r="B6474" s="61" t="inlineStr">
        <is>
          <t>Chưa thực hiện</t>
        </is>
      </c>
      <c r="C6474" s="57" t="n"/>
      <c r="D6474" s="57" t="n"/>
      <c r="E6474" s="57" t="n"/>
    </row>
    <row r="6475" ht="30" customHeight="1">
      <c r="A6475" s="62" t="inlineStr">
        <is>
          <t>Kết quả thực tế</t>
        </is>
      </c>
    </row>
    <row r="6476" ht="64" customHeight="1">
      <c r="A6476" s="63" t="inlineStr"/>
      <c r="B6476" s="64" t="n"/>
      <c r="C6476" s="64" t="n"/>
      <c r="D6476" s="64" t="n"/>
      <c r="E6476" s="65" t="n"/>
    </row>
    <row r="6477" ht="30" customHeight="1">
      <c r="A6477" s="62" t="inlineStr">
        <is>
          <t>Ảnh minh chứng</t>
        </is>
      </c>
    </row>
    <row r="6478" ht="90" customHeight="1">
      <c r="A6478" s="63" t="inlineStr"/>
      <c r="B6478" s="64" t="n"/>
      <c r="C6478" s="64" t="n"/>
      <c r="D6478" s="64" t="n"/>
      <c r="E6478" s="65" t="n"/>
    </row>
    <row r="6479" ht="12" customHeight="1">
      <c r="A6479" s="66" t="inlineStr"/>
    </row>
    <row r="6480" ht="30" customHeight="1">
      <c r="A6480" s="60" t="inlineStr">
        <is>
          <t>TC-RS-ERR-007 / group-school</t>
        </is>
      </c>
      <c r="B6480" s="36" t="n"/>
      <c r="C6480" s="36" t="n"/>
      <c r="D6480" s="36" t="n"/>
      <c r="E6480" s="36" t="n"/>
    </row>
    <row r="6481" ht="30" customHeight="1">
      <c r="A6481" s="47" t="inlineStr">
        <is>
          <t>Dữ liệu biến thể</t>
        </is>
      </c>
      <c r="B6481" s="56" t="inlineStr">
        <is>
          <t>Nhóm trường khác</t>
        </is>
      </c>
      <c r="C6481" s="57" t="n"/>
      <c r="D6481" s="57" t="n"/>
      <c r="E6481" s="57" t="n"/>
    </row>
    <row r="6482" ht="30" customHeight="1">
      <c r="A6482" s="47" t="inlineStr">
        <is>
          <t>Trạng thái</t>
        </is>
      </c>
      <c r="B6482" s="61" t="inlineStr">
        <is>
          <t>Chưa thực hiện</t>
        </is>
      </c>
      <c r="C6482" s="57" t="n"/>
      <c r="D6482" s="57" t="n"/>
      <c r="E6482" s="57" t="n"/>
    </row>
    <row r="6483" ht="30" customHeight="1">
      <c r="A6483" s="62" t="inlineStr">
        <is>
          <t>Kết quả thực tế</t>
        </is>
      </c>
    </row>
    <row r="6484" ht="64" customHeight="1">
      <c r="A6484" s="63" t="inlineStr"/>
      <c r="B6484" s="64" t="n"/>
      <c r="C6484" s="64" t="n"/>
      <c r="D6484" s="64" t="n"/>
      <c r="E6484" s="65" t="n"/>
    </row>
    <row r="6485" ht="30" customHeight="1">
      <c r="A6485" s="62" t="inlineStr">
        <is>
          <t>Ảnh minh chứng</t>
        </is>
      </c>
    </row>
    <row r="6486" ht="90" customHeight="1">
      <c r="A6486" s="63" t="inlineStr"/>
      <c r="B6486" s="64" t="n"/>
      <c r="C6486" s="64" t="n"/>
      <c r="D6486" s="64" t="n"/>
      <c r="E6486" s="65" t="n"/>
    </row>
    <row r="6487" ht="12" customHeight="1">
      <c r="A6487" s="66" t="inlineStr"/>
    </row>
    <row r="6488" ht="30" customHeight="1">
      <c r="A6488" s="60" t="inlineStr">
        <is>
          <t>TC-RS-ERR-007 / group-year</t>
        </is>
      </c>
      <c r="B6488" s="36" t="n"/>
      <c r="C6488" s="36" t="n"/>
      <c r="D6488" s="36" t="n"/>
      <c r="E6488" s="36" t="n"/>
    </row>
    <row r="6489" ht="30" customHeight="1">
      <c r="A6489" s="47" t="inlineStr">
        <is>
          <t>Dữ liệu biến thể</t>
        </is>
      </c>
      <c r="B6489" s="56" t="inlineStr">
        <is>
          <t>Nhóm năm khác</t>
        </is>
      </c>
      <c r="C6489" s="57" t="n"/>
      <c r="D6489" s="57" t="n"/>
      <c r="E6489" s="57" t="n"/>
    </row>
    <row r="6490" ht="30" customHeight="1">
      <c r="A6490" s="47" t="inlineStr">
        <is>
          <t>Trạng thái</t>
        </is>
      </c>
      <c r="B6490" s="61" t="inlineStr">
        <is>
          <t>Chưa thực hiện</t>
        </is>
      </c>
      <c r="C6490" s="57" t="n"/>
      <c r="D6490" s="57" t="n"/>
      <c r="E6490" s="57" t="n"/>
    </row>
    <row r="6491" ht="30" customHeight="1">
      <c r="A6491" s="62" t="inlineStr">
        <is>
          <t>Kết quả thực tế</t>
        </is>
      </c>
    </row>
    <row r="6492" ht="64" customHeight="1">
      <c r="A6492" s="63" t="inlineStr"/>
      <c r="B6492" s="64" t="n"/>
      <c r="C6492" s="64" t="n"/>
      <c r="D6492" s="64" t="n"/>
      <c r="E6492" s="65" t="n"/>
    </row>
    <row r="6493" ht="30" customHeight="1">
      <c r="A6493" s="62" t="inlineStr">
        <is>
          <t>Ảnh minh chứng</t>
        </is>
      </c>
    </row>
    <row r="6494" ht="90" customHeight="1">
      <c r="A6494" s="63" t="inlineStr"/>
      <c r="B6494" s="64" t="n"/>
      <c r="C6494" s="64" t="n"/>
      <c r="D6494" s="64" t="n"/>
      <c r="E6494" s="65" t="n"/>
    </row>
    <row r="6495" ht="12" customHeight="1">
      <c r="A6495" s="66" t="inlineStr"/>
    </row>
    <row r="6496" ht="30" customHeight="1">
      <c r="A6496" s="60" t="inlineStr">
        <is>
          <t>TC-RS-ERR-007 / unit-school</t>
        </is>
      </c>
      <c r="B6496" s="36" t="n"/>
      <c r="C6496" s="36" t="n"/>
      <c r="D6496" s="36" t="n"/>
      <c r="E6496" s="36" t="n"/>
    </row>
    <row r="6497" ht="30" customHeight="1">
      <c r="A6497" s="47" t="inlineStr">
        <is>
          <t>Dữ liệu biến thể</t>
        </is>
      </c>
      <c r="B6497" s="56" t="inlineStr">
        <is>
          <t>Đơn vị trường khác</t>
        </is>
      </c>
      <c r="C6497" s="57" t="n"/>
      <c r="D6497" s="57" t="n"/>
      <c r="E6497" s="57" t="n"/>
    </row>
    <row r="6498" ht="30" customHeight="1">
      <c r="A6498" s="47" t="inlineStr">
        <is>
          <t>Trạng thái</t>
        </is>
      </c>
      <c r="B6498" s="61" t="inlineStr">
        <is>
          <t>Chưa thực hiện</t>
        </is>
      </c>
      <c r="C6498" s="57" t="n"/>
      <c r="D6498" s="57" t="n"/>
      <c r="E6498" s="57" t="n"/>
    </row>
    <row r="6499" ht="30" customHeight="1">
      <c r="A6499" s="62" t="inlineStr">
        <is>
          <t>Kết quả thực tế</t>
        </is>
      </c>
    </row>
    <row r="6500" ht="64" customHeight="1">
      <c r="A6500" s="63" t="inlineStr"/>
      <c r="B6500" s="64" t="n"/>
      <c r="C6500" s="64" t="n"/>
      <c r="D6500" s="64" t="n"/>
      <c r="E6500" s="65" t="n"/>
    </row>
    <row r="6501" ht="30" customHeight="1">
      <c r="A6501" s="62" t="inlineStr">
        <is>
          <t>Ảnh minh chứng</t>
        </is>
      </c>
    </row>
    <row r="6502" ht="90" customHeight="1">
      <c r="A6502" s="63" t="inlineStr"/>
      <c r="B6502" s="64" t="n"/>
      <c r="C6502" s="64" t="n"/>
      <c r="D6502" s="64" t="n"/>
      <c r="E6502" s="65" t="n"/>
    </row>
    <row r="6503" ht="12" customHeight="1">
      <c r="A6503" s="66" t="inlineStr"/>
    </row>
    <row r="6504" ht="30" customHeight="1">
      <c r="A6504" s="60" t="inlineStr">
        <is>
          <t>TC-RS-ERR-007 / unit-year</t>
        </is>
      </c>
      <c r="B6504" s="36" t="n"/>
      <c r="C6504" s="36" t="n"/>
      <c r="D6504" s="36" t="n"/>
      <c r="E6504" s="36" t="n"/>
    </row>
    <row r="6505" ht="30" customHeight="1">
      <c r="A6505" s="47" t="inlineStr">
        <is>
          <t>Dữ liệu biến thể</t>
        </is>
      </c>
      <c r="B6505" s="56" t="inlineStr">
        <is>
          <t>Đơn vị năm khác</t>
        </is>
      </c>
      <c r="C6505" s="57" t="n"/>
      <c r="D6505" s="57" t="n"/>
      <c r="E6505" s="57" t="n"/>
    </row>
    <row r="6506" ht="30" customHeight="1">
      <c r="A6506" s="47" t="inlineStr">
        <is>
          <t>Trạng thái</t>
        </is>
      </c>
      <c r="B6506" s="61" t="inlineStr">
        <is>
          <t>Chưa thực hiện</t>
        </is>
      </c>
      <c r="C6506" s="57" t="n"/>
      <c r="D6506" s="57" t="n"/>
      <c r="E6506" s="57" t="n"/>
    </row>
    <row r="6507" ht="30" customHeight="1">
      <c r="A6507" s="62" t="inlineStr">
        <is>
          <t>Kết quả thực tế</t>
        </is>
      </c>
    </row>
    <row r="6508" ht="64" customHeight="1">
      <c r="A6508" s="63" t="inlineStr"/>
      <c r="B6508" s="64" t="n"/>
      <c r="C6508" s="64" t="n"/>
      <c r="D6508" s="64" t="n"/>
      <c r="E6508" s="65" t="n"/>
    </row>
    <row r="6509" ht="30" customHeight="1">
      <c r="A6509" s="62" t="inlineStr">
        <is>
          <t>Ảnh minh chứng</t>
        </is>
      </c>
    </row>
    <row r="6510" ht="90" customHeight="1">
      <c r="A6510" s="63" t="inlineStr"/>
      <c r="B6510" s="64" t="n"/>
      <c r="C6510" s="64" t="n"/>
      <c r="D6510" s="64" t="n"/>
      <c r="E6510" s="65" t="n"/>
    </row>
    <row r="6511" ht="12" customHeight="1">
      <c r="A6511" s="66" t="inlineStr"/>
    </row>
    <row r="6512" ht="20" customHeight="1">
      <c r="A6512" s="66" t="inlineStr"/>
    </row>
    <row r="6513" ht="30" customHeight="1">
      <c r="A6513" s="46" t="inlineStr">
        <is>
          <t>TC-RS-ERR-008 — Gọi trực tiếp request chạy tính toán hàng loạt khi không có quyền chạy</t>
        </is>
      </c>
      <c r="B6513" s="23" t="n"/>
      <c r="C6513" s="23" t="n"/>
      <c r="D6513" s="23" t="n"/>
      <c r="E6513" s="23" t="n"/>
    </row>
    <row r="6514" ht="30" customHeight="1">
      <c r="A6514" s="47" t="inlineStr">
        <is>
          <t>Trạng thái</t>
        </is>
      </c>
      <c r="B6514" s="61" t="inlineStr">
        <is>
          <t>Chưa thực hiện</t>
        </is>
      </c>
      <c r="C6514" s="57" t="n"/>
      <c r="D6514" s="57" t="n"/>
      <c r="E6514" s="57" t="n"/>
    </row>
    <row r="6515" ht="30" customHeight="1">
      <c r="A6515" s="47" t="inlineStr">
        <is>
          <t>Màn hình / chức năng</t>
        </is>
      </c>
      <c r="B6515" s="47" t="inlineStr">
        <is>
          <t>Quyền thao tác</t>
        </is>
      </c>
      <c r="C6515" s="57" t="n"/>
      <c r="D6515" s="47" t="inlineStr">
        <is>
          <t>Đường dẫn</t>
        </is>
      </c>
      <c r="E6515" s="56" t="inlineStr">
        <is>
          <t>Chưa xác minh</t>
        </is>
      </c>
    </row>
    <row r="6516" ht="30" customHeight="1">
      <c r="A6516" s="58" t="inlineStr">
        <is>
          <t>Điều kiện kiểm thử</t>
        </is>
      </c>
      <c r="B6516" s="59" t="n"/>
      <c r="C6516" s="59" t="n"/>
      <c r="D6516" s="59" t="n"/>
      <c r="E6516" s="59" t="n"/>
    </row>
    <row r="6517" ht="44" customHeight="1">
      <c r="A6517" s="47" t="inlineStr">
        <is>
          <t>Cấu hình</t>
        </is>
      </c>
      <c r="B6517" s="56" t="inlineStr">
        <is>
          <t>• Tài khoản sửa được mục nhưng không có quyền chạy hàng loạt;
• Bản ghi request chạy nút cam hợp lệ từ tài khoản có quyền chạy hàng loạt.</t>
        </is>
      </c>
      <c r="C6517" s="57" t="n"/>
      <c r="D6517" s="57" t="n"/>
      <c r="E6517" s="57" t="n"/>
    </row>
    <row r="6518" ht="61" customHeight="1">
      <c r="A6518" s="47" t="inlineStr">
        <is>
          <t>Vai trò / quyền</t>
        </is>
      </c>
      <c r="B651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518" s="57" t="n"/>
      <c r="D6518" s="57" t="n"/>
      <c r="E6518" s="57" t="n"/>
    </row>
    <row r="6519" ht="44" customHeight="1">
      <c r="A6519" s="47" t="inlineStr">
        <is>
          <t>Dữ liệu test</t>
        </is>
      </c>
      <c r="B6519" s="56" t="inlineStr">
        <is>
          <t>• Tài khoản sửa được mục nhưng không có quyền chạy hàng loạt;
• Endpoint/request URL lấy từ route hiện hành của build, không ghi URL giả định vào oracle.</t>
        </is>
      </c>
      <c r="C6519" s="57" t="n"/>
      <c r="D6519" s="57" t="n"/>
      <c r="E6519" s="57" t="n"/>
    </row>
    <row r="6520" ht="30" customHeight="1">
      <c r="A6520" s="47" t="inlineStr">
        <is>
          <t>Trigger</t>
        </is>
      </c>
      <c r="B6520" s="56" t="inlineStr">
        <is>
          <t>• Chỉ xem/xuất không tự chạy xét.</t>
        </is>
      </c>
      <c r="C6520" s="57" t="n"/>
      <c r="D6520" s="57" t="n"/>
      <c r="E6520" s="57" t="n"/>
    </row>
    <row r="6521" ht="44" customHeight="1">
      <c r="A6521" s="47" t="inlineStr">
        <is>
          <t>Blocker</t>
        </is>
      </c>
      <c r="B6521" s="56" t="inlineStr">
        <is>
          <t>• G-PREP-UNASSESSED: Chưa có xác minh fixture, đường thực hiện và phép quan sát trên build của từng case chưa đánh giá.</t>
        </is>
      </c>
      <c r="C6521" s="57" t="n"/>
      <c r="D6521" s="57" t="n"/>
      <c r="E6521" s="57" t="n"/>
    </row>
    <row r="6522" ht="30" customHeight="1">
      <c r="A6522" s="58" t="inlineStr">
        <is>
          <t>Thao tác</t>
        </is>
      </c>
      <c r="B6522" s="59" t="n"/>
      <c r="C6522" s="59" t="n"/>
      <c r="D6522" s="59" t="n"/>
      <c r="E6522" s="59" t="n"/>
    </row>
    <row r="6523" ht="44" customHeight="1">
      <c r="A6523" s="47" t="inlineStr">
        <is>
          <t>•</t>
        </is>
      </c>
      <c r="B6523" s="56" t="inlineStr">
        <is>
          <t>Dùng phiên tài khoản sửa được mục nhưng không có quyền chạy hàng loạt gửi request chạy tính toán hàng loạt cho khối 1.</t>
        </is>
      </c>
      <c r="C6523" s="57" t="n"/>
      <c r="D6523" s="57" t="n"/>
      <c r="E6523" s="57" t="n"/>
    </row>
    <row r="6524" ht="44" customHeight="1">
      <c r="A6524" s="47" t="inlineStr">
        <is>
          <t>Reset</t>
        </is>
      </c>
      <c r="B6524" s="56" t="inlineStr">
        <is>
          <t>Trước mỗi biến thể, dựng lại điều kiện/dữ liệu đầu của case bằng đường được phép; giữ các reset/fixture độc lập đã nêu trong thủ tục.</t>
        </is>
      </c>
      <c r="C6524" s="57" t="n"/>
      <c r="D6524" s="57" t="n"/>
      <c r="E6524" s="57" t="n"/>
    </row>
    <row r="6525" ht="30" customHeight="1">
      <c r="A6525" s="58" t="inlineStr">
        <is>
          <t>Kết quả mong đợi</t>
        </is>
      </c>
      <c r="B6525" s="59" t="n"/>
      <c r="C6525" s="59" t="n"/>
      <c r="D6525" s="59" t="n"/>
      <c r="E6525" s="59" t="n"/>
    </row>
    <row r="6526" ht="61" customHeight="1">
      <c r="A6526" s="47" t="inlineStr">
        <is>
          <t>•</t>
        </is>
      </c>
      <c r="B6526" s="56" t="inlineStr">
        <is>
          <t>Kỳ vọng theo đặc tả v2: bị từ chối, không xếp hàng/không xét. Nếu chưa xác định được route hoặc seam request ở build đang kiểm, ghi BLOCKED/NEEDS_EVIDENCE thay vì READY; không biến việc thiếu URL thành kết quả đạt.</t>
        </is>
      </c>
      <c r="C6526" s="57" t="n"/>
      <c r="D6526" s="57" t="n"/>
      <c r="E6526" s="57" t="n"/>
    </row>
    <row r="6527" ht="44" customHeight="1">
      <c r="A6527" s="47" t="inlineStr">
        <is>
          <t>Giữ nguyên</t>
        </is>
      </c>
      <c r="B6527" s="56" t="inlineStr">
        <is>
          <t>• Giữ điểm, cấu hình và đối tượng không đích theo expected;
• Chỉ thay phần thủ tục yêu cầu, không tự đổi oracle hoặc mở rộng phạm vi.</t>
        </is>
      </c>
      <c r="C6527" s="57" t="n"/>
      <c r="D6527" s="57" t="n"/>
      <c r="E6527" s="57" t="n"/>
    </row>
    <row r="6528" ht="61" customHeight="1">
      <c r="A6528" s="47" t="inlineStr">
        <is>
          <t>Quan sát tại</t>
        </is>
      </c>
      <c r="B6528" s="56" t="inlineStr">
        <is>
          <t>• Dùng trích xuất không lọc để thấy cả ô đối chứng. Trạng thái không có dấu đỏ cần đọc thêm trạng thái lưu;
• Output Excel/PDF dùng file thật.</t>
        </is>
      </c>
      <c r="C6528" s="57" t="n"/>
      <c r="D6528" s="57" t="n"/>
      <c r="E6528" s="57" t="n"/>
    </row>
    <row r="6529" ht="30" customHeight="1">
      <c r="A6529" s="58" t="inlineStr">
        <is>
          <t>Kết quả thực tế</t>
        </is>
      </c>
      <c r="B6529" s="59" t="n"/>
      <c r="C6529" s="59" t="n"/>
      <c r="D6529" s="59" t="n"/>
      <c r="E6529" s="59" t="n"/>
    </row>
    <row r="6530" ht="30" customHeight="1">
      <c r="A6530" s="47" t="inlineStr">
        <is>
          <t>Dữ liệu biến thể</t>
        </is>
      </c>
      <c r="B6530" s="56" t="inlineStr">
        <is>
          <t>Toàn bộ thủ tục theo đúng thứ tự; các đối chứng cùng fixture được kiểm trong cùng lượt, không bỏ bước</t>
        </is>
      </c>
      <c r="C6530" s="57" t="n"/>
      <c r="D6530" s="57" t="n"/>
      <c r="E6530" s="57" t="n"/>
    </row>
    <row r="6531" ht="30" customHeight="1">
      <c r="A6531" s="62" t="inlineStr">
        <is>
          <t>Kết quả thực tế</t>
        </is>
      </c>
    </row>
    <row r="6532" ht="64" customHeight="1">
      <c r="A6532" s="63" t="inlineStr"/>
      <c r="B6532" s="64" t="n"/>
      <c r="C6532" s="64" t="n"/>
      <c r="D6532" s="64" t="n"/>
      <c r="E6532" s="65" t="n"/>
    </row>
    <row r="6533" ht="30" customHeight="1">
      <c r="A6533" s="62" t="inlineStr">
        <is>
          <t>Ảnh minh chứng</t>
        </is>
      </c>
    </row>
    <row r="6534" ht="90" customHeight="1">
      <c r="A6534" s="63" t="inlineStr"/>
      <c r="B6534" s="64" t="n"/>
      <c r="C6534" s="64" t="n"/>
      <c r="D6534" s="64" t="n"/>
      <c r="E6534" s="65" t="n"/>
    </row>
    <row r="6535" ht="12" customHeight="1">
      <c r="A6535" s="66" t="inlineStr"/>
    </row>
    <row r="6536" ht="20" customHeight="1">
      <c r="A6536" s="66" t="inlineStr"/>
    </row>
    <row r="6537" ht="30" customHeight="1">
      <c r="A6537" s="46" t="inlineStr">
        <is>
          <t>TC-RS-ERR-009 — Server kiểm miền giá trị khi bỏ qua kiểm tra phía trình duyệt</t>
        </is>
      </c>
      <c r="B6537" s="23" t="n"/>
      <c r="C6537" s="23" t="n"/>
      <c r="D6537" s="23" t="n"/>
      <c r="E6537" s="23" t="n"/>
    </row>
    <row r="6538" ht="30" customHeight="1">
      <c r="A6538" s="47" t="inlineStr">
        <is>
          <t>Trạng thái</t>
        </is>
      </c>
      <c r="B6538" s="56">
        <f>IF(0&gt;0,"Không đạt",IF(0=16,"Đạt",IF(SUMPRODUCT(--EXACT('Testcases'!B6556:B6676,"Không thực hiện"))=16,"Không thực hiện",IF(SUMPRODUCT(--EXACT('Testcases'!B6556:B6676,"Bị chặn"))&gt;0,"Bị chặn",IF(SUMPRODUCT(--EXACT('Testcases'!B6556:B6676,"Chưa thực hiện"))=16,"Chưa thực hiện","Chưa đủ kết luận")))))</f>
        <v/>
      </c>
      <c r="C6538" s="57" t="n"/>
      <c r="D6538" s="57" t="n"/>
      <c r="E6538" s="57" t="n"/>
    </row>
    <row r="6539" ht="30" customHeight="1">
      <c r="A6539" s="47" t="inlineStr">
        <is>
          <t>Màn hình / chức năng</t>
        </is>
      </c>
      <c r="B6539" s="47" t="inlineStr">
        <is>
          <t>Quyền thao tác</t>
        </is>
      </c>
      <c r="C6539" s="57" t="n"/>
      <c r="D6539" s="47" t="inlineStr">
        <is>
          <t>Đường dẫn</t>
        </is>
      </c>
      <c r="E6539" s="56" t="inlineStr">
        <is>
          <t>Chưa xác minh</t>
        </is>
      </c>
    </row>
    <row r="6540" ht="30" customHeight="1">
      <c r="A6540" s="58" t="inlineStr">
        <is>
          <t>Điều kiện kiểm thử</t>
        </is>
      </c>
      <c r="B6540" s="59" t="n"/>
      <c r="C6540" s="59" t="n"/>
      <c r="D6540" s="59" t="n"/>
      <c r="E6540" s="59" t="n"/>
    </row>
    <row r="6541" ht="44" customHeight="1">
      <c r="A6541" s="47" t="inlineStr">
        <is>
          <t>Cấu hình</t>
        </is>
      </c>
      <c r="B6541" s="56" t="inlineStr">
        <is>
          <t>• Tài khoản giáo viên có quyền sửa mục;
• Bản ghi request lưu ngưỡng hợp lệ.</t>
        </is>
      </c>
      <c r="C6541" s="57" t="n"/>
      <c r="D6541" s="57" t="n"/>
      <c r="E6541" s="57" t="n"/>
    </row>
    <row r="6542" ht="61" customHeight="1">
      <c r="A6542" s="47" t="inlineStr">
        <is>
          <t>Vai trò / quyền</t>
        </is>
      </c>
      <c r="B654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542" s="57" t="n"/>
      <c r="D6542" s="57" t="n"/>
      <c r="E6542" s="57" t="n"/>
    </row>
    <row r="6543" ht="146" customHeight="1">
      <c r="A6543" s="47" t="inlineStr">
        <is>
          <t>Dữ liệu test</t>
        </is>
      </c>
      <c r="B6543" s="56" t="inlineStr">
        <is>
          <t>• N cố định = 101, −1;
• Tỷ lệ = 101;
• Mẫu số cố định = 0;
• N = [NaN], [Infinity], [1e400], chuỗi rỗng;
• Công thức có phép toán/hàm không được phép (ví dụ [^], [max]) hoặc chuỗi biểu thức tự do thay cho các dòng;
• Điều kiện áp dụng (khi có schema, PROPOSED theo thiết kế DB v2 mục 3.2 “[apply_condition]”): JSON [null], chuỗi rỗng, object rỗng, khóa lạ, cả hai array rỗng</t>
        </is>
      </c>
      <c r="C6543" s="57" t="n"/>
      <c r="D6543" s="57" t="n"/>
      <c r="E6543" s="57" t="n"/>
    </row>
    <row r="6544" ht="30" customHeight="1">
      <c r="A6544" s="47" t="inlineStr">
        <is>
          <t>Trigger</t>
        </is>
      </c>
      <c r="B6544" s="56" t="inlineStr">
        <is>
          <t>• Chỉ xem/xuất không tự chạy xét.</t>
        </is>
      </c>
      <c r="C6544" s="57" t="n"/>
      <c r="D6544" s="57" t="n"/>
      <c r="E6544" s="57" t="n"/>
    </row>
    <row r="6545" ht="44" customHeight="1">
      <c r="A6545" s="47" t="inlineStr">
        <is>
          <t>Blocker</t>
        </is>
      </c>
      <c r="B6545" s="56" t="inlineStr">
        <is>
          <t>• G-PREP-UNASSESSED: Chưa có xác minh fixture, đường thực hiện và phép quan sát trên build của từng case chưa đánh giá.</t>
        </is>
      </c>
      <c r="C6545" s="57" t="n"/>
      <c r="D6545" s="57" t="n"/>
      <c r="E6545" s="57" t="n"/>
    </row>
    <row r="6546" ht="30" customHeight="1">
      <c r="A6546" s="58" t="inlineStr">
        <is>
          <t>Thao tác</t>
        </is>
      </c>
      <c r="B6546" s="59" t="n"/>
      <c r="C6546" s="59" t="n"/>
      <c r="D6546" s="59" t="n"/>
      <c r="E6546" s="59" t="n"/>
    </row>
    <row r="6547" ht="30" customHeight="1">
      <c r="A6547" s="47" t="inlineStr">
        <is>
          <t>•</t>
        </is>
      </c>
      <c r="B6547" s="56" t="inlineStr">
        <is>
          <t>Sửa request (bỏ kiểm tra JS) và gửi từng giá trị.</t>
        </is>
      </c>
      <c r="C6547" s="57" t="n"/>
      <c r="D6547" s="57" t="n"/>
      <c r="E6547" s="57" t="n"/>
    </row>
    <row r="6548" ht="44" customHeight="1">
      <c r="A6548" s="47" t="inlineStr">
        <is>
          <t>Reset</t>
        </is>
      </c>
      <c r="B6548" s="56" t="inlineStr">
        <is>
          <t>Trước mỗi biến thể, dựng lại điều kiện/dữ liệu đầu của case bằng đường được phép; giữ các reset/fixture độc lập đã nêu trong thủ tục.</t>
        </is>
      </c>
      <c r="C6548" s="57" t="n"/>
      <c r="D6548" s="57" t="n"/>
      <c r="E6548" s="57" t="n"/>
    </row>
    <row r="6549" ht="30" customHeight="1">
      <c r="A6549" s="58" t="inlineStr">
        <is>
          <t>Kết quả mong đợi</t>
        </is>
      </c>
      <c r="B6549" s="59" t="n"/>
      <c r="C6549" s="59" t="n"/>
      <c r="D6549" s="59" t="n"/>
      <c r="E6549" s="59" t="n"/>
    </row>
    <row r="6550" ht="44" customHeight="1">
      <c r="A6550" s="47" t="inlineStr">
        <is>
          <t>•</t>
        </is>
      </c>
      <c r="B6550" s="56" t="inlineStr">
        <is>
          <t>Mọi giá trị trên bị server từ chối; cấu hình đã lưu không đổi. Công thức chỉ nhận các dòng với phép toán và toán hạng được hỗ trợ; không lưu biểu thức tự do.</t>
        </is>
      </c>
      <c r="C6550" s="57" t="n"/>
      <c r="D6550" s="57" t="n"/>
      <c r="E6550" s="57" t="n"/>
    </row>
    <row r="6551" ht="44" customHeight="1">
      <c r="A6551" s="47" t="inlineStr">
        <is>
          <t>Giữ nguyên</t>
        </is>
      </c>
      <c r="B6551" s="56" t="inlineStr">
        <is>
          <t>• Giữ điểm, cấu hình và đối tượng không đích theo expected;
• Chỉ thay phần thủ tục yêu cầu, không tự đổi oracle hoặc mở rộng phạm vi.</t>
        </is>
      </c>
      <c r="C6551" s="57" t="n"/>
      <c r="D6551" s="57" t="n"/>
      <c r="E6551" s="57" t="n"/>
    </row>
    <row r="6552" ht="61" customHeight="1">
      <c r="A6552" s="47" t="inlineStr">
        <is>
          <t>Quan sát tại</t>
        </is>
      </c>
      <c r="B6552" s="56" t="inlineStr">
        <is>
          <t>• Dùng trích xuất không lọc để thấy cả ô đối chứng. Trạng thái không có dấu đỏ cần đọc thêm trạng thái lưu;
• Output Excel/PDF dùng file thật.</t>
        </is>
      </c>
      <c r="C6552" s="57" t="n"/>
      <c r="D6552" s="57" t="n"/>
      <c r="E6552" s="57" t="n"/>
    </row>
    <row r="6553" ht="30" customHeight="1">
      <c r="A6553" s="58" t="inlineStr">
        <is>
          <t>Kết quả thực tế</t>
        </is>
      </c>
      <c r="B6553" s="59" t="n"/>
      <c r="C6553" s="59" t="n"/>
      <c r="D6553" s="59" t="n"/>
      <c r="E6553" s="59" t="n"/>
    </row>
    <row r="6554" ht="30" customHeight="1">
      <c r="A6554" s="60" t="inlineStr">
        <is>
          <t>TC-RS-ERR-009 / above</t>
        </is>
      </c>
      <c r="B6554" s="36" t="n"/>
      <c r="C6554" s="36" t="n"/>
      <c r="D6554" s="36" t="n"/>
      <c r="E6554" s="36" t="n"/>
    </row>
    <row r="6555" ht="30" customHeight="1">
      <c r="A6555" s="47" t="inlineStr">
        <is>
          <t>Dữ liệu biến thể</t>
        </is>
      </c>
      <c r="B6555" s="56" t="inlineStr">
        <is>
          <t>N101</t>
        </is>
      </c>
      <c r="C6555" s="57" t="n"/>
      <c r="D6555" s="57" t="n"/>
      <c r="E6555" s="57" t="n"/>
    </row>
    <row r="6556" ht="30" customHeight="1">
      <c r="A6556" s="47" t="inlineStr">
        <is>
          <t>Trạng thái</t>
        </is>
      </c>
      <c r="B6556" s="61" t="inlineStr">
        <is>
          <t>Chưa thực hiện</t>
        </is>
      </c>
      <c r="C6556" s="57" t="n"/>
      <c r="D6556" s="57" t="n"/>
      <c r="E6556" s="57" t="n"/>
    </row>
    <row r="6557" ht="30" customHeight="1">
      <c r="A6557" s="62" t="inlineStr">
        <is>
          <t>Kết quả thực tế</t>
        </is>
      </c>
    </row>
    <row r="6558" ht="64" customHeight="1">
      <c r="A6558" s="63" t="inlineStr"/>
      <c r="B6558" s="64" t="n"/>
      <c r="C6558" s="64" t="n"/>
      <c r="D6558" s="64" t="n"/>
      <c r="E6558" s="65" t="n"/>
    </row>
    <row r="6559" ht="30" customHeight="1">
      <c r="A6559" s="62" t="inlineStr">
        <is>
          <t>Ảnh minh chứng</t>
        </is>
      </c>
    </row>
    <row r="6560" ht="90" customHeight="1">
      <c r="A6560" s="63" t="inlineStr"/>
      <c r="B6560" s="64" t="n"/>
      <c r="C6560" s="64" t="n"/>
      <c r="D6560" s="64" t="n"/>
      <c r="E6560" s="65" t="n"/>
    </row>
    <row r="6561" ht="12" customHeight="1">
      <c r="A6561" s="66" t="inlineStr"/>
    </row>
    <row r="6562" ht="30" customHeight="1">
      <c r="A6562" s="60" t="inlineStr">
        <is>
          <t>TC-RS-ERR-009 / negative</t>
        </is>
      </c>
      <c r="B6562" s="36" t="n"/>
      <c r="C6562" s="36" t="n"/>
      <c r="D6562" s="36" t="n"/>
      <c r="E6562" s="36" t="n"/>
    </row>
    <row r="6563" ht="30" customHeight="1">
      <c r="A6563" s="47" t="inlineStr">
        <is>
          <t>Dữ liệu biến thể</t>
        </is>
      </c>
      <c r="B6563" s="56" t="inlineStr">
        <is>
          <t>N âm</t>
        </is>
      </c>
      <c r="C6563" s="57" t="n"/>
      <c r="D6563" s="57" t="n"/>
      <c r="E6563" s="57" t="n"/>
    </row>
    <row r="6564" ht="30" customHeight="1">
      <c r="A6564" s="47" t="inlineStr">
        <is>
          <t>Trạng thái</t>
        </is>
      </c>
      <c r="B6564" s="61" t="inlineStr">
        <is>
          <t>Chưa thực hiện</t>
        </is>
      </c>
      <c r="C6564" s="57" t="n"/>
      <c r="D6564" s="57" t="n"/>
      <c r="E6564" s="57" t="n"/>
    </row>
    <row r="6565" ht="30" customHeight="1">
      <c r="A6565" s="62" t="inlineStr">
        <is>
          <t>Kết quả thực tế</t>
        </is>
      </c>
    </row>
    <row r="6566" ht="64" customHeight="1">
      <c r="A6566" s="63" t="inlineStr"/>
      <c r="B6566" s="64" t="n"/>
      <c r="C6566" s="64" t="n"/>
      <c r="D6566" s="64" t="n"/>
      <c r="E6566" s="65" t="n"/>
    </row>
    <row r="6567" ht="30" customHeight="1">
      <c r="A6567" s="62" t="inlineStr">
        <is>
          <t>Ảnh minh chứng</t>
        </is>
      </c>
    </row>
    <row r="6568" ht="90" customHeight="1">
      <c r="A6568" s="63" t="inlineStr"/>
      <c r="B6568" s="64" t="n"/>
      <c r="C6568" s="64" t="n"/>
      <c r="D6568" s="64" t="n"/>
      <c r="E6568" s="65" t="n"/>
    </row>
    <row r="6569" ht="12" customHeight="1">
      <c r="A6569" s="66" t="inlineStr"/>
    </row>
    <row r="6570" ht="30" customHeight="1">
      <c r="A6570" s="60" t="inlineStr">
        <is>
          <t>TC-RS-ERR-009 / ratio-above</t>
        </is>
      </c>
      <c r="B6570" s="36" t="n"/>
      <c r="C6570" s="36" t="n"/>
      <c r="D6570" s="36" t="n"/>
      <c r="E6570" s="36" t="n"/>
    </row>
    <row r="6571" ht="30" customHeight="1">
      <c r="A6571" s="47" t="inlineStr">
        <is>
          <t>Dữ liệu biến thể</t>
        </is>
      </c>
      <c r="B6571" s="56" t="inlineStr">
        <is>
          <t>Tỷ lệ 101</t>
        </is>
      </c>
      <c r="C6571" s="57" t="n"/>
      <c r="D6571" s="57" t="n"/>
      <c r="E6571" s="57" t="n"/>
    </row>
    <row r="6572" ht="30" customHeight="1">
      <c r="A6572" s="47" t="inlineStr">
        <is>
          <t>Trạng thái</t>
        </is>
      </c>
      <c r="B6572" s="61" t="inlineStr">
        <is>
          <t>Chưa thực hiện</t>
        </is>
      </c>
      <c r="C6572" s="57" t="n"/>
      <c r="D6572" s="57" t="n"/>
      <c r="E6572" s="57" t="n"/>
    </row>
    <row r="6573" ht="30" customHeight="1">
      <c r="A6573" s="62" t="inlineStr">
        <is>
          <t>Kết quả thực tế</t>
        </is>
      </c>
    </row>
    <row r="6574" ht="64" customHeight="1">
      <c r="A6574" s="63" t="inlineStr"/>
      <c r="B6574" s="64" t="n"/>
      <c r="C6574" s="64" t="n"/>
      <c r="D6574" s="64" t="n"/>
      <c r="E6574" s="65" t="n"/>
    </row>
    <row r="6575" ht="30" customHeight="1">
      <c r="A6575" s="62" t="inlineStr">
        <is>
          <t>Ảnh minh chứng</t>
        </is>
      </c>
    </row>
    <row r="6576" ht="90" customHeight="1">
      <c r="A6576" s="63" t="inlineStr"/>
      <c r="B6576" s="64" t="n"/>
      <c r="C6576" s="64" t="n"/>
      <c r="D6576" s="64" t="n"/>
      <c r="E6576" s="65" t="n"/>
    </row>
    <row r="6577" ht="12" customHeight="1">
      <c r="A6577" s="66" t="inlineStr"/>
    </row>
    <row r="6578" ht="30" customHeight="1">
      <c r="A6578" s="60" t="inlineStr">
        <is>
          <t>TC-RS-ERR-009 / divide-zero</t>
        </is>
      </c>
      <c r="B6578" s="36" t="n"/>
      <c r="C6578" s="36" t="n"/>
      <c r="D6578" s="36" t="n"/>
      <c r="E6578" s="36" t="n"/>
    </row>
    <row r="6579" ht="30" customHeight="1">
      <c r="A6579" s="47" t="inlineStr">
        <is>
          <t>Dữ liệu biến thể</t>
        </is>
      </c>
      <c r="B6579" s="56" t="inlineStr">
        <is>
          <t>Chia 0</t>
        </is>
      </c>
      <c r="C6579" s="57" t="n"/>
      <c r="D6579" s="57" t="n"/>
      <c r="E6579" s="57" t="n"/>
    </row>
    <row r="6580" ht="30" customHeight="1">
      <c r="A6580" s="47" t="inlineStr">
        <is>
          <t>Trạng thái</t>
        </is>
      </c>
      <c r="B6580" s="61" t="inlineStr">
        <is>
          <t>Chưa thực hiện</t>
        </is>
      </c>
      <c r="C6580" s="57" t="n"/>
      <c r="D6580" s="57" t="n"/>
      <c r="E6580" s="57" t="n"/>
    </row>
    <row r="6581" ht="30" customHeight="1">
      <c r="A6581" s="62" t="inlineStr">
        <is>
          <t>Kết quả thực tế</t>
        </is>
      </c>
    </row>
    <row r="6582" ht="64" customHeight="1">
      <c r="A6582" s="63" t="inlineStr"/>
      <c r="B6582" s="64" t="n"/>
      <c r="C6582" s="64" t="n"/>
      <c r="D6582" s="64" t="n"/>
      <c r="E6582" s="65" t="n"/>
    </row>
    <row r="6583" ht="30" customHeight="1">
      <c r="A6583" s="62" t="inlineStr">
        <is>
          <t>Ảnh minh chứng</t>
        </is>
      </c>
    </row>
    <row r="6584" ht="90" customHeight="1">
      <c r="A6584" s="63" t="inlineStr"/>
      <c r="B6584" s="64" t="n"/>
      <c r="C6584" s="64" t="n"/>
      <c r="D6584" s="64" t="n"/>
      <c r="E6584" s="65" t="n"/>
    </row>
    <row r="6585" ht="12" customHeight="1">
      <c r="A6585" s="66" t="inlineStr"/>
    </row>
    <row r="6586" ht="30" customHeight="1">
      <c r="A6586" s="60" t="inlineStr">
        <is>
          <t>TC-RS-ERR-009 / nan</t>
        </is>
      </c>
      <c r="B6586" s="36" t="n"/>
      <c r="C6586" s="36" t="n"/>
      <c r="D6586" s="36" t="n"/>
      <c r="E6586" s="36" t="n"/>
    </row>
    <row r="6587" ht="30" customHeight="1">
      <c r="A6587" s="47" t="inlineStr">
        <is>
          <t>Dữ liệu biến thể</t>
        </is>
      </c>
      <c r="B6587" s="56" t="inlineStr">
        <is>
          <t>NaN</t>
        </is>
      </c>
      <c r="C6587" s="57" t="n"/>
      <c r="D6587" s="57" t="n"/>
      <c r="E6587" s="57" t="n"/>
    </row>
    <row r="6588" ht="30" customHeight="1">
      <c r="A6588" s="47" t="inlineStr">
        <is>
          <t>Trạng thái</t>
        </is>
      </c>
      <c r="B6588" s="61" t="inlineStr">
        <is>
          <t>Chưa thực hiện</t>
        </is>
      </c>
      <c r="C6588" s="57" t="n"/>
      <c r="D6588" s="57" t="n"/>
      <c r="E6588" s="57" t="n"/>
    </row>
    <row r="6589" ht="30" customHeight="1">
      <c r="A6589" s="62" t="inlineStr">
        <is>
          <t>Kết quả thực tế</t>
        </is>
      </c>
    </row>
    <row r="6590" ht="64" customHeight="1">
      <c r="A6590" s="63" t="inlineStr"/>
      <c r="B6590" s="64" t="n"/>
      <c r="C6590" s="64" t="n"/>
      <c r="D6590" s="64" t="n"/>
      <c r="E6590" s="65" t="n"/>
    </row>
    <row r="6591" ht="30" customHeight="1">
      <c r="A6591" s="62" t="inlineStr">
        <is>
          <t>Ảnh minh chứng</t>
        </is>
      </c>
    </row>
    <row r="6592" ht="90" customHeight="1">
      <c r="A6592" s="63" t="inlineStr"/>
      <c r="B6592" s="64" t="n"/>
      <c r="C6592" s="64" t="n"/>
      <c r="D6592" s="64" t="n"/>
      <c r="E6592" s="65" t="n"/>
    </row>
    <row r="6593" ht="12" customHeight="1">
      <c r="A6593" s="66" t="inlineStr"/>
    </row>
    <row r="6594" ht="30" customHeight="1">
      <c r="A6594" s="60" t="inlineStr">
        <is>
          <t>TC-RS-ERR-009 / infinity</t>
        </is>
      </c>
      <c r="B6594" s="36" t="n"/>
      <c r="C6594" s="36" t="n"/>
      <c r="D6594" s="36" t="n"/>
      <c r="E6594" s="36" t="n"/>
    </row>
    <row r="6595" ht="30" customHeight="1">
      <c r="A6595" s="47" t="inlineStr">
        <is>
          <t>Dữ liệu biến thể</t>
        </is>
      </c>
      <c r="B6595" s="56" t="inlineStr">
        <is>
          <t>Infinity</t>
        </is>
      </c>
      <c r="C6595" s="57" t="n"/>
      <c r="D6595" s="57" t="n"/>
      <c r="E6595" s="57" t="n"/>
    </row>
    <row r="6596" ht="30" customHeight="1">
      <c r="A6596" s="47" t="inlineStr">
        <is>
          <t>Trạng thái</t>
        </is>
      </c>
      <c r="B6596" s="61" t="inlineStr">
        <is>
          <t>Chưa thực hiện</t>
        </is>
      </c>
      <c r="C6596" s="57" t="n"/>
      <c r="D6596" s="57" t="n"/>
      <c r="E6596" s="57" t="n"/>
    </row>
    <row r="6597" ht="30" customHeight="1">
      <c r="A6597" s="62" t="inlineStr">
        <is>
          <t>Kết quả thực tế</t>
        </is>
      </c>
    </row>
    <row r="6598" ht="64" customHeight="1">
      <c r="A6598" s="63" t="inlineStr"/>
      <c r="B6598" s="64" t="n"/>
      <c r="C6598" s="64" t="n"/>
      <c r="D6598" s="64" t="n"/>
      <c r="E6598" s="65" t="n"/>
    </row>
    <row r="6599" ht="30" customHeight="1">
      <c r="A6599" s="62" t="inlineStr">
        <is>
          <t>Ảnh minh chứng</t>
        </is>
      </c>
    </row>
    <row r="6600" ht="90" customHeight="1">
      <c r="A6600" s="63" t="inlineStr"/>
      <c r="B6600" s="64" t="n"/>
      <c r="C6600" s="64" t="n"/>
      <c r="D6600" s="64" t="n"/>
      <c r="E6600" s="65" t="n"/>
    </row>
    <row r="6601" ht="12" customHeight="1">
      <c r="A6601" s="66" t="inlineStr"/>
    </row>
    <row r="6602" ht="30" customHeight="1">
      <c r="A6602" s="60" t="inlineStr">
        <is>
          <t>TC-RS-ERR-009 / exponent</t>
        </is>
      </c>
      <c r="B6602" s="36" t="n"/>
      <c r="C6602" s="36" t="n"/>
      <c r="D6602" s="36" t="n"/>
      <c r="E6602" s="36" t="n"/>
    </row>
    <row r="6603" ht="30" customHeight="1">
      <c r="A6603" s="47" t="inlineStr">
        <is>
          <t>Dữ liệu biến thể</t>
        </is>
      </c>
      <c r="B6603" s="56" t="inlineStr">
        <is>
          <t>1E400</t>
        </is>
      </c>
      <c r="C6603" s="57" t="n"/>
      <c r="D6603" s="57" t="n"/>
      <c r="E6603" s="57" t="n"/>
    </row>
    <row r="6604" ht="30" customHeight="1">
      <c r="A6604" s="47" t="inlineStr">
        <is>
          <t>Trạng thái</t>
        </is>
      </c>
      <c r="B6604" s="61" t="inlineStr">
        <is>
          <t>Chưa thực hiện</t>
        </is>
      </c>
      <c r="C6604" s="57" t="n"/>
      <c r="D6604" s="57" t="n"/>
      <c r="E6604" s="57" t="n"/>
    </row>
    <row r="6605" ht="30" customHeight="1">
      <c r="A6605" s="62" t="inlineStr">
        <is>
          <t>Kết quả thực tế</t>
        </is>
      </c>
    </row>
    <row r="6606" ht="64" customHeight="1">
      <c r="A6606" s="63" t="inlineStr"/>
      <c r="B6606" s="64" t="n"/>
      <c r="C6606" s="64" t="n"/>
      <c r="D6606" s="64" t="n"/>
      <c r="E6606" s="65" t="n"/>
    </row>
    <row r="6607" ht="30" customHeight="1">
      <c r="A6607" s="62" t="inlineStr">
        <is>
          <t>Ảnh minh chứng</t>
        </is>
      </c>
    </row>
    <row r="6608" ht="90" customHeight="1">
      <c r="A6608" s="63" t="inlineStr"/>
      <c r="B6608" s="64" t="n"/>
      <c r="C6608" s="64" t="n"/>
      <c r="D6608" s="64" t="n"/>
      <c r="E6608" s="65" t="n"/>
    </row>
    <row r="6609" ht="12" customHeight="1">
      <c r="A6609" s="66" t="inlineStr"/>
    </row>
    <row r="6610" ht="30" customHeight="1">
      <c r="A6610" s="60" t="inlineStr">
        <is>
          <t>TC-RS-ERR-009 / empty</t>
        </is>
      </c>
      <c r="B6610" s="36" t="n"/>
      <c r="C6610" s="36" t="n"/>
      <c r="D6610" s="36" t="n"/>
      <c r="E6610" s="36" t="n"/>
    </row>
    <row r="6611" ht="30" customHeight="1">
      <c r="A6611" s="47" t="inlineStr">
        <is>
          <t>Dữ liệu biến thể</t>
        </is>
      </c>
      <c r="B6611" s="56" t="inlineStr">
        <is>
          <t>N trống</t>
        </is>
      </c>
      <c r="C6611" s="57" t="n"/>
      <c r="D6611" s="57" t="n"/>
      <c r="E6611" s="57" t="n"/>
    </row>
    <row r="6612" ht="30" customHeight="1">
      <c r="A6612" s="47" t="inlineStr">
        <is>
          <t>Trạng thái</t>
        </is>
      </c>
      <c r="B6612" s="61" t="inlineStr">
        <is>
          <t>Chưa thực hiện</t>
        </is>
      </c>
      <c r="C6612" s="57" t="n"/>
      <c r="D6612" s="57" t="n"/>
      <c r="E6612" s="57" t="n"/>
    </row>
    <row r="6613" ht="30" customHeight="1">
      <c r="A6613" s="62" t="inlineStr">
        <is>
          <t>Kết quả thực tế</t>
        </is>
      </c>
    </row>
    <row r="6614" ht="64" customHeight="1">
      <c r="A6614" s="63" t="inlineStr"/>
      <c r="B6614" s="64" t="n"/>
      <c r="C6614" s="64" t="n"/>
      <c r="D6614" s="64" t="n"/>
      <c r="E6614" s="65" t="n"/>
    </row>
    <row r="6615" ht="30" customHeight="1">
      <c r="A6615" s="62" t="inlineStr">
        <is>
          <t>Ảnh minh chứng</t>
        </is>
      </c>
    </row>
    <row r="6616" ht="90" customHeight="1">
      <c r="A6616" s="63" t="inlineStr"/>
      <c r="B6616" s="64" t="n"/>
      <c r="C6616" s="64" t="n"/>
      <c r="D6616" s="64" t="n"/>
      <c r="E6616" s="65" t="n"/>
    </row>
    <row r="6617" ht="12" customHeight="1">
      <c r="A6617" s="66" t="inlineStr"/>
    </row>
    <row r="6618" ht="30" customHeight="1">
      <c r="A6618" s="60" t="inlineStr">
        <is>
          <t>TC-RS-ERR-009 / power</t>
        </is>
      </c>
      <c r="B6618" s="36" t="n"/>
      <c r="C6618" s="36" t="n"/>
      <c r="D6618" s="36" t="n"/>
      <c r="E6618" s="36" t="n"/>
    </row>
    <row r="6619" ht="30" customHeight="1">
      <c r="A6619" s="47" t="inlineStr">
        <is>
          <t>Dữ liệu biến thể</t>
        </is>
      </c>
      <c r="B6619" s="56" t="inlineStr">
        <is>
          <t>Phép toán mũ</t>
        </is>
      </c>
      <c r="C6619" s="57" t="n"/>
      <c r="D6619" s="57" t="n"/>
      <c r="E6619" s="57" t="n"/>
    </row>
    <row r="6620" ht="30" customHeight="1">
      <c r="A6620" s="47" t="inlineStr">
        <is>
          <t>Trạng thái</t>
        </is>
      </c>
      <c r="B6620" s="61" t="inlineStr">
        <is>
          <t>Chưa thực hiện</t>
        </is>
      </c>
      <c r="C6620" s="57" t="n"/>
      <c r="D6620" s="57" t="n"/>
      <c r="E6620" s="57" t="n"/>
    </row>
    <row r="6621" ht="30" customHeight="1">
      <c r="A6621" s="62" t="inlineStr">
        <is>
          <t>Kết quả thực tế</t>
        </is>
      </c>
    </row>
    <row r="6622" ht="64" customHeight="1">
      <c r="A6622" s="63" t="inlineStr"/>
      <c r="B6622" s="64" t="n"/>
      <c r="C6622" s="64" t="n"/>
      <c r="D6622" s="64" t="n"/>
      <c r="E6622" s="65" t="n"/>
    </row>
    <row r="6623" ht="30" customHeight="1">
      <c r="A6623" s="62" t="inlineStr">
        <is>
          <t>Ảnh minh chứng</t>
        </is>
      </c>
    </row>
    <row r="6624" ht="90" customHeight="1">
      <c r="A6624" s="63" t="inlineStr"/>
      <c r="B6624" s="64" t="n"/>
      <c r="C6624" s="64" t="n"/>
      <c r="D6624" s="64" t="n"/>
      <c r="E6624" s="65" t="n"/>
    </row>
    <row r="6625" ht="12" customHeight="1">
      <c r="A6625" s="66" t="inlineStr"/>
    </row>
    <row r="6626" ht="30" customHeight="1">
      <c r="A6626" s="60" t="inlineStr">
        <is>
          <t>TC-RS-ERR-009 / max</t>
        </is>
      </c>
      <c r="B6626" s="36" t="n"/>
      <c r="C6626" s="36" t="n"/>
      <c r="D6626" s="36" t="n"/>
      <c r="E6626" s="36" t="n"/>
    </row>
    <row r="6627" ht="30" customHeight="1">
      <c r="A6627" s="47" t="inlineStr">
        <is>
          <t>Dữ liệu biến thể</t>
        </is>
      </c>
      <c r="B6627" s="56" t="inlineStr">
        <is>
          <t>Hàm max</t>
        </is>
      </c>
      <c r="C6627" s="57" t="n"/>
      <c r="D6627" s="57" t="n"/>
      <c r="E6627" s="57" t="n"/>
    </row>
    <row r="6628" ht="30" customHeight="1">
      <c r="A6628" s="47" t="inlineStr">
        <is>
          <t>Trạng thái</t>
        </is>
      </c>
      <c r="B6628" s="61" t="inlineStr">
        <is>
          <t>Chưa thực hiện</t>
        </is>
      </c>
      <c r="C6628" s="57" t="n"/>
      <c r="D6628" s="57" t="n"/>
      <c r="E6628" s="57" t="n"/>
    </row>
    <row r="6629" ht="30" customHeight="1">
      <c r="A6629" s="62" t="inlineStr">
        <is>
          <t>Kết quả thực tế</t>
        </is>
      </c>
    </row>
    <row r="6630" ht="64" customHeight="1">
      <c r="A6630" s="63" t="inlineStr"/>
      <c r="B6630" s="64" t="n"/>
      <c r="C6630" s="64" t="n"/>
      <c r="D6630" s="64" t="n"/>
      <c r="E6630" s="65" t="n"/>
    </row>
    <row r="6631" ht="30" customHeight="1">
      <c r="A6631" s="62" t="inlineStr">
        <is>
          <t>Ảnh minh chứng</t>
        </is>
      </c>
    </row>
    <row r="6632" ht="90" customHeight="1">
      <c r="A6632" s="63" t="inlineStr"/>
      <c r="B6632" s="64" t="n"/>
      <c r="C6632" s="64" t="n"/>
      <c r="D6632" s="64" t="n"/>
      <c r="E6632" s="65" t="n"/>
    </row>
    <row r="6633" ht="12" customHeight="1">
      <c r="A6633" s="66" t="inlineStr"/>
    </row>
    <row r="6634" ht="30" customHeight="1">
      <c r="A6634" s="60" t="inlineStr">
        <is>
          <t>TC-RS-ERR-009 / expression</t>
        </is>
      </c>
      <c r="B6634" s="36" t="n"/>
      <c r="C6634" s="36" t="n"/>
      <c r="D6634" s="36" t="n"/>
      <c r="E6634" s="36" t="n"/>
    </row>
    <row r="6635" ht="30" customHeight="1">
      <c r="A6635" s="47" t="inlineStr">
        <is>
          <t>Dữ liệu biến thể</t>
        </is>
      </c>
      <c r="B6635" s="56" t="inlineStr">
        <is>
          <t>Biểu thức tự do</t>
        </is>
      </c>
      <c r="C6635" s="57" t="n"/>
      <c r="D6635" s="57" t="n"/>
      <c r="E6635" s="57" t="n"/>
    </row>
    <row r="6636" ht="30" customHeight="1">
      <c r="A6636" s="47" t="inlineStr">
        <is>
          <t>Trạng thái</t>
        </is>
      </c>
      <c r="B6636" s="61" t="inlineStr">
        <is>
          <t>Chưa thực hiện</t>
        </is>
      </c>
      <c r="C6636" s="57" t="n"/>
      <c r="D6636" s="57" t="n"/>
      <c r="E6636" s="57" t="n"/>
    </row>
    <row r="6637" ht="30" customHeight="1">
      <c r="A6637" s="62" t="inlineStr">
        <is>
          <t>Kết quả thực tế</t>
        </is>
      </c>
    </row>
    <row r="6638" ht="64" customHeight="1">
      <c r="A6638" s="63" t="inlineStr"/>
      <c r="B6638" s="64" t="n"/>
      <c r="C6638" s="64" t="n"/>
      <c r="D6638" s="64" t="n"/>
      <c r="E6638" s="65" t="n"/>
    </row>
    <row r="6639" ht="30" customHeight="1">
      <c r="A6639" s="62" t="inlineStr">
        <is>
          <t>Ảnh minh chứng</t>
        </is>
      </c>
    </row>
    <row r="6640" ht="90" customHeight="1">
      <c r="A6640" s="63" t="inlineStr"/>
      <c r="B6640" s="64" t="n"/>
      <c r="C6640" s="64" t="n"/>
      <c r="D6640" s="64" t="n"/>
      <c r="E6640" s="65" t="n"/>
    </row>
    <row r="6641" ht="12" customHeight="1">
      <c r="A6641" s="66" t="inlineStr"/>
    </row>
    <row r="6642" ht="30" customHeight="1">
      <c r="A6642" s="60" t="inlineStr">
        <is>
          <t>TC-RS-ERR-009 / null</t>
        </is>
      </c>
      <c r="B6642" s="36" t="n"/>
      <c r="C6642" s="36" t="n"/>
      <c r="D6642" s="36" t="n"/>
      <c r="E6642" s="36" t="n"/>
    </row>
    <row r="6643" ht="30" customHeight="1">
      <c r="A6643" s="47" t="inlineStr">
        <is>
          <t>Dữ liệu biến thể</t>
        </is>
      </c>
      <c r="B6643" s="56" t="inlineStr">
        <is>
          <t>JSON null</t>
        </is>
      </c>
      <c r="C6643" s="57" t="n"/>
      <c r="D6643" s="57" t="n"/>
      <c r="E6643" s="57" t="n"/>
    </row>
    <row r="6644" ht="30" customHeight="1">
      <c r="A6644" s="47" t="inlineStr">
        <is>
          <t>Trạng thái</t>
        </is>
      </c>
      <c r="B6644" s="61" t="inlineStr">
        <is>
          <t>Chưa thực hiện</t>
        </is>
      </c>
      <c r="C6644" s="57" t="n"/>
      <c r="D6644" s="57" t="n"/>
      <c r="E6644" s="57" t="n"/>
    </row>
    <row r="6645" ht="30" customHeight="1">
      <c r="A6645" s="62" t="inlineStr">
        <is>
          <t>Kết quả thực tế</t>
        </is>
      </c>
    </row>
    <row r="6646" ht="64" customHeight="1">
      <c r="A6646" s="63" t="inlineStr"/>
      <c r="B6646" s="64" t="n"/>
      <c r="C6646" s="64" t="n"/>
      <c r="D6646" s="64" t="n"/>
      <c r="E6646" s="65" t="n"/>
    </row>
    <row r="6647" ht="30" customHeight="1">
      <c r="A6647" s="62" t="inlineStr">
        <is>
          <t>Ảnh minh chứng</t>
        </is>
      </c>
    </row>
    <row r="6648" ht="90" customHeight="1">
      <c r="A6648" s="63" t="inlineStr"/>
      <c r="B6648" s="64" t="n"/>
      <c r="C6648" s="64" t="n"/>
      <c r="D6648" s="64" t="n"/>
      <c r="E6648" s="65" t="n"/>
    </row>
    <row r="6649" ht="12" customHeight="1">
      <c r="A6649" s="66" t="inlineStr"/>
    </row>
    <row r="6650" ht="30" customHeight="1">
      <c r="A6650" s="60" t="inlineStr">
        <is>
          <t>TC-RS-ERR-009 / empty-string</t>
        </is>
      </c>
      <c r="B6650" s="36" t="n"/>
      <c r="C6650" s="36" t="n"/>
      <c r="D6650" s="36" t="n"/>
      <c r="E6650" s="36" t="n"/>
    </row>
    <row r="6651" ht="30" customHeight="1">
      <c r="A6651" s="47" t="inlineStr">
        <is>
          <t>Dữ liệu biến thể</t>
        </is>
      </c>
      <c r="B6651" s="56" t="inlineStr">
        <is>
          <t>Chuỗi rỗng</t>
        </is>
      </c>
      <c r="C6651" s="57" t="n"/>
      <c r="D6651" s="57" t="n"/>
      <c r="E6651" s="57" t="n"/>
    </row>
    <row r="6652" ht="30" customHeight="1">
      <c r="A6652" s="47" t="inlineStr">
        <is>
          <t>Trạng thái</t>
        </is>
      </c>
      <c r="B6652" s="61" t="inlineStr">
        <is>
          <t>Chưa thực hiện</t>
        </is>
      </c>
      <c r="C6652" s="57" t="n"/>
      <c r="D6652" s="57" t="n"/>
      <c r="E6652" s="57" t="n"/>
    </row>
    <row r="6653" ht="30" customHeight="1">
      <c r="A6653" s="62" t="inlineStr">
        <is>
          <t>Kết quả thực tế</t>
        </is>
      </c>
    </row>
    <row r="6654" ht="64" customHeight="1">
      <c r="A6654" s="63" t="inlineStr"/>
      <c r="B6654" s="64" t="n"/>
      <c r="C6654" s="64" t="n"/>
      <c r="D6654" s="64" t="n"/>
      <c r="E6654" s="65" t="n"/>
    </row>
    <row r="6655" ht="30" customHeight="1">
      <c r="A6655" s="62" t="inlineStr">
        <is>
          <t>Ảnh minh chứng</t>
        </is>
      </c>
    </row>
    <row r="6656" ht="90" customHeight="1">
      <c r="A6656" s="63" t="inlineStr"/>
      <c r="B6656" s="64" t="n"/>
      <c r="C6656" s="64" t="n"/>
      <c r="D6656" s="64" t="n"/>
      <c r="E6656" s="65" t="n"/>
    </row>
    <row r="6657" ht="12" customHeight="1">
      <c r="A6657" s="66" t="inlineStr"/>
    </row>
    <row r="6658" ht="30" customHeight="1">
      <c r="A6658" s="60" t="inlineStr">
        <is>
          <t>TC-RS-ERR-009 / object</t>
        </is>
      </c>
      <c r="B6658" s="36" t="n"/>
      <c r="C6658" s="36" t="n"/>
      <c r="D6658" s="36" t="n"/>
      <c r="E6658" s="36" t="n"/>
    </row>
    <row r="6659" ht="30" customHeight="1">
      <c r="A6659" s="47" t="inlineStr">
        <is>
          <t>Dữ liệu biến thể</t>
        </is>
      </c>
      <c r="B6659" s="56" t="inlineStr">
        <is>
          <t>Object rỗng</t>
        </is>
      </c>
      <c r="C6659" s="57" t="n"/>
      <c r="D6659" s="57" t="n"/>
      <c r="E6659" s="57" t="n"/>
    </row>
    <row r="6660" ht="30" customHeight="1">
      <c r="A6660" s="47" t="inlineStr">
        <is>
          <t>Trạng thái</t>
        </is>
      </c>
      <c r="B6660" s="61" t="inlineStr">
        <is>
          <t>Chưa thực hiện</t>
        </is>
      </c>
      <c r="C6660" s="57" t="n"/>
      <c r="D6660" s="57" t="n"/>
      <c r="E6660" s="57" t="n"/>
    </row>
    <row r="6661" ht="30" customHeight="1">
      <c r="A6661" s="62" t="inlineStr">
        <is>
          <t>Kết quả thực tế</t>
        </is>
      </c>
    </row>
    <row r="6662" ht="64" customHeight="1">
      <c r="A6662" s="63" t="inlineStr"/>
      <c r="B6662" s="64" t="n"/>
      <c r="C6662" s="64" t="n"/>
      <c r="D6662" s="64" t="n"/>
      <c r="E6662" s="65" t="n"/>
    </row>
    <row r="6663" ht="30" customHeight="1">
      <c r="A6663" s="62" t="inlineStr">
        <is>
          <t>Ảnh minh chứng</t>
        </is>
      </c>
    </row>
    <row r="6664" ht="90" customHeight="1">
      <c r="A6664" s="63" t="inlineStr"/>
      <c r="B6664" s="64" t="n"/>
      <c r="C6664" s="64" t="n"/>
      <c r="D6664" s="64" t="n"/>
      <c r="E6664" s="65" t="n"/>
    </row>
    <row r="6665" ht="12" customHeight="1">
      <c r="A6665" s="66" t="inlineStr"/>
    </row>
    <row r="6666" ht="30" customHeight="1">
      <c r="A6666" s="60" t="inlineStr">
        <is>
          <t>TC-RS-ERR-009 / unknown-key</t>
        </is>
      </c>
      <c r="B6666" s="36" t="n"/>
      <c r="C6666" s="36" t="n"/>
      <c r="D6666" s="36" t="n"/>
      <c r="E6666" s="36" t="n"/>
    </row>
    <row r="6667" ht="30" customHeight="1">
      <c r="A6667" s="47" t="inlineStr">
        <is>
          <t>Dữ liệu biến thể</t>
        </is>
      </c>
      <c r="B6667" s="56" t="inlineStr">
        <is>
          <t>Khóa không biết</t>
        </is>
      </c>
      <c r="C6667" s="57" t="n"/>
      <c r="D6667" s="57" t="n"/>
      <c r="E6667" s="57" t="n"/>
    </row>
    <row r="6668" ht="30" customHeight="1">
      <c r="A6668" s="47" t="inlineStr">
        <is>
          <t>Trạng thái</t>
        </is>
      </c>
      <c r="B6668" s="61" t="inlineStr">
        <is>
          <t>Chưa thực hiện</t>
        </is>
      </c>
      <c r="C6668" s="57" t="n"/>
      <c r="D6668" s="57" t="n"/>
      <c r="E6668" s="57" t="n"/>
    </row>
    <row r="6669" ht="30" customHeight="1">
      <c r="A6669" s="62" t="inlineStr">
        <is>
          <t>Kết quả thực tế</t>
        </is>
      </c>
    </row>
    <row r="6670" ht="64" customHeight="1">
      <c r="A6670" s="63" t="inlineStr"/>
      <c r="B6670" s="64" t="n"/>
      <c r="C6670" s="64" t="n"/>
      <c r="D6670" s="64" t="n"/>
      <c r="E6670" s="65" t="n"/>
    </row>
    <row r="6671" ht="30" customHeight="1">
      <c r="A6671" s="62" t="inlineStr">
        <is>
          <t>Ảnh minh chứng</t>
        </is>
      </c>
    </row>
    <row r="6672" ht="90" customHeight="1">
      <c r="A6672" s="63" t="inlineStr"/>
      <c r="B6672" s="64" t="n"/>
      <c r="C6672" s="64" t="n"/>
      <c r="D6672" s="64" t="n"/>
      <c r="E6672" s="65" t="n"/>
    </row>
    <row r="6673" ht="12" customHeight="1">
      <c r="A6673" s="66" t="inlineStr"/>
    </row>
    <row r="6674" ht="30" customHeight="1">
      <c r="A6674" s="60" t="inlineStr">
        <is>
          <t>TC-RS-ERR-009 / arrays</t>
        </is>
      </c>
      <c r="B6674" s="36" t="n"/>
      <c r="C6674" s="36" t="n"/>
      <c r="D6674" s="36" t="n"/>
      <c r="E6674" s="36" t="n"/>
    </row>
    <row r="6675" ht="30" customHeight="1">
      <c r="A6675" s="47" t="inlineStr">
        <is>
          <t>Dữ liệu biến thể</t>
        </is>
      </c>
      <c r="B6675" s="56" t="inlineStr">
        <is>
          <t>Mảng rỗng</t>
        </is>
      </c>
      <c r="C6675" s="57" t="n"/>
      <c r="D6675" s="57" t="n"/>
      <c r="E6675" s="57" t="n"/>
    </row>
    <row r="6676" ht="30" customHeight="1">
      <c r="A6676" s="47" t="inlineStr">
        <is>
          <t>Trạng thái</t>
        </is>
      </c>
      <c r="B6676" s="61" t="inlineStr">
        <is>
          <t>Chưa thực hiện</t>
        </is>
      </c>
      <c r="C6676" s="57" t="n"/>
      <c r="D6676" s="57" t="n"/>
      <c r="E6676" s="57" t="n"/>
    </row>
    <row r="6677" ht="30" customHeight="1">
      <c r="A6677" s="62" t="inlineStr">
        <is>
          <t>Kết quả thực tế</t>
        </is>
      </c>
    </row>
    <row r="6678" ht="64" customHeight="1">
      <c r="A6678" s="63" t="inlineStr"/>
      <c r="B6678" s="64" t="n"/>
      <c r="C6678" s="64" t="n"/>
      <c r="D6678" s="64" t="n"/>
      <c r="E6678" s="65" t="n"/>
    </row>
    <row r="6679" ht="30" customHeight="1">
      <c r="A6679" s="62" t="inlineStr">
        <is>
          <t>Ảnh minh chứng</t>
        </is>
      </c>
    </row>
    <row r="6680" ht="90" customHeight="1">
      <c r="A6680" s="63" t="inlineStr"/>
      <c r="B6680" s="64" t="n"/>
      <c r="C6680" s="64" t="n"/>
      <c r="D6680" s="64" t="n"/>
      <c r="E6680" s="65" t="n"/>
    </row>
    <row r="6681" ht="12" customHeight="1">
      <c r="A6681" s="66" t="inlineStr"/>
    </row>
    <row r="6682" ht="20" customHeight="1">
      <c r="A6682" s="66" t="inlineStr"/>
    </row>
    <row r="6683" ht="30" customHeight="1">
      <c r="A6683" s="46" t="inlineStr">
        <is>
          <t>TC-RS-ERR-010 — Server không tin cờ đỏ hoặc ngưỡng do trình duyệt gửi lên</t>
        </is>
      </c>
      <c r="B6683" s="23" t="n"/>
      <c r="C6683" s="23" t="n"/>
      <c r="D6683" s="23" t="n"/>
      <c r="E6683" s="23" t="n"/>
    </row>
    <row r="6684" ht="30" customHeight="1">
      <c r="A6684" s="47" t="inlineStr">
        <is>
          <t>Trạng thái</t>
        </is>
      </c>
      <c r="B6684" s="56">
        <f>IF(0&gt;0,"Không đạt",IF(0=8,"Đạt",IF(SUMPRODUCT(--EXACT('Testcases'!B6704:B6760,"Không thực hiện"))=8,"Không thực hiện",IF(SUMPRODUCT(--EXACT('Testcases'!B6704:B6760,"Bị chặn"))&gt;0,"Bị chặn",IF(SUMPRODUCT(--EXACT('Testcases'!B6704:B6760,"Chưa thực hiện"))=8,"Chưa thực hiện","Chưa đủ kết luận")))))</f>
        <v/>
      </c>
      <c r="C6684" s="57" t="n"/>
      <c r="D6684" s="57" t="n"/>
      <c r="E6684" s="57" t="n"/>
    </row>
    <row r="6685" ht="30" customHeight="1">
      <c r="A6685" s="47" t="inlineStr">
        <is>
          <t>Màn hình / chức năng</t>
        </is>
      </c>
      <c r="B6685" s="47" t="inlineStr">
        <is>
          <t>Quyền thao tác</t>
        </is>
      </c>
      <c r="C6685" s="57" t="n"/>
      <c r="D6685" s="47" t="inlineStr">
        <is>
          <t>Đường dẫn</t>
        </is>
      </c>
      <c r="E6685" s="56" t="inlineStr">
        <is>
          <t>Chưa xác minh</t>
        </is>
      </c>
    </row>
    <row r="6686" ht="30" customHeight="1">
      <c r="A6686" s="58" t="inlineStr">
        <is>
          <t>Điều kiện kiểm thử</t>
        </is>
      </c>
      <c r="B6686" s="59" t="n"/>
      <c r="C6686" s="59" t="n"/>
      <c r="D6686" s="59" t="n"/>
      <c r="E6686" s="59" t="n"/>
    </row>
    <row r="6687" ht="78" customHeight="1">
      <c r="A6687" s="47" t="inlineStr">
        <is>
          <t>Cấu hình</t>
        </is>
      </c>
      <c r="B6687" s="56" t="inlineStr">
        <is>
          <t>• S03 của trường A/năm 2026 có điểm server [31], quy tắc [&lt;30], kết luận Không đỏ;
• S01=29 Đỏ là control trong bộ lọc. Cấu hình trích xuất gồm lọc học sinh có điểm đỏ, ký hiệu “*” phía trước và tô màu. Ghi identity trường/năm/mục của S03, S01 và một trường B/năm khác ngoài quyền tài khoản;
• Endpoint/field thực tế chỉ dùng sau khi được xác minh, chưa giả định [output_excel] nhận mọi field.</t>
        </is>
      </c>
      <c r="C6687" s="57" t="n"/>
      <c r="D6687" s="57" t="n"/>
      <c r="E6687" s="57" t="n"/>
    </row>
    <row r="6688" ht="61" customHeight="1">
      <c r="A6688" s="47" t="inlineStr">
        <is>
          <t>Vai trò / quyền</t>
        </is>
      </c>
      <c r="B668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688" s="57" t="n"/>
      <c r="D6688" s="57" t="n"/>
      <c r="E6688" s="57" t="n"/>
    </row>
    <row r="6689" ht="61" customHeight="1">
      <c r="A6689" s="47" t="inlineStr">
        <is>
          <t>Dữ liệu test</t>
        </is>
      </c>
      <c r="B6689" s="56" t="inlineStr">
        <is>
          <t>• Lượt không lọc chứa S03=31 không dấu/màu đỏ;
• Lượt có lọc chỉ chứa S01, loại S03. Các request sửa độc lập từ baseline tương ứng, không sửa dữ liệu server.</t>
        </is>
      </c>
      <c r="C6689" s="57" t="n"/>
      <c r="D6689" s="57" t="n"/>
      <c r="E6689" s="57" t="n"/>
    </row>
    <row r="6690" ht="30" customHeight="1">
      <c r="A6690" s="47" t="inlineStr">
        <is>
          <t>Trigger</t>
        </is>
      </c>
      <c r="B6690" s="56" t="inlineStr">
        <is>
          <t>• Chỉ xem/xuất không tự chạy xét.</t>
        </is>
      </c>
      <c r="C6690" s="57" t="n"/>
      <c r="D6690" s="57" t="n"/>
      <c r="E6690" s="57" t="n"/>
    </row>
    <row r="6691" ht="44" customHeight="1">
      <c r="A6691" s="47" t="inlineStr">
        <is>
          <t>Blocker</t>
        </is>
      </c>
      <c r="B6691" s="56" t="inlineStr">
        <is>
          <t>• G-PREP-TC-RS-ERR-010: BLOCKED — chưa xác minh build/endpoint hỗ trợ các payload adversarial;
• Không coi biến thể không được endpoint nhận là đã kiểm chứng.</t>
        </is>
      </c>
      <c r="C6691" s="57" t="n"/>
      <c r="D6691" s="57" t="n"/>
      <c r="E6691" s="57" t="n"/>
    </row>
    <row r="6692" ht="30" customHeight="1">
      <c r="A6692" s="58" t="inlineStr">
        <is>
          <t>Thao tác</t>
        </is>
      </c>
      <c r="B6692" s="59" t="n"/>
      <c r="C6692" s="59" t="n"/>
      <c r="D6692" s="59" t="n"/>
      <c r="E6692" s="59" t="n"/>
    </row>
    <row r="6693" ht="61" customHeight="1">
      <c r="A6693" s="47" t="inlineStr">
        <is>
          <t>Step 1</t>
        </is>
      </c>
      <c r="B6693" s="56" t="inlineStr">
        <is>
          <t>Đăng nhập tài khoản phụ trách đầu ra; chụp request/response hợp lệ và file Trích xuất thành tích（成績抽出） không lọc: S03=31 Không đỏ. Chụp riêng lượt bật lọc: S01 có mặt, S03 vắng mặt. Ghi endpoint, field được chấp nhận, identity trường/năm/mục và quyền thật trước khi sửa request.</t>
        </is>
      </c>
      <c r="C6693" s="57" t="n"/>
      <c r="D6693" s="57" t="n"/>
      <c r="E6693" s="57" t="n"/>
    </row>
    <row r="6694" ht="61" customHeight="1">
      <c r="A6694" s="47" t="inlineStr">
        <is>
          <t>Step 2</t>
        </is>
      </c>
      <c r="B6694" s="56" t="inlineStr">
        <is>
          <t>Từ request không lọc, gửi từng payload độc lập nếu endpoint nhận field đó: (a) gán S03 cờ đỏ/dấu [*]/màu đỏ; (b) gán điểm S03=10 thay vì điểm server 31; (c) gán ngưỡng 50 thay vì ngưỡng server 30. Không thay đồng thời các field giữa các biến thể.</t>
        </is>
      </c>
      <c r="C6694" s="57" t="n"/>
      <c r="D6694" s="57" t="n"/>
      <c r="E6694" s="57" t="n"/>
    </row>
    <row r="6695" ht="61" customHeight="1">
      <c r="A6695" s="47" t="inlineStr">
        <is>
          <t>Step 3</t>
        </is>
      </c>
      <c r="B6695" s="56" t="inlineStr">
        <is>
          <t>Từ request có lọc, chèn identity S03 (Không đỏ) vào danh sách được yêu cầu, giữ bộ lọc bật. Từ request hợp lệ riêng, sửa identity sang trường B hoặc năm ngoài quyền. Gửi từng request, lưu payload/response và file Excel nếu có.</t>
        </is>
      </c>
      <c r="C6695" s="57" t="n"/>
      <c r="D6695" s="57" t="n"/>
      <c r="E6695" s="57" t="n"/>
    </row>
    <row r="6696" ht="44" customHeight="1">
      <c r="A6696" s="47" t="inlineStr">
        <is>
          <t>Reset</t>
        </is>
      </c>
      <c r="B6696" s="56" t="inlineStr">
        <is>
          <t>Trước mỗi biến thể, dựng lại điều kiện/dữ liệu đầu của case bằng đường được phép; giữ các reset/fixture độc lập đã nêu trong thủ tục.</t>
        </is>
      </c>
      <c r="C6696" s="57" t="n"/>
      <c r="D6696" s="57" t="n"/>
      <c r="E6696" s="57" t="n"/>
    </row>
    <row r="6697" ht="30" customHeight="1">
      <c r="A6697" s="58" t="inlineStr">
        <is>
          <t>Kết quả mong đợi</t>
        </is>
      </c>
      <c r="B6697" s="59" t="n"/>
      <c r="C6697" s="59" t="n"/>
      <c r="D6697" s="59" t="n"/>
      <c r="E6697" s="59" t="n"/>
    </row>
    <row r="6698" ht="112" customHeight="1">
      <c r="A6698" s="47" t="inlineStr">
        <is>
          <t>•</t>
        </is>
      </c>
      <c r="B6698" s="56" t="inlineStr">
        <is>
          <t>Ở các biến thể không lọc, server từ chối payload giả hoặc Excel vẫn cho S03=31, Không đỏ, không có [*]/màu đỏ; điểm 10, ngưỡng 50 và cờ giả không đổi kết luận server. Ở request có lọc, S03 không được đưa vào Excel dù identity được chèn vào payload; S01 vẫn có mặt. Request trường/năm ngoài quyền bị từ chối hoặc không trả dữ liệu ngoài quyền. Nếu endpoint không nhận field giả, ghi rõ biến thể chưa kiểm được/BLOCKED và seam cần kiểm; không dùng NOT_APPLICABLE để suy rằng nghĩa vụ server đã PASS. Chỉ đánh PASS từng biến thể khi có payload thật được endpoint xử lý cùng response/file và dữ liệu tin cậy đối chiếu.</t>
        </is>
      </c>
      <c r="C6698" s="57" t="n"/>
      <c r="D6698" s="57" t="n"/>
      <c r="E6698" s="57" t="n"/>
    </row>
    <row r="6699" ht="44" customHeight="1">
      <c r="A6699" s="47" t="inlineStr">
        <is>
          <t>Giữ nguyên</t>
        </is>
      </c>
      <c r="B6699" s="56" t="inlineStr">
        <is>
          <t>• Giữ điểm, cấu hình và đối tượng không đích theo expected;
• Chỉ thay phần thủ tục yêu cầu, không tự đổi oracle hoặc mở rộng phạm vi.</t>
        </is>
      </c>
      <c r="C6699" s="57" t="n"/>
      <c r="D6699" s="57" t="n"/>
      <c r="E6699" s="57" t="n"/>
    </row>
    <row r="6700" ht="61" customHeight="1">
      <c r="A6700" s="47" t="inlineStr">
        <is>
          <t>Quan sát tại</t>
        </is>
      </c>
      <c r="B6700" s="56" t="inlineStr">
        <is>
          <t>• Dùng trích xuất không lọc để thấy cả ô đối chứng. Trạng thái không có dấu đỏ cần đọc thêm trạng thái lưu;
• Output Excel/PDF dùng file thật.</t>
        </is>
      </c>
      <c r="C6700" s="57" t="n"/>
      <c r="D6700" s="57" t="n"/>
      <c r="E6700" s="57" t="n"/>
    </row>
    <row r="6701" ht="30" customHeight="1">
      <c r="A6701" s="58" t="inlineStr">
        <is>
          <t>Kết quả thực tế</t>
        </is>
      </c>
      <c r="B6701" s="59" t="n"/>
      <c r="C6701" s="59" t="n"/>
      <c r="D6701" s="59" t="n"/>
      <c r="E6701" s="59" t="n"/>
    </row>
    <row r="6702" ht="30" customHeight="1">
      <c r="A6702" s="60" t="inlineStr">
        <is>
          <t>TC-RS-ERR-010 / forged-red-flag</t>
        </is>
      </c>
      <c r="B6702" s="36" t="n"/>
      <c r="C6702" s="36" t="n"/>
      <c r="D6702" s="36" t="n"/>
      <c r="E6702" s="36" t="n"/>
    </row>
    <row r="6703" ht="30" customHeight="1">
      <c r="A6703" s="47" t="inlineStr">
        <is>
          <t>Dữ liệu biến thể</t>
        </is>
      </c>
      <c r="B6703" s="56" t="inlineStr">
        <is>
          <t>Bước 2a chỉ sửa cờ đỏ của S03</t>
        </is>
      </c>
      <c r="C6703" s="57" t="n"/>
      <c r="D6703" s="57" t="n"/>
      <c r="E6703" s="57" t="n"/>
    </row>
    <row r="6704" ht="30" customHeight="1">
      <c r="A6704" s="47" t="inlineStr">
        <is>
          <t>Trạng thái</t>
        </is>
      </c>
      <c r="B6704" s="61" t="inlineStr">
        <is>
          <t>Chưa thực hiện</t>
        </is>
      </c>
      <c r="C6704" s="57" t="n"/>
      <c r="D6704" s="57" t="n"/>
      <c r="E6704" s="57" t="n"/>
    </row>
    <row r="6705" ht="30" customHeight="1">
      <c r="A6705" s="62" t="inlineStr">
        <is>
          <t>Kết quả thực tế</t>
        </is>
      </c>
    </row>
    <row r="6706" ht="64" customHeight="1">
      <c r="A6706" s="63" t="inlineStr"/>
      <c r="B6706" s="64" t="n"/>
      <c r="C6706" s="64" t="n"/>
      <c r="D6706" s="64" t="n"/>
      <c r="E6706" s="65" t="n"/>
    </row>
    <row r="6707" ht="30" customHeight="1">
      <c r="A6707" s="62" t="inlineStr">
        <is>
          <t>Ảnh minh chứng</t>
        </is>
      </c>
    </row>
    <row r="6708" ht="90" customHeight="1">
      <c r="A6708" s="63" t="inlineStr"/>
      <c r="B6708" s="64" t="n"/>
      <c r="C6708" s="64" t="n"/>
      <c r="D6708" s="64" t="n"/>
      <c r="E6708" s="65" t="n"/>
    </row>
    <row r="6709" ht="12" customHeight="1">
      <c r="A6709" s="66" t="inlineStr"/>
    </row>
    <row r="6710" ht="30" customHeight="1">
      <c r="A6710" s="60" t="inlineStr">
        <is>
          <t>TC-RS-ERR-010 / forged-prefix</t>
        </is>
      </c>
      <c r="B6710" s="36" t="n"/>
      <c r="C6710" s="36" t="n"/>
      <c r="D6710" s="36" t="n"/>
      <c r="E6710" s="36" t="n"/>
    </row>
    <row r="6711" ht="30" customHeight="1">
      <c r="A6711" s="47" t="inlineStr">
        <is>
          <t>Dữ liệu biến thể</t>
        </is>
      </c>
      <c r="B6711" s="56" t="inlineStr">
        <is>
          <t>Bước 2a chỉ sửa dấu trước thành * cho S03</t>
        </is>
      </c>
      <c r="C6711" s="57" t="n"/>
      <c r="D6711" s="57" t="n"/>
      <c r="E6711" s="57" t="n"/>
    </row>
    <row r="6712" ht="30" customHeight="1">
      <c r="A6712" s="47" t="inlineStr">
        <is>
          <t>Trạng thái</t>
        </is>
      </c>
      <c r="B6712" s="61" t="inlineStr">
        <is>
          <t>Chưa thực hiện</t>
        </is>
      </c>
      <c r="C6712" s="57" t="n"/>
      <c r="D6712" s="57" t="n"/>
      <c r="E6712" s="57" t="n"/>
    </row>
    <row r="6713" ht="30" customHeight="1">
      <c r="A6713" s="62" t="inlineStr">
        <is>
          <t>Kết quả thực tế</t>
        </is>
      </c>
    </row>
    <row r="6714" ht="64" customHeight="1">
      <c r="A6714" s="63" t="inlineStr"/>
      <c r="B6714" s="64" t="n"/>
      <c r="C6714" s="64" t="n"/>
      <c r="D6714" s="64" t="n"/>
      <c r="E6714" s="65" t="n"/>
    </row>
    <row r="6715" ht="30" customHeight="1">
      <c r="A6715" s="62" t="inlineStr">
        <is>
          <t>Ảnh minh chứng</t>
        </is>
      </c>
    </row>
    <row r="6716" ht="90" customHeight="1">
      <c r="A6716" s="63" t="inlineStr"/>
      <c r="B6716" s="64" t="n"/>
      <c r="C6716" s="64" t="n"/>
      <c r="D6716" s="64" t="n"/>
      <c r="E6716" s="65" t="n"/>
    </row>
    <row r="6717" ht="12" customHeight="1">
      <c r="A6717" s="66" t="inlineStr"/>
    </row>
    <row r="6718" ht="30" customHeight="1">
      <c r="A6718" s="60" t="inlineStr">
        <is>
          <t>TC-RS-ERR-010 / forged-color</t>
        </is>
      </c>
      <c r="B6718" s="36" t="n"/>
      <c r="C6718" s="36" t="n"/>
      <c r="D6718" s="36" t="n"/>
      <c r="E6718" s="36" t="n"/>
    </row>
    <row r="6719" ht="30" customHeight="1">
      <c r="A6719" s="47" t="inlineStr">
        <is>
          <t>Dữ liệu biến thể</t>
        </is>
      </c>
      <c r="B6719" s="56" t="inlineStr">
        <is>
          <t>Bước 2a chỉ sửa màu đỏ cho S03</t>
        </is>
      </c>
      <c r="C6719" s="57" t="n"/>
      <c r="D6719" s="57" t="n"/>
      <c r="E6719" s="57" t="n"/>
    </row>
    <row r="6720" ht="30" customHeight="1">
      <c r="A6720" s="47" t="inlineStr">
        <is>
          <t>Trạng thái</t>
        </is>
      </c>
      <c r="B6720" s="61" t="inlineStr">
        <is>
          <t>Chưa thực hiện</t>
        </is>
      </c>
      <c r="C6720" s="57" t="n"/>
      <c r="D6720" s="57" t="n"/>
      <c r="E6720" s="57" t="n"/>
    </row>
    <row r="6721" ht="30" customHeight="1">
      <c r="A6721" s="62" t="inlineStr">
        <is>
          <t>Kết quả thực tế</t>
        </is>
      </c>
    </row>
    <row r="6722" ht="64" customHeight="1">
      <c r="A6722" s="63" t="inlineStr"/>
      <c r="B6722" s="64" t="n"/>
      <c r="C6722" s="64" t="n"/>
      <c r="D6722" s="64" t="n"/>
      <c r="E6722" s="65" t="n"/>
    </row>
    <row r="6723" ht="30" customHeight="1">
      <c r="A6723" s="62" t="inlineStr">
        <is>
          <t>Ảnh minh chứng</t>
        </is>
      </c>
    </row>
    <row r="6724" ht="90" customHeight="1">
      <c r="A6724" s="63" t="inlineStr"/>
      <c r="B6724" s="64" t="n"/>
      <c r="C6724" s="64" t="n"/>
      <c r="D6724" s="64" t="n"/>
      <c r="E6724" s="65" t="n"/>
    </row>
    <row r="6725" ht="12" customHeight="1">
      <c r="A6725" s="66" t="inlineStr"/>
    </row>
    <row r="6726" ht="30" customHeight="1">
      <c r="A6726" s="60" t="inlineStr">
        <is>
          <t>TC-RS-ERR-010 / forged-score</t>
        </is>
      </c>
      <c r="B6726" s="36" t="n"/>
      <c r="C6726" s="36" t="n"/>
      <c r="D6726" s="36" t="n"/>
      <c r="E6726" s="36" t="n"/>
    </row>
    <row r="6727" ht="30" customHeight="1">
      <c r="A6727" s="47" t="inlineStr">
        <is>
          <t>Dữ liệu biến thể</t>
        </is>
      </c>
      <c r="B6727" s="56" t="inlineStr">
        <is>
          <t>Bước 2b chỉ sửa điểm thành 10</t>
        </is>
      </c>
      <c r="C6727" s="57" t="n"/>
      <c r="D6727" s="57" t="n"/>
      <c r="E6727" s="57" t="n"/>
    </row>
    <row r="6728" ht="30" customHeight="1">
      <c r="A6728" s="47" t="inlineStr">
        <is>
          <t>Trạng thái</t>
        </is>
      </c>
      <c r="B6728" s="61" t="inlineStr">
        <is>
          <t>Chưa thực hiện</t>
        </is>
      </c>
      <c r="C6728" s="57" t="n"/>
      <c r="D6728" s="57" t="n"/>
      <c r="E6728" s="57" t="n"/>
    </row>
    <row r="6729" ht="30" customHeight="1">
      <c r="A6729" s="62" t="inlineStr">
        <is>
          <t>Kết quả thực tế</t>
        </is>
      </c>
    </row>
    <row r="6730" ht="64" customHeight="1">
      <c r="A6730" s="63" t="inlineStr"/>
      <c r="B6730" s="64" t="n"/>
      <c r="C6730" s="64" t="n"/>
      <c r="D6730" s="64" t="n"/>
      <c r="E6730" s="65" t="n"/>
    </row>
    <row r="6731" ht="30" customHeight="1">
      <c r="A6731" s="62" t="inlineStr">
        <is>
          <t>Ảnh minh chứng</t>
        </is>
      </c>
    </row>
    <row r="6732" ht="90" customHeight="1">
      <c r="A6732" s="63" t="inlineStr"/>
      <c r="B6732" s="64" t="n"/>
      <c r="C6732" s="64" t="n"/>
      <c r="D6732" s="64" t="n"/>
      <c r="E6732" s="65" t="n"/>
    </row>
    <row r="6733" ht="12" customHeight="1">
      <c r="A6733" s="66" t="inlineStr"/>
    </row>
    <row r="6734" ht="30" customHeight="1">
      <c r="A6734" s="60" t="inlineStr">
        <is>
          <t>TC-RS-ERR-010 / forged-threshold</t>
        </is>
      </c>
      <c r="B6734" s="36" t="n"/>
      <c r="C6734" s="36" t="n"/>
      <c r="D6734" s="36" t="n"/>
      <c r="E6734" s="36" t="n"/>
    </row>
    <row r="6735" ht="30" customHeight="1">
      <c r="A6735" s="47" t="inlineStr">
        <is>
          <t>Dữ liệu biến thể</t>
        </is>
      </c>
      <c r="B6735" s="56" t="inlineStr">
        <is>
          <t>Bước 2c chỉ sửa ngưỡng thành 50</t>
        </is>
      </c>
      <c r="C6735" s="57" t="n"/>
      <c r="D6735" s="57" t="n"/>
      <c r="E6735" s="57" t="n"/>
    </row>
    <row r="6736" ht="30" customHeight="1">
      <c r="A6736" s="47" t="inlineStr">
        <is>
          <t>Trạng thái</t>
        </is>
      </c>
      <c r="B6736" s="61" t="inlineStr">
        <is>
          <t>Chưa thực hiện</t>
        </is>
      </c>
      <c r="C6736" s="57" t="n"/>
      <c r="D6736" s="57" t="n"/>
      <c r="E6736" s="57" t="n"/>
    </row>
    <row r="6737" ht="30" customHeight="1">
      <c r="A6737" s="62" t="inlineStr">
        <is>
          <t>Kết quả thực tế</t>
        </is>
      </c>
    </row>
    <row r="6738" ht="64" customHeight="1">
      <c r="A6738" s="63" t="inlineStr"/>
      <c r="B6738" s="64" t="n"/>
      <c r="C6738" s="64" t="n"/>
      <c r="D6738" s="64" t="n"/>
      <c r="E6738" s="65" t="n"/>
    </row>
    <row r="6739" ht="30" customHeight="1">
      <c r="A6739" s="62" t="inlineStr">
        <is>
          <t>Ảnh minh chứng</t>
        </is>
      </c>
    </row>
    <row r="6740" ht="90" customHeight="1">
      <c r="A6740" s="63" t="inlineStr"/>
      <c r="B6740" s="64" t="n"/>
      <c r="C6740" s="64" t="n"/>
      <c r="D6740" s="64" t="n"/>
      <c r="E6740" s="65" t="n"/>
    </row>
    <row r="6741" ht="12" customHeight="1">
      <c r="A6741" s="66" t="inlineStr"/>
    </row>
    <row r="6742" ht="30" customHeight="1">
      <c r="A6742" s="60" t="inlineStr">
        <is>
          <t>TC-RS-ERR-010 / out-of-scope-student</t>
        </is>
      </c>
      <c r="B6742" s="36" t="n"/>
      <c r="C6742" s="36" t="n"/>
      <c r="D6742" s="36" t="n"/>
      <c r="E6742" s="36" t="n"/>
    </row>
    <row r="6743" ht="30" customHeight="1">
      <c r="A6743" s="47" t="inlineStr">
        <is>
          <t>Dữ liệu biến thể</t>
        </is>
      </c>
      <c r="B6743" s="56" t="inlineStr">
        <is>
          <t>Bước 3 chèn S03 vào lượt có lọc</t>
        </is>
      </c>
      <c r="C6743" s="57" t="n"/>
      <c r="D6743" s="57" t="n"/>
      <c r="E6743" s="57" t="n"/>
    </row>
    <row r="6744" ht="30" customHeight="1">
      <c r="A6744" s="47" t="inlineStr">
        <is>
          <t>Trạng thái</t>
        </is>
      </c>
      <c r="B6744" s="61" t="inlineStr">
        <is>
          <t>Chưa thực hiện</t>
        </is>
      </c>
      <c r="C6744" s="57" t="n"/>
      <c r="D6744" s="57" t="n"/>
      <c r="E6744" s="57" t="n"/>
    </row>
    <row r="6745" ht="30" customHeight="1">
      <c r="A6745" s="62" t="inlineStr">
        <is>
          <t>Kết quả thực tế</t>
        </is>
      </c>
    </row>
    <row r="6746" ht="64" customHeight="1">
      <c r="A6746" s="63" t="inlineStr"/>
      <c r="B6746" s="64" t="n"/>
      <c r="C6746" s="64" t="n"/>
      <c r="D6746" s="64" t="n"/>
      <c r="E6746" s="65" t="n"/>
    </row>
    <row r="6747" ht="30" customHeight="1">
      <c r="A6747" s="62" t="inlineStr">
        <is>
          <t>Ảnh minh chứng</t>
        </is>
      </c>
    </row>
    <row r="6748" ht="90" customHeight="1">
      <c r="A6748" s="63" t="inlineStr"/>
      <c r="B6748" s="64" t="n"/>
      <c r="C6748" s="64" t="n"/>
      <c r="D6748" s="64" t="n"/>
      <c r="E6748" s="65" t="n"/>
    </row>
    <row r="6749" ht="12" customHeight="1">
      <c r="A6749" s="66" t="inlineStr"/>
    </row>
    <row r="6750" ht="30" customHeight="1">
      <c r="A6750" s="60" t="inlineStr">
        <is>
          <t>TC-RS-ERR-010 / out-of-scope-school</t>
        </is>
      </c>
      <c r="B6750" s="36" t="n"/>
      <c r="C6750" s="36" t="n"/>
      <c r="D6750" s="36" t="n"/>
      <c r="E6750" s="36" t="n"/>
    </row>
    <row r="6751" ht="30" customHeight="1">
      <c r="A6751" s="47" t="inlineStr">
        <is>
          <t>Dữ liệu biến thể</t>
        </is>
      </c>
      <c r="B6751" s="56" t="inlineStr">
        <is>
          <t>Bước 3 identity trường B ngoài quyền, giữ năm hợp lệ</t>
        </is>
      </c>
      <c r="C6751" s="57" t="n"/>
      <c r="D6751" s="57" t="n"/>
      <c r="E6751" s="57" t="n"/>
    </row>
    <row r="6752" ht="30" customHeight="1">
      <c r="A6752" s="47" t="inlineStr">
        <is>
          <t>Trạng thái</t>
        </is>
      </c>
      <c r="B6752" s="61" t="inlineStr">
        <is>
          <t>Chưa thực hiện</t>
        </is>
      </c>
      <c r="C6752" s="57" t="n"/>
      <c r="D6752" s="57" t="n"/>
      <c r="E6752" s="57" t="n"/>
    </row>
    <row r="6753" ht="30" customHeight="1">
      <c r="A6753" s="62" t="inlineStr">
        <is>
          <t>Kết quả thực tế</t>
        </is>
      </c>
    </row>
    <row r="6754" ht="64" customHeight="1">
      <c r="A6754" s="63" t="inlineStr"/>
      <c r="B6754" s="64" t="n"/>
      <c r="C6754" s="64" t="n"/>
      <c r="D6754" s="64" t="n"/>
      <c r="E6754" s="65" t="n"/>
    </row>
    <row r="6755" ht="30" customHeight="1">
      <c r="A6755" s="62" t="inlineStr">
        <is>
          <t>Ảnh minh chứng</t>
        </is>
      </c>
    </row>
    <row r="6756" ht="90" customHeight="1">
      <c r="A6756" s="63" t="inlineStr"/>
      <c r="B6756" s="64" t="n"/>
      <c r="C6756" s="64" t="n"/>
      <c r="D6756" s="64" t="n"/>
      <c r="E6756" s="65" t="n"/>
    </row>
    <row r="6757" ht="12" customHeight="1">
      <c r="A6757" s="66" t="inlineStr"/>
    </row>
    <row r="6758" ht="30" customHeight="1">
      <c r="A6758" s="60" t="inlineStr">
        <is>
          <t>TC-RS-ERR-010 / out-of-scope-year</t>
        </is>
      </c>
      <c r="B6758" s="36" t="n"/>
      <c r="C6758" s="36" t="n"/>
      <c r="D6758" s="36" t="n"/>
      <c r="E6758" s="36" t="n"/>
    </row>
    <row r="6759" ht="30" customHeight="1">
      <c r="A6759" s="47" t="inlineStr">
        <is>
          <t>Dữ liệu biến thể</t>
        </is>
      </c>
      <c r="B6759" s="56" t="inlineStr">
        <is>
          <t>Bước 3 identity năm ngoài quyền, giữ trường A</t>
        </is>
      </c>
      <c r="C6759" s="57" t="n"/>
      <c r="D6759" s="57" t="n"/>
      <c r="E6759" s="57" t="n"/>
    </row>
    <row r="6760" ht="30" customHeight="1">
      <c r="A6760" s="47" t="inlineStr">
        <is>
          <t>Trạng thái</t>
        </is>
      </c>
      <c r="B6760" s="61" t="inlineStr">
        <is>
          <t>Chưa thực hiện</t>
        </is>
      </c>
      <c r="C6760" s="57" t="n"/>
      <c r="D6760" s="57" t="n"/>
      <c r="E6760" s="57" t="n"/>
    </row>
    <row r="6761" ht="30" customHeight="1">
      <c r="A6761" s="62" t="inlineStr">
        <is>
          <t>Kết quả thực tế</t>
        </is>
      </c>
    </row>
    <row r="6762" ht="64" customHeight="1">
      <c r="A6762" s="63" t="inlineStr"/>
      <c r="B6762" s="64" t="n"/>
      <c r="C6762" s="64" t="n"/>
      <c r="D6762" s="64" t="n"/>
      <c r="E6762" s="65" t="n"/>
    </row>
    <row r="6763" ht="30" customHeight="1">
      <c r="A6763" s="62" t="inlineStr">
        <is>
          <t>Ảnh minh chứng</t>
        </is>
      </c>
    </row>
    <row r="6764" ht="90" customHeight="1">
      <c r="A6764" s="63" t="inlineStr"/>
      <c r="B6764" s="64" t="n"/>
      <c r="C6764" s="64" t="n"/>
      <c r="D6764" s="64" t="n"/>
      <c r="E6764" s="65" t="n"/>
    </row>
    <row r="6765" ht="12" customHeight="1">
      <c r="A6765" s="66" t="inlineStr"/>
    </row>
    <row r="6766" ht="20" customHeight="1">
      <c r="A6766" s="66" t="inlineStr"/>
    </row>
    <row r="6767" ht="30" customHeight="1">
      <c r="A6767" s="46" t="inlineStr">
        <is>
          <t>TC-RS-ERR-017 — Tên quy tắc và ký hiệu hiển thị như chữ, không bị thực thi</t>
        </is>
      </c>
      <c r="B6767" s="23" t="n"/>
      <c r="C6767" s="23" t="n"/>
      <c r="D6767" s="23" t="n"/>
      <c r="E6767" s="23" t="n"/>
    </row>
    <row r="6768" ht="30" customHeight="1">
      <c r="A6768" s="47" t="inlineStr">
        <is>
          <t>Trạng thái</t>
        </is>
      </c>
      <c r="B6768" s="56">
        <f>IF(0&gt;0,"Không đạt",IF(0=3,"Đạt",IF(SUMPRODUCT(--EXACT('Testcases'!B6787:B6803,"Không thực hiện"))=3,"Không thực hiện",IF(SUMPRODUCT(--EXACT('Testcases'!B6787:B6803,"Bị chặn"))&gt;0,"Bị chặn",IF(SUMPRODUCT(--EXACT('Testcases'!B6787:B6803,"Chưa thực hiện"))=3,"Chưa thực hiện","Chưa đủ kết luận")))))</f>
        <v/>
      </c>
      <c r="C6768" s="57" t="n"/>
      <c r="D6768" s="57" t="n"/>
      <c r="E6768" s="57" t="n"/>
    </row>
    <row r="6769" ht="30" customHeight="1">
      <c r="A6769" s="47" t="inlineStr">
        <is>
          <t>Màn hình / chức năng</t>
        </is>
      </c>
      <c r="B6769" s="47" t="inlineStr">
        <is>
          <t>Quyền thao tác</t>
        </is>
      </c>
      <c r="C6769" s="57" t="n"/>
      <c r="D6769" s="47" t="inlineStr">
        <is>
          <t>Đường dẫn</t>
        </is>
      </c>
      <c r="E6769" s="56" t="inlineStr">
        <is>
          <t>Chưa xác minh</t>
        </is>
      </c>
    </row>
    <row r="6770" ht="30" customHeight="1">
      <c r="A6770" s="58" t="inlineStr">
        <is>
          <t>Điều kiện kiểm thử</t>
        </is>
      </c>
      <c r="B6770" s="59" t="n"/>
      <c r="C6770" s="59" t="n"/>
      <c r="D6770" s="59" t="n"/>
      <c r="E6770" s="59" t="n"/>
    </row>
    <row r="6771" ht="44" customHeight="1">
      <c r="A6771" s="47" t="inlineStr">
        <is>
          <t>Cấu hình</t>
        </is>
      </c>
      <c r="B6771" s="56" t="inlineStr">
        <is>
          <t>• Đăng nhập tài khoản giáo viên có quyền sửa mục và tài khoản phụ trách đầu ra (trích xuất, công khai, phiếu điểm).</t>
        </is>
      </c>
      <c r="C6771" s="57" t="n"/>
      <c r="D6771" s="57" t="n"/>
      <c r="E6771" s="57" t="n"/>
    </row>
    <row r="6772" ht="61" customHeight="1">
      <c r="A6772" s="47" t="inlineStr">
        <is>
          <t>Vai trò / quyền</t>
        </is>
      </c>
      <c r="B677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772" s="57" t="n"/>
      <c r="D6772" s="57" t="n"/>
      <c r="E6772" s="57" t="n"/>
    </row>
    <row r="6773" ht="78" customHeight="1">
      <c r="A6773" s="47" t="inlineStr">
        <is>
          <t>Dữ liệu test</t>
        </is>
      </c>
      <c r="B6773" s="56" t="inlineStr">
        <is>
          <t>• Tên quy tắc [&lt;b&gt;X&lt;/b&gt;&lt;script&gt;alert(1)&lt;/script&gt;];
• Ký hiệu đầu ở trích xuất [&lt;];
• Ký tự phía trước ở phiếu điểm [&amp;];
• Học sinh S01 (điểm 29)</t>
        </is>
      </c>
      <c r="C6773" s="57" t="n"/>
      <c r="D6773" s="57" t="n"/>
      <c r="E6773" s="57" t="n"/>
    </row>
    <row r="6774" ht="30" customHeight="1">
      <c r="A6774" s="47" t="inlineStr">
        <is>
          <t>Trigger</t>
        </is>
      </c>
      <c r="B6774" s="56" t="inlineStr">
        <is>
          <t>• Chỉ xem/xuất không tự chạy xét.</t>
        </is>
      </c>
      <c r="C6774" s="57" t="n"/>
      <c r="D6774" s="57" t="n"/>
      <c r="E6774" s="57" t="n"/>
    </row>
    <row r="6775" ht="44" customHeight="1">
      <c r="A6775" s="47" t="inlineStr">
        <is>
          <t>Blocker</t>
        </is>
      </c>
      <c r="B6775" s="56" t="inlineStr">
        <is>
          <t>• G-PREP-UNASSESSED: Chưa có xác minh fixture, đường thực hiện và phép quan sát trên build của từng case chưa đánh giá.</t>
        </is>
      </c>
      <c r="C6775" s="57" t="n"/>
      <c r="D6775" s="57" t="n"/>
      <c r="E6775" s="57" t="n"/>
    </row>
    <row r="6776" ht="30" customHeight="1">
      <c r="A6776" s="58" t="inlineStr">
        <is>
          <t>Thao tác</t>
        </is>
      </c>
      <c r="B6776" s="59" t="n"/>
      <c r="C6776" s="59" t="n"/>
      <c r="D6776" s="59" t="n"/>
      <c r="E6776" s="59" t="n"/>
    </row>
    <row r="6777" ht="30" customHeight="1">
      <c r="A6777" s="47" t="inlineStr">
        <is>
          <t>Step 1</t>
        </is>
      </c>
      <c r="B6777" s="56" t="inlineStr">
        <is>
          <t>Lưu quy tắc với tên trên; xem danh sách, form sửa, hộp xác nhận xóa, thông báo sau chạy.</t>
        </is>
      </c>
      <c r="C6777" s="57" t="n"/>
      <c r="D6777" s="57" t="n"/>
      <c r="E6777" s="57" t="n"/>
    </row>
    <row r="6778" ht="30" customHeight="1">
      <c r="A6778" s="47" t="inlineStr">
        <is>
          <t>Step 2</t>
        </is>
      </c>
      <c r="B6778" s="56" t="inlineStr">
        <is>
          <t>Lưu ký hiệu/ký tự trên ở trích xuất và phiếu điểm; xem màn, Excel, PDF.</t>
        </is>
      </c>
      <c r="C6778" s="57" t="n"/>
      <c r="D6778" s="57" t="n"/>
      <c r="E6778" s="57" t="n"/>
    </row>
    <row r="6779" ht="44" customHeight="1">
      <c r="A6779" s="47" t="inlineStr">
        <is>
          <t>Reset</t>
        </is>
      </c>
      <c r="B6779" s="56" t="inlineStr">
        <is>
          <t>Trước mỗi biến thể, dựng lại điều kiện/dữ liệu đầu của case bằng đường được phép; giữ các reset/fixture độc lập đã nêu trong thủ tục.</t>
        </is>
      </c>
      <c r="C6779" s="57" t="n"/>
      <c r="D6779" s="57" t="n"/>
      <c r="E6779" s="57" t="n"/>
    </row>
    <row r="6780" ht="30" customHeight="1">
      <c r="A6780" s="58" t="inlineStr">
        <is>
          <t>Kết quả mong đợi</t>
        </is>
      </c>
      <c r="B6780" s="59" t="n"/>
      <c r="C6780" s="59" t="n"/>
      <c r="D6780" s="59" t="n"/>
      <c r="E6780" s="59" t="n"/>
    </row>
    <row r="6781" ht="44" customHeight="1">
      <c r="A6781" s="47" t="inlineStr">
        <is>
          <t>•</t>
        </is>
      </c>
      <c r="B6781" s="56" t="inlineStr">
        <is>
          <t>Chuỗi hiển thị đúng như đã nhập dưới dạng chữ; không có hộp alert, không đổi định dạng HTML. Trích xuất và Excel: ô S01 là [&lt;29]; PDF phiếu: [&amp;29].</t>
        </is>
      </c>
      <c r="C6781" s="57" t="n"/>
      <c r="D6781" s="57" t="n"/>
      <c r="E6781" s="57" t="n"/>
    </row>
    <row r="6782" ht="44" customHeight="1">
      <c r="A6782" s="47" t="inlineStr">
        <is>
          <t>Giữ nguyên</t>
        </is>
      </c>
      <c r="B6782" s="56" t="inlineStr">
        <is>
          <t>• Giữ điểm, cấu hình và đối tượng không đích theo expected;
• Chỉ thay phần thủ tục yêu cầu, không tự đổi oracle hoặc mở rộng phạm vi.</t>
        </is>
      </c>
      <c r="C6782" s="57" t="n"/>
      <c r="D6782" s="57" t="n"/>
      <c r="E6782" s="57" t="n"/>
    </row>
    <row r="6783" ht="61" customHeight="1">
      <c r="A6783" s="47" t="inlineStr">
        <is>
          <t>Quan sát tại</t>
        </is>
      </c>
      <c r="B6783" s="56" t="inlineStr">
        <is>
          <t>• Dùng trích xuất không lọc để thấy cả ô đối chứng. Trạng thái không có dấu đỏ cần đọc thêm trạng thái lưu;
• Output Excel/PDF dùng file thật.</t>
        </is>
      </c>
      <c r="C6783" s="57" t="n"/>
      <c r="D6783" s="57" t="n"/>
      <c r="E6783" s="57" t="n"/>
    </row>
    <row r="6784" ht="30" customHeight="1">
      <c r="A6784" s="58" t="inlineStr">
        <is>
          <t>Kết quả thực tế</t>
        </is>
      </c>
      <c r="B6784" s="59" t="n"/>
      <c r="C6784" s="59" t="n"/>
      <c r="D6784" s="59" t="n"/>
      <c r="E6784" s="59" t="n"/>
    </row>
    <row r="6785" ht="30" customHeight="1">
      <c r="A6785" s="60" t="inlineStr">
        <is>
          <t>TC-RS-ERR-017 / rule-name</t>
        </is>
      </c>
      <c r="B6785" s="36" t="n"/>
      <c r="C6785" s="36" t="n"/>
      <c r="D6785" s="36" t="n"/>
      <c r="E6785" s="36" t="n"/>
    </row>
    <row r="6786" ht="30" customHeight="1">
      <c r="A6786" s="47" t="inlineStr">
        <is>
          <t>Dữ liệu biến thể</t>
        </is>
      </c>
      <c r="B6786" s="56" t="inlineStr">
        <is>
          <t>Bước 1 các nơi hiển thị tên</t>
        </is>
      </c>
      <c r="C6786" s="57" t="n"/>
      <c r="D6786" s="57" t="n"/>
      <c r="E6786" s="57" t="n"/>
    </row>
    <row r="6787" ht="30" customHeight="1">
      <c r="A6787" s="47" t="inlineStr">
        <is>
          <t>Trạng thái</t>
        </is>
      </c>
      <c r="B6787" s="61" t="inlineStr">
        <is>
          <t>Chưa thực hiện</t>
        </is>
      </c>
      <c r="C6787" s="57" t="n"/>
      <c r="D6787" s="57" t="n"/>
      <c r="E6787" s="57" t="n"/>
    </row>
    <row r="6788" ht="30" customHeight="1">
      <c r="A6788" s="62" t="inlineStr">
        <is>
          <t>Kết quả thực tế</t>
        </is>
      </c>
    </row>
    <row r="6789" ht="64" customHeight="1">
      <c r="A6789" s="63" t="inlineStr"/>
      <c r="B6789" s="64" t="n"/>
      <c r="C6789" s="64" t="n"/>
      <c r="D6789" s="64" t="n"/>
      <c r="E6789" s="65" t="n"/>
    </row>
    <row r="6790" ht="30" customHeight="1">
      <c r="A6790" s="62" t="inlineStr">
        <is>
          <t>Ảnh minh chứng</t>
        </is>
      </c>
    </row>
    <row r="6791" ht="90" customHeight="1">
      <c r="A6791" s="63" t="inlineStr"/>
      <c r="B6791" s="64" t="n"/>
      <c r="C6791" s="64" t="n"/>
      <c r="D6791" s="64" t="n"/>
      <c r="E6791" s="65" t="n"/>
    </row>
    <row r="6792" ht="12" customHeight="1">
      <c r="A6792" s="66" t="inlineStr"/>
    </row>
    <row r="6793" ht="30" customHeight="1">
      <c r="A6793" s="60" t="inlineStr">
        <is>
          <t>TC-RS-ERR-017 / extract</t>
        </is>
      </c>
      <c r="B6793" s="36" t="n"/>
      <c r="C6793" s="36" t="n"/>
      <c r="D6793" s="36" t="n"/>
      <c r="E6793" s="36" t="n"/>
    </row>
    <row r="6794" ht="30" customHeight="1">
      <c r="A6794" s="47" t="inlineStr">
        <is>
          <t>Dữ liệu biến thể</t>
        </is>
      </c>
      <c r="B6794" s="56" t="inlineStr">
        <is>
          <t>Bước 2 màn trích xuất và Excel</t>
        </is>
      </c>
      <c r="C6794" s="57" t="n"/>
      <c r="D6794" s="57" t="n"/>
      <c r="E6794" s="57" t="n"/>
    </row>
    <row r="6795" ht="30" customHeight="1">
      <c r="A6795" s="47" t="inlineStr">
        <is>
          <t>Trạng thái</t>
        </is>
      </c>
      <c r="B6795" s="61" t="inlineStr">
        <is>
          <t>Chưa thực hiện</t>
        </is>
      </c>
      <c r="C6795" s="57" t="n"/>
      <c r="D6795" s="57" t="n"/>
      <c r="E6795" s="57" t="n"/>
    </row>
    <row r="6796" ht="30" customHeight="1">
      <c r="A6796" s="62" t="inlineStr">
        <is>
          <t>Kết quả thực tế</t>
        </is>
      </c>
    </row>
    <row r="6797" ht="64" customHeight="1">
      <c r="A6797" s="63" t="inlineStr"/>
      <c r="B6797" s="64" t="n"/>
      <c r="C6797" s="64" t="n"/>
      <c r="D6797" s="64" t="n"/>
      <c r="E6797" s="65" t="n"/>
    </row>
    <row r="6798" ht="30" customHeight="1">
      <c r="A6798" s="62" t="inlineStr">
        <is>
          <t>Ảnh minh chứng</t>
        </is>
      </c>
    </row>
    <row r="6799" ht="90" customHeight="1">
      <c r="A6799" s="63" t="inlineStr"/>
      <c r="B6799" s="64" t="n"/>
      <c r="C6799" s="64" t="n"/>
      <c r="D6799" s="64" t="n"/>
      <c r="E6799" s="65" t="n"/>
    </row>
    <row r="6800" ht="12" customHeight="1">
      <c r="A6800" s="66" t="inlineStr"/>
    </row>
    <row r="6801" ht="30" customHeight="1">
      <c r="A6801" s="60" t="inlineStr">
        <is>
          <t>TC-RS-ERR-017 / report</t>
        </is>
      </c>
      <c r="B6801" s="36" t="n"/>
      <c r="C6801" s="36" t="n"/>
      <c r="D6801" s="36" t="n"/>
      <c r="E6801" s="36" t="n"/>
    </row>
    <row r="6802" ht="30" customHeight="1">
      <c r="A6802" s="47" t="inlineStr">
        <is>
          <t>Dữ liệu biến thể</t>
        </is>
      </c>
      <c r="B6802" s="56" t="inlineStr">
        <is>
          <t>Bước 2 PDF phiếu</t>
        </is>
      </c>
      <c r="C6802" s="57" t="n"/>
      <c r="D6802" s="57" t="n"/>
      <c r="E6802" s="57" t="n"/>
    </row>
    <row r="6803" ht="30" customHeight="1">
      <c r="A6803" s="47" t="inlineStr">
        <is>
          <t>Trạng thái</t>
        </is>
      </c>
      <c r="B6803" s="61" t="inlineStr">
        <is>
          <t>Chưa thực hiện</t>
        </is>
      </c>
      <c r="C6803" s="57" t="n"/>
      <c r="D6803" s="57" t="n"/>
      <c r="E6803" s="57" t="n"/>
    </row>
    <row r="6804" ht="30" customHeight="1">
      <c r="A6804" s="62" t="inlineStr">
        <is>
          <t>Kết quả thực tế</t>
        </is>
      </c>
    </row>
    <row r="6805" ht="64" customHeight="1">
      <c r="A6805" s="63" t="inlineStr"/>
      <c r="B6805" s="64" t="n"/>
      <c r="C6805" s="64" t="n"/>
      <c r="D6805" s="64" t="n"/>
      <c r="E6805" s="65" t="n"/>
    </row>
    <row r="6806" ht="30" customHeight="1">
      <c r="A6806" s="62" t="inlineStr">
        <is>
          <t>Ảnh minh chứng</t>
        </is>
      </c>
    </row>
    <row r="6807" ht="90" customHeight="1">
      <c r="A6807" s="63" t="inlineStr"/>
      <c r="B6807" s="64" t="n"/>
      <c r="C6807" s="64" t="n"/>
      <c r="D6807" s="64" t="n"/>
      <c r="E6807" s="65" t="n"/>
    </row>
    <row r="6808" ht="12" customHeight="1">
      <c r="A6808" s="66" t="inlineStr"/>
    </row>
    <row r="6809" ht="20" customHeight="1">
      <c r="A6809" s="66" t="inlineStr"/>
    </row>
    <row r="6810" ht="30" customHeight="1">
      <c r="A6810" s="46" t="inlineStr">
        <is>
          <t>TC-RS-REG-015 — Quyền học sinh/phụ huynh giữ nguyên</t>
        </is>
      </c>
      <c r="B6810" s="23" t="n"/>
      <c r="C6810" s="23" t="n"/>
      <c r="D6810" s="23" t="n"/>
      <c r="E6810" s="23" t="n"/>
    </row>
    <row r="6811" ht="30" customHeight="1">
      <c r="A6811" s="47" t="inlineStr">
        <is>
          <t>Trạng thái</t>
        </is>
      </c>
      <c r="B6811" s="56">
        <f>IF(0&gt;0,"Không đạt",IF(0=2,"Đạt",IF(SUMPRODUCT(--EXACT('Testcases'!B6837:B6845,"Không thực hiện"))=2,"Không thực hiện",IF(SUMPRODUCT(--EXACT('Testcases'!B6837:B6845,"Bị chặn"))&gt;0,"Bị chặn",IF(SUMPRODUCT(--EXACT('Testcases'!B6837:B6845,"Chưa thực hiện"))=2,"Chưa thực hiện","Chưa đủ kết luận")))))</f>
        <v/>
      </c>
      <c r="C6811" s="57" t="n"/>
      <c r="D6811" s="57" t="n"/>
      <c r="E6811" s="57" t="n"/>
    </row>
    <row r="6812" ht="30" customHeight="1">
      <c r="A6812" s="47" t="inlineStr">
        <is>
          <t>Màn hình / chức năng</t>
        </is>
      </c>
      <c r="B6812" s="47" t="inlineStr">
        <is>
          <t>Quyền thao tác</t>
        </is>
      </c>
      <c r="C6812" s="57" t="n"/>
      <c r="D6812" s="47" t="inlineStr">
        <is>
          <t>Đường dẫn</t>
        </is>
      </c>
      <c r="E6812" s="56" t="inlineStr">
        <is>
          <t>Chưa xác minh</t>
        </is>
      </c>
    </row>
    <row r="6813" ht="30" customHeight="1">
      <c r="A6813" s="58" t="inlineStr">
        <is>
          <t>Điều kiện kiểm thử</t>
        </is>
      </c>
      <c r="B6813" s="59" t="n"/>
      <c r="C6813" s="59" t="n"/>
      <c r="D6813" s="59" t="n"/>
      <c r="E6813" s="59" t="n"/>
    </row>
    <row r="6814" ht="44" customHeight="1">
      <c r="A6814" s="47" t="inlineStr">
        <is>
          <t>Cấu hình</t>
        </is>
      </c>
      <c r="B6814" s="56" t="inlineStr">
        <is>
          <t>• Tài khoản học sinh S01 (S01), tài khoản phụ huynh của học sinh S01 (phụ huynh của S01). Tài khoản học sinh/phụ huynh test lấy theo kênh được phép.</t>
        </is>
      </c>
      <c r="C6814" s="57" t="n"/>
      <c r="D6814" s="57" t="n"/>
      <c r="E6814" s="57" t="n"/>
    </row>
    <row r="6815" ht="61" customHeight="1">
      <c r="A6815" s="47" t="inlineStr">
        <is>
          <t>Vai trò / quyền</t>
        </is>
      </c>
      <c r="B681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815" s="57" t="n"/>
      <c r="D6815" s="57" t="n"/>
      <c r="E6815" s="57" t="n"/>
    </row>
    <row r="6816" ht="30" customHeight="1">
      <c r="A6816" s="47" t="inlineStr">
        <is>
          <t>Dữ liệu test</t>
        </is>
      </c>
      <c r="B6816" s="56" t="inlineStr">
        <is>
          <t>• Tài khoản học sinh S01, tài khoản phụ huynh của học sinh S01</t>
        </is>
      </c>
      <c r="C6816" s="57" t="n"/>
      <c r="D6816" s="57" t="n"/>
      <c r="E6816" s="57" t="n"/>
    </row>
    <row r="6817" ht="30" customHeight="1">
      <c r="A6817" s="47" t="inlineStr">
        <is>
          <t>Trigger</t>
        </is>
      </c>
      <c r="B6817" s="56" t="inlineStr">
        <is>
          <t>• Chỉ xem/xuất không tự chạy xét.</t>
        </is>
      </c>
      <c r="C6817" s="57" t="n"/>
      <c r="D6817" s="57" t="n"/>
      <c r="E6817" s="57" t="n"/>
    </row>
    <row r="6818" ht="44" customHeight="1">
      <c r="A6818" s="47" t="inlineStr">
        <is>
          <t>Blocker</t>
        </is>
      </c>
      <c r="B6818" s="56" t="inlineStr">
        <is>
          <t>• G-PREP-UNASSESSED: Chưa có xác minh fixture, đường thực hiện và phép quan sát trên build của từng case chưa đánh giá.</t>
        </is>
      </c>
      <c r="C6818" s="57" t="n"/>
      <c r="D6818" s="57" t="n"/>
      <c r="E6818" s="57" t="n"/>
    </row>
    <row r="6819" ht="30" customHeight="1">
      <c r="A6819" s="58" t="inlineStr">
        <is>
          <t>Thao tác</t>
        </is>
      </c>
      <c r="B6819" s="59" t="n"/>
      <c r="C6819" s="59" t="n"/>
      <c r="D6819" s="59" t="n"/>
      <c r="E6819" s="59" t="n"/>
    </row>
    <row r="6820" ht="30" customHeight="1">
      <c r="A6820" s="47" t="inlineStr">
        <is>
          <t>Step 1</t>
        </is>
      </c>
      <c r="B6820" s="56" t="inlineStr">
        <is>
          <t>Đăng nhập S01, xem màn.</t>
        </is>
      </c>
      <c r="C6820" s="57" t="n"/>
      <c r="D6820" s="57" t="n"/>
      <c r="E6820" s="57" t="n"/>
    </row>
    <row r="6821" ht="30" customHeight="1">
      <c r="A6821" s="47" t="inlineStr">
        <is>
          <t>Step 2</t>
        </is>
      </c>
      <c r="B6821" s="56" t="inlineStr">
        <is>
          <t>Đổi ID học sinh trong URL/request API sang S02.</t>
        </is>
      </c>
      <c r="C6821" s="57" t="n"/>
      <c r="D6821" s="57" t="n"/>
      <c r="E6821" s="57" t="n"/>
    </row>
    <row r="6822" ht="30" customHeight="1">
      <c r="A6822" s="47" t="inlineStr">
        <is>
          <t>Step 3</t>
        </is>
      </c>
      <c r="B6822" s="56" t="inlineStr">
        <is>
          <t>Mở URL màn cấu hình đỏ.</t>
        </is>
      </c>
      <c r="C6822" s="57" t="n"/>
      <c r="D6822" s="57" t="n"/>
      <c r="E6822" s="57" t="n"/>
    </row>
    <row r="6823" ht="30" customHeight="1">
      <c r="A6823" s="47" t="inlineStr">
        <is>
          <t>Step 4</t>
        </is>
      </c>
      <c r="B6823" s="56" t="inlineStr">
        <is>
          <t>Đăng nhập phụ huynh của S01, xem màn và PDF công khai.</t>
        </is>
      </c>
      <c r="C6823" s="57" t="n"/>
      <c r="D6823" s="57" t="n"/>
      <c r="E6823" s="57" t="n"/>
    </row>
    <row r="6824" ht="30" customHeight="1">
      <c r="A6824" s="47" t="inlineStr">
        <is>
          <t>Step 5</t>
        </is>
      </c>
      <c r="B6824" s="56" t="inlineStr">
        <is>
          <t>Đổi ID học sinh trong URL/request API sang S02.</t>
        </is>
      </c>
      <c r="C6824" s="57" t="n"/>
      <c r="D6824" s="57" t="n"/>
      <c r="E6824" s="57" t="n"/>
    </row>
    <row r="6825" ht="44" customHeight="1">
      <c r="A6825" s="47" t="inlineStr">
        <is>
          <t>Reset</t>
        </is>
      </c>
      <c r="B6825" s="56" t="inlineStr">
        <is>
          <t>Trước mỗi biến thể, dựng lại điều kiện/dữ liệu đầu của case bằng đường được phép; giữ các reset/fixture độc lập đã nêu trong thủ tục.</t>
        </is>
      </c>
      <c r="C6825" s="57" t="n"/>
      <c r="D6825" s="57" t="n"/>
      <c r="E6825" s="57" t="n"/>
    </row>
    <row r="6826" ht="30" customHeight="1">
      <c r="A6826" s="58" t="inlineStr">
        <is>
          <t>Kết quả mong đợi</t>
        </is>
      </c>
      <c r="B6826" s="59" t="n"/>
      <c r="C6826" s="59" t="n"/>
      <c r="D6826" s="59" t="n"/>
      <c r="E6826" s="59" t="n"/>
    </row>
    <row r="6827" ht="30" customHeight="1">
      <c r="A6827" s="47" t="inlineStr">
        <is>
          <t>1.</t>
        </is>
      </c>
      <c r="B6827" s="56" t="inlineStr">
        <is>
          <t>Chỉ thấy dữ liệu S01.</t>
        </is>
      </c>
      <c r="C6827" s="57" t="n"/>
      <c r="D6827" s="57" t="n"/>
      <c r="E6827" s="57" t="n"/>
    </row>
    <row r="6828" ht="30" customHeight="1">
      <c r="A6828" s="47" t="inlineStr">
        <is>
          <t>2.</t>
        </is>
      </c>
      <c r="B6828" s="56" t="inlineStr">
        <is>
          <t>Bị từ chối.</t>
        </is>
      </c>
      <c r="C6828" s="57" t="n"/>
      <c r="D6828" s="57" t="n"/>
      <c r="E6828" s="57" t="n"/>
    </row>
    <row r="6829" ht="30" customHeight="1">
      <c r="A6829" s="47" t="inlineStr">
        <is>
          <t>3.</t>
        </is>
      </c>
      <c r="B6829" s="56" t="inlineStr">
        <is>
          <t>Bị từ chối.</t>
        </is>
      </c>
      <c r="C6829" s="57" t="n"/>
      <c r="D6829" s="57" t="n"/>
      <c r="E6829" s="57" t="n"/>
    </row>
    <row r="6830" ht="30" customHeight="1">
      <c r="A6830" s="47" t="inlineStr">
        <is>
          <t>4.</t>
        </is>
      </c>
      <c r="B6830" s="56" t="inlineStr">
        <is>
          <t>Chỉ thấy dữ liệu S01; dấu đỏ và điểm ẩn giống màn học sinh.</t>
        </is>
      </c>
      <c r="C6830" s="57" t="n"/>
      <c r="D6830" s="57" t="n"/>
      <c r="E6830" s="57" t="n"/>
    </row>
    <row r="6831" ht="30" customHeight="1">
      <c r="A6831" s="47" t="inlineStr">
        <is>
          <t>5.</t>
        </is>
      </c>
      <c r="B6831" s="56" t="inlineStr">
        <is>
          <t>Bị từ chối.</t>
        </is>
      </c>
      <c r="C6831" s="57" t="n"/>
      <c r="D6831" s="57" t="n"/>
      <c r="E6831" s="57" t="n"/>
    </row>
    <row r="6832" ht="44" customHeight="1">
      <c r="A6832" s="47" t="inlineStr">
        <is>
          <t>Giữ nguyên</t>
        </is>
      </c>
      <c r="B6832" s="56" t="inlineStr">
        <is>
          <t>• Giữ điểm, cấu hình và đối tượng không đích theo expected;
• Chỉ thay phần thủ tục yêu cầu, không tự đổi oracle hoặc mở rộng phạm vi.</t>
        </is>
      </c>
      <c r="C6832" s="57" t="n"/>
      <c r="D6832" s="57" t="n"/>
      <c r="E6832" s="57" t="n"/>
    </row>
    <row r="6833" ht="61" customHeight="1">
      <c r="A6833" s="47" t="inlineStr">
        <is>
          <t>Quan sát tại</t>
        </is>
      </c>
      <c r="B6833" s="56" t="inlineStr">
        <is>
          <t>• Dùng trích xuất không lọc để thấy cả ô đối chứng. Trạng thái không có dấu đỏ cần đọc thêm trạng thái lưu;
• Output Excel/PDF dùng file thật.</t>
        </is>
      </c>
      <c r="C6833" s="57" t="n"/>
      <c r="D6833" s="57" t="n"/>
      <c r="E6833" s="57" t="n"/>
    </row>
    <row r="6834" ht="30" customHeight="1">
      <c r="A6834" s="58" t="inlineStr">
        <is>
          <t>Kết quả thực tế</t>
        </is>
      </c>
      <c r="B6834" s="59" t="n"/>
      <c r="C6834" s="59" t="n"/>
      <c r="D6834" s="59" t="n"/>
      <c r="E6834" s="59" t="n"/>
    </row>
    <row r="6835" ht="30" customHeight="1">
      <c r="A6835" s="60" t="inlineStr">
        <is>
          <t>TC-RS-REG-015 / student</t>
        </is>
      </c>
      <c r="B6835" s="36" t="n"/>
      <c r="C6835" s="36" t="n"/>
      <c r="D6835" s="36" t="n"/>
      <c r="E6835" s="36" t="n"/>
    </row>
    <row r="6836" ht="30" customHeight="1">
      <c r="A6836" s="47" t="inlineStr">
        <is>
          <t>Dữ liệu biến thể</t>
        </is>
      </c>
      <c r="B6836" s="56" t="inlineStr">
        <is>
          <t>Bước 1–3 tài khoản học sinh</t>
        </is>
      </c>
      <c r="C6836" s="57" t="n"/>
      <c r="D6836" s="57" t="n"/>
      <c r="E6836" s="57" t="n"/>
    </row>
    <row r="6837" ht="30" customHeight="1">
      <c r="A6837" s="47" t="inlineStr">
        <is>
          <t>Trạng thái</t>
        </is>
      </c>
      <c r="B6837" s="61" t="inlineStr">
        <is>
          <t>Chưa thực hiện</t>
        </is>
      </c>
      <c r="C6837" s="57" t="n"/>
      <c r="D6837" s="57" t="n"/>
      <c r="E6837" s="57" t="n"/>
    </row>
    <row r="6838" ht="30" customHeight="1">
      <c r="A6838" s="62" t="inlineStr">
        <is>
          <t>Kết quả thực tế</t>
        </is>
      </c>
    </row>
    <row r="6839" ht="64" customHeight="1">
      <c r="A6839" s="63" t="inlineStr"/>
      <c r="B6839" s="64" t="n"/>
      <c r="C6839" s="64" t="n"/>
      <c r="D6839" s="64" t="n"/>
      <c r="E6839" s="65" t="n"/>
    </row>
    <row r="6840" ht="30" customHeight="1">
      <c r="A6840" s="62" t="inlineStr">
        <is>
          <t>Ảnh minh chứng</t>
        </is>
      </c>
    </row>
    <row r="6841" ht="90" customHeight="1">
      <c r="A6841" s="63" t="inlineStr"/>
      <c r="B6841" s="64" t="n"/>
      <c r="C6841" s="64" t="n"/>
      <c r="D6841" s="64" t="n"/>
      <c r="E6841" s="65" t="n"/>
    </row>
    <row r="6842" ht="12" customHeight="1">
      <c r="A6842" s="66" t="inlineStr"/>
    </row>
    <row r="6843" ht="30" customHeight="1">
      <c r="A6843" s="60" t="inlineStr">
        <is>
          <t>TC-RS-REG-015 / parent</t>
        </is>
      </c>
      <c r="B6843" s="36" t="n"/>
      <c r="C6843" s="36" t="n"/>
      <c r="D6843" s="36" t="n"/>
      <c r="E6843" s="36" t="n"/>
    </row>
    <row r="6844" ht="30" customHeight="1">
      <c r="A6844" s="47" t="inlineStr">
        <is>
          <t>Dữ liệu biến thể</t>
        </is>
      </c>
      <c r="B6844" s="56" t="inlineStr">
        <is>
          <t>Bước 4–5 tài khoản phụ huynh</t>
        </is>
      </c>
      <c r="C6844" s="57" t="n"/>
      <c r="D6844" s="57" t="n"/>
      <c r="E6844" s="57" t="n"/>
    </row>
    <row r="6845" ht="30" customHeight="1">
      <c r="A6845" s="47" t="inlineStr">
        <is>
          <t>Trạng thái</t>
        </is>
      </c>
      <c r="B6845" s="61" t="inlineStr">
        <is>
          <t>Chưa thực hiện</t>
        </is>
      </c>
      <c r="C6845" s="57" t="n"/>
      <c r="D6845" s="57" t="n"/>
      <c r="E6845" s="57" t="n"/>
    </row>
    <row r="6846" ht="30" customHeight="1">
      <c r="A6846" s="62" t="inlineStr">
        <is>
          <t>Kết quả thực tế</t>
        </is>
      </c>
    </row>
    <row r="6847" ht="64" customHeight="1">
      <c r="A6847" s="63" t="inlineStr"/>
      <c r="B6847" s="64" t="n"/>
      <c r="C6847" s="64" t="n"/>
      <c r="D6847" s="64" t="n"/>
      <c r="E6847" s="65" t="n"/>
    </row>
    <row r="6848" ht="30" customHeight="1">
      <c r="A6848" s="62" t="inlineStr">
        <is>
          <t>Ảnh minh chứng</t>
        </is>
      </c>
    </row>
    <row r="6849" ht="90" customHeight="1">
      <c r="A6849" s="63" t="inlineStr"/>
      <c r="B6849" s="64" t="n"/>
      <c r="C6849" s="64" t="n"/>
      <c r="D6849" s="64" t="n"/>
      <c r="E6849" s="65" t="n"/>
    </row>
    <row r="6850" ht="12" customHeight="1">
      <c r="A6850" s="66" t="inlineStr"/>
    </row>
    <row r="6851" ht="20" customHeight="1">
      <c r="A6851" s="66" t="inlineStr"/>
    </row>
    <row r="6852" ht="30" customHeight="1">
      <c r="A6852" s="46" t="inlineStr">
        <is>
          <t>TC-RS-VAL-006 — Tỷ lệ N: biên −1 / 0 / 100 / 101</t>
        </is>
      </c>
      <c r="B6852" s="23" t="n"/>
      <c r="C6852" s="23" t="n"/>
      <c r="D6852" s="23" t="n"/>
      <c r="E6852" s="23" t="n"/>
    </row>
    <row r="6853" ht="30" customHeight="1">
      <c r="A6853" s="47" t="inlineStr">
        <is>
          <t>Trạng thái</t>
        </is>
      </c>
      <c r="B6853" s="56">
        <f>IF(0&gt;0,"Không đạt",IF(0=6,"Đạt",IF(SUMPRODUCT(--EXACT('Testcases'!B6871:B6911,"Không thực hiện"))=6,"Không thực hiện",IF(SUMPRODUCT(--EXACT('Testcases'!B6871:B6911,"Bị chặn"))&gt;0,"Bị chặn",IF(SUMPRODUCT(--EXACT('Testcases'!B6871:B6911,"Chưa thực hiện"))=6,"Chưa thực hiện","Chưa đủ kết luận")))))</f>
        <v/>
      </c>
      <c r="C6853" s="57" t="n"/>
      <c r="D6853" s="57" t="n"/>
      <c r="E6853" s="57" t="n"/>
    </row>
    <row r="6854" ht="30" customHeight="1">
      <c r="A6854" s="47" t="inlineStr">
        <is>
          <t>Màn hình / chức năng</t>
        </is>
      </c>
      <c r="B6854" s="47" t="inlineStr">
        <is>
          <t>Thiết lập ngưỡng（基準設定）</t>
        </is>
      </c>
      <c r="C6854" s="57" t="n"/>
      <c r="D6854" s="47" t="inlineStr">
        <is>
          <t>Đường dẫn</t>
        </is>
      </c>
      <c r="E6854" s="56" t="inlineStr">
        <is>
          <t>Chưa xác minh</t>
        </is>
      </c>
    </row>
    <row r="6855" ht="30" customHeight="1">
      <c r="A6855" s="58" t="inlineStr">
        <is>
          <t>Điều kiện kiểm thử</t>
        </is>
      </c>
      <c r="B6855" s="59" t="n"/>
      <c r="C6855" s="59" t="n"/>
      <c r="D6855" s="59" t="n"/>
      <c r="E6855" s="59" t="n"/>
    </row>
    <row r="6856" ht="30" customHeight="1">
      <c r="A6856" s="47" t="inlineStr">
        <is>
          <t>Cấu hình</t>
        </is>
      </c>
      <c r="B6856" s="56" t="inlineStr">
        <is>
          <t>• Mục số nguyên (M=100), loại Tỷ lệ điểm tối đa（得点率）.</t>
        </is>
      </c>
      <c r="C6856" s="57" t="n"/>
      <c r="D6856" s="57" t="n"/>
      <c r="E6856" s="57" t="n"/>
    </row>
    <row r="6857" ht="61" customHeight="1">
      <c r="A6857" s="47" t="inlineStr">
        <is>
          <t>Vai trò / quyền</t>
        </is>
      </c>
      <c r="B685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857" s="57" t="n"/>
      <c r="D6857" s="57" t="n"/>
      <c r="E6857" s="57" t="n"/>
    </row>
    <row r="6858" ht="61" customHeight="1">
      <c r="A6858" s="47" t="inlineStr">
        <is>
          <t>Dữ liệu test</t>
        </is>
      </c>
      <c r="B6858" s="56" t="inlineStr">
        <is>
          <t>• Mục số nguyên (M=100);
• N = −1, 0, 100, 101;
• Biến thể thập phân 30.5, 30.5555</t>
        </is>
      </c>
      <c r="C6858" s="57" t="n"/>
      <c r="D6858" s="57" t="n"/>
      <c r="E6858" s="57" t="n"/>
    </row>
    <row r="6859" ht="30" customHeight="1">
      <c r="A6859" s="47" t="inlineStr">
        <is>
          <t>Trigger</t>
        </is>
      </c>
      <c r="B6859" s="56" t="inlineStr">
        <is>
          <t>• Chỉ xem/xuất không tự chạy xét.</t>
        </is>
      </c>
      <c r="C6859" s="57" t="n"/>
      <c r="D6859" s="57" t="n"/>
      <c r="E6859" s="57" t="n"/>
    </row>
    <row r="6860" ht="44" customHeight="1">
      <c r="A6860" s="47" t="inlineStr">
        <is>
          <t>Blocker</t>
        </is>
      </c>
      <c r="B6860" s="56" t="inlineStr">
        <is>
          <t>• G-PREP-UNASSESSED: Chưa có xác minh fixture, đường thực hiện và phép quan sát trên build của từng case chưa đánh giá.</t>
        </is>
      </c>
      <c r="C6860" s="57" t="n"/>
      <c r="D6860" s="57" t="n"/>
      <c r="E6860" s="57" t="n"/>
    </row>
    <row r="6861" ht="30" customHeight="1">
      <c r="A6861" s="58" t="inlineStr">
        <is>
          <t>Thao tác</t>
        </is>
      </c>
      <c r="B6861" s="59" t="n"/>
      <c r="C6861" s="59" t="n"/>
      <c r="D6861" s="59" t="n"/>
      <c r="E6861" s="59" t="n"/>
    </row>
    <row r="6862" ht="30" customHeight="1">
      <c r="A6862" s="47" t="inlineStr">
        <is>
          <t>•</t>
        </is>
      </c>
      <c r="B6862" s="56" t="inlineStr">
        <is>
          <t>Nhập từng giá trị, Lưu.</t>
        </is>
      </c>
      <c r="C6862" s="57" t="n"/>
      <c r="D6862" s="57" t="n"/>
      <c r="E6862" s="57" t="n"/>
    </row>
    <row r="6863" ht="44" customHeight="1">
      <c r="A6863" s="47" t="inlineStr">
        <is>
          <t>Reset</t>
        </is>
      </c>
      <c r="B6863" s="56" t="inlineStr">
        <is>
          <t>Trước mỗi biến thể, dựng lại điều kiện/dữ liệu đầu của case bằng đường được phép; giữ các reset/fixture độc lập đã nêu trong thủ tục.</t>
        </is>
      </c>
      <c r="C6863" s="57" t="n"/>
      <c r="D6863" s="57" t="n"/>
      <c r="E6863" s="57" t="n"/>
    </row>
    <row r="6864" ht="30" customHeight="1">
      <c r="A6864" s="58" t="inlineStr">
        <is>
          <t>Kết quả mong đợi</t>
        </is>
      </c>
      <c r="B6864" s="59" t="n"/>
      <c r="C6864" s="59" t="n"/>
      <c r="D6864" s="59" t="n"/>
      <c r="E6864" s="59" t="n"/>
    </row>
    <row r="6865" ht="44" customHeight="1">
      <c r="A6865" s="47" t="inlineStr">
        <is>
          <t>•</t>
        </is>
      </c>
      <c r="B6865" s="56" t="inlineStr">
        <is>
          <t>−1 Và 101: không lưu được. 0 và 100: lưu được. 30.5 lưu được, 30.5555 bị từ chối (PROPOSED, thiết kế DB v2 mục 4.2 “Xử lý phần lẻ và miền lưu trữ”).</t>
        </is>
      </c>
      <c r="C6865" s="57" t="n"/>
      <c r="D6865" s="57" t="n"/>
      <c r="E6865" s="57" t="n"/>
    </row>
    <row r="6866" ht="44" customHeight="1">
      <c r="A6866" s="47" t="inlineStr">
        <is>
          <t>Giữ nguyên</t>
        </is>
      </c>
      <c r="B6866" s="56" t="inlineStr">
        <is>
          <t>• Giữ điểm, cấu hình và đối tượng không đích theo expected;
• Chỉ thay phần thủ tục yêu cầu, không tự đổi oracle hoặc mở rộng phạm vi.</t>
        </is>
      </c>
      <c r="C6866" s="57" t="n"/>
      <c r="D6866" s="57" t="n"/>
      <c r="E6866" s="57" t="n"/>
    </row>
    <row r="6867" ht="61" customHeight="1">
      <c r="A6867" s="47" t="inlineStr">
        <is>
          <t>Quan sát tại</t>
        </is>
      </c>
      <c r="B6867" s="56" t="inlineStr">
        <is>
          <t>• Dùng trích xuất không lọc để thấy cả ô đối chứng. Trạng thái không có dấu đỏ cần đọc thêm trạng thái lưu;
• Output Excel/PDF dùng file thật.</t>
        </is>
      </c>
      <c r="C6867" s="57" t="n"/>
      <c r="D6867" s="57" t="n"/>
      <c r="E6867" s="57" t="n"/>
    </row>
    <row r="6868" ht="30" customHeight="1">
      <c r="A6868" s="58" t="inlineStr">
        <is>
          <t>Kết quả thực tế</t>
        </is>
      </c>
      <c r="B6868" s="59" t="n"/>
      <c r="C6868" s="59" t="n"/>
      <c r="D6868" s="59" t="n"/>
      <c r="E6868" s="59" t="n"/>
    </row>
    <row r="6869" ht="30" customHeight="1">
      <c r="A6869" s="60" t="inlineStr">
        <is>
          <t>TC-RS-VAL-006 / negative</t>
        </is>
      </c>
      <c r="B6869" s="36" t="n"/>
      <c r="C6869" s="36" t="n"/>
      <c r="D6869" s="36" t="n"/>
      <c r="E6869" s="36" t="n"/>
    </row>
    <row r="6870" ht="30" customHeight="1">
      <c r="A6870" s="47" t="inlineStr">
        <is>
          <t>Dữ liệu biến thể</t>
        </is>
      </c>
      <c r="B6870" s="56" t="inlineStr">
        <is>
          <t>-1</t>
        </is>
      </c>
      <c r="C6870" s="57" t="n"/>
      <c r="D6870" s="57" t="n"/>
      <c r="E6870" s="57" t="n"/>
    </row>
    <row r="6871" ht="30" customHeight="1">
      <c r="A6871" s="47" t="inlineStr">
        <is>
          <t>Trạng thái</t>
        </is>
      </c>
      <c r="B6871" s="61" t="inlineStr">
        <is>
          <t>Chưa thực hiện</t>
        </is>
      </c>
      <c r="C6871" s="57" t="n"/>
      <c r="D6871" s="57" t="n"/>
      <c r="E6871" s="57" t="n"/>
    </row>
    <row r="6872" ht="30" customHeight="1">
      <c r="A6872" s="62" t="inlineStr">
        <is>
          <t>Kết quả thực tế</t>
        </is>
      </c>
    </row>
    <row r="6873" ht="64" customHeight="1">
      <c r="A6873" s="63" t="inlineStr"/>
      <c r="B6873" s="64" t="n"/>
      <c r="C6873" s="64" t="n"/>
      <c r="D6873" s="64" t="n"/>
      <c r="E6873" s="65" t="n"/>
    </row>
    <row r="6874" ht="30" customHeight="1">
      <c r="A6874" s="62" t="inlineStr">
        <is>
          <t>Ảnh minh chứng</t>
        </is>
      </c>
    </row>
    <row r="6875" ht="90" customHeight="1">
      <c r="A6875" s="63" t="inlineStr"/>
      <c r="B6875" s="64" t="n"/>
      <c r="C6875" s="64" t="n"/>
      <c r="D6875" s="64" t="n"/>
      <c r="E6875" s="65" t="n"/>
    </row>
    <row r="6876" ht="12" customHeight="1">
      <c r="A6876" s="66" t="inlineStr"/>
    </row>
    <row r="6877" ht="30" customHeight="1">
      <c r="A6877" s="60" t="inlineStr">
        <is>
          <t>TC-RS-VAL-006 / zero</t>
        </is>
      </c>
      <c r="B6877" s="36" t="n"/>
      <c r="C6877" s="36" t="n"/>
      <c r="D6877" s="36" t="n"/>
      <c r="E6877" s="36" t="n"/>
    </row>
    <row r="6878" ht="30" customHeight="1">
      <c r="A6878" s="47" t="inlineStr">
        <is>
          <t>Dữ liệu biến thể</t>
        </is>
      </c>
      <c r="B6878" s="56" t="inlineStr">
        <is>
          <t>0</t>
        </is>
      </c>
      <c r="C6878" s="57" t="n"/>
      <c r="D6878" s="57" t="n"/>
      <c r="E6878" s="57" t="n"/>
    </row>
    <row r="6879" ht="30" customHeight="1">
      <c r="A6879" s="47" t="inlineStr">
        <is>
          <t>Trạng thái</t>
        </is>
      </c>
      <c r="B6879" s="61" t="inlineStr">
        <is>
          <t>Chưa thực hiện</t>
        </is>
      </c>
      <c r="C6879" s="57" t="n"/>
      <c r="D6879" s="57" t="n"/>
      <c r="E6879" s="57" t="n"/>
    </row>
    <row r="6880" ht="30" customHeight="1">
      <c r="A6880" s="62" t="inlineStr">
        <is>
          <t>Kết quả thực tế</t>
        </is>
      </c>
    </row>
    <row r="6881" ht="64" customHeight="1">
      <c r="A6881" s="63" t="inlineStr"/>
      <c r="B6881" s="64" t="n"/>
      <c r="C6881" s="64" t="n"/>
      <c r="D6881" s="64" t="n"/>
      <c r="E6881" s="65" t="n"/>
    </row>
    <row r="6882" ht="30" customHeight="1">
      <c r="A6882" s="62" t="inlineStr">
        <is>
          <t>Ảnh minh chứng</t>
        </is>
      </c>
    </row>
    <row r="6883" ht="90" customHeight="1">
      <c r="A6883" s="63" t="inlineStr"/>
      <c r="B6883" s="64" t="n"/>
      <c r="C6883" s="64" t="n"/>
      <c r="D6883" s="64" t="n"/>
      <c r="E6883" s="65" t="n"/>
    </row>
    <row r="6884" ht="12" customHeight="1">
      <c r="A6884" s="66" t="inlineStr"/>
    </row>
    <row r="6885" ht="30" customHeight="1">
      <c r="A6885" s="60" t="inlineStr">
        <is>
          <t>TC-RS-VAL-006 / hundred</t>
        </is>
      </c>
      <c r="B6885" s="36" t="n"/>
      <c r="C6885" s="36" t="n"/>
      <c r="D6885" s="36" t="n"/>
      <c r="E6885" s="36" t="n"/>
    </row>
    <row r="6886" ht="30" customHeight="1">
      <c r="A6886" s="47" t="inlineStr">
        <is>
          <t>Dữ liệu biến thể</t>
        </is>
      </c>
      <c r="B6886" s="56" t="inlineStr">
        <is>
          <t>100</t>
        </is>
      </c>
      <c r="C6886" s="57" t="n"/>
      <c r="D6886" s="57" t="n"/>
      <c r="E6886" s="57" t="n"/>
    </row>
    <row r="6887" ht="30" customHeight="1">
      <c r="A6887" s="47" t="inlineStr">
        <is>
          <t>Trạng thái</t>
        </is>
      </c>
      <c r="B6887" s="61" t="inlineStr">
        <is>
          <t>Chưa thực hiện</t>
        </is>
      </c>
      <c r="C6887" s="57" t="n"/>
      <c r="D6887" s="57" t="n"/>
      <c r="E6887" s="57" t="n"/>
    </row>
    <row r="6888" ht="30" customHeight="1">
      <c r="A6888" s="62" t="inlineStr">
        <is>
          <t>Kết quả thực tế</t>
        </is>
      </c>
    </row>
    <row r="6889" ht="64" customHeight="1">
      <c r="A6889" s="63" t="inlineStr"/>
      <c r="B6889" s="64" t="n"/>
      <c r="C6889" s="64" t="n"/>
      <c r="D6889" s="64" t="n"/>
      <c r="E6889" s="65" t="n"/>
    </row>
    <row r="6890" ht="30" customHeight="1">
      <c r="A6890" s="62" t="inlineStr">
        <is>
          <t>Ảnh minh chứng</t>
        </is>
      </c>
    </row>
    <row r="6891" ht="90" customHeight="1">
      <c r="A6891" s="63" t="inlineStr"/>
      <c r="B6891" s="64" t="n"/>
      <c r="C6891" s="64" t="n"/>
      <c r="D6891" s="64" t="n"/>
      <c r="E6891" s="65" t="n"/>
    </row>
    <row r="6892" ht="12" customHeight="1">
      <c r="A6892" s="66" t="inlineStr"/>
    </row>
    <row r="6893" ht="30" customHeight="1">
      <c r="A6893" s="60" t="inlineStr">
        <is>
          <t>TC-RS-VAL-006 / above</t>
        </is>
      </c>
      <c r="B6893" s="36" t="n"/>
      <c r="C6893" s="36" t="n"/>
      <c r="D6893" s="36" t="n"/>
      <c r="E6893" s="36" t="n"/>
    </row>
    <row r="6894" ht="30" customHeight="1">
      <c r="A6894" s="47" t="inlineStr">
        <is>
          <t>Dữ liệu biến thể</t>
        </is>
      </c>
      <c r="B6894" s="56" t="inlineStr">
        <is>
          <t>101</t>
        </is>
      </c>
      <c r="C6894" s="57" t="n"/>
      <c r="D6894" s="57" t="n"/>
      <c r="E6894" s="57" t="n"/>
    </row>
    <row r="6895" ht="30" customHeight="1">
      <c r="A6895" s="47" t="inlineStr">
        <is>
          <t>Trạng thái</t>
        </is>
      </c>
      <c r="B6895" s="61" t="inlineStr">
        <is>
          <t>Chưa thực hiện</t>
        </is>
      </c>
      <c r="C6895" s="57" t="n"/>
      <c r="D6895" s="57" t="n"/>
      <c r="E6895" s="57" t="n"/>
    </row>
    <row r="6896" ht="30" customHeight="1">
      <c r="A6896" s="62" t="inlineStr">
        <is>
          <t>Kết quả thực tế</t>
        </is>
      </c>
    </row>
    <row r="6897" ht="64" customHeight="1">
      <c r="A6897" s="63" t="inlineStr"/>
      <c r="B6897" s="64" t="n"/>
      <c r="C6897" s="64" t="n"/>
      <c r="D6897" s="64" t="n"/>
      <c r="E6897" s="65" t="n"/>
    </row>
    <row r="6898" ht="30" customHeight="1">
      <c r="A6898" s="62" t="inlineStr">
        <is>
          <t>Ảnh minh chứng</t>
        </is>
      </c>
    </row>
    <row r="6899" ht="90" customHeight="1">
      <c r="A6899" s="63" t="inlineStr"/>
      <c r="B6899" s="64" t="n"/>
      <c r="C6899" s="64" t="n"/>
      <c r="D6899" s="64" t="n"/>
      <c r="E6899" s="65" t="n"/>
    </row>
    <row r="6900" ht="12" customHeight="1">
      <c r="A6900" s="66" t="inlineStr"/>
    </row>
    <row r="6901" ht="30" customHeight="1">
      <c r="A6901" s="60" t="inlineStr">
        <is>
          <t>TC-RS-VAL-006 / decimal</t>
        </is>
      </c>
      <c r="B6901" s="36" t="n"/>
      <c r="C6901" s="36" t="n"/>
      <c r="D6901" s="36" t="n"/>
      <c r="E6901" s="36" t="n"/>
    </row>
    <row r="6902" ht="30" customHeight="1">
      <c r="A6902" s="47" t="inlineStr">
        <is>
          <t>Dữ liệu biến thể</t>
        </is>
      </c>
      <c r="B6902" s="56" t="inlineStr">
        <is>
          <t>30.5</t>
        </is>
      </c>
      <c r="C6902" s="57" t="n"/>
      <c r="D6902" s="57" t="n"/>
      <c r="E6902" s="57" t="n"/>
    </row>
    <row r="6903" ht="30" customHeight="1">
      <c r="A6903" s="47" t="inlineStr">
        <is>
          <t>Trạng thái</t>
        </is>
      </c>
      <c r="B6903" s="61" t="inlineStr">
        <is>
          <t>Chưa thực hiện</t>
        </is>
      </c>
      <c r="C6903" s="57" t="n"/>
      <c r="D6903" s="57" t="n"/>
      <c r="E6903" s="57" t="n"/>
    </row>
    <row r="6904" ht="30" customHeight="1">
      <c r="A6904" s="62" t="inlineStr">
        <is>
          <t>Kết quả thực tế</t>
        </is>
      </c>
    </row>
    <row r="6905" ht="64" customHeight="1">
      <c r="A6905" s="63" t="inlineStr"/>
      <c r="B6905" s="64" t="n"/>
      <c r="C6905" s="64" t="n"/>
      <c r="D6905" s="64" t="n"/>
      <c r="E6905" s="65" t="n"/>
    </row>
    <row r="6906" ht="30" customHeight="1">
      <c r="A6906" s="62" t="inlineStr">
        <is>
          <t>Ảnh minh chứng</t>
        </is>
      </c>
    </row>
    <row r="6907" ht="90" customHeight="1">
      <c r="A6907" s="63" t="inlineStr"/>
      <c r="B6907" s="64" t="n"/>
      <c r="C6907" s="64" t="n"/>
      <c r="D6907" s="64" t="n"/>
      <c r="E6907" s="65" t="n"/>
    </row>
    <row r="6908" ht="12" customHeight="1">
      <c r="A6908" s="66" t="inlineStr"/>
    </row>
    <row r="6909" ht="30" customHeight="1">
      <c r="A6909" s="60" t="inlineStr">
        <is>
          <t>TC-RS-VAL-006 / long-decimal</t>
        </is>
      </c>
      <c r="B6909" s="36" t="n"/>
      <c r="C6909" s="36" t="n"/>
      <c r="D6909" s="36" t="n"/>
      <c r="E6909" s="36" t="n"/>
    </row>
    <row r="6910" ht="30" customHeight="1">
      <c r="A6910" s="47" t="inlineStr">
        <is>
          <t>Dữ liệu biến thể</t>
        </is>
      </c>
      <c r="B6910" s="56" t="inlineStr">
        <is>
          <t>30.5555</t>
        </is>
      </c>
      <c r="C6910" s="57" t="n"/>
      <c r="D6910" s="57" t="n"/>
      <c r="E6910" s="57" t="n"/>
    </row>
    <row r="6911" ht="30" customHeight="1">
      <c r="A6911" s="47" t="inlineStr">
        <is>
          <t>Trạng thái</t>
        </is>
      </c>
      <c r="B6911" s="61" t="inlineStr">
        <is>
          <t>Chưa thực hiện</t>
        </is>
      </c>
      <c r="C6911" s="57" t="n"/>
      <c r="D6911" s="57" t="n"/>
      <c r="E6911" s="57" t="n"/>
    </row>
    <row r="6912" ht="30" customHeight="1">
      <c r="A6912" s="62" t="inlineStr">
        <is>
          <t>Kết quả thực tế</t>
        </is>
      </c>
    </row>
    <row r="6913" ht="64" customHeight="1">
      <c r="A6913" s="63" t="inlineStr"/>
      <c r="B6913" s="64" t="n"/>
      <c r="C6913" s="64" t="n"/>
      <c r="D6913" s="64" t="n"/>
      <c r="E6913" s="65" t="n"/>
    </row>
    <row r="6914" ht="30" customHeight="1">
      <c r="A6914" s="62" t="inlineStr">
        <is>
          <t>Ảnh minh chứng</t>
        </is>
      </c>
    </row>
    <row r="6915" ht="90" customHeight="1">
      <c r="A6915" s="63" t="inlineStr"/>
      <c r="B6915" s="64" t="n"/>
      <c r="C6915" s="64" t="n"/>
      <c r="D6915" s="64" t="n"/>
      <c r="E6915" s="65" t="n"/>
    </row>
    <row r="6916" ht="12" customHeight="1">
      <c r="A6916" s="66" t="inlineStr"/>
    </row>
    <row r="6917" ht="20" customHeight="1">
      <c r="A6917" s="66" t="inlineStr"/>
    </row>
    <row r="6918" ht="30" customHeight="1">
      <c r="A6918" s="46" t="inlineStr">
        <is>
          <t>TC-RS-VAL-007 — Xử lý phần lẻ: bắt buộc chọn cách làm tròn; p = 0 / 1 / 9 / 10; lần đầu p=1</t>
        </is>
      </c>
      <c r="B6918" s="23" t="n"/>
      <c r="C6918" s="23" t="n"/>
      <c r="D6918" s="23" t="n"/>
      <c r="E6918" s="23" t="n"/>
    </row>
    <row r="6919" ht="30" customHeight="1">
      <c r="A6919" s="47" t="inlineStr">
        <is>
          <t>Trạng thái</t>
        </is>
      </c>
      <c r="B6919" s="56">
        <f>IF(0&gt;0,"Không đạt",IF(0=6,"Đạt",IF(SUMPRODUCT(--EXACT('Testcases'!B6941:B6981,"Không thực hiện"))=6,"Không thực hiện",IF(SUMPRODUCT(--EXACT('Testcases'!B6941:B6981,"Bị chặn"))&gt;0,"Bị chặn",IF(SUMPRODUCT(--EXACT('Testcases'!B6941:B6981,"Chưa thực hiện"))=6,"Chưa thực hiện","Chưa đủ kết luận")))))</f>
        <v/>
      </c>
      <c r="C6919" s="57" t="n"/>
      <c r="D6919" s="57" t="n"/>
      <c r="E6919" s="57" t="n"/>
    </row>
    <row r="6920" ht="30" customHeight="1">
      <c r="A6920" s="47" t="inlineStr">
        <is>
          <t>Màn hình / chức năng</t>
        </is>
      </c>
      <c r="B6920" s="47" t="inlineStr">
        <is>
          <t>Thiết lập ngưỡng（基準設定）</t>
        </is>
      </c>
      <c r="C6920" s="57" t="n"/>
      <c r="D6920" s="47" t="inlineStr">
        <is>
          <t>Đường dẫn</t>
        </is>
      </c>
      <c r="E6920" s="56" t="inlineStr">
        <is>
          <t>Chưa xác minh</t>
        </is>
      </c>
    </row>
    <row r="6921" ht="30" customHeight="1">
      <c r="A6921" s="58" t="inlineStr">
        <is>
          <t>Điều kiện kiểm thử</t>
        </is>
      </c>
      <c r="B6921" s="59" t="n"/>
      <c r="C6921" s="59" t="n"/>
      <c r="D6921" s="59" t="n"/>
      <c r="E6921" s="59" t="n"/>
    </row>
    <row r="6922" ht="30" customHeight="1">
      <c r="A6922" s="47" t="inlineStr">
        <is>
          <t>Cấu hình</t>
        </is>
      </c>
      <c r="B6922" s="56" t="inlineStr">
        <is>
          <t>• Mục số nguyên (M=100), Tỷ lệ 30%.</t>
        </is>
      </c>
      <c r="C6922" s="57" t="n"/>
      <c r="D6922" s="57" t="n"/>
      <c r="E6922" s="57" t="n"/>
    </row>
    <row r="6923" ht="61" customHeight="1">
      <c r="A6923" s="47" t="inlineStr">
        <is>
          <t>Vai trò / quyền</t>
        </is>
      </c>
      <c r="B692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923" s="57" t="n"/>
      <c r="D6923" s="57" t="n"/>
      <c r="E6923" s="57" t="n"/>
    </row>
    <row r="6924" ht="61" customHeight="1">
      <c r="A6924" s="47" t="inlineStr">
        <is>
          <t>Dữ liệu test</t>
        </is>
      </c>
      <c r="B6924" s="56" t="inlineStr">
        <is>
          <t>• Mục số nguyên (M=100);
• P = 0, 1, 9, 10;
• Cách làm tròn: chưa chọn</t>
        </is>
      </c>
      <c r="C6924" s="57" t="n"/>
      <c r="D6924" s="57" t="n"/>
      <c r="E6924" s="57" t="n"/>
    </row>
    <row r="6925" ht="30" customHeight="1">
      <c r="A6925" s="47" t="inlineStr">
        <is>
          <t>Trigger</t>
        </is>
      </c>
      <c r="B6925" s="56" t="inlineStr">
        <is>
          <t>• Chỉ xem/xuất không tự chạy xét.</t>
        </is>
      </c>
      <c r="C6925" s="57" t="n"/>
      <c r="D6925" s="57" t="n"/>
      <c r="E6925" s="57" t="n"/>
    </row>
    <row r="6926" ht="44" customHeight="1">
      <c r="A6926" s="47" t="inlineStr">
        <is>
          <t>Blocker</t>
        </is>
      </c>
      <c r="B6926" s="56" t="inlineStr">
        <is>
          <t>• G-PREP-UNASSESSED: Chưa có xác minh fixture, đường thực hiện và phép quan sát trên build của từng case chưa đánh giá.</t>
        </is>
      </c>
      <c r="C6926" s="57" t="n"/>
      <c r="D6926" s="57" t="n"/>
      <c r="E6926" s="57" t="n"/>
    </row>
    <row r="6927" ht="30" customHeight="1">
      <c r="A6927" s="58" t="inlineStr">
        <is>
          <t>Thao tác</t>
        </is>
      </c>
      <c r="B6927" s="59" t="n"/>
      <c r="C6927" s="59" t="n"/>
      <c r="D6927" s="59" t="n"/>
      <c r="E6927" s="59" t="n"/>
    </row>
    <row r="6928" ht="30" customHeight="1">
      <c r="A6928" s="47" t="inlineStr">
        <is>
          <t>Step 1</t>
        </is>
      </c>
      <c r="B6928" s="56" t="inlineStr">
        <is>
          <t>Bật Xử lý phần lẻ（端数処理）: quan sát giá trị p mặc định.</t>
        </is>
      </c>
      <c r="C6928" s="57" t="n"/>
      <c r="D6928" s="57" t="n"/>
      <c r="E6928" s="57" t="n"/>
    </row>
    <row r="6929" ht="30" customHeight="1">
      <c r="A6929" s="47" t="inlineStr">
        <is>
          <t>Step 2</t>
        </is>
      </c>
      <c r="B6929" s="56" t="inlineStr">
        <is>
          <t>Không chọn cách làm tròn, Lưu.</t>
        </is>
      </c>
      <c r="C6929" s="57" t="n"/>
      <c r="D6929" s="57" t="n"/>
      <c r="E6929" s="57" t="n"/>
    </row>
    <row r="6930" ht="30" customHeight="1">
      <c r="A6930" s="47" t="inlineStr">
        <is>
          <t>Step 3</t>
        </is>
      </c>
      <c r="B6930" s="56" t="inlineStr">
        <is>
          <t>Chọn Làm tròn xuống（切り捨て） với p=0, 1, 9, 10; Lưu từng lần.</t>
        </is>
      </c>
      <c r="C6930" s="57" t="n"/>
      <c r="D6930" s="57" t="n"/>
      <c r="E6930" s="57" t="n"/>
    </row>
    <row r="6931" ht="44" customHeight="1">
      <c r="A6931" s="47" t="inlineStr">
        <is>
          <t>Reset</t>
        </is>
      </c>
      <c r="B6931" s="56" t="inlineStr">
        <is>
          <t>Trước mỗi biến thể, dựng lại điều kiện/dữ liệu đầu của case bằng đường được phép; giữ các reset/fixture độc lập đã nêu trong thủ tục.</t>
        </is>
      </c>
      <c r="C6931" s="57" t="n"/>
      <c r="D6931" s="57" t="n"/>
      <c r="E6931" s="57" t="n"/>
    </row>
    <row r="6932" ht="30" customHeight="1">
      <c r="A6932" s="58" t="inlineStr">
        <is>
          <t>Kết quả mong đợi</t>
        </is>
      </c>
      <c r="B6932" s="59" t="n"/>
      <c r="C6932" s="59" t="n"/>
      <c r="D6932" s="59" t="n"/>
      <c r="E6932" s="59" t="n"/>
    </row>
    <row r="6933" ht="30" customHeight="1">
      <c r="A6933" s="47" t="inlineStr">
        <is>
          <t>1.</t>
        </is>
      </c>
      <c r="B6933" s="56" t="inlineStr">
        <is>
          <t>P hiển thị 1.</t>
        </is>
      </c>
      <c r="C6933" s="57" t="n"/>
      <c r="D6933" s="57" t="n"/>
      <c r="E6933" s="57" t="n"/>
    </row>
    <row r="6934" ht="30" customHeight="1">
      <c r="A6934" s="47" t="inlineStr">
        <is>
          <t>2.</t>
        </is>
      </c>
      <c r="B6934" s="56" t="inlineStr">
        <is>
          <t>Không lưu được.</t>
        </is>
      </c>
      <c r="C6934" s="57" t="n"/>
      <c r="D6934" s="57" t="n"/>
      <c r="E6934" s="57" t="n"/>
    </row>
    <row r="6935" ht="30" customHeight="1">
      <c r="A6935" s="47" t="inlineStr">
        <is>
          <t>3.</t>
        </is>
      </c>
      <c r="B6935" s="56" t="inlineStr">
        <is>
          <t>P=1 và 9 lưu được; p=0 và 10 không lưu được.</t>
        </is>
      </c>
      <c r="C6935" s="57" t="n"/>
      <c r="D6935" s="57" t="n"/>
      <c r="E6935" s="57" t="n"/>
    </row>
    <row r="6936" ht="44" customHeight="1">
      <c r="A6936" s="47" t="inlineStr">
        <is>
          <t>Giữ nguyên</t>
        </is>
      </c>
      <c r="B6936" s="56" t="inlineStr">
        <is>
          <t>• Giữ điểm, cấu hình và đối tượng không đích theo expected;
• Chỉ thay phần thủ tục yêu cầu, không tự đổi oracle hoặc mở rộng phạm vi.</t>
        </is>
      </c>
      <c r="C6936" s="57" t="n"/>
      <c r="D6936" s="57" t="n"/>
      <c r="E6936" s="57" t="n"/>
    </row>
    <row r="6937" ht="61" customHeight="1">
      <c r="A6937" s="47" t="inlineStr">
        <is>
          <t>Quan sát tại</t>
        </is>
      </c>
      <c r="B6937" s="56" t="inlineStr">
        <is>
          <t>• Dùng trích xuất không lọc để thấy cả ô đối chứng. Trạng thái không có dấu đỏ cần đọc thêm trạng thái lưu;
• Output Excel/PDF dùng file thật.</t>
        </is>
      </c>
      <c r="C6937" s="57" t="n"/>
      <c r="D6937" s="57" t="n"/>
      <c r="E6937" s="57" t="n"/>
    </row>
    <row r="6938" ht="30" customHeight="1">
      <c r="A6938" s="58" t="inlineStr">
        <is>
          <t>Kết quả thực tế</t>
        </is>
      </c>
      <c r="B6938" s="59" t="n"/>
      <c r="C6938" s="59" t="n"/>
      <c r="D6938" s="59" t="n"/>
      <c r="E6938" s="59" t="n"/>
    </row>
    <row r="6939" ht="30" customHeight="1">
      <c r="A6939" s="60" t="inlineStr">
        <is>
          <t>TC-RS-VAL-007 / default</t>
        </is>
      </c>
      <c r="B6939" s="36" t="n"/>
      <c r="C6939" s="36" t="n"/>
      <c r="D6939" s="36" t="n"/>
      <c r="E6939" s="36" t="n"/>
    </row>
    <row r="6940" ht="30" customHeight="1">
      <c r="A6940" s="47" t="inlineStr">
        <is>
          <t>Dữ liệu biến thể</t>
        </is>
      </c>
      <c r="B6940" s="56" t="inlineStr">
        <is>
          <t>Giá trị mặc định p=1</t>
        </is>
      </c>
      <c r="C6940" s="57" t="n"/>
      <c r="D6940" s="57" t="n"/>
      <c r="E6940" s="57" t="n"/>
    </row>
    <row r="6941" ht="30" customHeight="1">
      <c r="A6941" s="47" t="inlineStr">
        <is>
          <t>Trạng thái</t>
        </is>
      </c>
      <c r="B6941" s="61" t="inlineStr">
        <is>
          <t>Chưa thực hiện</t>
        </is>
      </c>
      <c r="C6941" s="57" t="n"/>
      <c r="D6941" s="57" t="n"/>
      <c r="E6941" s="57" t="n"/>
    </row>
    <row r="6942" ht="30" customHeight="1">
      <c r="A6942" s="62" t="inlineStr">
        <is>
          <t>Kết quả thực tế</t>
        </is>
      </c>
    </row>
    <row r="6943" ht="64" customHeight="1">
      <c r="A6943" s="63" t="inlineStr"/>
      <c r="B6943" s="64" t="n"/>
      <c r="C6943" s="64" t="n"/>
      <c r="D6943" s="64" t="n"/>
      <c r="E6943" s="65" t="n"/>
    </row>
    <row r="6944" ht="30" customHeight="1">
      <c r="A6944" s="62" t="inlineStr">
        <is>
          <t>Ảnh minh chứng</t>
        </is>
      </c>
    </row>
    <row r="6945" ht="90" customHeight="1">
      <c r="A6945" s="63" t="inlineStr"/>
      <c r="B6945" s="64" t="n"/>
      <c r="C6945" s="64" t="n"/>
      <c r="D6945" s="64" t="n"/>
      <c r="E6945" s="65" t="n"/>
    </row>
    <row r="6946" ht="12" customHeight="1">
      <c r="A6946" s="66" t="inlineStr"/>
    </row>
    <row r="6947" ht="30" customHeight="1">
      <c r="A6947" s="60" t="inlineStr">
        <is>
          <t>TC-RS-VAL-007 / missing-method</t>
        </is>
      </c>
      <c r="B6947" s="36" t="n"/>
      <c r="C6947" s="36" t="n"/>
      <c r="D6947" s="36" t="n"/>
      <c r="E6947" s="36" t="n"/>
    </row>
    <row r="6948" ht="30" customHeight="1">
      <c r="A6948" s="47" t="inlineStr">
        <is>
          <t>Dữ liệu biến thể</t>
        </is>
      </c>
      <c r="B6948" s="56" t="inlineStr">
        <is>
          <t>Thiếu phương thức</t>
        </is>
      </c>
      <c r="C6948" s="57" t="n"/>
      <c r="D6948" s="57" t="n"/>
      <c r="E6948" s="57" t="n"/>
    </row>
    <row r="6949" ht="30" customHeight="1">
      <c r="A6949" s="47" t="inlineStr">
        <is>
          <t>Trạng thái</t>
        </is>
      </c>
      <c r="B6949" s="61" t="inlineStr">
        <is>
          <t>Chưa thực hiện</t>
        </is>
      </c>
      <c r="C6949" s="57" t="n"/>
      <c r="D6949" s="57" t="n"/>
      <c r="E6949" s="57" t="n"/>
    </row>
    <row r="6950" ht="30" customHeight="1">
      <c r="A6950" s="62" t="inlineStr">
        <is>
          <t>Kết quả thực tế</t>
        </is>
      </c>
    </row>
    <row r="6951" ht="64" customHeight="1">
      <c r="A6951" s="63" t="inlineStr"/>
      <c r="B6951" s="64" t="n"/>
      <c r="C6951" s="64" t="n"/>
      <c r="D6951" s="64" t="n"/>
      <c r="E6951" s="65" t="n"/>
    </row>
    <row r="6952" ht="30" customHeight="1">
      <c r="A6952" s="62" t="inlineStr">
        <is>
          <t>Ảnh minh chứng</t>
        </is>
      </c>
    </row>
    <row r="6953" ht="90" customHeight="1">
      <c r="A6953" s="63" t="inlineStr"/>
      <c r="B6953" s="64" t="n"/>
      <c r="C6953" s="64" t="n"/>
      <c r="D6953" s="64" t="n"/>
      <c r="E6953" s="65" t="n"/>
    </row>
    <row r="6954" ht="12" customHeight="1">
      <c r="A6954" s="66" t="inlineStr"/>
    </row>
    <row r="6955" ht="30" customHeight="1">
      <c r="A6955" s="60" t="inlineStr">
        <is>
          <t>TC-RS-VAL-007 / p0</t>
        </is>
      </c>
      <c r="B6955" s="36" t="n"/>
      <c r="C6955" s="36" t="n"/>
      <c r="D6955" s="36" t="n"/>
      <c r="E6955" s="36" t="n"/>
    </row>
    <row r="6956" ht="30" customHeight="1">
      <c r="A6956" s="47" t="inlineStr">
        <is>
          <t>Dữ liệu biến thể</t>
        </is>
      </c>
      <c r="B6956" s="56" t="inlineStr">
        <is>
          <t>P=0</t>
        </is>
      </c>
      <c r="C6956" s="57" t="n"/>
      <c r="D6956" s="57" t="n"/>
      <c r="E6956" s="57" t="n"/>
    </row>
    <row r="6957" ht="30" customHeight="1">
      <c r="A6957" s="47" t="inlineStr">
        <is>
          <t>Trạng thái</t>
        </is>
      </c>
      <c r="B6957" s="61" t="inlineStr">
        <is>
          <t>Chưa thực hiện</t>
        </is>
      </c>
      <c r="C6957" s="57" t="n"/>
      <c r="D6957" s="57" t="n"/>
      <c r="E6957" s="57" t="n"/>
    </row>
    <row r="6958" ht="30" customHeight="1">
      <c r="A6958" s="62" t="inlineStr">
        <is>
          <t>Kết quả thực tế</t>
        </is>
      </c>
    </row>
    <row r="6959" ht="64" customHeight="1">
      <c r="A6959" s="63" t="inlineStr"/>
      <c r="B6959" s="64" t="n"/>
      <c r="C6959" s="64" t="n"/>
      <c r="D6959" s="64" t="n"/>
      <c r="E6959" s="65" t="n"/>
    </row>
    <row r="6960" ht="30" customHeight="1">
      <c r="A6960" s="62" t="inlineStr">
        <is>
          <t>Ảnh minh chứng</t>
        </is>
      </c>
    </row>
    <row r="6961" ht="90" customHeight="1">
      <c r="A6961" s="63" t="inlineStr"/>
      <c r="B6961" s="64" t="n"/>
      <c r="C6961" s="64" t="n"/>
      <c r="D6961" s="64" t="n"/>
      <c r="E6961" s="65" t="n"/>
    </row>
    <row r="6962" ht="12" customHeight="1">
      <c r="A6962" s="66" t="inlineStr"/>
    </row>
    <row r="6963" ht="30" customHeight="1">
      <c r="A6963" s="60" t="inlineStr">
        <is>
          <t>TC-RS-VAL-007 / p1</t>
        </is>
      </c>
      <c r="B6963" s="36" t="n"/>
      <c r="C6963" s="36" t="n"/>
      <c r="D6963" s="36" t="n"/>
      <c r="E6963" s="36" t="n"/>
    </row>
    <row r="6964" ht="30" customHeight="1">
      <c r="A6964" s="47" t="inlineStr">
        <is>
          <t>Dữ liệu biến thể</t>
        </is>
      </c>
      <c r="B6964" s="56" t="inlineStr">
        <is>
          <t>P=1</t>
        </is>
      </c>
      <c r="C6964" s="57" t="n"/>
      <c r="D6964" s="57" t="n"/>
      <c r="E6964" s="57" t="n"/>
    </row>
    <row r="6965" ht="30" customHeight="1">
      <c r="A6965" s="47" t="inlineStr">
        <is>
          <t>Trạng thái</t>
        </is>
      </c>
      <c r="B6965" s="61" t="inlineStr">
        <is>
          <t>Chưa thực hiện</t>
        </is>
      </c>
      <c r="C6965" s="57" t="n"/>
      <c r="D6965" s="57" t="n"/>
      <c r="E6965" s="57" t="n"/>
    </row>
    <row r="6966" ht="30" customHeight="1">
      <c r="A6966" s="62" t="inlineStr">
        <is>
          <t>Kết quả thực tế</t>
        </is>
      </c>
    </row>
    <row r="6967" ht="64" customHeight="1">
      <c r="A6967" s="63" t="inlineStr"/>
      <c r="B6967" s="64" t="n"/>
      <c r="C6967" s="64" t="n"/>
      <c r="D6967" s="64" t="n"/>
      <c r="E6967" s="65" t="n"/>
    </row>
    <row r="6968" ht="30" customHeight="1">
      <c r="A6968" s="62" t="inlineStr">
        <is>
          <t>Ảnh minh chứng</t>
        </is>
      </c>
    </row>
    <row r="6969" ht="90" customHeight="1">
      <c r="A6969" s="63" t="inlineStr"/>
      <c r="B6969" s="64" t="n"/>
      <c r="C6969" s="64" t="n"/>
      <c r="D6969" s="64" t="n"/>
      <c r="E6969" s="65" t="n"/>
    </row>
    <row r="6970" ht="12" customHeight="1">
      <c r="A6970" s="66" t="inlineStr"/>
    </row>
    <row r="6971" ht="30" customHeight="1">
      <c r="A6971" s="60" t="inlineStr">
        <is>
          <t>TC-RS-VAL-007 / p9</t>
        </is>
      </c>
      <c r="B6971" s="36" t="n"/>
      <c r="C6971" s="36" t="n"/>
      <c r="D6971" s="36" t="n"/>
      <c r="E6971" s="36" t="n"/>
    </row>
    <row r="6972" ht="30" customHeight="1">
      <c r="A6972" s="47" t="inlineStr">
        <is>
          <t>Dữ liệu biến thể</t>
        </is>
      </c>
      <c r="B6972" s="56" t="inlineStr">
        <is>
          <t>P=9</t>
        </is>
      </c>
      <c r="C6972" s="57" t="n"/>
      <c r="D6972" s="57" t="n"/>
      <c r="E6972" s="57" t="n"/>
    </row>
    <row r="6973" ht="30" customHeight="1">
      <c r="A6973" s="47" t="inlineStr">
        <is>
          <t>Trạng thái</t>
        </is>
      </c>
      <c r="B6973" s="61" t="inlineStr">
        <is>
          <t>Chưa thực hiện</t>
        </is>
      </c>
      <c r="C6973" s="57" t="n"/>
      <c r="D6973" s="57" t="n"/>
      <c r="E6973" s="57" t="n"/>
    </row>
    <row r="6974" ht="30" customHeight="1">
      <c r="A6974" s="62" t="inlineStr">
        <is>
          <t>Kết quả thực tế</t>
        </is>
      </c>
    </row>
    <row r="6975" ht="64" customHeight="1">
      <c r="A6975" s="63" t="inlineStr"/>
      <c r="B6975" s="64" t="n"/>
      <c r="C6975" s="64" t="n"/>
      <c r="D6975" s="64" t="n"/>
      <c r="E6975" s="65" t="n"/>
    </row>
    <row r="6976" ht="30" customHeight="1">
      <c r="A6976" s="62" t="inlineStr">
        <is>
          <t>Ảnh minh chứng</t>
        </is>
      </c>
    </row>
    <row r="6977" ht="90" customHeight="1">
      <c r="A6977" s="63" t="inlineStr"/>
      <c r="B6977" s="64" t="n"/>
      <c r="C6977" s="64" t="n"/>
      <c r="D6977" s="64" t="n"/>
      <c r="E6977" s="65" t="n"/>
    </row>
    <row r="6978" ht="12" customHeight="1">
      <c r="A6978" s="66" t="inlineStr"/>
    </row>
    <row r="6979" ht="30" customHeight="1">
      <c r="A6979" s="60" t="inlineStr">
        <is>
          <t>TC-RS-VAL-007 / p10</t>
        </is>
      </c>
      <c r="B6979" s="36" t="n"/>
      <c r="C6979" s="36" t="n"/>
      <c r="D6979" s="36" t="n"/>
      <c r="E6979" s="36" t="n"/>
    </row>
    <row r="6980" ht="30" customHeight="1">
      <c r="A6980" s="47" t="inlineStr">
        <is>
          <t>Dữ liệu biến thể</t>
        </is>
      </c>
      <c r="B6980" s="56" t="inlineStr">
        <is>
          <t>P=10</t>
        </is>
      </c>
      <c r="C6980" s="57" t="n"/>
      <c r="D6980" s="57" t="n"/>
      <c r="E6980" s="57" t="n"/>
    </row>
    <row r="6981" ht="30" customHeight="1">
      <c r="A6981" s="47" t="inlineStr">
        <is>
          <t>Trạng thái</t>
        </is>
      </c>
      <c r="B6981" s="61" t="inlineStr">
        <is>
          <t>Chưa thực hiện</t>
        </is>
      </c>
      <c r="C6981" s="57" t="n"/>
      <c r="D6981" s="57" t="n"/>
      <c r="E6981" s="57" t="n"/>
    </row>
    <row r="6982" ht="30" customHeight="1">
      <c r="A6982" s="62" t="inlineStr">
        <is>
          <t>Kết quả thực tế</t>
        </is>
      </c>
    </row>
    <row r="6983" ht="64" customHeight="1">
      <c r="A6983" s="63" t="inlineStr"/>
      <c r="B6983" s="64" t="n"/>
      <c r="C6983" s="64" t="n"/>
      <c r="D6983" s="64" t="n"/>
      <c r="E6983" s="65" t="n"/>
    </row>
    <row r="6984" ht="30" customHeight="1">
      <c r="A6984" s="62" t="inlineStr">
        <is>
          <t>Ảnh minh chứng</t>
        </is>
      </c>
    </row>
    <row r="6985" ht="90" customHeight="1">
      <c r="A6985" s="63" t="inlineStr"/>
      <c r="B6985" s="64" t="n"/>
      <c r="C6985" s="64" t="n"/>
      <c r="D6985" s="64" t="n"/>
      <c r="E6985" s="65" t="n"/>
    </row>
    <row r="6986" ht="12" customHeight="1">
      <c r="A6986" s="66" t="inlineStr"/>
    </row>
    <row r="6987" ht="20" customHeight="1">
      <c r="A6987" s="66" t="inlineStr"/>
    </row>
    <row r="6988" ht="30" customHeight="1">
      <c r="A6988" s="46" t="inlineStr">
        <is>
          <t>TC-RS-CALC-005 — Tỷ lệ 30% với M=100</t>
        </is>
      </c>
      <c r="B6988" s="23" t="n"/>
      <c r="C6988" s="23" t="n"/>
      <c r="D6988" s="23" t="n"/>
      <c r="E6988" s="23" t="n"/>
    </row>
    <row r="6989" ht="30" customHeight="1">
      <c r="A6989" s="47" t="inlineStr">
        <is>
          <t>Trạng thái</t>
        </is>
      </c>
      <c r="B6989" s="56">
        <f>IF(0&gt;0,"Không đạt",IF(0=2,"Đạt",IF(SUMPRODUCT(--EXACT('Testcases'!B7009:B7017,"Không thực hiện"))=2,"Không thực hiện",IF(SUMPRODUCT(--EXACT('Testcases'!B7009:B7017,"Bị chặn"))&gt;0,"Bị chặn",IF(SUMPRODUCT(--EXACT('Testcases'!B7009:B7017,"Chưa thực hiện"))=2,"Chưa thực hiện","Chưa đủ kết luận")))))</f>
        <v/>
      </c>
      <c r="C6989" s="57" t="n"/>
      <c r="D6989" s="57" t="n"/>
      <c r="E6989" s="57" t="n"/>
    </row>
    <row r="6990" ht="30" customHeight="1">
      <c r="A6990" s="47" t="inlineStr">
        <is>
          <t>Màn hình / chức năng</t>
        </is>
      </c>
      <c r="B6990" s="47" t="inlineStr">
        <is>
          <t>Thiết lập ngưỡng（基準設定）</t>
        </is>
      </c>
      <c r="C6990" s="57" t="n"/>
      <c r="D6990" s="47" t="inlineStr">
        <is>
          <t>Đường dẫn</t>
        </is>
      </c>
      <c r="E6990" s="56" t="inlineStr">
        <is>
          <t>Chưa xác minh</t>
        </is>
      </c>
    </row>
    <row r="6991" ht="30" customHeight="1">
      <c r="A6991" s="58" t="inlineStr">
        <is>
          <t>Điều kiện kiểm thử</t>
        </is>
      </c>
      <c r="B6991" s="59" t="n"/>
      <c r="C6991" s="59" t="n"/>
      <c r="D6991" s="59" t="n"/>
      <c r="E6991" s="59" t="n"/>
    </row>
    <row r="6992" ht="30" customHeight="1">
      <c r="A6992" s="47" t="inlineStr">
        <is>
          <t>Cấu hình</t>
        </is>
      </c>
      <c r="B6992" s="56" t="inlineStr">
        <is>
          <t>• Mục số nguyên (M=100) (M=100).</t>
        </is>
      </c>
      <c r="C6992" s="57" t="n"/>
      <c r="D6992" s="57" t="n"/>
      <c r="E6992" s="57" t="n"/>
    </row>
    <row r="6993" ht="61" customHeight="1">
      <c r="A6993" s="47" t="inlineStr">
        <is>
          <t>Vai trò / quyền</t>
        </is>
      </c>
      <c r="B699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6993" s="57" t="n"/>
      <c r="D6993" s="57" t="n"/>
      <c r="E6993" s="57" t="n"/>
    </row>
    <row r="6994" ht="61" customHeight="1">
      <c r="A6994" s="47" t="inlineStr">
        <is>
          <t>Dữ liệu test</t>
        </is>
      </c>
      <c r="B6994" s="56" t="inlineStr">
        <is>
          <t>• Mục số nguyên (M=100);
• Quy tắc tỷ lệ 30%;
• Học sinh S01 (điểm 29), học sinh S02 (điểm 30), học sinh S03 (điểm 31)</t>
        </is>
      </c>
      <c r="C6994" s="57" t="n"/>
      <c r="D6994" s="57" t="n"/>
      <c r="E6994" s="57" t="n"/>
    </row>
    <row r="6995" ht="30" customHeight="1">
      <c r="A6995" s="47" t="inlineStr">
        <is>
          <t>Trigger</t>
        </is>
      </c>
      <c r="B6995" s="56" t="inlineStr">
        <is>
          <t>• Chỉ xem/xuất không tự chạy xét.</t>
        </is>
      </c>
      <c r="C6995" s="57" t="n"/>
      <c r="D6995" s="57" t="n"/>
      <c r="E6995" s="57" t="n"/>
    </row>
    <row r="6996" ht="44" customHeight="1">
      <c r="A6996" s="47" t="inlineStr">
        <is>
          <t>Blocker</t>
        </is>
      </c>
      <c r="B6996" s="56" t="inlineStr">
        <is>
          <t>• G-PREP-UNASSESSED: Chưa có xác minh fixture, đường thực hiện và phép quan sát trên build của từng case chưa đánh giá.</t>
        </is>
      </c>
      <c r="C6996" s="57" t="n"/>
      <c r="D6996" s="57" t="n"/>
      <c r="E6996" s="57" t="n"/>
    </row>
    <row r="6997" ht="30" customHeight="1">
      <c r="A6997" s="58" t="inlineStr">
        <is>
          <t>Thao tác</t>
        </is>
      </c>
      <c r="B6997" s="59" t="n"/>
      <c r="C6997" s="59" t="n"/>
      <c r="D6997" s="59" t="n"/>
      <c r="E6997" s="59" t="n"/>
    </row>
    <row r="6998" ht="30" customHeight="1">
      <c r="A6998" s="47" t="inlineStr">
        <is>
          <t>•</t>
        </is>
      </c>
      <c r="B6998" s="56" t="inlineStr">
        <is>
          <t>Đăng ký 29, 30, 31; xét với [&lt;] rồi [≤].</t>
        </is>
      </c>
      <c r="C6998" s="57" t="n"/>
      <c r="D6998" s="57" t="n"/>
      <c r="E6998" s="57" t="n"/>
    </row>
    <row r="6999" ht="44" customHeight="1">
      <c r="A6999" s="47" t="inlineStr">
        <is>
          <t>Reset</t>
        </is>
      </c>
      <c r="B6999" s="56" t="inlineStr">
        <is>
          <t>Trước mỗi biến thể, dựng lại điều kiện/dữ liệu đầu của case bằng đường được phép; giữ các reset/fixture độc lập đã nêu trong thủ tục.</t>
        </is>
      </c>
      <c r="C6999" s="57" t="n"/>
      <c r="D6999" s="57" t="n"/>
      <c r="E6999" s="57" t="n"/>
    </row>
    <row r="7000" ht="30" customHeight="1">
      <c r="A7000" s="58" t="inlineStr">
        <is>
          <t>Kết quả mong đợi</t>
        </is>
      </c>
      <c r="B7000" s="59" t="n"/>
      <c r="C7000" s="59" t="n"/>
      <c r="D7000" s="59" t="n"/>
      <c r="E7000" s="59" t="n"/>
    </row>
    <row r="7001" ht="30" customHeight="1">
      <c r="A7001" s="47" t="inlineStr">
        <is>
          <t>•</t>
        </is>
      </c>
      <c r="B7001" s="56" t="inlineStr">
        <is>
          <t>[T=100×30/100=30].</t>
        </is>
      </c>
      <c r="C7001" s="57" t="n"/>
      <c r="D7001" s="57" t="n"/>
      <c r="E7001" s="57" t="n"/>
    </row>
    <row r="7002" ht="30" customHeight="1">
      <c r="A7002" s="47" t="inlineStr">
        <is>
          <t>•</t>
        </is>
      </c>
      <c r="B7002" s="56" t="inlineStr">
        <is>
          <t>[&lt;]: 29 Đỏ; 30 Không đỏ; 31 Không đỏ.</t>
        </is>
      </c>
      <c r="C7002" s="57" t="n"/>
      <c r="D7002" s="57" t="n"/>
      <c r="E7002" s="57" t="n"/>
    </row>
    <row r="7003" ht="30" customHeight="1">
      <c r="A7003" s="47" t="inlineStr">
        <is>
          <t>•</t>
        </is>
      </c>
      <c r="B7003" s="56" t="inlineStr">
        <is>
          <t>[≤]: 29 Đỏ; 30 Đỏ; 31 Không đỏ.</t>
        </is>
      </c>
      <c r="C7003" s="57" t="n"/>
      <c r="D7003" s="57" t="n"/>
      <c r="E7003" s="57" t="n"/>
    </row>
    <row r="7004" ht="44" customHeight="1">
      <c r="A7004" s="47" t="inlineStr">
        <is>
          <t>Giữ nguyên</t>
        </is>
      </c>
      <c r="B7004" s="56" t="inlineStr">
        <is>
          <t>• Giữ điểm, cấu hình và đối tượng không đích theo expected;
• Chỉ thay phần thủ tục yêu cầu, không tự đổi oracle hoặc mở rộng phạm vi.</t>
        </is>
      </c>
      <c r="C7004" s="57" t="n"/>
      <c r="D7004" s="57" t="n"/>
      <c r="E7004" s="57" t="n"/>
    </row>
    <row r="7005" ht="61" customHeight="1">
      <c r="A7005" s="47" t="inlineStr">
        <is>
          <t>Quan sát tại</t>
        </is>
      </c>
      <c r="B7005" s="56" t="inlineStr">
        <is>
          <t>• Dùng trích xuất không lọc để thấy cả ô đối chứng. Trạng thái không có dấu đỏ cần đọc thêm trạng thái lưu;
• Output Excel/PDF dùng file thật.</t>
        </is>
      </c>
      <c r="C7005" s="57" t="n"/>
      <c r="D7005" s="57" t="n"/>
      <c r="E7005" s="57" t="n"/>
    </row>
    <row r="7006" ht="30" customHeight="1">
      <c r="A7006" s="58" t="inlineStr">
        <is>
          <t>Kết quả thực tế</t>
        </is>
      </c>
      <c r="B7006" s="59" t="n"/>
      <c r="C7006" s="59" t="n"/>
      <c r="D7006" s="59" t="n"/>
      <c r="E7006" s="59" t="n"/>
    </row>
    <row r="7007" ht="30" customHeight="1">
      <c r="A7007" s="60" t="inlineStr">
        <is>
          <t>TC-RS-CALC-005 / lt</t>
        </is>
      </c>
      <c r="B7007" s="36" t="n"/>
      <c r="C7007" s="36" t="n"/>
      <c r="D7007" s="36" t="n"/>
      <c r="E7007" s="36" t="n"/>
    </row>
    <row r="7008" ht="30" customHeight="1">
      <c r="A7008" s="47" t="inlineStr">
        <is>
          <t>Dữ liệu biến thể</t>
        </is>
      </c>
      <c r="B7008" s="56" t="inlineStr">
        <is>
          <t>Dấu nhỏ hơn</t>
        </is>
      </c>
      <c r="C7008" s="57" t="n"/>
      <c r="D7008" s="57" t="n"/>
      <c r="E7008" s="57" t="n"/>
    </row>
    <row r="7009" ht="30" customHeight="1">
      <c r="A7009" s="47" t="inlineStr">
        <is>
          <t>Trạng thái</t>
        </is>
      </c>
      <c r="B7009" s="61" t="inlineStr">
        <is>
          <t>Chưa thực hiện</t>
        </is>
      </c>
      <c r="C7009" s="57" t="n"/>
      <c r="D7009" s="57" t="n"/>
      <c r="E7009" s="57" t="n"/>
    </row>
    <row r="7010" ht="30" customHeight="1">
      <c r="A7010" s="62" t="inlineStr">
        <is>
          <t>Kết quả thực tế</t>
        </is>
      </c>
    </row>
    <row r="7011" ht="64" customHeight="1">
      <c r="A7011" s="63" t="inlineStr"/>
      <c r="B7011" s="64" t="n"/>
      <c r="C7011" s="64" t="n"/>
      <c r="D7011" s="64" t="n"/>
      <c r="E7011" s="65" t="n"/>
    </row>
    <row r="7012" ht="30" customHeight="1">
      <c r="A7012" s="62" t="inlineStr">
        <is>
          <t>Ảnh minh chứng</t>
        </is>
      </c>
    </row>
    <row r="7013" ht="90" customHeight="1">
      <c r="A7013" s="63" t="inlineStr"/>
      <c r="B7013" s="64" t="n"/>
      <c r="C7013" s="64" t="n"/>
      <c r="D7013" s="64" t="n"/>
      <c r="E7013" s="65" t="n"/>
    </row>
    <row r="7014" ht="12" customHeight="1">
      <c r="A7014" s="66" t="inlineStr"/>
    </row>
    <row r="7015" ht="30" customHeight="1">
      <c r="A7015" s="60" t="inlineStr">
        <is>
          <t>TC-RS-CALC-005 / le</t>
        </is>
      </c>
      <c r="B7015" s="36" t="n"/>
      <c r="C7015" s="36" t="n"/>
      <c r="D7015" s="36" t="n"/>
      <c r="E7015" s="36" t="n"/>
    </row>
    <row r="7016" ht="30" customHeight="1">
      <c r="A7016" s="47" t="inlineStr">
        <is>
          <t>Dữ liệu biến thể</t>
        </is>
      </c>
      <c r="B7016" s="56" t="inlineStr">
        <is>
          <t>Dấu nhỏ hơn hoặc bằng</t>
        </is>
      </c>
      <c r="C7016" s="57" t="n"/>
      <c r="D7016" s="57" t="n"/>
      <c r="E7016" s="57" t="n"/>
    </row>
    <row r="7017" ht="30" customHeight="1">
      <c r="A7017" s="47" t="inlineStr">
        <is>
          <t>Trạng thái</t>
        </is>
      </c>
      <c r="B7017" s="61" t="inlineStr">
        <is>
          <t>Chưa thực hiện</t>
        </is>
      </c>
      <c r="C7017" s="57" t="n"/>
      <c r="D7017" s="57" t="n"/>
      <c r="E7017" s="57" t="n"/>
    </row>
    <row r="7018" ht="30" customHeight="1">
      <c r="A7018" s="62" t="inlineStr">
        <is>
          <t>Kết quả thực tế</t>
        </is>
      </c>
    </row>
    <row r="7019" ht="64" customHeight="1">
      <c r="A7019" s="63" t="inlineStr"/>
      <c r="B7019" s="64" t="n"/>
      <c r="C7019" s="64" t="n"/>
      <c r="D7019" s="64" t="n"/>
      <c r="E7019" s="65" t="n"/>
    </row>
    <row r="7020" ht="30" customHeight="1">
      <c r="A7020" s="62" t="inlineStr">
        <is>
          <t>Ảnh minh chứng</t>
        </is>
      </c>
    </row>
    <row r="7021" ht="90" customHeight="1">
      <c r="A7021" s="63" t="inlineStr"/>
      <c r="B7021" s="64" t="n"/>
      <c r="C7021" s="64" t="n"/>
      <c r="D7021" s="64" t="n"/>
      <c r="E7021" s="65" t="n"/>
    </row>
    <row r="7022" ht="12" customHeight="1">
      <c r="A7022" s="66" t="inlineStr"/>
    </row>
    <row r="7023" ht="20" customHeight="1">
      <c r="A7023" s="66" t="inlineStr"/>
    </row>
    <row r="7024" ht="30" customHeight="1">
      <c r="A7024" s="46" t="inlineStr">
        <is>
          <t>TC-RS-CALC-006 — Tỷ lệ cho ngưỡng lẻ: M=45, N=30 → T=13.5</t>
        </is>
      </c>
      <c r="B7024" s="23" t="n"/>
      <c r="C7024" s="23" t="n"/>
      <c r="D7024" s="23" t="n"/>
      <c r="E7024" s="23" t="n"/>
    </row>
    <row r="7025" ht="30" customHeight="1">
      <c r="A7025" s="47" t="inlineStr">
        <is>
          <t>Trạng thái</t>
        </is>
      </c>
      <c r="B7025" s="56">
        <f>IF(0&gt;0,"Không đạt",IF(0=2,"Đạt",IF(SUMPRODUCT(--EXACT('Testcases'!B7045:B7053,"Không thực hiện"))=2,"Không thực hiện",IF(SUMPRODUCT(--EXACT('Testcases'!B7045:B7053,"Bị chặn"))&gt;0,"Bị chặn",IF(SUMPRODUCT(--EXACT('Testcases'!B7045:B7053,"Chưa thực hiện"))=2,"Chưa thực hiện","Chưa đủ kết luận")))))</f>
        <v/>
      </c>
      <c r="C7025" s="57" t="n"/>
      <c r="D7025" s="57" t="n"/>
      <c r="E7025" s="57" t="n"/>
    </row>
    <row r="7026" ht="30" customHeight="1">
      <c r="A7026" s="47" t="inlineStr">
        <is>
          <t>Màn hình / chức năng</t>
        </is>
      </c>
      <c r="B7026" s="47" t="inlineStr">
        <is>
          <t>Thiết lập ngưỡng（基準設定）</t>
        </is>
      </c>
      <c r="C7026" s="57" t="n"/>
      <c r="D7026" s="47" t="inlineStr">
        <is>
          <t>Đường dẫn</t>
        </is>
      </c>
      <c r="E7026" s="56" t="inlineStr">
        <is>
          <t>Chưa xác minh</t>
        </is>
      </c>
    </row>
    <row r="7027" ht="30" customHeight="1">
      <c r="A7027" s="58" t="inlineStr">
        <is>
          <t>Điều kiện kiểm thử</t>
        </is>
      </c>
      <c r="B7027" s="59" t="n"/>
      <c r="C7027" s="59" t="n"/>
      <c r="D7027" s="59" t="n"/>
      <c r="E7027" s="59" t="n"/>
    </row>
    <row r="7028" ht="30" customHeight="1">
      <c r="A7028" s="47" t="inlineStr">
        <is>
          <t>Cấu hình</t>
        </is>
      </c>
      <c r="B7028" s="56" t="inlineStr">
        <is>
          <t>• Mục số thập phân (M=100) với Giá trị tối đa（最大値）= 45.</t>
        </is>
      </c>
      <c r="C7028" s="57" t="n"/>
      <c r="D7028" s="57" t="n"/>
      <c r="E7028" s="57" t="n"/>
    </row>
    <row r="7029" ht="61" customHeight="1">
      <c r="A7029" s="47" t="inlineStr">
        <is>
          <t>Vai trò / quyền</t>
        </is>
      </c>
      <c r="B702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029" s="57" t="n"/>
      <c r="D7029" s="57" t="n"/>
      <c r="E7029" s="57" t="n"/>
    </row>
    <row r="7030" ht="61" customHeight="1">
      <c r="A7030" s="47" t="inlineStr">
        <is>
          <t>Dữ liệu test</t>
        </is>
      </c>
      <c r="B7030" s="56" t="inlineStr">
        <is>
          <t>• Mục số thập phân (M=100);
• Quy tắc tỷ lệ 30% (không xử lý phần lẻ);
• S = 13, 13.5, 14</t>
        </is>
      </c>
      <c r="C7030" s="57" t="n"/>
      <c r="D7030" s="57" t="n"/>
      <c r="E7030" s="57" t="n"/>
    </row>
    <row r="7031" ht="30" customHeight="1">
      <c r="A7031" s="47" t="inlineStr">
        <is>
          <t>Trigger</t>
        </is>
      </c>
      <c r="B7031" s="56" t="inlineStr">
        <is>
          <t>• Chỉ xem/xuất không tự chạy xét.</t>
        </is>
      </c>
      <c r="C7031" s="57" t="n"/>
      <c r="D7031" s="57" t="n"/>
      <c r="E7031" s="57" t="n"/>
    </row>
    <row r="7032" ht="44" customHeight="1">
      <c r="A7032" s="47" t="inlineStr">
        <is>
          <t>Blocker</t>
        </is>
      </c>
      <c r="B7032" s="56" t="inlineStr">
        <is>
          <t>• G-PREP-UNASSESSED: Chưa có xác minh fixture, đường thực hiện và phép quan sát trên build của từng case chưa đánh giá.</t>
        </is>
      </c>
      <c r="C7032" s="57" t="n"/>
      <c r="D7032" s="57" t="n"/>
      <c r="E7032" s="57" t="n"/>
    </row>
    <row r="7033" ht="30" customHeight="1">
      <c r="A7033" s="58" t="inlineStr">
        <is>
          <t>Thao tác</t>
        </is>
      </c>
      <c r="B7033" s="59" t="n"/>
      <c r="C7033" s="59" t="n"/>
      <c r="D7033" s="59" t="n"/>
      <c r="E7033" s="59" t="n"/>
    </row>
    <row r="7034" ht="30" customHeight="1">
      <c r="A7034" s="47" t="inlineStr">
        <is>
          <t>•</t>
        </is>
      </c>
      <c r="B7034" s="56" t="inlineStr">
        <is>
          <t>Đăng ký ba điểm; xét với [&lt;] rồi [≤].</t>
        </is>
      </c>
      <c r="C7034" s="57" t="n"/>
      <c r="D7034" s="57" t="n"/>
      <c r="E7034" s="57" t="n"/>
    </row>
    <row r="7035" ht="44" customHeight="1">
      <c r="A7035" s="47" t="inlineStr">
        <is>
          <t>Reset</t>
        </is>
      </c>
      <c r="B7035" s="56" t="inlineStr">
        <is>
          <t>Trước mỗi biến thể, dựng lại điều kiện/dữ liệu đầu của case bằng đường được phép; giữ các reset/fixture độc lập đã nêu trong thủ tục.</t>
        </is>
      </c>
      <c r="C7035" s="57" t="n"/>
      <c r="D7035" s="57" t="n"/>
      <c r="E7035" s="57" t="n"/>
    </row>
    <row r="7036" ht="30" customHeight="1">
      <c r="A7036" s="58" t="inlineStr">
        <is>
          <t>Kết quả mong đợi</t>
        </is>
      </c>
      <c r="B7036" s="59" t="n"/>
      <c r="C7036" s="59" t="n"/>
      <c r="D7036" s="59" t="n"/>
      <c r="E7036" s="59" t="n"/>
    </row>
    <row r="7037" ht="30" customHeight="1">
      <c r="A7037" s="47" t="inlineStr">
        <is>
          <t>•</t>
        </is>
      </c>
      <c r="B7037" s="56" t="inlineStr">
        <is>
          <t>[T=45×30/100=13.5].</t>
        </is>
      </c>
      <c r="C7037" s="57" t="n"/>
      <c r="D7037" s="57" t="n"/>
      <c r="E7037" s="57" t="n"/>
    </row>
    <row r="7038" ht="30" customHeight="1">
      <c r="A7038" s="47" t="inlineStr">
        <is>
          <t>•</t>
        </is>
      </c>
      <c r="B7038" s="56" t="inlineStr">
        <is>
          <t>[&lt;]: 13 Đỏ; 13.5 Không đỏ; 14 Không đỏ.</t>
        </is>
      </c>
      <c r="C7038" s="57" t="n"/>
      <c r="D7038" s="57" t="n"/>
      <c r="E7038" s="57" t="n"/>
    </row>
    <row r="7039" ht="30" customHeight="1">
      <c r="A7039" s="47" t="inlineStr">
        <is>
          <t>•</t>
        </is>
      </c>
      <c r="B7039" s="56" t="inlineStr">
        <is>
          <t>[≤]: 13 Đỏ; 13.5 Đỏ; 14 Không đỏ.</t>
        </is>
      </c>
      <c r="C7039" s="57" t="n"/>
      <c r="D7039" s="57" t="n"/>
      <c r="E7039" s="57" t="n"/>
    </row>
    <row r="7040" ht="44" customHeight="1">
      <c r="A7040" s="47" t="inlineStr">
        <is>
          <t>Giữ nguyên</t>
        </is>
      </c>
      <c r="B7040" s="56" t="inlineStr">
        <is>
          <t>• Giữ điểm, cấu hình và đối tượng không đích theo expected;
• Chỉ thay phần thủ tục yêu cầu, không tự đổi oracle hoặc mở rộng phạm vi.</t>
        </is>
      </c>
      <c r="C7040" s="57" t="n"/>
      <c r="D7040" s="57" t="n"/>
      <c r="E7040" s="57" t="n"/>
    </row>
    <row r="7041" ht="61" customHeight="1">
      <c r="A7041" s="47" t="inlineStr">
        <is>
          <t>Quan sát tại</t>
        </is>
      </c>
      <c r="B7041" s="56" t="inlineStr">
        <is>
          <t>• Dùng trích xuất không lọc để thấy cả ô đối chứng. Trạng thái không có dấu đỏ cần đọc thêm trạng thái lưu;
• Output Excel/PDF dùng file thật.</t>
        </is>
      </c>
      <c r="C7041" s="57" t="n"/>
      <c r="D7041" s="57" t="n"/>
      <c r="E7041" s="57" t="n"/>
    </row>
    <row r="7042" ht="30" customHeight="1">
      <c r="A7042" s="58" t="inlineStr">
        <is>
          <t>Kết quả thực tế</t>
        </is>
      </c>
      <c r="B7042" s="59" t="n"/>
      <c r="C7042" s="59" t="n"/>
      <c r="D7042" s="59" t="n"/>
      <c r="E7042" s="59" t="n"/>
    </row>
    <row r="7043" ht="30" customHeight="1">
      <c r="A7043" s="60" t="inlineStr">
        <is>
          <t>TC-RS-CALC-006 / lt</t>
        </is>
      </c>
      <c r="B7043" s="36" t="n"/>
      <c r="C7043" s="36" t="n"/>
      <c r="D7043" s="36" t="n"/>
      <c r="E7043" s="36" t="n"/>
    </row>
    <row r="7044" ht="30" customHeight="1">
      <c r="A7044" s="47" t="inlineStr">
        <is>
          <t>Dữ liệu biến thể</t>
        </is>
      </c>
      <c r="B7044" s="56" t="inlineStr">
        <is>
          <t>Dấu nhỏ hơn</t>
        </is>
      </c>
      <c r="C7044" s="57" t="n"/>
      <c r="D7044" s="57" t="n"/>
      <c r="E7044" s="57" t="n"/>
    </row>
    <row r="7045" ht="30" customHeight="1">
      <c r="A7045" s="47" t="inlineStr">
        <is>
          <t>Trạng thái</t>
        </is>
      </c>
      <c r="B7045" s="61" t="inlineStr">
        <is>
          <t>Chưa thực hiện</t>
        </is>
      </c>
      <c r="C7045" s="57" t="n"/>
      <c r="D7045" s="57" t="n"/>
      <c r="E7045" s="57" t="n"/>
    </row>
    <row r="7046" ht="30" customHeight="1">
      <c r="A7046" s="62" t="inlineStr">
        <is>
          <t>Kết quả thực tế</t>
        </is>
      </c>
    </row>
    <row r="7047" ht="64" customHeight="1">
      <c r="A7047" s="63" t="inlineStr"/>
      <c r="B7047" s="64" t="n"/>
      <c r="C7047" s="64" t="n"/>
      <c r="D7047" s="64" t="n"/>
      <c r="E7047" s="65" t="n"/>
    </row>
    <row r="7048" ht="30" customHeight="1">
      <c r="A7048" s="62" t="inlineStr">
        <is>
          <t>Ảnh minh chứng</t>
        </is>
      </c>
    </row>
    <row r="7049" ht="90" customHeight="1">
      <c r="A7049" s="63" t="inlineStr"/>
      <c r="B7049" s="64" t="n"/>
      <c r="C7049" s="64" t="n"/>
      <c r="D7049" s="64" t="n"/>
      <c r="E7049" s="65" t="n"/>
    </row>
    <row r="7050" ht="12" customHeight="1">
      <c r="A7050" s="66" t="inlineStr"/>
    </row>
    <row r="7051" ht="30" customHeight="1">
      <c r="A7051" s="60" t="inlineStr">
        <is>
          <t>TC-RS-CALC-006 / le</t>
        </is>
      </c>
      <c r="B7051" s="36" t="n"/>
      <c r="C7051" s="36" t="n"/>
      <c r="D7051" s="36" t="n"/>
      <c r="E7051" s="36" t="n"/>
    </row>
    <row r="7052" ht="30" customHeight="1">
      <c r="A7052" s="47" t="inlineStr">
        <is>
          <t>Dữ liệu biến thể</t>
        </is>
      </c>
      <c r="B7052" s="56" t="inlineStr">
        <is>
          <t>Dấu nhỏ hơn hoặc bằng</t>
        </is>
      </c>
      <c r="C7052" s="57" t="n"/>
      <c r="D7052" s="57" t="n"/>
      <c r="E7052" s="57" t="n"/>
    </row>
    <row r="7053" ht="30" customHeight="1">
      <c r="A7053" s="47" t="inlineStr">
        <is>
          <t>Trạng thái</t>
        </is>
      </c>
      <c r="B7053" s="61" t="inlineStr">
        <is>
          <t>Chưa thực hiện</t>
        </is>
      </c>
      <c r="C7053" s="57" t="n"/>
      <c r="D7053" s="57" t="n"/>
      <c r="E7053" s="57" t="n"/>
    </row>
    <row r="7054" ht="30" customHeight="1">
      <c r="A7054" s="62" t="inlineStr">
        <is>
          <t>Kết quả thực tế</t>
        </is>
      </c>
    </row>
    <row r="7055" ht="64" customHeight="1">
      <c r="A7055" s="63" t="inlineStr"/>
      <c r="B7055" s="64" t="n"/>
      <c r="C7055" s="64" t="n"/>
      <c r="D7055" s="64" t="n"/>
      <c r="E7055" s="65" t="n"/>
    </row>
    <row r="7056" ht="30" customHeight="1">
      <c r="A7056" s="62" t="inlineStr">
        <is>
          <t>Ảnh minh chứng</t>
        </is>
      </c>
    </row>
    <row r="7057" ht="90" customHeight="1">
      <c r="A7057" s="63" t="inlineStr"/>
      <c r="B7057" s="64" t="n"/>
      <c r="C7057" s="64" t="n"/>
      <c r="D7057" s="64" t="n"/>
      <c r="E7057" s="65" t="n"/>
    </row>
    <row r="7058" ht="12" customHeight="1">
      <c r="A7058" s="66" t="inlineStr"/>
    </row>
    <row r="7059" ht="20" customHeight="1">
      <c r="A7059" s="66" t="inlineStr"/>
    </row>
    <row r="7060" ht="30" customHeight="1">
      <c r="A7060" s="46" t="inlineStr">
        <is>
          <t>TC-RS-CALC-007 — Tỷ lệ có xử lý phần lẻ: xuống / gần nhất / lên tại p1</t>
        </is>
      </c>
      <c r="B7060" s="23" t="n"/>
      <c r="C7060" s="23" t="n"/>
      <c r="D7060" s="23" t="n"/>
      <c r="E7060" s="23" t="n"/>
    </row>
    <row r="7061" ht="30" customHeight="1">
      <c r="A7061" s="47" t="inlineStr">
        <is>
          <t>Trạng thái</t>
        </is>
      </c>
      <c r="B7061" s="56">
        <f>IF(0&gt;0,"Không đạt",IF(0=8,"Đạt",IF(SUMPRODUCT(--EXACT('Testcases'!B7080:B7136,"Không thực hiện"))=8,"Không thực hiện",IF(SUMPRODUCT(--EXACT('Testcases'!B7080:B7136,"Bị chặn"))&gt;0,"Bị chặn",IF(SUMPRODUCT(--EXACT('Testcases'!B7080:B7136,"Chưa thực hiện"))=8,"Chưa thực hiện","Chưa đủ kết luận")))))</f>
        <v/>
      </c>
      <c r="C7061" s="57" t="n"/>
      <c r="D7061" s="57" t="n"/>
      <c r="E7061" s="57" t="n"/>
    </row>
    <row r="7062" ht="30" customHeight="1">
      <c r="A7062" s="47" t="inlineStr">
        <is>
          <t>Màn hình / chức năng</t>
        </is>
      </c>
      <c r="B7062" s="47" t="inlineStr">
        <is>
          <t>Thiết lập ngưỡng（基準設定）</t>
        </is>
      </c>
      <c r="C7062" s="57" t="n"/>
      <c r="D7062" s="47" t="inlineStr">
        <is>
          <t>Đường dẫn</t>
        </is>
      </c>
      <c r="E7062" s="56" t="inlineStr">
        <is>
          <t>Chưa xác minh</t>
        </is>
      </c>
    </row>
    <row r="7063" ht="30" customHeight="1">
      <c r="A7063" s="58" t="inlineStr">
        <is>
          <t>Điều kiện kiểm thử</t>
        </is>
      </c>
      <c r="B7063" s="59" t="n"/>
      <c r="C7063" s="59" t="n"/>
      <c r="D7063" s="59" t="n"/>
      <c r="E7063" s="59" t="n"/>
    </row>
    <row r="7064" ht="44" customHeight="1">
      <c r="A7064" s="47" t="inlineStr">
        <is>
          <t>Cấu hình</t>
        </is>
      </c>
      <c r="B7064" s="56" t="inlineStr">
        <is>
          <t>• Mục số thập phân (M=100);
• Tỷ lệ 30%, dấu [&lt;].</t>
        </is>
      </c>
      <c r="C7064" s="57" t="n"/>
      <c r="D7064" s="57" t="n"/>
      <c r="E7064" s="57" t="n"/>
    </row>
    <row r="7065" ht="61" customHeight="1">
      <c r="A7065" s="47" t="inlineStr">
        <is>
          <t>Vai trò / quyền</t>
        </is>
      </c>
      <c r="B706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065" s="57" t="n"/>
      <c r="D7065" s="57" t="n"/>
      <c r="E7065" s="57" t="n"/>
    </row>
    <row r="7066" ht="61" customHeight="1">
      <c r="A7066" s="47" t="inlineStr">
        <is>
          <t>Dữ liệu test</t>
        </is>
      </c>
      <c r="B7066" s="56" t="inlineStr">
        <is>
          <t>• Mục số thập phân (M=100);
• (A) M=45 → [T_thô=13.5], S=13;
• (B) M=47 → [T_thô=14.1], S=14</t>
        </is>
      </c>
      <c r="C7066" s="57" t="n"/>
      <c r="D7066" s="57" t="n"/>
      <c r="E7066" s="57" t="n"/>
    </row>
    <row r="7067" ht="30" customHeight="1">
      <c r="A7067" s="47" t="inlineStr">
        <is>
          <t>Trigger</t>
        </is>
      </c>
      <c r="B7067" s="56" t="inlineStr">
        <is>
          <t>• Chỉ xem/xuất không tự chạy xét.</t>
        </is>
      </c>
      <c r="C7067" s="57" t="n"/>
      <c r="D7067" s="57" t="n"/>
      <c r="E7067" s="57" t="n"/>
    </row>
    <row r="7068" ht="44" customHeight="1">
      <c r="A7068" s="47" t="inlineStr">
        <is>
          <t>Blocker</t>
        </is>
      </c>
      <c r="B7068" s="56" t="inlineStr">
        <is>
          <t>• G-PREP-UNASSESSED: Chưa có xác minh fixture, đường thực hiện và phép quan sát trên build của từng case chưa đánh giá.</t>
        </is>
      </c>
      <c r="C7068" s="57" t="n"/>
      <c r="D7068" s="57" t="n"/>
      <c r="E7068" s="57" t="n"/>
    </row>
    <row r="7069" ht="30" customHeight="1">
      <c r="A7069" s="58" t="inlineStr">
        <is>
          <t>Thao tác</t>
        </is>
      </c>
      <c r="B7069" s="59" t="n"/>
      <c r="C7069" s="59" t="n"/>
      <c r="D7069" s="59" t="n"/>
      <c r="E7069" s="59" t="n"/>
    </row>
    <row r="7070" ht="30" customHeight="1">
      <c r="A7070" s="47" t="inlineStr">
        <is>
          <t>•</t>
        </is>
      </c>
      <c r="B7070" s="56" t="inlineStr">
        <is>
          <t>Với (a) và (b): xét với Không xử lý（しない）, xuống p1, gần nhất p1, lên p1.</t>
        </is>
      </c>
      <c r="C7070" s="57" t="n"/>
      <c r="D7070" s="57" t="n"/>
      <c r="E7070" s="57" t="n"/>
    </row>
    <row r="7071" ht="44" customHeight="1">
      <c r="A7071" s="47" t="inlineStr">
        <is>
          <t>Reset</t>
        </is>
      </c>
      <c r="B7071" s="56" t="inlineStr">
        <is>
          <t>Trước mỗi biến thể, dựng lại điều kiện/dữ liệu đầu của case bằng đường được phép; giữ các reset/fixture độc lập đã nêu trong thủ tục.</t>
        </is>
      </c>
      <c r="C7071" s="57" t="n"/>
      <c r="D7071" s="57" t="n"/>
      <c r="E7071" s="57" t="n"/>
    </row>
    <row r="7072" ht="30" customHeight="1">
      <c r="A7072" s="58" t="inlineStr">
        <is>
          <t>Kết quả mong đợi</t>
        </is>
      </c>
      <c r="B7072" s="59" t="n"/>
      <c r="C7072" s="59" t="n"/>
      <c r="D7072" s="59" t="n"/>
      <c r="E7072" s="59" t="n"/>
    </row>
    <row r="7073" ht="30" customHeight="1">
      <c r="A7073" s="47" t="inlineStr">
        <is>
          <t>•</t>
        </is>
      </c>
      <c r="B7073" s="56" t="inlineStr">
        <is>
          <t>(A) Không xử lý [T=13.5] → Đỏ; xuống [T=13] → Không đỏ; gần nhất [T=14] → Đỏ; lên [T=14] → Đỏ.</t>
        </is>
      </c>
      <c r="C7073" s="57" t="n"/>
      <c r="D7073" s="57" t="n"/>
      <c r="E7073" s="57" t="n"/>
    </row>
    <row r="7074" ht="30" customHeight="1">
      <c r="A7074" s="47" t="inlineStr">
        <is>
          <t>•</t>
        </is>
      </c>
      <c r="B7074" s="56" t="inlineStr">
        <is>
          <t>(B) Không xử lý [T=14.1] → Đỏ; xuống [T=14] → Không đỏ; gần nhất [T=14] → Không đỏ; lên [T=15] → Đỏ.</t>
        </is>
      </c>
      <c r="C7074" s="57" t="n"/>
      <c r="D7074" s="57" t="n"/>
      <c r="E7074" s="57" t="n"/>
    </row>
    <row r="7075" ht="44" customHeight="1">
      <c r="A7075" s="47" t="inlineStr">
        <is>
          <t>Giữ nguyên</t>
        </is>
      </c>
      <c r="B7075" s="56" t="inlineStr">
        <is>
          <t>• Giữ điểm, cấu hình và đối tượng không đích theo expected;
• Chỉ thay phần thủ tục yêu cầu, không tự đổi oracle hoặc mở rộng phạm vi.</t>
        </is>
      </c>
      <c r="C7075" s="57" t="n"/>
      <c r="D7075" s="57" t="n"/>
      <c r="E7075" s="57" t="n"/>
    </row>
    <row r="7076" ht="61" customHeight="1">
      <c r="A7076" s="47" t="inlineStr">
        <is>
          <t>Quan sát tại</t>
        </is>
      </c>
      <c r="B7076" s="56" t="inlineStr">
        <is>
          <t>• Dùng trích xuất không lọc để thấy cả ô đối chứng. Trạng thái không có dấu đỏ cần đọc thêm trạng thái lưu;
• Output Excel/PDF dùng file thật.</t>
        </is>
      </c>
      <c r="C7076" s="57" t="n"/>
      <c r="D7076" s="57" t="n"/>
      <c r="E7076" s="57" t="n"/>
    </row>
    <row r="7077" ht="30" customHeight="1">
      <c r="A7077" s="58" t="inlineStr">
        <is>
          <t>Kết quả thực tế</t>
        </is>
      </c>
      <c r="B7077" s="59" t="n"/>
      <c r="C7077" s="59" t="n"/>
      <c r="D7077" s="59" t="n"/>
      <c r="E7077" s="59" t="n"/>
    </row>
    <row r="7078" ht="30" customHeight="1">
      <c r="A7078" s="60" t="inlineStr">
        <is>
          <t>TC-RS-CALC-007 / m45-none</t>
        </is>
      </c>
      <c r="B7078" s="36" t="n"/>
      <c r="C7078" s="36" t="n"/>
      <c r="D7078" s="36" t="n"/>
      <c r="E7078" s="36" t="n"/>
    </row>
    <row r="7079" ht="30" customHeight="1">
      <c r="A7079" s="47" t="inlineStr">
        <is>
          <t>Dữ liệu biến thể</t>
        </is>
      </c>
      <c r="B7079" s="56" t="inlineStr">
        <is>
          <t>M45 không làm tròn</t>
        </is>
      </c>
      <c r="C7079" s="57" t="n"/>
      <c r="D7079" s="57" t="n"/>
      <c r="E7079" s="57" t="n"/>
    </row>
    <row r="7080" ht="30" customHeight="1">
      <c r="A7080" s="47" t="inlineStr">
        <is>
          <t>Trạng thái</t>
        </is>
      </c>
      <c r="B7080" s="61" t="inlineStr">
        <is>
          <t>Chưa thực hiện</t>
        </is>
      </c>
      <c r="C7080" s="57" t="n"/>
      <c r="D7080" s="57" t="n"/>
      <c r="E7080" s="57" t="n"/>
    </row>
    <row r="7081" ht="30" customHeight="1">
      <c r="A7081" s="62" t="inlineStr">
        <is>
          <t>Kết quả thực tế</t>
        </is>
      </c>
    </row>
    <row r="7082" ht="64" customHeight="1">
      <c r="A7082" s="63" t="inlineStr"/>
      <c r="B7082" s="64" t="n"/>
      <c r="C7082" s="64" t="n"/>
      <c r="D7082" s="64" t="n"/>
      <c r="E7082" s="65" t="n"/>
    </row>
    <row r="7083" ht="30" customHeight="1">
      <c r="A7083" s="62" t="inlineStr">
        <is>
          <t>Ảnh minh chứng</t>
        </is>
      </c>
    </row>
    <row r="7084" ht="90" customHeight="1">
      <c r="A7084" s="63" t="inlineStr"/>
      <c r="B7084" s="64" t="n"/>
      <c r="C7084" s="64" t="n"/>
      <c r="D7084" s="64" t="n"/>
      <c r="E7084" s="65" t="n"/>
    </row>
    <row r="7085" ht="12" customHeight="1">
      <c r="A7085" s="66" t="inlineStr"/>
    </row>
    <row r="7086" ht="30" customHeight="1">
      <c r="A7086" s="60" t="inlineStr">
        <is>
          <t>TC-RS-CALC-007 / m45-down</t>
        </is>
      </c>
      <c r="B7086" s="36" t="n"/>
      <c r="C7086" s="36" t="n"/>
      <c r="D7086" s="36" t="n"/>
      <c r="E7086" s="36" t="n"/>
    </row>
    <row r="7087" ht="30" customHeight="1">
      <c r="A7087" s="47" t="inlineStr">
        <is>
          <t>Dữ liệu biến thể</t>
        </is>
      </c>
      <c r="B7087" s="56" t="inlineStr">
        <is>
          <t>M45 cắt xuống</t>
        </is>
      </c>
      <c r="C7087" s="57" t="n"/>
      <c r="D7087" s="57" t="n"/>
      <c r="E7087" s="57" t="n"/>
    </row>
    <row r="7088" ht="30" customHeight="1">
      <c r="A7088" s="47" t="inlineStr">
        <is>
          <t>Trạng thái</t>
        </is>
      </c>
      <c r="B7088" s="61" t="inlineStr">
        <is>
          <t>Chưa thực hiện</t>
        </is>
      </c>
      <c r="C7088" s="57" t="n"/>
      <c r="D7088" s="57" t="n"/>
      <c r="E7088" s="57" t="n"/>
    </row>
    <row r="7089" ht="30" customHeight="1">
      <c r="A7089" s="62" t="inlineStr">
        <is>
          <t>Kết quả thực tế</t>
        </is>
      </c>
    </row>
    <row r="7090" ht="64" customHeight="1">
      <c r="A7090" s="63" t="inlineStr"/>
      <c r="B7090" s="64" t="n"/>
      <c r="C7090" s="64" t="n"/>
      <c r="D7090" s="64" t="n"/>
      <c r="E7090" s="65" t="n"/>
    </row>
    <row r="7091" ht="30" customHeight="1">
      <c r="A7091" s="62" t="inlineStr">
        <is>
          <t>Ảnh minh chứng</t>
        </is>
      </c>
    </row>
    <row r="7092" ht="90" customHeight="1">
      <c r="A7092" s="63" t="inlineStr"/>
      <c r="B7092" s="64" t="n"/>
      <c r="C7092" s="64" t="n"/>
      <c r="D7092" s="64" t="n"/>
      <c r="E7092" s="65" t="n"/>
    </row>
    <row r="7093" ht="12" customHeight="1">
      <c r="A7093" s="66" t="inlineStr"/>
    </row>
    <row r="7094" ht="30" customHeight="1">
      <c r="A7094" s="60" t="inlineStr">
        <is>
          <t>TC-RS-CALC-007 / m45-nearest</t>
        </is>
      </c>
      <c r="B7094" s="36" t="n"/>
      <c r="C7094" s="36" t="n"/>
      <c r="D7094" s="36" t="n"/>
      <c r="E7094" s="36" t="n"/>
    </row>
    <row r="7095" ht="30" customHeight="1">
      <c r="A7095" s="47" t="inlineStr">
        <is>
          <t>Dữ liệu biến thể</t>
        </is>
      </c>
      <c r="B7095" s="56" t="inlineStr">
        <is>
          <t>M45 làm tròn gần nhất</t>
        </is>
      </c>
      <c r="C7095" s="57" t="n"/>
      <c r="D7095" s="57" t="n"/>
      <c r="E7095" s="57" t="n"/>
    </row>
    <row r="7096" ht="30" customHeight="1">
      <c r="A7096" s="47" t="inlineStr">
        <is>
          <t>Trạng thái</t>
        </is>
      </c>
      <c r="B7096" s="61" t="inlineStr">
        <is>
          <t>Chưa thực hiện</t>
        </is>
      </c>
      <c r="C7096" s="57" t="n"/>
      <c r="D7096" s="57" t="n"/>
      <c r="E7096" s="57" t="n"/>
    </row>
    <row r="7097" ht="30" customHeight="1">
      <c r="A7097" s="62" t="inlineStr">
        <is>
          <t>Kết quả thực tế</t>
        </is>
      </c>
    </row>
    <row r="7098" ht="64" customHeight="1">
      <c r="A7098" s="63" t="inlineStr"/>
      <c r="B7098" s="64" t="n"/>
      <c r="C7098" s="64" t="n"/>
      <c r="D7098" s="64" t="n"/>
      <c r="E7098" s="65" t="n"/>
    </row>
    <row r="7099" ht="30" customHeight="1">
      <c r="A7099" s="62" t="inlineStr">
        <is>
          <t>Ảnh minh chứng</t>
        </is>
      </c>
    </row>
    <row r="7100" ht="90" customHeight="1">
      <c r="A7100" s="63" t="inlineStr"/>
      <c r="B7100" s="64" t="n"/>
      <c r="C7100" s="64" t="n"/>
      <c r="D7100" s="64" t="n"/>
      <c r="E7100" s="65" t="n"/>
    </row>
    <row r="7101" ht="12" customHeight="1">
      <c r="A7101" s="66" t="inlineStr"/>
    </row>
    <row r="7102" ht="30" customHeight="1">
      <c r="A7102" s="60" t="inlineStr">
        <is>
          <t>TC-RS-CALC-007 / m45-up</t>
        </is>
      </c>
      <c r="B7102" s="36" t="n"/>
      <c r="C7102" s="36" t="n"/>
      <c r="D7102" s="36" t="n"/>
      <c r="E7102" s="36" t="n"/>
    </row>
    <row r="7103" ht="30" customHeight="1">
      <c r="A7103" s="47" t="inlineStr">
        <is>
          <t>Dữ liệu biến thể</t>
        </is>
      </c>
      <c r="B7103" s="56" t="inlineStr">
        <is>
          <t>M45 làm tròn lên</t>
        </is>
      </c>
      <c r="C7103" s="57" t="n"/>
      <c r="D7103" s="57" t="n"/>
      <c r="E7103" s="57" t="n"/>
    </row>
    <row r="7104" ht="30" customHeight="1">
      <c r="A7104" s="47" t="inlineStr">
        <is>
          <t>Trạng thái</t>
        </is>
      </c>
      <c r="B7104" s="61" t="inlineStr">
        <is>
          <t>Chưa thực hiện</t>
        </is>
      </c>
      <c r="C7104" s="57" t="n"/>
      <c r="D7104" s="57" t="n"/>
      <c r="E7104" s="57" t="n"/>
    </row>
    <row r="7105" ht="30" customHeight="1">
      <c r="A7105" s="62" t="inlineStr">
        <is>
          <t>Kết quả thực tế</t>
        </is>
      </c>
    </row>
    <row r="7106" ht="64" customHeight="1">
      <c r="A7106" s="63" t="inlineStr"/>
      <c r="B7106" s="64" t="n"/>
      <c r="C7106" s="64" t="n"/>
      <c r="D7106" s="64" t="n"/>
      <c r="E7106" s="65" t="n"/>
    </row>
    <row r="7107" ht="30" customHeight="1">
      <c r="A7107" s="62" t="inlineStr">
        <is>
          <t>Ảnh minh chứng</t>
        </is>
      </c>
    </row>
    <row r="7108" ht="90" customHeight="1">
      <c r="A7108" s="63" t="inlineStr"/>
      <c r="B7108" s="64" t="n"/>
      <c r="C7108" s="64" t="n"/>
      <c r="D7108" s="64" t="n"/>
      <c r="E7108" s="65" t="n"/>
    </row>
    <row r="7109" ht="12" customHeight="1">
      <c r="A7109" s="66" t="inlineStr"/>
    </row>
    <row r="7110" ht="30" customHeight="1">
      <c r="A7110" s="60" t="inlineStr">
        <is>
          <t>TC-RS-CALC-007 / m47-none</t>
        </is>
      </c>
      <c r="B7110" s="36" t="n"/>
      <c r="C7110" s="36" t="n"/>
      <c r="D7110" s="36" t="n"/>
      <c r="E7110" s="36" t="n"/>
    </row>
    <row r="7111" ht="30" customHeight="1">
      <c r="A7111" s="47" t="inlineStr">
        <is>
          <t>Dữ liệu biến thể</t>
        </is>
      </c>
      <c r="B7111" s="56" t="inlineStr">
        <is>
          <t>M47 không làm tròn</t>
        </is>
      </c>
      <c r="C7111" s="57" t="n"/>
      <c r="D7111" s="57" t="n"/>
      <c r="E7111" s="57" t="n"/>
    </row>
    <row r="7112" ht="30" customHeight="1">
      <c r="A7112" s="47" t="inlineStr">
        <is>
          <t>Trạng thái</t>
        </is>
      </c>
      <c r="B7112" s="61" t="inlineStr">
        <is>
          <t>Chưa thực hiện</t>
        </is>
      </c>
      <c r="C7112" s="57" t="n"/>
      <c r="D7112" s="57" t="n"/>
      <c r="E7112" s="57" t="n"/>
    </row>
    <row r="7113" ht="30" customHeight="1">
      <c r="A7113" s="62" t="inlineStr">
        <is>
          <t>Kết quả thực tế</t>
        </is>
      </c>
    </row>
    <row r="7114" ht="64" customHeight="1">
      <c r="A7114" s="63" t="inlineStr"/>
      <c r="B7114" s="64" t="n"/>
      <c r="C7114" s="64" t="n"/>
      <c r="D7114" s="64" t="n"/>
      <c r="E7114" s="65" t="n"/>
    </row>
    <row r="7115" ht="30" customHeight="1">
      <c r="A7115" s="62" t="inlineStr">
        <is>
          <t>Ảnh minh chứng</t>
        </is>
      </c>
    </row>
    <row r="7116" ht="90" customHeight="1">
      <c r="A7116" s="63" t="inlineStr"/>
      <c r="B7116" s="64" t="n"/>
      <c r="C7116" s="64" t="n"/>
      <c r="D7116" s="64" t="n"/>
      <c r="E7116" s="65" t="n"/>
    </row>
    <row r="7117" ht="12" customHeight="1">
      <c r="A7117" s="66" t="inlineStr"/>
    </row>
    <row r="7118" ht="30" customHeight="1">
      <c r="A7118" s="60" t="inlineStr">
        <is>
          <t>TC-RS-CALC-007 / m47-down</t>
        </is>
      </c>
      <c r="B7118" s="36" t="n"/>
      <c r="C7118" s="36" t="n"/>
      <c r="D7118" s="36" t="n"/>
      <c r="E7118" s="36" t="n"/>
    </row>
    <row r="7119" ht="30" customHeight="1">
      <c r="A7119" s="47" t="inlineStr">
        <is>
          <t>Dữ liệu biến thể</t>
        </is>
      </c>
      <c r="B7119" s="56" t="inlineStr">
        <is>
          <t>M47 cắt xuống</t>
        </is>
      </c>
      <c r="C7119" s="57" t="n"/>
      <c r="D7119" s="57" t="n"/>
      <c r="E7119" s="57" t="n"/>
    </row>
    <row r="7120" ht="30" customHeight="1">
      <c r="A7120" s="47" t="inlineStr">
        <is>
          <t>Trạng thái</t>
        </is>
      </c>
      <c r="B7120" s="61" t="inlineStr">
        <is>
          <t>Chưa thực hiện</t>
        </is>
      </c>
      <c r="C7120" s="57" t="n"/>
      <c r="D7120" s="57" t="n"/>
      <c r="E7120" s="57" t="n"/>
    </row>
    <row r="7121" ht="30" customHeight="1">
      <c r="A7121" s="62" t="inlineStr">
        <is>
          <t>Kết quả thực tế</t>
        </is>
      </c>
    </row>
    <row r="7122" ht="64" customHeight="1">
      <c r="A7122" s="63" t="inlineStr"/>
      <c r="B7122" s="64" t="n"/>
      <c r="C7122" s="64" t="n"/>
      <c r="D7122" s="64" t="n"/>
      <c r="E7122" s="65" t="n"/>
    </row>
    <row r="7123" ht="30" customHeight="1">
      <c r="A7123" s="62" t="inlineStr">
        <is>
          <t>Ảnh minh chứng</t>
        </is>
      </c>
    </row>
    <row r="7124" ht="90" customHeight="1">
      <c r="A7124" s="63" t="inlineStr"/>
      <c r="B7124" s="64" t="n"/>
      <c r="C7124" s="64" t="n"/>
      <c r="D7124" s="64" t="n"/>
      <c r="E7124" s="65" t="n"/>
    </row>
    <row r="7125" ht="12" customHeight="1">
      <c r="A7125" s="66" t="inlineStr"/>
    </row>
    <row r="7126" ht="30" customHeight="1">
      <c r="A7126" s="60" t="inlineStr">
        <is>
          <t>TC-RS-CALC-007 / m47-nearest</t>
        </is>
      </c>
      <c r="B7126" s="36" t="n"/>
      <c r="C7126" s="36" t="n"/>
      <c r="D7126" s="36" t="n"/>
      <c r="E7126" s="36" t="n"/>
    </row>
    <row r="7127" ht="30" customHeight="1">
      <c r="A7127" s="47" t="inlineStr">
        <is>
          <t>Dữ liệu biến thể</t>
        </is>
      </c>
      <c r="B7127" s="56" t="inlineStr">
        <is>
          <t>M47 làm tròn gần nhất</t>
        </is>
      </c>
      <c r="C7127" s="57" t="n"/>
      <c r="D7127" s="57" t="n"/>
      <c r="E7127" s="57" t="n"/>
    </row>
    <row r="7128" ht="30" customHeight="1">
      <c r="A7128" s="47" t="inlineStr">
        <is>
          <t>Trạng thái</t>
        </is>
      </c>
      <c r="B7128" s="61" t="inlineStr">
        <is>
          <t>Chưa thực hiện</t>
        </is>
      </c>
      <c r="C7128" s="57" t="n"/>
      <c r="D7128" s="57" t="n"/>
      <c r="E7128" s="57" t="n"/>
    </row>
    <row r="7129" ht="30" customHeight="1">
      <c r="A7129" s="62" t="inlineStr">
        <is>
          <t>Kết quả thực tế</t>
        </is>
      </c>
    </row>
    <row r="7130" ht="64" customHeight="1">
      <c r="A7130" s="63" t="inlineStr"/>
      <c r="B7130" s="64" t="n"/>
      <c r="C7130" s="64" t="n"/>
      <c r="D7130" s="64" t="n"/>
      <c r="E7130" s="65" t="n"/>
    </row>
    <row r="7131" ht="30" customHeight="1">
      <c r="A7131" s="62" t="inlineStr">
        <is>
          <t>Ảnh minh chứng</t>
        </is>
      </c>
    </row>
    <row r="7132" ht="90" customHeight="1">
      <c r="A7132" s="63" t="inlineStr"/>
      <c r="B7132" s="64" t="n"/>
      <c r="C7132" s="64" t="n"/>
      <c r="D7132" s="64" t="n"/>
      <c r="E7132" s="65" t="n"/>
    </row>
    <row r="7133" ht="12" customHeight="1">
      <c r="A7133" s="66" t="inlineStr"/>
    </row>
    <row r="7134" ht="30" customHeight="1">
      <c r="A7134" s="60" t="inlineStr">
        <is>
          <t>TC-RS-CALC-007 / m47-up</t>
        </is>
      </c>
      <c r="B7134" s="36" t="n"/>
      <c r="C7134" s="36" t="n"/>
      <c r="D7134" s="36" t="n"/>
      <c r="E7134" s="36" t="n"/>
    </row>
    <row r="7135" ht="30" customHeight="1">
      <c r="A7135" s="47" t="inlineStr">
        <is>
          <t>Dữ liệu biến thể</t>
        </is>
      </c>
      <c r="B7135" s="56" t="inlineStr">
        <is>
          <t>M47 làm tròn lên</t>
        </is>
      </c>
      <c r="C7135" s="57" t="n"/>
      <c r="D7135" s="57" t="n"/>
      <c r="E7135" s="57" t="n"/>
    </row>
    <row r="7136" ht="30" customHeight="1">
      <c r="A7136" s="47" t="inlineStr">
        <is>
          <t>Trạng thái</t>
        </is>
      </c>
      <c r="B7136" s="61" t="inlineStr">
        <is>
          <t>Chưa thực hiện</t>
        </is>
      </c>
      <c r="C7136" s="57" t="n"/>
      <c r="D7136" s="57" t="n"/>
      <c r="E7136" s="57" t="n"/>
    </row>
    <row r="7137" ht="30" customHeight="1">
      <c r="A7137" s="62" t="inlineStr">
        <is>
          <t>Kết quả thực tế</t>
        </is>
      </c>
    </row>
    <row r="7138" ht="64" customHeight="1">
      <c r="A7138" s="63" t="inlineStr"/>
      <c r="B7138" s="64" t="n"/>
      <c r="C7138" s="64" t="n"/>
      <c r="D7138" s="64" t="n"/>
      <c r="E7138" s="65" t="n"/>
    </row>
    <row r="7139" ht="30" customHeight="1">
      <c r="A7139" s="62" t="inlineStr">
        <is>
          <t>Ảnh minh chứng</t>
        </is>
      </c>
    </row>
    <row r="7140" ht="90" customHeight="1">
      <c r="A7140" s="63" t="inlineStr"/>
      <c r="B7140" s="64" t="n"/>
      <c r="C7140" s="64" t="n"/>
      <c r="D7140" s="64" t="n"/>
      <c r="E7140" s="65" t="n"/>
    </row>
    <row r="7141" ht="12" customHeight="1">
      <c r="A7141" s="66" t="inlineStr"/>
    </row>
    <row r="7142" ht="20" customHeight="1">
      <c r="A7142" s="66" t="inlineStr"/>
    </row>
    <row r="7143" ht="30" customHeight="1">
      <c r="A7143" s="46" t="inlineStr">
        <is>
          <t>TC-RS-CALC-008 — Ví dụ đặc tả v2: M=75, N=30, S=22.2</t>
        </is>
      </c>
      <c r="B7143" s="23" t="n"/>
      <c r="C7143" s="23" t="n"/>
      <c r="D7143" s="23" t="n"/>
      <c r="E7143" s="23" t="n"/>
    </row>
    <row r="7144" ht="30" customHeight="1">
      <c r="A7144" s="47" t="inlineStr">
        <is>
          <t>Trạng thái</t>
        </is>
      </c>
      <c r="B7144" s="56">
        <f>IF(0&gt;0,"Không đạt",IF(0=2,"Đạt",IF(SUMPRODUCT(--EXACT('Testcases'!B7163:B7171,"Không thực hiện"))=2,"Không thực hiện",IF(SUMPRODUCT(--EXACT('Testcases'!B7163:B7171,"Bị chặn"))&gt;0,"Bị chặn",IF(SUMPRODUCT(--EXACT('Testcases'!B7163:B7171,"Chưa thực hiện"))=2,"Chưa thực hiện","Chưa đủ kết luận")))))</f>
        <v/>
      </c>
      <c r="C7144" s="57" t="n"/>
      <c r="D7144" s="57" t="n"/>
      <c r="E7144" s="57" t="n"/>
    </row>
    <row r="7145" ht="30" customHeight="1">
      <c r="A7145" s="47" t="inlineStr">
        <is>
          <t>Màn hình / chức năng</t>
        </is>
      </c>
      <c r="B7145" s="47" t="inlineStr">
        <is>
          <t>Thiết lập ngưỡng（基準設定）</t>
        </is>
      </c>
      <c r="C7145" s="57" t="n"/>
      <c r="D7145" s="47" t="inlineStr">
        <is>
          <t>Đường dẫn</t>
        </is>
      </c>
      <c r="E7145" s="56" t="inlineStr">
        <is>
          <t>Chưa xác minh</t>
        </is>
      </c>
    </row>
    <row r="7146" ht="30" customHeight="1">
      <c r="A7146" s="58" t="inlineStr">
        <is>
          <t>Điều kiện kiểm thử</t>
        </is>
      </c>
      <c r="B7146" s="59" t="n"/>
      <c r="C7146" s="59" t="n"/>
      <c r="D7146" s="59" t="n"/>
      <c r="E7146" s="59" t="n"/>
    </row>
    <row r="7147" ht="44" customHeight="1">
      <c r="A7147" s="47" t="inlineStr">
        <is>
          <t>Cấu hình</t>
        </is>
      </c>
      <c r="B7147" s="56" t="inlineStr">
        <is>
          <t>• Mục số thập phân (M=100) với M=75;
• Tỷ lệ 30%, [&lt;].</t>
        </is>
      </c>
      <c r="C7147" s="57" t="n"/>
      <c r="D7147" s="57" t="n"/>
      <c r="E7147" s="57" t="n"/>
    </row>
    <row r="7148" ht="61" customHeight="1">
      <c r="A7148" s="47" t="inlineStr">
        <is>
          <t>Vai trò / quyền</t>
        </is>
      </c>
      <c r="B714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148" s="57" t="n"/>
      <c r="D7148" s="57" t="n"/>
      <c r="E7148" s="57" t="n"/>
    </row>
    <row r="7149" ht="44" customHeight="1">
      <c r="A7149" s="47" t="inlineStr">
        <is>
          <t>Dữ liệu test</t>
        </is>
      </c>
      <c r="B7149" s="56" t="inlineStr">
        <is>
          <t>• Mục số thập phân (M=100);
• S = 22.2</t>
        </is>
      </c>
      <c r="C7149" s="57" t="n"/>
      <c r="D7149" s="57" t="n"/>
      <c r="E7149" s="57" t="n"/>
    </row>
    <row r="7150" ht="30" customHeight="1">
      <c r="A7150" s="47" t="inlineStr">
        <is>
          <t>Trigger</t>
        </is>
      </c>
      <c r="B7150" s="56" t="inlineStr">
        <is>
          <t>• Chỉ xem/xuất không tự chạy xét.</t>
        </is>
      </c>
      <c r="C7150" s="57" t="n"/>
      <c r="D7150" s="57" t="n"/>
      <c r="E7150" s="57" t="n"/>
    </row>
    <row r="7151" ht="44" customHeight="1">
      <c r="A7151" s="47" t="inlineStr">
        <is>
          <t>Blocker</t>
        </is>
      </c>
      <c r="B7151" s="56" t="inlineStr">
        <is>
          <t>• G-PREP-UNASSESSED: Chưa có xác minh fixture, đường thực hiện và phép quan sát trên build của từng case chưa đánh giá.</t>
        </is>
      </c>
      <c r="C7151" s="57" t="n"/>
      <c r="D7151" s="57" t="n"/>
      <c r="E7151" s="57" t="n"/>
    </row>
    <row r="7152" ht="30" customHeight="1">
      <c r="A7152" s="58" t="inlineStr">
        <is>
          <t>Thao tác</t>
        </is>
      </c>
      <c r="B7152" s="59" t="n"/>
      <c r="C7152" s="59" t="n"/>
      <c r="D7152" s="59" t="n"/>
      <c r="E7152" s="59" t="n"/>
    </row>
    <row r="7153" ht="30" customHeight="1">
      <c r="A7153" s="47" t="inlineStr">
        <is>
          <t>•</t>
        </is>
      </c>
      <c r="B7153" s="56" t="inlineStr">
        <is>
          <t>Xét với Không xử lý, rồi xuống p1.</t>
        </is>
      </c>
      <c r="C7153" s="57" t="n"/>
      <c r="D7153" s="57" t="n"/>
      <c r="E7153" s="57" t="n"/>
    </row>
    <row r="7154" ht="44" customHeight="1">
      <c r="A7154" s="47" t="inlineStr">
        <is>
          <t>Reset</t>
        </is>
      </c>
      <c r="B7154" s="56" t="inlineStr">
        <is>
          <t>Trước mỗi biến thể, dựng lại điều kiện/dữ liệu đầu của case bằng đường được phép; giữ các reset/fixture độc lập đã nêu trong thủ tục.</t>
        </is>
      </c>
      <c r="C7154" s="57" t="n"/>
      <c r="D7154" s="57" t="n"/>
      <c r="E7154" s="57" t="n"/>
    </row>
    <row r="7155" ht="30" customHeight="1">
      <c r="A7155" s="58" t="inlineStr">
        <is>
          <t>Kết quả mong đợi</t>
        </is>
      </c>
      <c r="B7155" s="59" t="n"/>
      <c r="C7155" s="59" t="n"/>
      <c r="D7155" s="59" t="n"/>
      <c r="E7155" s="59" t="n"/>
    </row>
    <row r="7156" ht="30" customHeight="1">
      <c r="A7156" s="47" t="inlineStr">
        <is>
          <t>•</t>
        </is>
      </c>
      <c r="B7156" s="56" t="inlineStr">
        <is>
          <t>Không xử lý: [T=22.5] → Đỏ.</t>
        </is>
      </c>
      <c r="C7156" s="57" t="n"/>
      <c r="D7156" s="57" t="n"/>
      <c r="E7156" s="57" t="n"/>
    </row>
    <row r="7157" ht="30" customHeight="1">
      <c r="A7157" s="47" t="inlineStr">
        <is>
          <t>•</t>
        </is>
      </c>
      <c r="B7157" s="56" t="inlineStr">
        <is>
          <t>Xuống p1: [T=22] → Không đỏ.</t>
        </is>
      </c>
      <c r="C7157" s="57" t="n"/>
      <c r="D7157" s="57" t="n"/>
      <c r="E7157" s="57" t="n"/>
    </row>
    <row r="7158" ht="44" customHeight="1">
      <c r="A7158" s="47" t="inlineStr">
        <is>
          <t>Giữ nguyên</t>
        </is>
      </c>
      <c r="B7158" s="56" t="inlineStr">
        <is>
          <t>• Giữ điểm, cấu hình và đối tượng không đích theo expected;
• Chỉ thay phần thủ tục yêu cầu, không tự đổi oracle hoặc mở rộng phạm vi.</t>
        </is>
      </c>
      <c r="C7158" s="57" t="n"/>
      <c r="D7158" s="57" t="n"/>
      <c r="E7158" s="57" t="n"/>
    </row>
    <row r="7159" ht="61" customHeight="1">
      <c r="A7159" s="47" t="inlineStr">
        <is>
          <t>Quan sát tại</t>
        </is>
      </c>
      <c r="B7159" s="56" t="inlineStr">
        <is>
          <t>• Dùng trích xuất không lọc để thấy cả ô đối chứng. Trạng thái không có dấu đỏ cần đọc thêm trạng thái lưu;
• Output Excel/PDF dùng file thật.</t>
        </is>
      </c>
      <c r="C7159" s="57" t="n"/>
      <c r="D7159" s="57" t="n"/>
      <c r="E7159" s="57" t="n"/>
    </row>
    <row r="7160" ht="30" customHeight="1">
      <c r="A7160" s="58" t="inlineStr">
        <is>
          <t>Kết quả thực tế</t>
        </is>
      </c>
      <c r="B7160" s="59" t="n"/>
      <c r="C7160" s="59" t="n"/>
      <c r="D7160" s="59" t="n"/>
      <c r="E7160" s="59" t="n"/>
    </row>
    <row r="7161" ht="30" customHeight="1">
      <c r="A7161" s="60" t="inlineStr">
        <is>
          <t>TC-RS-CALC-008 / none</t>
        </is>
      </c>
      <c r="B7161" s="36" t="n"/>
      <c r="C7161" s="36" t="n"/>
      <c r="D7161" s="36" t="n"/>
      <c r="E7161" s="36" t="n"/>
    </row>
    <row r="7162" ht="30" customHeight="1">
      <c r="A7162" s="47" t="inlineStr">
        <is>
          <t>Dữ liệu biến thể</t>
        </is>
      </c>
      <c r="B7162" s="56" t="inlineStr">
        <is>
          <t>Không xử lý phần lẻ</t>
        </is>
      </c>
      <c r="C7162" s="57" t="n"/>
      <c r="D7162" s="57" t="n"/>
      <c r="E7162" s="57" t="n"/>
    </row>
    <row r="7163" ht="30" customHeight="1">
      <c r="A7163" s="47" t="inlineStr">
        <is>
          <t>Trạng thái</t>
        </is>
      </c>
      <c r="B7163" s="61" t="inlineStr">
        <is>
          <t>Chưa thực hiện</t>
        </is>
      </c>
      <c r="C7163" s="57" t="n"/>
      <c r="D7163" s="57" t="n"/>
      <c r="E7163" s="57" t="n"/>
    </row>
    <row r="7164" ht="30" customHeight="1">
      <c r="A7164" s="62" t="inlineStr">
        <is>
          <t>Kết quả thực tế</t>
        </is>
      </c>
    </row>
    <row r="7165" ht="64" customHeight="1">
      <c r="A7165" s="63" t="inlineStr"/>
      <c r="B7165" s="64" t="n"/>
      <c r="C7165" s="64" t="n"/>
      <c r="D7165" s="64" t="n"/>
      <c r="E7165" s="65" t="n"/>
    </row>
    <row r="7166" ht="30" customHeight="1">
      <c r="A7166" s="62" t="inlineStr">
        <is>
          <t>Ảnh minh chứng</t>
        </is>
      </c>
    </row>
    <row r="7167" ht="90" customHeight="1">
      <c r="A7167" s="63" t="inlineStr"/>
      <c r="B7167" s="64" t="n"/>
      <c r="C7167" s="64" t="n"/>
      <c r="D7167" s="64" t="n"/>
      <c r="E7167" s="65" t="n"/>
    </row>
    <row r="7168" ht="12" customHeight="1">
      <c r="A7168" s="66" t="inlineStr"/>
    </row>
    <row r="7169" ht="30" customHeight="1">
      <c r="A7169" s="60" t="inlineStr">
        <is>
          <t>TC-RS-CALC-008 / down</t>
        </is>
      </c>
      <c r="B7169" s="36" t="n"/>
      <c r="C7169" s="36" t="n"/>
      <c r="D7169" s="36" t="n"/>
      <c r="E7169" s="36" t="n"/>
    </row>
    <row r="7170" ht="30" customHeight="1">
      <c r="A7170" s="47" t="inlineStr">
        <is>
          <t>Dữ liệu biến thể</t>
        </is>
      </c>
      <c r="B7170" s="56" t="inlineStr">
        <is>
          <t>Cắt xuống</t>
        </is>
      </c>
      <c r="C7170" s="57" t="n"/>
      <c r="D7170" s="57" t="n"/>
      <c r="E7170" s="57" t="n"/>
    </row>
    <row r="7171" ht="30" customHeight="1">
      <c r="A7171" s="47" t="inlineStr">
        <is>
          <t>Trạng thái</t>
        </is>
      </c>
      <c r="B7171" s="61" t="inlineStr">
        <is>
          <t>Chưa thực hiện</t>
        </is>
      </c>
      <c r="C7171" s="57" t="n"/>
      <c r="D7171" s="57" t="n"/>
      <c r="E7171" s="57" t="n"/>
    </row>
    <row r="7172" ht="30" customHeight="1">
      <c r="A7172" s="62" t="inlineStr">
        <is>
          <t>Kết quả thực tế</t>
        </is>
      </c>
    </row>
    <row r="7173" ht="64" customHeight="1">
      <c r="A7173" s="63" t="inlineStr"/>
      <c r="B7173" s="64" t="n"/>
      <c r="C7173" s="64" t="n"/>
      <c r="D7173" s="64" t="n"/>
      <c r="E7173" s="65" t="n"/>
    </row>
    <row r="7174" ht="30" customHeight="1">
      <c r="A7174" s="62" t="inlineStr">
        <is>
          <t>Ảnh minh chứng</t>
        </is>
      </c>
    </row>
    <row r="7175" ht="90" customHeight="1">
      <c r="A7175" s="63" t="inlineStr"/>
      <c r="B7175" s="64" t="n"/>
      <c r="C7175" s="64" t="n"/>
      <c r="D7175" s="64" t="n"/>
      <c r="E7175" s="65" t="n"/>
    </row>
    <row r="7176" ht="12" customHeight="1">
      <c r="A7176" s="66" t="inlineStr"/>
    </row>
    <row r="7177" ht="20" customHeight="1">
      <c r="A7177" s="66" t="inlineStr"/>
    </row>
    <row r="7178" ht="30" customHeight="1">
      <c r="A7178" s="46" t="inlineStr">
        <is>
          <t>TC-RS-CALC-009 — Tỷ lệ biên N=0 và N=100</t>
        </is>
      </c>
      <c r="B7178" s="23" t="n"/>
      <c r="C7178" s="23" t="n"/>
      <c r="D7178" s="23" t="n"/>
      <c r="E7178" s="23" t="n"/>
    </row>
    <row r="7179" ht="30" customHeight="1">
      <c r="A7179" s="47" t="inlineStr">
        <is>
          <t>Trạng thái</t>
        </is>
      </c>
      <c r="B7179" s="56">
        <f>IF(0&gt;0,"Không đạt",IF(0=4,"Đạt",IF(SUMPRODUCT(--EXACT('Testcases'!B7198:B7222,"Không thực hiện"))=4,"Không thực hiện",IF(SUMPRODUCT(--EXACT('Testcases'!B7198:B7222,"Bị chặn"))&gt;0,"Bị chặn",IF(SUMPRODUCT(--EXACT('Testcases'!B7198:B7222,"Chưa thực hiện"))=4,"Chưa thực hiện","Chưa đủ kết luận")))))</f>
        <v/>
      </c>
      <c r="C7179" s="57" t="n"/>
      <c r="D7179" s="57" t="n"/>
      <c r="E7179" s="57" t="n"/>
    </row>
    <row r="7180" ht="30" customHeight="1">
      <c r="A7180" s="47" t="inlineStr">
        <is>
          <t>Màn hình / chức năng</t>
        </is>
      </c>
      <c r="B7180" s="47" t="inlineStr">
        <is>
          <t>Thiết lập ngưỡng（基準設定）</t>
        </is>
      </c>
      <c r="C7180" s="57" t="n"/>
      <c r="D7180" s="47" t="inlineStr">
        <is>
          <t>Đường dẫn</t>
        </is>
      </c>
      <c r="E7180" s="56" t="inlineStr">
        <is>
          <t>Chưa xác minh</t>
        </is>
      </c>
    </row>
    <row r="7181" ht="30" customHeight="1">
      <c r="A7181" s="58" t="inlineStr">
        <is>
          <t>Điều kiện kiểm thử</t>
        </is>
      </c>
      <c r="B7181" s="59" t="n"/>
      <c r="C7181" s="59" t="n"/>
      <c r="D7181" s="59" t="n"/>
      <c r="E7181" s="59" t="n"/>
    </row>
    <row r="7182" ht="30" customHeight="1">
      <c r="A7182" s="47" t="inlineStr">
        <is>
          <t>Cấu hình</t>
        </is>
      </c>
      <c r="B7182" s="56" t="inlineStr">
        <is>
          <t>• Mục số nguyên (M=100) (M=100).</t>
        </is>
      </c>
      <c r="C7182" s="57" t="n"/>
      <c r="D7182" s="57" t="n"/>
      <c r="E7182" s="57" t="n"/>
    </row>
    <row r="7183" ht="61" customHeight="1">
      <c r="A7183" s="47" t="inlineStr">
        <is>
          <t>Vai trò / quyền</t>
        </is>
      </c>
      <c r="B718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183" s="57" t="n"/>
      <c r="D7183" s="57" t="n"/>
      <c r="E7183" s="57" t="n"/>
    </row>
    <row r="7184" ht="61" customHeight="1">
      <c r="A7184" s="47" t="inlineStr">
        <is>
          <t>Dữ liệu test</t>
        </is>
      </c>
      <c r="B7184" s="56" t="inlineStr">
        <is>
          <t>• Mục số nguyên (M=100);
• N = 0: S = 0;
• N = 100: S = 99, 100</t>
        </is>
      </c>
      <c r="C7184" s="57" t="n"/>
      <c r="D7184" s="57" t="n"/>
      <c r="E7184" s="57" t="n"/>
    </row>
    <row r="7185" ht="30" customHeight="1">
      <c r="A7185" s="47" t="inlineStr">
        <is>
          <t>Trigger</t>
        </is>
      </c>
      <c r="B7185" s="56" t="inlineStr">
        <is>
          <t>• Chỉ xem/xuất không tự chạy xét.</t>
        </is>
      </c>
      <c r="C7185" s="57" t="n"/>
      <c r="D7185" s="57" t="n"/>
      <c r="E7185" s="57" t="n"/>
    </row>
    <row r="7186" ht="44" customHeight="1">
      <c r="A7186" s="47" t="inlineStr">
        <is>
          <t>Blocker</t>
        </is>
      </c>
      <c r="B7186" s="56" t="inlineStr">
        <is>
          <t>• G-PREP-UNASSESSED: Chưa có xác minh fixture, đường thực hiện và phép quan sát trên build của từng case chưa đánh giá.</t>
        </is>
      </c>
      <c r="C7186" s="57" t="n"/>
      <c r="D7186" s="57" t="n"/>
      <c r="E7186" s="57" t="n"/>
    </row>
    <row r="7187" ht="30" customHeight="1">
      <c r="A7187" s="58" t="inlineStr">
        <is>
          <t>Thao tác</t>
        </is>
      </c>
      <c r="B7187" s="59" t="n"/>
      <c r="C7187" s="59" t="n"/>
      <c r="D7187" s="59" t="n"/>
      <c r="E7187" s="59" t="n"/>
    </row>
    <row r="7188" ht="30" customHeight="1">
      <c r="A7188" s="47" t="inlineStr">
        <is>
          <t>•</t>
        </is>
      </c>
      <c r="B7188" s="56" t="inlineStr">
        <is>
          <t>Xét từng cấu hình với [&lt;] và [≤].</t>
        </is>
      </c>
      <c r="C7188" s="57" t="n"/>
      <c r="D7188" s="57" t="n"/>
      <c r="E7188" s="57" t="n"/>
    </row>
    <row r="7189" ht="44" customHeight="1">
      <c r="A7189" s="47" t="inlineStr">
        <is>
          <t>Reset</t>
        </is>
      </c>
      <c r="B7189" s="56" t="inlineStr">
        <is>
          <t>Trước mỗi biến thể, dựng lại điều kiện/dữ liệu đầu của case bằng đường được phép; giữ các reset/fixture độc lập đã nêu trong thủ tục.</t>
        </is>
      </c>
      <c r="C7189" s="57" t="n"/>
      <c r="D7189" s="57" t="n"/>
      <c r="E7189" s="57" t="n"/>
    </row>
    <row r="7190" ht="30" customHeight="1">
      <c r="A7190" s="58" t="inlineStr">
        <is>
          <t>Kết quả mong đợi</t>
        </is>
      </c>
      <c r="B7190" s="59" t="n"/>
      <c r="C7190" s="59" t="n"/>
      <c r="D7190" s="59" t="n"/>
      <c r="E7190" s="59" t="n"/>
    </row>
    <row r="7191" ht="30" customHeight="1">
      <c r="A7191" s="47" t="inlineStr">
        <is>
          <t>•</t>
        </is>
      </c>
      <c r="B7191" s="56" t="inlineStr">
        <is>
          <t>N=0 ([T=0]): S=0 [&lt;] Không đỏ; [≤] Đỏ.</t>
        </is>
      </c>
      <c r="C7191" s="57" t="n"/>
      <c r="D7191" s="57" t="n"/>
      <c r="E7191" s="57" t="n"/>
    </row>
    <row r="7192" ht="30" customHeight="1">
      <c r="A7192" s="47" t="inlineStr">
        <is>
          <t>•</t>
        </is>
      </c>
      <c r="B7192" s="56" t="inlineStr">
        <is>
          <t>N=100 ([T=100]): S=99 [&lt;] Đỏ; S=100 [&lt;] Không đỏ; S=100 [≤] Đỏ.</t>
        </is>
      </c>
      <c r="C7192" s="57" t="n"/>
      <c r="D7192" s="57" t="n"/>
      <c r="E7192" s="57" t="n"/>
    </row>
    <row r="7193" ht="44" customHeight="1">
      <c r="A7193" s="47" t="inlineStr">
        <is>
          <t>Giữ nguyên</t>
        </is>
      </c>
      <c r="B7193" s="56" t="inlineStr">
        <is>
          <t>• Giữ điểm, cấu hình và đối tượng không đích theo expected;
• Chỉ thay phần thủ tục yêu cầu, không tự đổi oracle hoặc mở rộng phạm vi.</t>
        </is>
      </c>
      <c r="C7193" s="57" t="n"/>
      <c r="D7193" s="57" t="n"/>
      <c r="E7193" s="57" t="n"/>
    </row>
    <row r="7194" ht="61" customHeight="1">
      <c r="A7194" s="47" t="inlineStr">
        <is>
          <t>Quan sát tại</t>
        </is>
      </c>
      <c r="B7194" s="56" t="inlineStr">
        <is>
          <t>• Dùng trích xuất không lọc để thấy cả ô đối chứng. Trạng thái không có dấu đỏ cần đọc thêm trạng thái lưu;
• Output Excel/PDF dùng file thật.</t>
        </is>
      </c>
      <c r="C7194" s="57" t="n"/>
      <c r="D7194" s="57" t="n"/>
      <c r="E7194" s="57" t="n"/>
    </row>
    <row r="7195" ht="30" customHeight="1">
      <c r="A7195" s="58" t="inlineStr">
        <is>
          <t>Kết quả thực tế</t>
        </is>
      </c>
      <c r="B7195" s="59" t="n"/>
      <c r="C7195" s="59" t="n"/>
      <c r="D7195" s="59" t="n"/>
      <c r="E7195" s="59" t="n"/>
    </row>
    <row r="7196" ht="30" customHeight="1">
      <c r="A7196" s="60" t="inlineStr">
        <is>
          <t>TC-RS-CALC-009 / zero-lt</t>
        </is>
      </c>
      <c r="B7196" s="36" t="n"/>
      <c r="C7196" s="36" t="n"/>
      <c r="D7196" s="36" t="n"/>
      <c r="E7196" s="36" t="n"/>
    </row>
    <row r="7197" ht="30" customHeight="1">
      <c r="A7197" s="47" t="inlineStr">
        <is>
          <t>Dữ liệu biến thể</t>
        </is>
      </c>
      <c r="B7197" s="56" t="inlineStr">
        <is>
          <t>N0 nhỏ hơn</t>
        </is>
      </c>
      <c r="C7197" s="57" t="n"/>
      <c r="D7197" s="57" t="n"/>
      <c r="E7197" s="57" t="n"/>
    </row>
    <row r="7198" ht="30" customHeight="1">
      <c r="A7198" s="47" t="inlineStr">
        <is>
          <t>Trạng thái</t>
        </is>
      </c>
      <c r="B7198" s="61" t="inlineStr">
        <is>
          <t>Chưa thực hiện</t>
        </is>
      </c>
      <c r="C7198" s="57" t="n"/>
      <c r="D7198" s="57" t="n"/>
      <c r="E7198" s="57" t="n"/>
    </row>
    <row r="7199" ht="30" customHeight="1">
      <c r="A7199" s="62" t="inlineStr">
        <is>
          <t>Kết quả thực tế</t>
        </is>
      </c>
    </row>
    <row r="7200" ht="64" customHeight="1">
      <c r="A7200" s="63" t="inlineStr"/>
      <c r="B7200" s="64" t="n"/>
      <c r="C7200" s="64" t="n"/>
      <c r="D7200" s="64" t="n"/>
      <c r="E7200" s="65" t="n"/>
    </row>
    <row r="7201" ht="30" customHeight="1">
      <c r="A7201" s="62" t="inlineStr">
        <is>
          <t>Ảnh minh chứng</t>
        </is>
      </c>
    </row>
    <row r="7202" ht="90" customHeight="1">
      <c r="A7202" s="63" t="inlineStr"/>
      <c r="B7202" s="64" t="n"/>
      <c r="C7202" s="64" t="n"/>
      <c r="D7202" s="64" t="n"/>
      <c r="E7202" s="65" t="n"/>
    </row>
    <row r="7203" ht="12" customHeight="1">
      <c r="A7203" s="66" t="inlineStr"/>
    </row>
    <row r="7204" ht="30" customHeight="1">
      <c r="A7204" s="60" t="inlineStr">
        <is>
          <t>TC-RS-CALC-009 / zero-le</t>
        </is>
      </c>
      <c r="B7204" s="36" t="n"/>
      <c r="C7204" s="36" t="n"/>
      <c r="D7204" s="36" t="n"/>
      <c r="E7204" s="36" t="n"/>
    </row>
    <row r="7205" ht="30" customHeight="1">
      <c r="A7205" s="47" t="inlineStr">
        <is>
          <t>Dữ liệu biến thể</t>
        </is>
      </c>
      <c r="B7205" s="56" t="inlineStr">
        <is>
          <t>N0 nhỏ hơn hoặc bằng</t>
        </is>
      </c>
      <c r="C7205" s="57" t="n"/>
      <c r="D7205" s="57" t="n"/>
      <c r="E7205" s="57" t="n"/>
    </row>
    <row r="7206" ht="30" customHeight="1">
      <c r="A7206" s="47" t="inlineStr">
        <is>
          <t>Trạng thái</t>
        </is>
      </c>
      <c r="B7206" s="61" t="inlineStr">
        <is>
          <t>Chưa thực hiện</t>
        </is>
      </c>
      <c r="C7206" s="57" t="n"/>
      <c r="D7206" s="57" t="n"/>
      <c r="E7206" s="57" t="n"/>
    </row>
    <row r="7207" ht="30" customHeight="1">
      <c r="A7207" s="62" t="inlineStr">
        <is>
          <t>Kết quả thực tế</t>
        </is>
      </c>
    </row>
    <row r="7208" ht="64" customHeight="1">
      <c r="A7208" s="63" t="inlineStr"/>
      <c r="B7208" s="64" t="n"/>
      <c r="C7208" s="64" t="n"/>
      <c r="D7208" s="64" t="n"/>
      <c r="E7208" s="65" t="n"/>
    </row>
    <row r="7209" ht="30" customHeight="1">
      <c r="A7209" s="62" t="inlineStr">
        <is>
          <t>Ảnh minh chứng</t>
        </is>
      </c>
    </row>
    <row r="7210" ht="90" customHeight="1">
      <c r="A7210" s="63" t="inlineStr"/>
      <c r="B7210" s="64" t="n"/>
      <c r="C7210" s="64" t="n"/>
      <c r="D7210" s="64" t="n"/>
      <c r="E7210" s="65" t="n"/>
    </row>
    <row r="7211" ht="12" customHeight="1">
      <c r="A7211" s="66" t="inlineStr"/>
    </row>
    <row r="7212" ht="30" customHeight="1">
      <c r="A7212" s="60" t="inlineStr">
        <is>
          <t>TC-RS-CALC-009 / hundred-lt</t>
        </is>
      </c>
      <c r="B7212" s="36" t="n"/>
      <c r="C7212" s="36" t="n"/>
      <c r="D7212" s="36" t="n"/>
      <c r="E7212" s="36" t="n"/>
    </row>
    <row r="7213" ht="30" customHeight="1">
      <c r="A7213" s="47" t="inlineStr">
        <is>
          <t>Dữ liệu biến thể</t>
        </is>
      </c>
      <c r="B7213" s="56" t="inlineStr">
        <is>
          <t>N100 nhỏ hơn</t>
        </is>
      </c>
      <c r="C7213" s="57" t="n"/>
      <c r="D7213" s="57" t="n"/>
      <c r="E7213" s="57" t="n"/>
    </row>
    <row r="7214" ht="30" customHeight="1">
      <c r="A7214" s="47" t="inlineStr">
        <is>
          <t>Trạng thái</t>
        </is>
      </c>
      <c r="B7214" s="61" t="inlineStr">
        <is>
          <t>Chưa thực hiện</t>
        </is>
      </c>
      <c r="C7214" s="57" t="n"/>
      <c r="D7214" s="57" t="n"/>
      <c r="E7214" s="57" t="n"/>
    </row>
    <row r="7215" ht="30" customHeight="1">
      <c r="A7215" s="62" t="inlineStr">
        <is>
          <t>Kết quả thực tế</t>
        </is>
      </c>
    </row>
    <row r="7216" ht="64" customHeight="1">
      <c r="A7216" s="63" t="inlineStr"/>
      <c r="B7216" s="64" t="n"/>
      <c r="C7216" s="64" t="n"/>
      <c r="D7216" s="64" t="n"/>
      <c r="E7216" s="65" t="n"/>
    </row>
    <row r="7217" ht="30" customHeight="1">
      <c r="A7217" s="62" t="inlineStr">
        <is>
          <t>Ảnh minh chứng</t>
        </is>
      </c>
    </row>
    <row r="7218" ht="90" customHeight="1">
      <c r="A7218" s="63" t="inlineStr"/>
      <c r="B7218" s="64" t="n"/>
      <c r="C7218" s="64" t="n"/>
      <c r="D7218" s="64" t="n"/>
      <c r="E7218" s="65" t="n"/>
    </row>
    <row r="7219" ht="12" customHeight="1">
      <c r="A7219" s="66" t="inlineStr"/>
    </row>
    <row r="7220" ht="30" customHeight="1">
      <c r="A7220" s="60" t="inlineStr">
        <is>
          <t>TC-RS-CALC-009 / hundred-le</t>
        </is>
      </c>
      <c r="B7220" s="36" t="n"/>
      <c r="C7220" s="36" t="n"/>
      <c r="D7220" s="36" t="n"/>
      <c r="E7220" s="36" t="n"/>
    </row>
    <row r="7221" ht="30" customHeight="1">
      <c r="A7221" s="47" t="inlineStr">
        <is>
          <t>Dữ liệu biến thể</t>
        </is>
      </c>
      <c r="B7221" s="56" t="inlineStr">
        <is>
          <t>N100 nhỏ hơn hoặc bằng</t>
        </is>
      </c>
      <c r="C7221" s="57" t="n"/>
      <c r="D7221" s="57" t="n"/>
      <c r="E7221" s="57" t="n"/>
    </row>
    <row r="7222" ht="30" customHeight="1">
      <c r="A7222" s="47" t="inlineStr">
        <is>
          <t>Trạng thái</t>
        </is>
      </c>
      <c r="B7222" s="61" t="inlineStr">
        <is>
          <t>Chưa thực hiện</t>
        </is>
      </c>
      <c r="C7222" s="57" t="n"/>
      <c r="D7222" s="57" t="n"/>
      <c r="E7222" s="57" t="n"/>
    </row>
    <row r="7223" ht="30" customHeight="1">
      <c r="A7223" s="62" t="inlineStr">
        <is>
          <t>Kết quả thực tế</t>
        </is>
      </c>
    </row>
    <row r="7224" ht="64" customHeight="1">
      <c r="A7224" s="63" t="inlineStr"/>
      <c r="B7224" s="64" t="n"/>
      <c r="C7224" s="64" t="n"/>
      <c r="D7224" s="64" t="n"/>
      <c r="E7224" s="65" t="n"/>
    </row>
    <row r="7225" ht="30" customHeight="1">
      <c r="A7225" s="62" t="inlineStr">
        <is>
          <t>Ảnh minh chứng</t>
        </is>
      </c>
    </row>
    <row r="7226" ht="90" customHeight="1">
      <c r="A7226" s="63" t="inlineStr"/>
      <c r="B7226" s="64" t="n"/>
      <c r="C7226" s="64" t="n"/>
      <c r="D7226" s="64" t="n"/>
      <c r="E7226" s="65" t="n"/>
    </row>
    <row r="7227" ht="12" customHeight="1">
      <c r="A7227" s="66" t="inlineStr"/>
    </row>
    <row r="7228" ht="20" customHeight="1">
      <c r="A7228" s="66" t="inlineStr"/>
    </row>
    <row r="7229" ht="30" customHeight="1">
      <c r="A7229" s="46" t="inlineStr">
        <is>
          <t>TC-RS-CALC-010 — Tỷ lệ với M = 0, M &lt; 0 hoặc không xác định → Chưa xét được; cố định vẫn xét</t>
        </is>
      </c>
      <c r="B7229" s="23" t="n"/>
      <c r="C7229" s="23" t="n"/>
      <c r="D7229" s="23" t="n"/>
      <c r="E7229" s="23" t="n"/>
    </row>
    <row r="7230" ht="30" customHeight="1">
      <c r="A7230" s="47" t="inlineStr">
        <is>
          <t>Trạng thái</t>
        </is>
      </c>
      <c r="B7230" s="56">
        <f>IF(0&gt;0,"Không đạt",IF(0=4,"Đạt",IF(SUMPRODUCT(--EXACT('Testcases'!B7250:B7274,"Không thực hiện"))=4,"Không thực hiện",IF(SUMPRODUCT(--EXACT('Testcases'!B7250:B7274,"Bị chặn"))&gt;0,"Bị chặn",IF(SUMPRODUCT(--EXACT('Testcases'!B7250:B7274,"Chưa thực hiện"))=4,"Chưa thực hiện","Chưa đủ kết luận")))))</f>
        <v/>
      </c>
      <c r="C7230" s="57" t="n"/>
      <c r="D7230" s="57" t="n"/>
      <c r="E7230" s="57" t="n"/>
    </row>
    <row r="7231" ht="30" customHeight="1">
      <c r="A7231" s="47" t="inlineStr">
        <is>
          <t>Màn hình / chức năng</t>
        </is>
      </c>
      <c r="B7231" s="47" t="inlineStr">
        <is>
          <t>Thiết lập ngưỡng（基準設定）</t>
        </is>
      </c>
      <c r="C7231" s="57" t="n"/>
      <c r="D7231" s="47" t="inlineStr">
        <is>
          <t>Đường dẫn</t>
        </is>
      </c>
      <c r="E7231" s="56" t="inlineStr">
        <is>
          <t>Chưa xác minh</t>
        </is>
      </c>
    </row>
    <row r="7232" ht="30" customHeight="1">
      <c r="A7232" s="58" t="inlineStr">
        <is>
          <t>Điều kiện kiểm thử</t>
        </is>
      </c>
      <c r="B7232" s="59" t="n"/>
      <c r="C7232" s="59" t="n"/>
      <c r="D7232" s="59" t="n"/>
      <c r="E7232" s="59" t="n"/>
    </row>
    <row r="7233" ht="30" customHeight="1">
      <c r="A7233" s="47" t="inlineStr">
        <is>
          <t>Cấu hình</t>
        </is>
      </c>
      <c r="B7233" s="56" t="inlineStr">
        <is>
          <t>• Mục có M không hợp lệ (M không hợp lệ). Ô trước đó Đỏ theo quy tắc khác.</t>
        </is>
      </c>
      <c r="C7233" s="57" t="n"/>
      <c r="D7233" s="57" t="n"/>
      <c r="E7233" s="57" t="n"/>
    </row>
    <row r="7234" ht="61" customHeight="1">
      <c r="A7234" s="47" t="inlineStr">
        <is>
          <t>Vai trò / quyền</t>
        </is>
      </c>
      <c r="B723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234" s="57" t="n"/>
      <c r="D7234" s="57" t="n"/>
      <c r="E7234" s="57" t="n"/>
    </row>
    <row r="7235" ht="78" customHeight="1">
      <c r="A7235" s="47" t="inlineStr">
        <is>
          <t>Dữ liệu test</t>
        </is>
      </c>
      <c r="B7235" s="56" t="inlineStr">
        <is>
          <t>• Mục có M không hợp lệ;
• Quy tắc tỷ lệ 30%;
• Quy tắc “Cố định 30” (dưới 30);
• S = 0</t>
        </is>
      </c>
      <c r="C7235" s="57" t="n"/>
      <c r="D7235" s="57" t="n"/>
      <c r="E7235" s="57" t="n"/>
    </row>
    <row r="7236" ht="30" customHeight="1">
      <c r="A7236" s="47" t="inlineStr">
        <is>
          <t>Trigger</t>
        </is>
      </c>
      <c r="B7236" s="56" t="inlineStr">
        <is>
          <t>• Chỉ xem/xuất không tự chạy xét.</t>
        </is>
      </c>
      <c r="C7236" s="57" t="n"/>
      <c r="D7236" s="57" t="n"/>
      <c r="E7236" s="57" t="n"/>
    </row>
    <row r="7237" ht="44" customHeight="1">
      <c r="A7237" s="47" t="inlineStr">
        <is>
          <t>Blocker</t>
        </is>
      </c>
      <c r="B7237" s="56" t="inlineStr">
        <is>
          <t>• G-PREP-UNASSESSED: Chưa có xác minh fixture, đường thực hiện và phép quan sát trên build của từng case chưa đánh giá.</t>
        </is>
      </c>
      <c r="C7237" s="57" t="n"/>
      <c r="D7237" s="57" t="n"/>
      <c r="E7237" s="57" t="n"/>
    </row>
    <row r="7238" ht="30" customHeight="1">
      <c r="A7238" s="58" t="inlineStr">
        <is>
          <t>Thao tác</t>
        </is>
      </c>
      <c r="B7238" s="59" t="n"/>
      <c r="C7238" s="59" t="n"/>
      <c r="D7238" s="59" t="n"/>
      <c r="E7238" s="59" t="n"/>
    </row>
    <row r="7239" ht="30" customHeight="1">
      <c r="A7239" s="47" t="inlineStr">
        <is>
          <t>Step 1</t>
        </is>
      </c>
      <c r="B7239" s="56" t="inlineStr">
        <is>
          <t>Chỉ có quy tắc tỷ lệ 30% (30%): chạy lại với M=0, M=−10, M không xác định.</t>
        </is>
      </c>
      <c r="C7239" s="57" t="n"/>
      <c r="D7239" s="57" t="n"/>
      <c r="E7239" s="57" t="n"/>
    </row>
    <row r="7240" ht="30" customHeight="1">
      <c r="A7240" s="47" t="inlineStr">
        <is>
          <t>Step 2</t>
        </is>
      </c>
      <c r="B7240" s="56" t="inlineStr">
        <is>
          <t>Chỉ có quy tắc “Cố định 30” (dưới 30) (cố định 30) trên cùng mục, M=0: chạy lại.</t>
        </is>
      </c>
      <c r="C7240" s="57" t="n"/>
      <c r="D7240" s="57" t="n"/>
      <c r="E7240" s="57" t="n"/>
    </row>
    <row r="7241" ht="44" customHeight="1">
      <c r="A7241" s="47" t="inlineStr">
        <is>
          <t>Reset</t>
        </is>
      </c>
      <c r="B7241" s="56" t="inlineStr">
        <is>
          <t>Trước mỗi biến thể, dựng lại điều kiện/dữ liệu đầu của case bằng đường được phép; giữ các reset/fixture độc lập đã nêu trong thủ tục.</t>
        </is>
      </c>
      <c r="C7241" s="57" t="n"/>
      <c r="D7241" s="57" t="n"/>
      <c r="E7241" s="57" t="n"/>
    </row>
    <row r="7242" ht="30" customHeight="1">
      <c r="A7242" s="58" t="inlineStr">
        <is>
          <t>Kết quả mong đợi</t>
        </is>
      </c>
      <c r="B7242" s="59" t="n"/>
      <c r="C7242" s="59" t="n"/>
      <c r="D7242" s="59" t="n"/>
      <c r="E7242" s="59" t="n"/>
    </row>
    <row r="7243" ht="30" customHeight="1">
      <c r="A7243" s="47" t="inlineStr">
        <is>
          <t>1.</t>
        </is>
      </c>
      <c r="B7243" s="56" t="inlineStr">
        <is>
          <t>Cả ba: Chưa xét được; ngừng kết quả cũ; không dùng M=100.</t>
        </is>
      </c>
      <c r="C7243" s="57" t="n"/>
      <c r="D7243" s="57" t="n"/>
      <c r="E7243" s="57" t="n"/>
    </row>
    <row r="7244" ht="30" customHeight="1">
      <c r="A7244" s="47" t="inlineStr">
        <is>
          <t>2.</t>
        </is>
      </c>
      <c r="B7244" s="56" t="inlineStr">
        <is>
          <t>[T=30], [0&lt;30] → Đỏ (không bỏ xét cố định vì M không dương).</t>
        </is>
      </c>
      <c r="C7244" s="57" t="n"/>
      <c r="D7244" s="57" t="n"/>
      <c r="E7244" s="57" t="n"/>
    </row>
    <row r="7245" ht="44" customHeight="1">
      <c r="A7245" s="47" t="inlineStr">
        <is>
          <t>Giữ nguyên</t>
        </is>
      </c>
      <c r="B7245" s="56" t="inlineStr">
        <is>
          <t>• Giữ điểm, cấu hình và đối tượng không đích theo expected;
• Chỉ thay phần thủ tục yêu cầu, không tự đổi oracle hoặc mở rộng phạm vi.</t>
        </is>
      </c>
      <c r="C7245" s="57" t="n"/>
      <c r="D7245" s="57" t="n"/>
      <c r="E7245" s="57" t="n"/>
    </row>
    <row r="7246" ht="61" customHeight="1">
      <c r="A7246" s="47" t="inlineStr">
        <is>
          <t>Quan sát tại</t>
        </is>
      </c>
      <c r="B7246" s="56" t="inlineStr">
        <is>
          <t>• Dùng trích xuất không lọc để thấy cả ô đối chứng. Trạng thái không có dấu đỏ cần đọc thêm trạng thái lưu;
• Output Excel/PDF dùng file thật.</t>
        </is>
      </c>
      <c r="C7246" s="57" t="n"/>
      <c r="D7246" s="57" t="n"/>
      <c r="E7246" s="57" t="n"/>
    </row>
    <row r="7247" ht="30" customHeight="1">
      <c r="A7247" s="58" t="inlineStr">
        <is>
          <t>Kết quả thực tế</t>
        </is>
      </c>
      <c r="B7247" s="59" t="n"/>
      <c r="C7247" s="59" t="n"/>
      <c r="D7247" s="59" t="n"/>
      <c r="E7247" s="59" t="n"/>
    </row>
    <row r="7248" ht="30" customHeight="1">
      <c r="A7248" s="60" t="inlineStr">
        <is>
          <t>TC-RS-CALC-010 / ratio-zero</t>
        </is>
      </c>
      <c r="B7248" s="36" t="n"/>
      <c r="C7248" s="36" t="n"/>
      <c r="D7248" s="36" t="n"/>
      <c r="E7248" s="36" t="n"/>
    </row>
    <row r="7249" ht="30" customHeight="1">
      <c r="A7249" s="47" t="inlineStr">
        <is>
          <t>Dữ liệu biến thể</t>
        </is>
      </c>
      <c r="B7249" s="56" t="inlineStr">
        <is>
          <t>Tỷ lệ M0</t>
        </is>
      </c>
      <c r="C7249" s="57" t="n"/>
      <c r="D7249" s="57" t="n"/>
      <c r="E7249" s="57" t="n"/>
    </row>
    <row r="7250" ht="30" customHeight="1">
      <c r="A7250" s="47" t="inlineStr">
        <is>
          <t>Trạng thái</t>
        </is>
      </c>
      <c r="B7250" s="61" t="inlineStr">
        <is>
          <t>Chưa thực hiện</t>
        </is>
      </c>
      <c r="C7250" s="57" t="n"/>
      <c r="D7250" s="57" t="n"/>
      <c r="E7250" s="57" t="n"/>
    </row>
    <row r="7251" ht="30" customHeight="1">
      <c r="A7251" s="62" t="inlineStr">
        <is>
          <t>Kết quả thực tế</t>
        </is>
      </c>
    </row>
    <row r="7252" ht="64" customHeight="1">
      <c r="A7252" s="63" t="inlineStr"/>
      <c r="B7252" s="64" t="n"/>
      <c r="C7252" s="64" t="n"/>
      <c r="D7252" s="64" t="n"/>
      <c r="E7252" s="65" t="n"/>
    </row>
    <row r="7253" ht="30" customHeight="1">
      <c r="A7253" s="62" t="inlineStr">
        <is>
          <t>Ảnh minh chứng</t>
        </is>
      </c>
    </row>
    <row r="7254" ht="90" customHeight="1">
      <c r="A7254" s="63" t="inlineStr"/>
      <c r="B7254" s="64" t="n"/>
      <c r="C7254" s="64" t="n"/>
      <c r="D7254" s="64" t="n"/>
      <c r="E7254" s="65" t="n"/>
    </row>
    <row r="7255" ht="12" customHeight="1">
      <c r="A7255" s="66" t="inlineStr"/>
    </row>
    <row r="7256" ht="30" customHeight="1">
      <c r="A7256" s="60" t="inlineStr">
        <is>
          <t>TC-RS-CALC-010 / ratio-negative</t>
        </is>
      </c>
      <c r="B7256" s="36" t="n"/>
      <c r="C7256" s="36" t="n"/>
      <c r="D7256" s="36" t="n"/>
      <c r="E7256" s="36" t="n"/>
    </row>
    <row r="7257" ht="30" customHeight="1">
      <c r="A7257" s="47" t="inlineStr">
        <is>
          <t>Dữ liệu biến thể</t>
        </is>
      </c>
      <c r="B7257" s="56" t="inlineStr">
        <is>
          <t>Tỷ lệ M âm</t>
        </is>
      </c>
      <c r="C7257" s="57" t="n"/>
      <c r="D7257" s="57" t="n"/>
      <c r="E7257" s="57" t="n"/>
    </row>
    <row r="7258" ht="30" customHeight="1">
      <c r="A7258" s="47" t="inlineStr">
        <is>
          <t>Trạng thái</t>
        </is>
      </c>
      <c r="B7258" s="61" t="inlineStr">
        <is>
          <t>Chưa thực hiện</t>
        </is>
      </c>
      <c r="C7258" s="57" t="n"/>
      <c r="D7258" s="57" t="n"/>
      <c r="E7258" s="57" t="n"/>
    </row>
    <row r="7259" ht="30" customHeight="1">
      <c r="A7259" s="62" t="inlineStr">
        <is>
          <t>Kết quả thực tế</t>
        </is>
      </c>
    </row>
    <row r="7260" ht="64" customHeight="1">
      <c r="A7260" s="63" t="inlineStr"/>
      <c r="B7260" s="64" t="n"/>
      <c r="C7260" s="64" t="n"/>
      <c r="D7260" s="64" t="n"/>
      <c r="E7260" s="65" t="n"/>
    </row>
    <row r="7261" ht="30" customHeight="1">
      <c r="A7261" s="62" t="inlineStr">
        <is>
          <t>Ảnh minh chứng</t>
        </is>
      </c>
    </row>
    <row r="7262" ht="90" customHeight="1">
      <c r="A7262" s="63" t="inlineStr"/>
      <c r="B7262" s="64" t="n"/>
      <c r="C7262" s="64" t="n"/>
      <c r="D7262" s="64" t="n"/>
      <c r="E7262" s="65" t="n"/>
    </row>
    <row r="7263" ht="12" customHeight="1">
      <c r="A7263" s="66" t="inlineStr"/>
    </row>
    <row r="7264" ht="30" customHeight="1">
      <c r="A7264" s="60" t="inlineStr">
        <is>
          <t>TC-RS-CALC-010 / ratio-missing</t>
        </is>
      </c>
      <c r="B7264" s="36" t="n"/>
      <c r="C7264" s="36" t="n"/>
      <c r="D7264" s="36" t="n"/>
      <c r="E7264" s="36" t="n"/>
    </row>
    <row r="7265" ht="30" customHeight="1">
      <c r="A7265" s="47" t="inlineStr">
        <is>
          <t>Dữ liệu biến thể</t>
        </is>
      </c>
      <c r="B7265" s="56" t="inlineStr">
        <is>
          <t>Tỷ lệ M không xác định</t>
        </is>
      </c>
      <c r="C7265" s="57" t="n"/>
      <c r="D7265" s="57" t="n"/>
      <c r="E7265" s="57" t="n"/>
    </row>
    <row r="7266" ht="30" customHeight="1">
      <c r="A7266" s="47" t="inlineStr">
        <is>
          <t>Trạng thái</t>
        </is>
      </c>
      <c r="B7266" s="61" t="inlineStr">
        <is>
          <t>Chưa thực hiện</t>
        </is>
      </c>
      <c r="C7266" s="57" t="n"/>
      <c r="D7266" s="57" t="n"/>
      <c r="E7266" s="57" t="n"/>
    </row>
    <row r="7267" ht="30" customHeight="1">
      <c r="A7267" s="62" t="inlineStr">
        <is>
          <t>Kết quả thực tế</t>
        </is>
      </c>
    </row>
    <row r="7268" ht="64" customHeight="1">
      <c r="A7268" s="63" t="inlineStr"/>
      <c r="B7268" s="64" t="n"/>
      <c r="C7268" s="64" t="n"/>
      <c r="D7268" s="64" t="n"/>
      <c r="E7268" s="65" t="n"/>
    </row>
    <row r="7269" ht="30" customHeight="1">
      <c r="A7269" s="62" t="inlineStr">
        <is>
          <t>Ảnh minh chứng</t>
        </is>
      </c>
    </row>
    <row r="7270" ht="90" customHeight="1">
      <c r="A7270" s="63" t="inlineStr"/>
      <c r="B7270" s="64" t="n"/>
      <c r="C7270" s="64" t="n"/>
      <c r="D7270" s="64" t="n"/>
      <c r="E7270" s="65" t="n"/>
    </row>
    <row r="7271" ht="12" customHeight="1">
      <c r="A7271" s="66" t="inlineStr"/>
    </row>
    <row r="7272" ht="30" customHeight="1">
      <c r="A7272" s="60" t="inlineStr">
        <is>
          <t>TC-RS-CALC-010 / fixed-zero</t>
        </is>
      </c>
      <c r="B7272" s="36" t="n"/>
      <c r="C7272" s="36" t="n"/>
      <c r="D7272" s="36" t="n"/>
      <c r="E7272" s="36" t="n"/>
    </row>
    <row r="7273" ht="30" customHeight="1">
      <c r="A7273" s="47" t="inlineStr">
        <is>
          <t>Dữ liệu biến thể</t>
        </is>
      </c>
      <c r="B7273" s="56" t="inlineStr">
        <is>
          <t>Cố định với M0</t>
        </is>
      </c>
      <c r="C7273" s="57" t="n"/>
      <c r="D7273" s="57" t="n"/>
      <c r="E7273" s="57" t="n"/>
    </row>
    <row r="7274" ht="30" customHeight="1">
      <c r="A7274" s="47" t="inlineStr">
        <is>
          <t>Trạng thái</t>
        </is>
      </c>
      <c r="B7274" s="61" t="inlineStr">
        <is>
          <t>Chưa thực hiện</t>
        </is>
      </c>
      <c r="C7274" s="57" t="n"/>
      <c r="D7274" s="57" t="n"/>
      <c r="E7274" s="57" t="n"/>
    </row>
    <row r="7275" ht="30" customHeight="1">
      <c r="A7275" s="62" t="inlineStr">
        <is>
          <t>Kết quả thực tế</t>
        </is>
      </c>
    </row>
    <row r="7276" ht="64" customHeight="1">
      <c r="A7276" s="63" t="inlineStr"/>
      <c r="B7276" s="64" t="n"/>
      <c r="C7276" s="64" t="n"/>
      <c r="D7276" s="64" t="n"/>
      <c r="E7276" s="65" t="n"/>
    </row>
    <row r="7277" ht="30" customHeight="1">
      <c r="A7277" s="62" t="inlineStr">
        <is>
          <t>Ảnh minh chứng</t>
        </is>
      </c>
    </row>
    <row r="7278" ht="90" customHeight="1">
      <c r="A7278" s="63" t="inlineStr"/>
      <c r="B7278" s="64" t="n"/>
      <c r="C7278" s="64" t="n"/>
      <c r="D7278" s="64" t="n"/>
      <c r="E7278" s="65" t="n"/>
    </row>
    <row r="7279" ht="12" customHeight="1">
      <c r="A7279" s="66" t="inlineStr"/>
    </row>
    <row r="7280" ht="20" customHeight="1">
      <c r="A7280" s="66" t="inlineStr"/>
    </row>
    <row r="7281" ht="30" customHeight="1">
      <c r="A7281" s="46" t="inlineStr">
        <is>
          <t>TC-RS-CALC-011 — Phân giải M: mặc định → đơn vị → lựa chọn lớp</t>
        </is>
      </c>
      <c r="B7281" s="23" t="n"/>
      <c r="C7281" s="23" t="n"/>
      <c r="D7281" s="23" t="n"/>
      <c r="E7281" s="23" t="n"/>
    </row>
    <row r="7282" ht="30" customHeight="1">
      <c r="A7282" s="47" t="inlineStr">
        <is>
          <t>Trạng thái</t>
        </is>
      </c>
      <c r="B7282" s="56">
        <f>IF(0&gt;0,"Không đạt",IF(0=3,"Đạt",IF(SUMPRODUCT(--EXACT('Testcases'!B7304:B7320,"Không thực hiện"))=3,"Không thực hiện",IF(SUMPRODUCT(--EXACT('Testcases'!B7304:B7320,"Bị chặn"))&gt;0,"Bị chặn",IF(SUMPRODUCT(--EXACT('Testcases'!B7304:B7320,"Chưa thực hiện"))=3,"Chưa thực hiện","Chưa đủ kết luận")))))</f>
        <v/>
      </c>
      <c r="C7282" s="57" t="n"/>
      <c r="D7282" s="57" t="n"/>
      <c r="E7282" s="57" t="n"/>
    </row>
    <row r="7283" ht="30" customHeight="1">
      <c r="A7283" s="47" t="inlineStr">
        <is>
          <t>Màn hình / chức năng</t>
        </is>
      </c>
      <c r="B7283" s="47" t="inlineStr">
        <is>
          <t>Thiết lập ngưỡng（基準設定）</t>
        </is>
      </c>
      <c r="C7283" s="57" t="n"/>
      <c r="D7283" s="47" t="inlineStr">
        <is>
          <t>Đường dẫn</t>
        </is>
      </c>
      <c r="E7283" s="56" t="inlineStr">
        <is>
          <t>Chưa xác minh</t>
        </is>
      </c>
    </row>
    <row r="7284" ht="30" customHeight="1">
      <c r="A7284" s="58" t="inlineStr">
        <is>
          <t>Điều kiện kiểm thử</t>
        </is>
      </c>
      <c r="B7284" s="59" t="n"/>
      <c r="C7284" s="59" t="n"/>
      <c r="D7284" s="59" t="n"/>
      <c r="E7284" s="59" t="n"/>
    </row>
    <row r="7285" ht="61" customHeight="1">
      <c r="A7285" s="47" t="inlineStr">
        <is>
          <t>Cấu hình</t>
        </is>
      </c>
      <c r="B7285" s="56" t="inlineStr">
        <is>
          <t>• Mục điểm đơn vị (đơn vị U1 có M riêng 40): mặc định 100;
• U1 riêng 40;
• Lựa chọn lớp ghi đè 50 áp dụng cho G-A. Tỷ lệ 30%, [&lt;].</t>
        </is>
      </c>
      <c r="C7285" s="57" t="n"/>
      <c r="D7285" s="57" t="n"/>
      <c r="E7285" s="57" t="n"/>
    </row>
    <row r="7286" ht="61" customHeight="1">
      <c r="A7286" s="47" t="inlineStr">
        <is>
          <t>Vai trò / quyền</t>
        </is>
      </c>
      <c r="B728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286" s="57" t="n"/>
      <c r="D7286" s="57" t="n"/>
      <c r="E7286" s="57" t="n"/>
    </row>
    <row r="7287" ht="61" customHeight="1">
      <c r="A7287" s="47" t="inlineStr">
        <is>
          <t>Dữ liệu test</t>
        </is>
      </c>
      <c r="B7287" s="56" t="inlineStr">
        <is>
          <t>• Mục điểm đơn vị (đơn vị U1 có M riêng 40);
• S01 (G-A) U1=14;
• S06 (G-B) U1=14, U2=29</t>
        </is>
      </c>
      <c r="C7287" s="57" t="n"/>
      <c r="D7287" s="57" t="n"/>
      <c r="E7287" s="57" t="n"/>
    </row>
    <row r="7288" ht="30" customHeight="1">
      <c r="A7288" s="47" t="inlineStr">
        <is>
          <t>Trigger</t>
        </is>
      </c>
      <c r="B7288" s="56" t="inlineStr">
        <is>
          <t>• Chỉ xem/xuất không tự chạy xét.</t>
        </is>
      </c>
      <c r="C7288" s="57" t="n"/>
      <c r="D7288" s="57" t="n"/>
      <c r="E7288" s="57" t="n"/>
    </row>
    <row r="7289" ht="44" customHeight="1">
      <c r="A7289" s="47" t="inlineStr">
        <is>
          <t>Blocker</t>
        </is>
      </c>
      <c r="B7289" s="56" t="inlineStr">
        <is>
          <t>• G-PREP-UNASSESSED: Chưa có xác minh fixture, đường thực hiện và phép quan sát trên build của từng case chưa đánh giá.</t>
        </is>
      </c>
      <c r="C7289" s="57" t="n"/>
      <c r="D7289" s="57" t="n"/>
      <c r="E7289" s="57" t="n"/>
    </row>
    <row r="7290" ht="30" customHeight="1">
      <c r="A7290" s="58" t="inlineStr">
        <is>
          <t>Thao tác</t>
        </is>
      </c>
      <c r="B7290" s="59" t="n"/>
      <c r="C7290" s="59" t="n"/>
      <c r="D7290" s="59" t="n"/>
      <c r="E7290" s="59" t="n"/>
    </row>
    <row r="7291" ht="30" customHeight="1">
      <c r="A7291" s="47" t="inlineStr">
        <is>
          <t>Step 1</t>
        </is>
      </c>
      <c r="B7291" s="56" t="inlineStr">
        <is>
          <t>Đăng ký các điểm, xem kết quả.</t>
        </is>
      </c>
      <c r="C7291" s="57" t="n"/>
      <c r="D7291" s="57" t="n"/>
      <c r="E7291" s="57" t="n"/>
    </row>
    <row r="7292" ht="44" customHeight="1">
      <c r="A7292" s="47" t="inlineStr">
        <is>
          <t>Step 2</t>
        </is>
      </c>
      <c r="B7292" s="56" t="inlineStr">
        <is>
          <t>Tạo thêm một định nghĩa lựa chọn M=20 ở Thiết lập điểm tối đa（満点設定） nhưng không gán cho G-B; đăng ký lại S06 U1.</t>
        </is>
      </c>
      <c r="C7292" s="57" t="n"/>
      <c r="D7292" s="57" t="n"/>
      <c r="E7292" s="57" t="n"/>
    </row>
    <row r="7293" ht="44" customHeight="1">
      <c r="A7293" s="47" t="inlineStr">
        <is>
          <t>Step 3</t>
        </is>
      </c>
      <c r="B7293" s="56" t="inlineStr">
        <is>
          <t>Chuẩn bị G-B sao cho điểm cao nhất thực tế của U2 là 80 và nhóm tổng hợp chứa lớp có M khác (tổng điểm tối đa nhóm khác 100); đăng ký lại S06 U2 = 29.</t>
        </is>
      </c>
      <c r="C7293" s="57" t="n"/>
      <c r="D7293" s="57" t="n"/>
      <c r="E7293" s="57" t="n"/>
    </row>
    <row r="7294" ht="44" customHeight="1">
      <c r="A7294" s="47" t="inlineStr">
        <is>
          <t>Reset</t>
        </is>
      </c>
      <c r="B7294" s="56" t="inlineStr">
        <is>
          <t>Trước mỗi biến thể, dựng lại điều kiện/dữ liệu đầu của case bằng đường được phép; giữ các reset/fixture độc lập đã nêu trong thủ tục.</t>
        </is>
      </c>
      <c r="C7294" s="57" t="n"/>
      <c r="D7294" s="57" t="n"/>
      <c r="E7294" s="57" t="n"/>
    </row>
    <row r="7295" ht="30" customHeight="1">
      <c r="A7295" s="58" t="inlineStr">
        <is>
          <t>Kết quả mong đợi</t>
        </is>
      </c>
      <c r="B7295" s="59" t="n"/>
      <c r="C7295" s="59" t="n"/>
      <c r="D7295" s="59" t="n"/>
      <c r="E7295" s="59" t="n"/>
    </row>
    <row r="7296" ht="30" customHeight="1">
      <c r="A7296" s="47" t="inlineStr">
        <is>
          <t>1.</t>
        </is>
      </c>
      <c r="B7296" s="56" t="inlineStr">
        <is>
          <t>S01 U1: [M=50], [T=15] → Đỏ. S06 U1: [M=40], [T=12] → Không đỏ. S06 U2: [M=100], [T=30] → Đỏ.</t>
        </is>
      </c>
      <c r="C7296" s="57" t="n"/>
      <c r="D7296" s="57" t="n"/>
      <c r="E7296" s="57" t="n"/>
    </row>
    <row r="7297" ht="30" customHeight="1">
      <c r="A7297" s="47" t="inlineStr">
        <is>
          <t>2.</t>
        </is>
      </c>
      <c r="B7297" s="56" t="inlineStr">
        <is>
          <t>S06 U1 vẫn dùng [M=40] → Không đỏ.</t>
        </is>
      </c>
      <c r="C7297" s="57" t="n"/>
      <c r="D7297" s="57" t="n"/>
      <c r="E7297" s="57" t="n"/>
    </row>
    <row r="7298" ht="44" customHeight="1">
      <c r="A7298" s="47" t="inlineStr">
        <is>
          <t>3.</t>
        </is>
      </c>
      <c r="B7298" s="56" t="inlineStr">
        <is>
          <t>S06 U2 vẫn dùng [M=100], [T=30] → Đỏ; không dùng điểm cao nhất thực tế (80 → [T=24], Không đỏ — sai) hay tổng điểm tối đa nhóm.</t>
        </is>
      </c>
      <c r="C7298" s="57" t="n"/>
      <c r="D7298" s="57" t="n"/>
      <c r="E7298" s="57" t="n"/>
    </row>
    <row r="7299" ht="44" customHeight="1">
      <c r="A7299" s="47" t="inlineStr">
        <is>
          <t>Giữ nguyên</t>
        </is>
      </c>
      <c r="B7299" s="56" t="inlineStr">
        <is>
          <t>• Giữ điểm, cấu hình và đối tượng không đích theo expected;
• Chỉ thay phần thủ tục yêu cầu, không tự đổi oracle hoặc mở rộng phạm vi.</t>
        </is>
      </c>
      <c r="C7299" s="57" t="n"/>
      <c r="D7299" s="57" t="n"/>
      <c r="E7299" s="57" t="n"/>
    </row>
    <row r="7300" ht="61" customHeight="1">
      <c r="A7300" s="47" t="inlineStr">
        <is>
          <t>Quan sát tại</t>
        </is>
      </c>
      <c r="B7300" s="56" t="inlineStr">
        <is>
          <t>• Dùng trích xuất không lọc để thấy cả ô đối chứng. Trạng thái không có dấu đỏ cần đọc thêm trạng thái lưu;
• Output Excel/PDF dùng file thật.</t>
        </is>
      </c>
      <c r="C7300" s="57" t="n"/>
      <c r="D7300" s="57" t="n"/>
      <c r="E7300" s="57" t="n"/>
    </row>
    <row r="7301" ht="30" customHeight="1">
      <c r="A7301" s="58" t="inlineStr">
        <is>
          <t>Kết quả thực tế</t>
        </is>
      </c>
      <c r="B7301" s="59" t="n"/>
      <c r="C7301" s="59" t="n"/>
      <c r="D7301" s="59" t="n"/>
      <c r="E7301" s="59" t="n"/>
    </row>
    <row r="7302" ht="30" customHeight="1">
      <c r="A7302" s="60" t="inlineStr">
        <is>
          <t>TC-RS-CALC-011 / resolution</t>
        </is>
      </c>
      <c r="B7302" s="36" t="n"/>
      <c r="C7302" s="36" t="n"/>
      <c r="D7302" s="36" t="n"/>
      <c r="E7302" s="36" t="n"/>
    </row>
    <row r="7303" ht="30" customHeight="1">
      <c r="A7303" s="47" t="inlineStr">
        <is>
          <t>Dữ liệu biến thể</t>
        </is>
      </c>
      <c r="B7303" s="56" t="inlineStr">
        <is>
          <t>Lượt đầu theo các M hợp lệ</t>
        </is>
      </c>
      <c r="C7303" s="57" t="n"/>
      <c r="D7303" s="57" t="n"/>
      <c r="E7303" s="57" t="n"/>
    </row>
    <row r="7304" ht="30" customHeight="1">
      <c r="A7304" s="47" t="inlineStr">
        <is>
          <t>Trạng thái</t>
        </is>
      </c>
      <c r="B7304" s="61" t="inlineStr">
        <is>
          <t>Chưa thực hiện</t>
        </is>
      </c>
      <c r="C7304" s="57" t="n"/>
      <c r="D7304" s="57" t="n"/>
      <c r="E7304" s="57" t="n"/>
    </row>
    <row r="7305" ht="30" customHeight="1">
      <c r="A7305" s="62" t="inlineStr">
        <is>
          <t>Kết quả thực tế</t>
        </is>
      </c>
    </row>
    <row r="7306" ht="64" customHeight="1">
      <c r="A7306" s="63" t="inlineStr"/>
      <c r="B7306" s="64" t="n"/>
      <c r="C7306" s="64" t="n"/>
      <c r="D7306" s="64" t="n"/>
      <c r="E7306" s="65" t="n"/>
    </row>
    <row r="7307" ht="30" customHeight="1">
      <c r="A7307" s="62" t="inlineStr">
        <is>
          <t>Ảnh minh chứng</t>
        </is>
      </c>
    </row>
    <row r="7308" ht="90" customHeight="1">
      <c r="A7308" s="63" t="inlineStr"/>
      <c r="B7308" s="64" t="n"/>
      <c r="C7308" s="64" t="n"/>
      <c r="D7308" s="64" t="n"/>
      <c r="E7308" s="65" t="n"/>
    </row>
    <row r="7309" ht="12" customHeight="1">
      <c r="A7309" s="66" t="inlineStr"/>
    </row>
    <row r="7310" ht="30" customHeight="1">
      <c r="A7310" s="60" t="inlineStr">
        <is>
          <t>TC-RS-CALC-011 / unassigned</t>
        </is>
      </c>
      <c r="B7310" s="36" t="n"/>
      <c r="C7310" s="36" t="n"/>
      <c r="D7310" s="36" t="n"/>
      <c r="E7310" s="36" t="n"/>
    </row>
    <row r="7311" ht="30" customHeight="1">
      <c r="A7311" s="47" t="inlineStr">
        <is>
          <t>Dữ liệu biến thể</t>
        </is>
      </c>
      <c r="B7311" s="56" t="inlineStr">
        <is>
          <t>Không chọn định nghĩa</t>
        </is>
      </c>
      <c r="C7311" s="57" t="n"/>
      <c r="D7311" s="57" t="n"/>
      <c r="E7311" s="57" t="n"/>
    </row>
    <row r="7312" ht="30" customHeight="1">
      <c r="A7312" s="47" t="inlineStr">
        <is>
          <t>Trạng thái</t>
        </is>
      </c>
      <c r="B7312" s="61" t="inlineStr">
        <is>
          <t>Chưa thực hiện</t>
        </is>
      </c>
      <c r="C7312" s="57" t="n"/>
      <c r="D7312" s="57" t="n"/>
      <c r="E7312" s="57" t="n"/>
    </row>
    <row r="7313" ht="30" customHeight="1">
      <c r="A7313" s="62" t="inlineStr">
        <is>
          <t>Kết quả thực tế</t>
        </is>
      </c>
    </row>
    <row r="7314" ht="64" customHeight="1">
      <c r="A7314" s="63" t="inlineStr"/>
      <c r="B7314" s="64" t="n"/>
      <c r="C7314" s="64" t="n"/>
      <c r="D7314" s="64" t="n"/>
      <c r="E7314" s="65" t="n"/>
    </row>
    <row r="7315" ht="30" customHeight="1">
      <c r="A7315" s="62" t="inlineStr">
        <is>
          <t>Ảnh minh chứng</t>
        </is>
      </c>
    </row>
    <row r="7316" ht="90" customHeight="1">
      <c r="A7316" s="63" t="inlineStr"/>
      <c r="B7316" s="64" t="n"/>
      <c r="C7316" s="64" t="n"/>
      <c r="D7316" s="64" t="n"/>
      <c r="E7316" s="65" t="n"/>
    </row>
    <row r="7317" ht="12" customHeight="1">
      <c r="A7317" s="66" t="inlineStr"/>
    </row>
    <row r="7318" ht="30" customHeight="1">
      <c r="A7318" s="60" t="inlineStr">
        <is>
          <t>TC-RS-CALC-011 / actual80</t>
        </is>
      </c>
      <c r="B7318" s="36" t="n"/>
      <c r="C7318" s="36" t="n"/>
      <c r="D7318" s="36" t="n"/>
      <c r="E7318" s="36" t="n"/>
    </row>
    <row r="7319" ht="30" customHeight="1">
      <c r="A7319" s="47" t="inlineStr">
        <is>
          <t>Dữ liệu biến thể</t>
        </is>
      </c>
      <c r="B7319" s="56" t="inlineStr">
        <is>
          <t>Bước 3, điểm học sinh cao nhất thực tế là 80 nhưng M vẫn 100; không đổi M thành 80</t>
        </is>
      </c>
      <c r="C7319" s="57" t="n"/>
      <c r="D7319" s="57" t="n"/>
      <c r="E7319" s="57" t="n"/>
    </row>
    <row r="7320" ht="30" customHeight="1">
      <c r="A7320" s="47" t="inlineStr">
        <is>
          <t>Trạng thái</t>
        </is>
      </c>
      <c r="B7320" s="61" t="inlineStr">
        <is>
          <t>Chưa thực hiện</t>
        </is>
      </c>
      <c r="C7320" s="57" t="n"/>
      <c r="D7320" s="57" t="n"/>
      <c r="E7320" s="57" t="n"/>
    </row>
    <row r="7321" ht="30" customHeight="1">
      <c r="A7321" s="62" t="inlineStr">
        <is>
          <t>Kết quả thực tế</t>
        </is>
      </c>
    </row>
    <row r="7322" ht="64" customHeight="1">
      <c r="A7322" s="63" t="inlineStr"/>
      <c r="B7322" s="64" t="n"/>
      <c r="C7322" s="64" t="n"/>
      <c r="D7322" s="64" t="n"/>
      <c r="E7322" s="65" t="n"/>
    </row>
    <row r="7323" ht="30" customHeight="1">
      <c r="A7323" s="62" t="inlineStr">
        <is>
          <t>Ảnh minh chứng</t>
        </is>
      </c>
    </row>
    <row r="7324" ht="90" customHeight="1">
      <c r="A7324" s="63" t="inlineStr"/>
      <c r="B7324" s="64" t="n"/>
      <c r="C7324" s="64" t="n"/>
      <c r="D7324" s="64" t="n"/>
      <c r="E7324" s="65" t="n"/>
    </row>
    <row r="7325" ht="12" customHeight="1">
      <c r="A7325" s="66" t="inlineStr"/>
    </row>
    <row r="7326" ht="20" customHeight="1">
      <c r="A7326" s="66" t="inlineStr"/>
    </row>
    <row r="7327" ht="30" customHeight="1">
      <c r="A7327" s="46" t="inlineStr">
        <is>
          <t>TC-RS-CALC-012 — Tỷ lệ dùng M hiện hành, không dùng M của bản tổng hợp đã chốt</t>
        </is>
      </c>
      <c r="B7327" s="23" t="n"/>
      <c r="C7327" s="23" t="n"/>
      <c r="D7327" s="23" t="n"/>
      <c r="E7327" s="23" t="n"/>
    </row>
    <row r="7328" ht="30" customHeight="1">
      <c r="A7328" s="47" t="inlineStr">
        <is>
          <t>Trạng thái</t>
        </is>
      </c>
      <c r="B7328" s="61" t="inlineStr">
        <is>
          <t>Chưa thực hiện</t>
        </is>
      </c>
      <c r="C7328" s="57" t="n"/>
      <c r="D7328" s="57" t="n"/>
      <c r="E7328" s="57" t="n"/>
    </row>
    <row r="7329" ht="30" customHeight="1">
      <c r="A7329" s="47" t="inlineStr">
        <is>
          <t>Màn hình / chức năng</t>
        </is>
      </c>
      <c r="B7329" s="47" t="inlineStr">
        <is>
          <t>Thiết lập ngưỡng（基準設定）</t>
        </is>
      </c>
      <c r="C7329" s="57" t="n"/>
      <c r="D7329" s="47" t="inlineStr">
        <is>
          <t>Đường dẫn</t>
        </is>
      </c>
      <c r="E7329" s="56" t="inlineStr">
        <is>
          <t>Chưa xác minh</t>
        </is>
      </c>
    </row>
    <row r="7330" ht="30" customHeight="1">
      <c r="A7330" s="58" t="inlineStr">
        <is>
          <t>Điều kiện kiểm thử</t>
        </is>
      </c>
      <c r="B7330" s="59" t="n"/>
      <c r="C7330" s="59" t="n"/>
      <c r="D7330" s="59" t="n"/>
      <c r="E7330" s="59" t="n"/>
    </row>
    <row r="7331" ht="30" customHeight="1">
      <c r="A7331" s="47" t="inlineStr">
        <is>
          <t>Cấu hình</t>
        </is>
      </c>
      <c r="B7331" s="56" t="inlineStr">
        <is>
          <t>• Có bản chốt (dummy) tạo khi M=100. Sau đó M hiện hành của mục số nguyên (M=100) đổi thành 50.</t>
        </is>
      </c>
      <c r="C7331" s="57" t="n"/>
      <c r="D7331" s="57" t="n"/>
      <c r="E7331" s="57" t="n"/>
    </row>
    <row r="7332" ht="61" customHeight="1">
      <c r="A7332" s="47" t="inlineStr">
        <is>
          <t>Vai trò / quyền</t>
        </is>
      </c>
      <c r="B733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332" s="57" t="n"/>
      <c r="D7332" s="57" t="n"/>
      <c r="E7332" s="57" t="n"/>
    </row>
    <row r="7333" ht="78" customHeight="1">
      <c r="A7333" s="47" t="inlineStr">
        <is>
          <t>Dữ liệu test</t>
        </is>
      </c>
      <c r="B7333" s="56" t="inlineStr">
        <is>
          <t>• Mục số nguyên (M=100);
• Quy tắc tỷ lệ 30%;
• S = 20;
• Bản tổng hợp đã chốt (trung bình 49.99)</t>
        </is>
      </c>
      <c r="C7333" s="57" t="n"/>
      <c r="D7333" s="57" t="n"/>
      <c r="E7333" s="57" t="n"/>
    </row>
    <row r="7334" ht="30" customHeight="1">
      <c r="A7334" s="47" t="inlineStr">
        <is>
          <t>Trigger</t>
        </is>
      </c>
      <c r="B7334" s="56" t="inlineStr">
        <is>
          <t>• Chỉ xem/xuất không tự chạy xét.</t>
        </is>
      </c>
      <c r="C7334" s="57" t="n"/>
      <c r="D7334" s="57" t="n"/>
      <c r="E7334" s="57" t="n"/>
    </row>
    <row r="7335" ht="44" customHeight="1">
      <c r="A7335" s="47" t="inlineStr">
        <is>
          <t>Blocker</t>
        </is>
      </c>
      <c r="B7335" s="56" t="inlineStr">
        <is>
          <t>• G-PREP-UNASSESSED: Chưa có xác minh fixture, đường thực hiện và phép quan sát trên build của từng case chưa đánh giá.</t>
        </is>
      </c>
      <c r="C7335" s="57" t="n"/>
      <c r="D7335" s="57" t="n"/>
      <c r="E7335" s="57" t="n"/>
    </row>
    <row r="7336" ht="30" customHeight="1">
      <c r="A7336" s="58" t="inlineStr">
        <is>
          <t>Thao tác</t>
        </is>
      </c>
      <c r="B7336" s="59" t="n"/>
      <c r="C7336" s="59" t="n"/>
      <c r="D7336" s="59" t="n"/>
      <c r="E7336" s="59" t="n"/>
    </row>
    <row r="7337" ht="30" customHeight="1">
      <c r="A7337" s="47" t="inlineStr">
        <is>
          <t>•</t>
        </is>
      </c>
      <c r="B7337" s="56" t="inlineStr">
        <is>
          <t>Đăng ký S=20, xem kết quả.</t>
        </is>
      </c>
      <c r="C7337" s="57" t="n"/>
      <c r="D7337" s="57" t="n"/>
      <c r="E7337" s="57" t="n"/>
    </row>
    <row r="7338" ht="44" customHeight="1">
      <c r="A7338" s="47" t="inlineStr">
        <is>
          <t>Reset</t>
        </is>
      </c>
      <c r="B7338" s="56" t="inlineStr">
        <is>
          <t>Trước mỗi biến thể, dựng lại điều kiện/dữ liệu đầu của case bằng đường được phép; giữ các reset/fixture độc lập đã nêu trong thủ tục.</t>
        </is>
      </c>
      <c r="C7338" s="57" t="n"/>
      <c r="D7338" s="57" t="n"/>
      <c r="E7338" s="57" t="n"/>
    </row>
    <row r="7339" ht="30" customHeight="1">
      <c r="A7339" s="58" t="inlineStr">
        <is>
          <t>Kết quả mong đợi</t>
        </is>
      </c>
      <c r="B7339" s="59" t="n"/>
      <c r="C7339" s="59" t="n"/>
      <c r="D7339" s="59" t="n"/>
      <c r="E7339" s="59" t="n"/>
    </row>
    <row r="7340" ht="30" customHeight="1">
      <c r="A7340" s="47" t="inlineStr">
        <is>
          <t>•</t>
        </is>
      </c>
      <c r="B7340" s="56" t="inlineStr">
        <is>
          <t>[T=50×30/100=15] → [20&lt;15] sai → Không đỏ. (Nếu dùng M=100 của bản chốt: [T=30] → Đỏ — sai.)</t>
        </is>
      </c>
      <c r="C7340" s="57" t="n"/>
      <c r="D7340" s="57" t="n"/>
      <c r="E7340" s="57" t="n"/>
    </row>
    <row r="7341" ht="44" customHeight="1">
      <c r="A7341" s="47" t="inlineStr">
        <is>
          <t>Giữ nguyên</t>
        </is>
      </c>
      <c r="B7341" s="56" t="inlineStr">
        <is>
          <t>• Giữ điểm, cấu hình và đối tượng không đích theo expected;
• Chỉ thay phần thủ tục yêu cầu, không tự đổi oracle hoặc mở rộng phạm vi.</t>
        </is>
      </c>
      <c r="C7341" s="57" t="n"/>
      <c r="D7341" s="57" t="n"/>
      <c r="E7341" s="57" t="n"/>
    </row>
    <row r="7342" ht="61" customHeight="1">
      <c r="A7342" s="47" t="inlineStr">
        <is>
          <t>Quan sát tại</t>
        </is>
      </c>
      <c r="B7342" s="56" t="inlineStr">
        <is>
          <t>• Dùng trích xuất không lọc để thấy cả ô đối chứng. Trạng thái không có dấu đỏ cần đọc thêm trạng thái lưu;
• Output Excel/PDF dùng file thật.</t>
        </is>
      </c>
      <c r="C7342" s="57" t="n"/>
      <c r="D7342" s="57" t="n"/>
      <c r="E7342" s="57" t="n"/>
    </row>
    <row r="7343" ht="30" customHeight="1">
      <c r="A7343" s="58" t="inlineStr">
        <is>
          <t>Kết quả thực tế</t>
        </is>
      </c>
      <c r="B7343" s="59" t="n"/>
      <c r="C7343" s="59" t="n"/>
      <c r="D7343" s="59" t="n"/>
      <c r="E7343" s="59" t="n"/>
    </row>
    <row r="7344" ht="30" customHeight="1">
      <c r="A7344" s="47" t="inlineStr">
        <is>
          <t>Dữ liệu biến thể</t>
        </is>
      </c>
      <c r="B7344" s="56" t="inlineStr">
        <is>
          <t>Toàn bộ thủ tục theo đúng thứ tự; các đối chứng cùng fixture được kiểm trong cùng lượt, không bỏ bước</t>
        </is>
      </c>
      <c r="C7344" s="57" t="n"/>
      <c r="D7344" s="57" t="n"/>
      <c r="E7344" s="57" t="n"/>
    </row>
    <row r="7345" ht="30" customHeight="1">
      <c r="A7345" s="62" t="inlineStr">
        <is>
          <t>Kết quả thực tế</t>
        </is>
      </c>
    </row>
    <row r="7346" ht="64" customHeight="1">
      <c r="A7346" s="63" t="inlineStr"/>
      <c r="B7346" s="64" t="n"/>
      <c r="C7346" s="64" t="n"/>
      <c r="D7346" s="64" t="n"/>
      <c r="E7346" s="65" t="n"/>
    </row>
    <row r="7347" ht="30" customHeight="1">
      <c r="A7347" s="62" t="inlineStr">
        <is>
          <t>Ảnh minh chứng</t>
        </is>
      </c>
    </row>
    <row r="7348" ht="90" customHeight="1">
      <c r="A7348" s="63" t="inlineStr"/>
      <c r="B7348" s="64" t="n"/>
      <c r="C7348" s="64" t="n"/>
      <c r="D7348" s="64" t="n"/>
      <c r="E7348" s="65" t="n"/>
    </row>
    <row r="7349" ht="12" customHeight="1">
      <c r="A7349" s="66" t="inlineStr"/>
    </row>
    <row r="7350" ht="20" customHeight="1">
      <c r="A7350" s="66" t="inlineStr"/>
    </row>
    <row r="7351" ht="30" customHeight="1">
      <c r="A7351" s="46" t="inlineStr">
        <is>
          <t>TC-RS-UI-014 — Màn Tỷ lệ điểm tối đa（得点率）: mô tả M và xử lý phần lẻ</t>
        </is>
      </c>
      <c r="B7351" s="23" t="n"/>
      <c r="C7351" s="23" t="n"/>
      <c r="D7351" s="23" t="n"/>
      <c r="E7351" s="23" t="n"/>
    </row>
    <row r="7352" ht="30" customHeight="1">
      <c r="A7352" s="47" t="inlineStr">
        <is>
          <t>Trạng thái</t>
        </is>
      </c>
      <c r="B7352" s="61" t="inlineStr">
        <is>
          <t>Chưa thực hiện</t>
        </is>
      </c>
      <c r="C7352" s="57" t="n"/>
      <c r="D7352" s="57" t="n"/>
      <c r="E7352" s="57" t="n"/>
    </row>
    <row r="7353" ht="30" customHeight="1">
      <c r="A7353" s="47" t="inlineStr">
        <is>
          <t>Màn hình / chức năng</t>
        </is>
      </c>
      <c r="B7353" s="47" t="inlineStr">
        <is>
          <t>Thiết lập ngưỡng（基準設定）</t>
        </is>
      </c>
      <c r="C7353" s="57" t="n"/>
      <c r="D7353" s="47" t="inlineStr">
        <is>
          <t>Đường dẫn</t>
        </is>
      </c>
      <c r="E7353" s="56" t="inlineStr">
        <is>
          <t>Chưa xác minh</t>
        </is>
      </c>
    </row>
    <row r="7354" ht="30" customHeight="1">
      <c r="A7354" s="58" t="inlineStr">
        <is>
          <t>Điều kiện kiểm thử</t>
        </is>
      </c>
      <c r="B7354" s="59" t="n"/>
      <c r="C7354" s="59" t="n"/>
      <c r="D7354" s="59" t="n"/>
      <c r="E7354" s="59" t="n"/>
    </row>
    <row r="7355" ht="30" customHeight="1">
      <c r="A7355" s="47" t="inlineStr">
        <is>
          <t>Cấu hình</t>
        </is>
      </c>
      <c r="B7355" s="56" t="inlineStr">
        <is>
          <t>• Mở ngưỡng, chọn Tỷ lệ điểm tối đa（得点率）.</t>
        </is>
      </c>
      <c r="C7355" s="57" t="n"/>
      <c r="D7355" s="57" t="n"/>
      <c r="E7355" s="57" t="n"/>
    </row>
    <row r="7356" ht="61" customHeight="1">
      <c r="A7356" s="47" t="inlineStr">
        <is>
          <t>Vai trò / quyền</t>
        </is>
      </c>
      <c r="B735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356" s="57" t="n"/>
      <c r="D7356" s="57" t="n"/>
      <c r="E7356" s="57" t="n"/>
    </row>
    <row r="7357" ht="30" customHeight="1">
      <c r="A7357" s="47" t="inlineStr">
        <is>
          <t>Dữ liệu test</t>
        </is>
      </c>
      <c r="B7357" s="56" t="inlineStr">
        <is>
          <t>• Mục số nguyên (M=100)</t>
        </is>
      </c>
      <c r="C7357" s="57" t="n"/>
      <c r="D7357" s="57" t="n"/>
      <c r="E7357" s="57" t="n"/>
    </row>
    <row r="7358" ht="30" customHeight="1">
      <c r="A7358" s="47" t="inlineStr">
        <is>
          <t>Trigger</t>
        </is>
      </c>
      <c r="B7358" s="56" t="inlineStr">
        <is>
          <t>• Chỉ xem/xuất không tự chạy xét.</t>
        </is>
      </c>
      <c r="C7358" s="57" t="n"/>
      <c r="D7358" s="57" t="n"/>
      <c r="E7358" s="57" t="n"/>
    </row>
    <row r="7359" ht="44" customHeight="1">
      <c r="A7359" s="47" t="inlineStr">
        <is>
          <t>Blocker</t>
        </is>
      </c>
      <c r="B7359" s="56" t="inlineStr">
        <is>
          <t>• G-PREP-UNASSESSED: Chưa có xác minh fixture, đường thực hiện và phép quan sát trên build của từng case chưa đánh giá.</t>
        </is>
      </c>
      <c r="C7359" s="57" t="n"/>
      <c r="D7359" s="57" t="n"/>
      <c r="E7359" s="57" t="n"/>
    </row>
    <row r="7360" ht="30" customHeight="1">
      <c r="A7360" s="58" t="inlineStr">
        <is>
          <t>Thao tác</t>
        </is>
      </c>
      <c r="B7360" s="59" t="n"/>
      <c r="C7360" s="59" t="n"/>
      <c r="D7360" s="59" t="n"/>
      <c r="E7360" s="59" t="n"/>
    </row>
    <row r="7361" ht="30" customHeight="1">
      <c r="A7361" s="47" t="inlineStr">
        <is>
          <t>Step 1</t>
        </is>
      </c>
      <c r="B7361" s="56" t="inlineStr">
        <is>
          <t>Xem màn.</t>
        </is>
      </c>
      <c r="C7361" s="57" t="n"/>
      <c r="D7361" s="57" t="n"/>
      <c r="E7361" s="57" t="n"/>
    </row>
    <row r="7362" ht="30" customHeight="1">
      <c r="A7362" s="47" t="inlineStr">
        <is>
          <t>Step 2</t>
        </is>
      </c>
      <c r="B7362" s="56" t="inlineStr">
        <is>
          <t>Chọn Có（する） ở Xử lý phần lẻ.</t>
        </is>
      </c>
      <c r="C7362" s="57" t="n"/>
      <c r="D7362" s="57" t="n"/>
      <c r="E7362" s="57" t="n"/>
    </row>
    <row r="7363" ht="44" customHeight="1">
      <c r="A7363" s="47" t="inlineStr">
        <is>
          <t>Reset</t>
        </is>
      </c>
      <c r="B7363" s="56" t="inlineStr">
        <is>
          <t>Trước mỗi biến thể, dựng lại điều kiện/dữ liệu đầu của case bằng đường được phép; giữ các reset/fixture độc lập đã nêu trong thủ tục.</t>
        </is>
      </c>
      <c r="C7363" s="57" t="n"/>
      <c r="D7363" s="57" t="n"/>
      <c r="E7363" s="57" t="n"/>
    </row>
    <row r="7364" ht="30" customHeight="1">
      <c r="A7364" s="58" t="inlineStr">
        <is>
          <t>Kết quả mong đợi</t>
        </is>
      </c>
      <c r="B7364" s="59" t="n"/>
      <c r="C7364" s="59" t="n"/>
      <c r="D7364" s="59" t="n"/>
      <c r="E7364" s="59" t="n"/>
    </row>
    <row r="7365" ht="44" customHeight="1">
      <c r="A7365" s="47" t="inlineStr">
        <is>
          <t>•</t>
        </is>
      </c>
      <c r="B7365" s="56" t="inlineStr">
        <is>
          <t>Không có khối nguồn trung bình (đặc tả v2 mục 5.6 “Khi nào không cần nguồn?”); Xử lý phần lẻ có Không（しない）/Có（する）, mặc định Không; khi Có thì hiện ô vị trí chữ số và phương thức.</t>
        </is>
      </c>
      <c r="C7365" s="57" t="n"/>
      <c r="D7365" s="57" t="n"/>
      <c r="E7365" s="57" t="n"/>
    </row>
    <row r="7366" ht="44" customHeight="1">
      <c r="A7366" s="47" t="inlineStr">
        <is>
          <t>•</t>
        </is>
      </c>
      <c r="B7366" s="56" t="inlineStr">
        <is>
          <t>Mô tả M theo Figma (PROPOSED): câu chung 「対象の授業・時期・単元に適用される満点を使用」 (dùng điểm tối đa áp dụng cho lớp/kỳ/đơn vị).</t>
        </is>
      </c>
      <c r="C7366" s="57" t="n"/>
      <c r="D7366" s="57" t="n"/>
      <c r="E7366" s="57" t="n"/>
    </row>
    <row r="7367" ht="44" customHeight="1">
      <c r="A7367" s="47" t="inlineStr">
        <is>
          <t>Giữ nguyên</t>
        </is>
      </c>
      <c r="B7367" s="56" t="inlineStr">
        <is>
          <t>• Giữ điểm, cấu hình và đối tượng không đích theo expected;
• Chỉ thay phần thủ tục yêu cầu, không tự đổi oracle hoặc mở rộng phạm vi.</t>
        </is>
      </c>
      <c r="C7367" s="57" t="n"/>
      <c r="D7367" s="57" t="n"/>
      <c r="E7367" s="57" t="n"/>
    </row>
    <row r="7368" ht="61" customHeight="1">
      <c r="A7368" s="47" t="inlineStr">
        <is>
          <t>Quan sát tại</t>
        </is>
      </c>
      <c r="B7368" s="56" t="inlineStr">
        <is>
          <t>• Dùng trích xuất không lọc để thấy cả ô đối chứng. Trạng thái không có dấu đỏ cần đọc thêm trạng thái lưu;
• Output Excel/PDF dùng file thật.</t>
        </is>
      </c>
      <c r="C7368" s="57" t="n"/>
      <c r="D7368" s="57" t="n"/>
      <c r="E7368" s="57" t="n"/>
    </row>
    <row r="7369" ht="30" customHeight="1">
      <c r="A7369" s="58" t="inlineStr">
        <is>
          <t>Kết quả thực tế</t>
        </is>
      </c>
      <c r="B7369" s="59" t="n"/>
      <c r="C7369" s="59" t="n"/>
      <c r="D7369" s="59" t="n"/>
      <c r="E7369" s="59" t="n"/>
    </row>
    <row r="7370" ht="30" customHeight="1">
      <c r="A7370" s="47" t="inlineStr">
        <is>
          <t>Dữ liệu biến thể</t>
        </is>
      </c>
      <c r="B7370" s="56" t="inlineStr">
        <is>
          <t>Toàn bộ thủ tục theo đúng thứ tự; các đối chứng cùng fixture được kiểm trong cùng lượt, không bỏ bước</t>
        </is>
      </c>
      <c r="C7370" s="57" t="n"/>
      <c r="D7370" s="57" t="n"/>
      <c r="E7370" s="57" t="n"/>
    </row>
    <row r="7371" ht="30" customHeight="1">
      <c r="A7371" s="62" t="inlineStr">
        <is>
          <t>Kết quả thực tế</t>
        </is>
      </c>
    </row>
    <row r="7372" ht="64" customHeight="1">
      <c r="A7372" s="63" t="inlineStr"/>
      <c r="B7372" s="64" t="n"/>
      <c r="C7372" s="64" t="n"/>
      <c r="D7372" s="64" t="n"/>
      <c r="E7372" s="65" t="n"/>
    </row>
    <row r="7373" ht="30" customHeight="1">
      <c r="A7373" s="62" t="inlineStr">
        <is>
          <t>Ảnh minh chứng</t>
        </is>
      </c>
    </row>
    <row r="7374" ht="90" customHeight="1">
      <c r="A7374" s="63" t="inlineStr"/>
      <c r="B7374" s="64" t="n"/>
      <c r="C7374" s="64" t="n"/>
      <c r="D7374" s="64" t="n"/>
      <c r="E7374" s="65" t="n"/>
    </row>
    <row r="7375" ht="12" customHeight="1">
      <c r="A7375" s="66" t="inlineStr"/>
    </row>
    <row r="7376" ht="20" customHeight="1">
      <c r="A7376" s="66" t="inlineStr"/>
    </row>
    <row r="7377" ht="30" customHeight="1">
      <c r="A7377" s="46" t="inlineStr">
        <is>
          <t>TC-RS-DATA-002 — Kết quả lưu theo định danh ô; mỗi ô chỉ một kết quả hiện hành</t>
        </is>
      </c>
      <c r="B7377" s="23" t="n"/>
      <c r="C7377" s="23" t="n"/>
      <c r="D7377" s="23" t="n"/>
      <c r="E7377" s="23" t="n"/>
    </row>
    <row r="7378" ht="30" customHeight="1">
      <c r="A7378" s="47" t="inlineStr">
        <is>
          <t>Trạng thái</t>
        </is>
      </c>
      <c r="B7378" s="61" t="inlineStr">
        <is>
          <t>Chưa thực hiện</t>
        </is>
      </c>
      <c r="C7378" s="57" t="n"/>
      <c r="D7378" s="57" t="n"/>
      <c r="E7378" s="57" t="n"/>
    </row>
    <row r="7379" ht="30" customHeight="1">
      <c r="A7379" s="47" t="inlineStr">
        <is>
          <t>Màn hình / chức năng</t>
        </is>
      </c>
      <c r="B7379" s="47" t="inlineStr">
        <is>
          <t>Bảo toàn dữ liệu và cấu hình</t>
        </is>
      </c>
      <c r="C7379" s="57" t="n"/>
      <c r="D7379" s="47" t="inlineStr">
        <is>
          <t>Đường dẫn</t>
        </is>
      </c>
      <c r="E7379" s="56" t="inlineStr">
        <is>
          <t>Chưa xác minh</t>
        </is>
      </c>
    </row>
    <row r="7380" ht="30" customHeight="1">
      <c r="A7380" s="58" t="inlineStr">
        <is>
          <t>Điều kiện kiểm thử</t>
        </is>
      </c>
      <c r="B7380" s="59" t="n"/>
      <c r="C7380" s="59" t="n"/>
      <c r="D7380" s="59" t="n"/>
      <c r="E7380" s="59" t="n"/>
    </row>
    <row r="7381" ht="30" customHeight="1">
      <c r="A7381" s="47" t="inlineStr">
        <is>
          <t>Cấu hình</t>
        </is>
      </c>
      <c r="B7381" s="56" t="inlineStr">
        <is>
          <t>• Đã xét S01 (mục số nguyên (M=100)) và S06 U1/U2 (mục điểm đơn vị (đơn vị U1 có M riêng 40)).</t>
        </is>
      </c>
      <c r="C7381" s="57" t="n"/>
      <c r="D7381" s="57" t="n"/>
      <c r="E7381" s="57" t="n"/>
    </row>
    <row r="7382" ht="61" customHeight="1">
      <c r="A7382" s="47" t="inlineStr">
        <is>
          <t>Vai trò / quyền</t>
        </is>
      </c>
      <c r="B738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382" s="57" t="n"/>
      <c r="D7382" s="57" t="n"/>
      <c r="E7382" s="57" t="n"/>
    </row>
    <row r="7383" ht="61" customHeight="1">
      <c r="A7383" s="47" t="inlineStr">
        <is>
          <t>Dữ liệu test</t>
        </is>
      </c>
      <c r="B7383" s="56" t="inlineStr">
        <is>
          <t>• Mục số nguyên (M=100);
• Học sinh S01 (điểm 29), mục điểm đơn vị (đơn vị U1 có M riêng 40);
• Quy tắc “Cố định 30” (dưới 30) (bước 4)</t>
        </is>
      </c>
      <c r="C7383" s="57" t="n"/>
      <c r="D7383" s="57" t="n"/>
      <c r="E7383" s="57" t="n"/>
    </row>
    <row r="7384" ht="30" customHeight="1">
      <c r="A7384" s="47" t="inlineStr">
        <is>
          <t>Trigger</t>
        </is>
      </c>
      <c r="B7384" s="56" t="inlineStr">
        <is>
          <t>• Chỉ xem/xuất không tự chạy xét.</t>
        </is>
      </c>
      <c r="C7384" s="57" t="n"/>
      <c r="D7384" s="57" t="n"/>
      <c r="E7384" s="57" t="n"/>
    </row>
    <row r="7385" ht="44" customHeight="1">
      <c r="A7385" s="47" t="inlineStr">
        <is>
          <t>Blocker</t>
        </is>
      </c>
      <c r="B7385" s="56" t="inlineStr">
        <is>
          <t>• G-PREP-UNASSESSED: Chưa có xác minh fixture, đường thực hiện và phép quan sát trên build của từng case chưa đánh giá.</t>
        </is>
      </c>
      <c r="C7385" s="57" t="n"/>
      <c r="D7385" s="57" t="n"/>
      <c r="E7385" s="57" t="n"/>
    </row>
    <row r="7386" ht="30" customHeight="1">
      <c r="A7386" s="58" t="inlineStr">
        <is>
          <t>Thao tác</t>
        </is>
      </c>
      <c r="B7386" s="59" t="n"/>
      <c r="C7386" s="59" t="n"/>
      <c r="D7386" s="59" t="n"/>
      <c r="E7386" s="59" t="n"/>
    </row>
    <row r="7387" ht="44" customHeight="1">
      <c r="A7387" s="47" t="inlineStr">
        <is>
          <t>Step 1</t>
        </is>
      </c>
      <c r="B7387" s="56" t="inlineStr">
        <is>
          <t>SELECT [red_score_results] theo [school_id], [year], [evaluate_frame_item_id], [group_id], [student_id], [tangen_id] của các ô.</t>
        </is>
      </c>
      <c r="C7387" s="57" t="n"/>
      <c r="D7387" s="57" t="n"/>
      <c r="E7387" s="57" t="n"/>
    </row>
    <row r="7388" ht="30" customHeight="1">
      <c r="A7388" s="47" t="inlineStr">
        <is>
          <t>Step 2</t>
        </is>
      </c>
      <c r="B7388" s="56" t="inlineStr">
        <is>
          <t>Chạy lại nút cam, SELECT lại.</t>
        </is>
      </c>
      <c r="C7388" s="57" t="n"/>
      <c r="D7388" s="57" t="n"/>
      <c r="E7388" s="57" t="n"/>
    </row>
    <row r="7389" ht="30" customHeight="1">
      <c r="A7389" s="47" t="inlineStr">
        <is>
          <t>Step 3</t>
        </is>
      </c>
      <c r="B7389" s="56" t="inlineStr">
        <is>
          <t>[SHOW INDEX FROM red_score_results].</t>
        </is>
      </c>
      <c r="C7389" s="57" t="n"/>
      <c r="D7389" s="57" t="n"/>
      <c r="E7389" s="57" t="n"/>
    </row>
    <row r="7390" ht="44" customHeight="1">
      <c r="A7390" s="47" t="inlineStr">
        <is>
          <t>Step 4</t>
        </is>
      </c>
      <c r="B7390" s="56" t="inlineStr">
        <is>
          <t>Chuẩn bị hai mục cùng tên Điểm đánh giá（評点） ở hai kỳ khác nhau; chỉ mục kỳ 1 có quy tắc “Cố định 30” (dưới 30). Đăng ký S01 = 25 ở cả hai mục, xem đầu ra và SELECT.</t>
        </is>
      </c>
      <c r="C7390" s="57" t="n"/>
      <c r="D7390" s="57" t="n"/>
      <c r="E7390" s="57" t="n"/>
    </row>
    <row r="7391" ht="44" customHeight="1">
      <c r="A7391" s="47" t="inlineStr">
        <is>
          <t>Step 5</t>
        </is>
      </c>
      <c r="B7391" s="56" t="inlineStr">
        <is>
          <t>Đổi tên mục kỳ 1 và đổi thứ tự cột mục trên khung đánh giá (nếu màn hỗ trợ); xem đầu ra và SELECT lại, chưa chạy xét.</t>
        </is>
      </c>
      <c r="C7391" s="57" t="n"/>
      <c r="D7391" s="57" t="n"/>
      <c r="E7391" s="57" t="n"/>
    </row>
    <row r="7392" ht="44" customHeight="1">
      <c r="A7392" s="47" t="inlineStr">
        <is>
          <t>Reset</t>
        </is>
      </c>
      <c r="B7392" s="56" t="inlineStr">
        <is>
          <t>Trước mỗi biến thể, dựng lại điều kiện/dữ liệu đầu của case bằng đường được phép; giữ các reset/fixture độc lập đã nêu trong thủ tục.</t>
        </is>
      </c>
      <c r="C7392" s="57" t="n"/>
      <c r="D7392" s="57" t="n"/>
      <c r="E7392" s="57" t="n"/>
    </row>
    <row r="7393" ht="30" customHeight="1">
      <c r="A7393" s="58" t="inlineStr">
        <is>
          <t>Kết quả mong đợi</t>
        </is>
      </c>
      <c r="B7393" s="59" t="n"/>
      <c r="C7393" s="59" t="n"/>
      <c r="D7393" s="59" t="n"/>
      <c r="E7393" s="59" t="n"/>
    </row>
    <row r="7394" ht="61" customHeight="1">
      <c r="A7394" s="47" t="inlineStr">
        <is>
          <t>•</t>
        </is>
      </c>
      <c r="B7394" s="56" t="inlineStr">
        <is>
          <t>1–3. Mỗi ô (trường, năm, mục trên khung đánh giá — gồm kỳ/thời điểm, lớp, học sinh, đơn vị) có đúng một dòng hiện hành; U1/U2 của S06 là hai dòng; ô điểm thường có [tangen_id=0]. Chạy lại không tạo dòng thứ hai.</t>
        </is>
      </c>
      <c r="C7394" s="57" t="n"/>
      <c r="D7394" s="57" t="n"/>
      <c r="E7394" s="57" t="n"/>
    </row>
    <row r="7395" ht="44" customHeight="1">
      <c r="A7395" s="47" t="inlineStr">
        <is>
          <t>4.</t>
        </is>
      </c>
      <c r="B7395" s="56" t="inlineStr">
        <is>
          <t>Ô kỳ 1 Đỏ; ô kỳ 2 không có dấu đỏ (không mượn quy tắc hay kết quả của mục cùng tên); hai kết quả gắn đúng [evaluate_frame_item_id] của từng mục.</t>
        </is>
      </c>
      <c r="C7395" s="57" t="n"/>
      <c r="D7395" s="57" t="n"/>
      <c r="E7395" s="57" t="n"/>
    </row>
    <row r="7396" ht="30" customHeight="1">
      <c r="A7396" s="47" t="inlineStr">
        <is>
          <t>5.</t>
        </is>
      </c>
      <c r="B7396" s="56" t="inlineStr">
        <is>
          <t>Kết quả Đỏ vẫn gắn với đúng mục kỳ 1 (không theo số thứ tự cột hay tên mục).</t>
        </is>
      </c>
      <c r="C7396" s="57" t="n"/>
      <c r="D7396" s="57" t="n"/>
      <c r="E7396" s="57" t="n"/>
    </row>
    <row r="7397" ht="44" customHeight="1">
      <c r="A7397" s="47" t="inlineStr">
        <is>
          <t>Giữ nguyên</t>
        </is>
      </c>
      <c r="B7397" s="56" t="inlineStr">
        <is>
          <t>• Giữ điểm, cấu hình và đối tượng không đích theo expected;
• Chỉ thay phần thủ tục yêu cầu, không tự đổi oracle hoặc mở rộng phạm vi.</t>
        </is>
      </c>
      <c r="C7397" s="57" t="n"/>
      <c r="D7397" s="57" t="n"/>
      <c r="E7397" s="57" t="n"/>
    </row>
    <row r="7398" ht="61" customHeight="1">
      <c r="A7398" s="47" t="inlineStr">
        <is>
          <t>Quan sát tại</t>
        </is>
      </c>
      <c r="B7398" s="56" t="inlineStr">
        <is>
          <t>• Dùng trích xuất không lọc để thấy cả ô đối chứng. Trạng thái không có dấu đỏ cần đọc thêm trạng thái lưu;
• Output Excel/PDF dùng file thật.</t>
        </is>
      </c>
      <c r="C7398" s="57" t="n"/>
      <c r="D7398" s="57" t="n"/>
      <c r="E7398" s="57" t="n"/>
    </row>
    <row r="7399" ht="30" customHeight="1">
      <c r="A7399" s="58" t="inlineStr">
        <is>
          <t>Kết quả thực tế</t>
        </is>
      </c>
      <c r="B7399" s="59" t="n"/>
      <c r="C7399" s="59" t="n"/>
      <c r="D7399" s="59" t="n"/>
      <c r="E7399" s="59" t="n"/>
    </row>
    <row r="7400" ht="30" customHeight="1">
      <c r="A7400" s="47" t="inlineStr">
        <is>
          <t>Dữ liệu biến thể</t>
        </is>
      </c>
      <c r="B7400" s="56" t="inlineStr">
        <is>
          <t>Toàn bộ thủ tục theo đúng thứ tự; các đối chứng cùng fixture được kiểm trong cùng lượt, không bỏ bước</t>
        </is>
      </c>
      <c r="C7400" s="57" t="n"/>
      <c r="D7400" s="57" t="n"/>
      <c r="E7400" s="57" t="n"/>
    </row>
    <row r="7401" ht="30" customHeight="1">
      <c r="A7401" s="62" t="inlineStr">
        <is>
          <t>Kết quả thực tế</t>
        </is>
      </c>
    </row>
    <row r="7402" ht="64" customHeight="1">
      <c r="A7402" s="63" t="inlineStr"/>
      <c r="B7402" s="64" t="n"/>
      <c r="C7402" s="64" t="n"/>
      <c r="D7402" s="64" t="n"/>
      <c r="E7402" s="65" t="n"/>
    </row>
    <row r="7403" ht="30" customHeight="1">
      <c r="A7403" s="62" t="inlineStr">
        <is>
          <t>Ảnh minh chứng</t>
        </is>
      </c>
    </row>
    <row r="7404" ht="90" customHeight="1">
      <c r="A7404" s="63" t="inlineStr"/>
      <c r="B7404" s="64" t="n"/>
      <c r="C7404" s="64" t="n"/>
      <c r="D7404" s="64" t="n"/>
      <c r="E7404" s="65" t="n"/>
    </row>
    <row r="7405" ht="12" customHeight="1">
      <c r="A7405" s="66" t="inlineStr"/>
    </row>
    <row r="7406" ht="20" customHeight="1">
      <c r="A7406" s="66" t="inlineStr"/>
    </row>
    <row r="7407" ht="30" customHeight="1">
      <c r="A7407" s="46" t="inlineStr">
        <is>
          <t>TC-RS-DATA-003 — Sáu trạng thái phân biệt được khi lưu</t>
        </is>
      </c>
      <c r="B7407" s="23" t="n"/>
      <c r="C7407" s="23" t="n"/>
      <c r="D7407" s="23" t="n"/>
      <c r="E7407" s="23" t="n"/>
    </row>
    <row r="7408" ht="30" customHeight="1">
      <c r="A7408" s="47" t="inlineStr">
        <is>
          <t>Trạng thái</t>
        </is>
      </c>
      <c r="B7408" s="61" t="inlineStr">
        <is>
          <t>Chưa thực hiện</t>
        </is>
      </c>
      <c r="C7408" s="57" t="n"/>
      <c r="D7408" s="57" t="n"/>
      <c r="E7408" s="57" t="n"/>
    </row>
    <row r="7409" ht="30" customHeight="1">
      <c r="A7409" s="47" t="inlineStr">
        <is>
          <t>Màn hình / chức năng</t>
        </is>
      </c>
      <c r="B7409" s="47" t="inlineStr">
        <is>
          <t>Bảo toàn dữ liệu và cấu hình</t>
        </is>
      </c>
      <c r="C7409" s="57" t="n"/>
      <c r="D7409" s="47" t="inlineStr">
        <is>
          <t>Đường dẫn</t>
        </is>
      </c>
      <c r="E7409" s="56" t="inlineStr">
        <is>
          <t>Chưa xác minh</t>
        </is>
      </c>
    </row>
    <row r="7410" ht="30" customHeight="1">
      <c r="A7410" s="58" t="inlineStr">
        <is>
          <t>Điều kiện kiểm thử</t>
        </is>
      </c>
      <c r="B7410" s="59" t="n"/>
      <c r="C7410" s="59" t="n"/>
      <c r="D7410" s="59" t="n"/>
      <c r="E7410" s="59" t="n"/>
    </row>
    <row r="7411" ht="61" customHeight="1">
      <c r="A7411" s="47" t="inlineStr">
        <is>
          <t>Cấu hình</t>
        </is>
      </c>
      <c r="B7411" s="56" t="inlineStr">
        <is>
          <t>• Có ô ở mỗi trạng thái: Đỏ (S01), Không đỏ (S03), Chưa từng xét (ô mới chưa chạy), Chưa xét được (case “Chưa có kết quả tổng hợp → Chưa xét được, không thay bằng 0 hay nhóm khác”), Không áp dụng (case “Không quy tắc nào khớp khi đủ dữ liệu → Không áp dụng”), Không có điểm (S05).</t>
        </is>
      </c>
      <c r="C7411" s="57" t="n"/>
      <c r="D7411" s="57" t="n"/>
      <c r="E7411" s="57" t="n"/>
    </row>
    <row r="7412" ht="61" customHeight="1">
      <c r="A7412" s="47" t="inlineStr">
        <is>
          <t>Vai trò / quyền</t>
        </is>
      </c>
      <c r="B7412"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412" s="57" t="n"/>
      <c r="D7412" s="57" t="n"/>
      <c r="E7412" s="57" t="n"/>
    </row>
    <row r="7413" ht="44" customHeight="1">
      <c r="A7413" s="47" t="inlineStr">
        <is>
          <t>Dữ liệu test</t>
        </is>
      </c>
      <c r="B7413" s="56" t="inlineStr">
        <is>
          <t>• Quy tắc “Cố định 30” (dưới 30);
• Học sinh S01 (điểm 29), học sinh S03 (điểm 31), học sinh S05 (ô trống)</t>
        </is>
      </c>
      <c r="C7413" s="57" t="n"/>
      <c r="D7413" s="57" t="n"/>
      <c r="E7413" s="57" t="n"/>
    </row>
    <row r="7414" ht="30" customHeight="1">
      <c r="A7414" s="47" t="inlineStr">
        <is>
          <t>Trigger</t>
        </is>
      </c>
      <c r="B7414" s="56" t="inlineStr">
        <is>
          <t>• Chỉ xem/xuất không tự chạy xét.</t>
        </is>
      </c>
      <c r="C7414" s="57" t="n"/>
      <c r="D7414" s="57" t="n"/>
      <c r="E7414" s="57" t="n"/>
    </row>
    <row r="7415" ht="44" customHeight="1">
      <c r="A7415" s="47" t="inlineStr">
        <is>
          <t>Blocker</t>
        </is>
      </c>
      <c r="B7415" s="56" t="inlineStr">
        <is>
          <t>• G-PREP-UNASSESSED: Chưa có xác minh fixture, đường thực hiện và phép quan sát trên build của từng case chưa đánh giá.</t>
        </is>
      </c>
      <c r="C7415" s="57" t="n"/>
      <c r="D7415" s="57" t="n"/>
      <c r="E7415" s="57" t="n"/>
    </row>
    <row r="7416" ht="30" customHeight="1">
      <c r="A7416" s="58" t="inlineStr">
        <is>
          <t>Thao tác</t>
        </is>
      </c>
      <c r="B7416" s="59" t="n"/>
      <c r="C7416" s="59" t="n"/>
      <c r="D7416" s="59" t="n"/>
      <c r="E7416" s="59" t="n"/>
    </row>
    <row r="7417" ht="30" customHeight="1">
      <c r="A7417" s="47" t="inlineStr">
        <is>
          <t>Step 1</t>
        </is>
      </c>
      <c r="B7417" s="56" t="inlineStr">
        <is>
          <t>SELECT [judgment_status], [is_red], [red_score_setting_id], [reason_code] của các ô.</t>
        </is>
      </c>
      <c r="C7417" s="57" t="n"/>
      <c r="D7417" s="57" t="n"/>
      <c r="E7417" s="57" t="n"/>
    </row>
    <row r="7418" ht="30" customHeight="1">
      <c r="A7418" s="47" t="inlineStr">
        <is>
          <t>Step 2</t>
        </is>
      </c>
      <c r="B7418" s="56" t="inlineStr">
        <is>
          <t>Đổi ngưỡng quy tắc “Cố định 30” (dưới 30) thành 35 (chỉ lưu), SELECT lại ô S03.</t>
        </is>
      </c>
      <c r="C7418" s="57" t="n"/>
      <c r="D7418" s="57" t="n"/>
      <c r="E7418" s="57" t="n"/>
    </row>
    <row r="7419" ht="44" customHeight="1">
      <c r="A7419" s="47" t="inlineStr">
        <is>
          <t>Reset</t>
        </is>
      </c>
      <c r="B7419" s="56" t="inlineStr">
        <is>
          <t>Trước mỗi biến thể, dựng lại điều kiện/dữ liệu đầu của case bằng đường được phép; giữ các reset/fixture độc lập đã nêu trong thủ tục.</t>
        </is>
      </c>
      <c r="C7419" s="57" t="n"/>
      <c r="D7419" s="57" t="n"/>
      <c r="E7419" s="57" t="n"/>
    </row>
    <row r="7420" ht="30" customHeight="1">
      <c r="A7420" s="58" t="inlineStr">
        <is>
          <t>Kết quả mong đợi</t>
        </is>
      </c>
      <c r="B7420" s="59" t="n"/>
      <c r="C7420" s="59" t="n"/>
      <c r="D7420" s="59" t="n"/>
      <c r="E7420" s="59" t="n"/>
    </row>
    <row r="7421" ht="78" customHeight="1">
      <c r="A7421" s="47" t="inlineStr">
        <is>
          <t>1.</t>
        </is>
      </c>
      <c r="B7421" s="56" t="inlineStr">
        <is>
          <t>Sáu trạng thái phân biệt được, không gộp Chưa xét được với Không áp dụng hay Không đỏ. Việc dùng cột, mã số, [reason_code] hoặc [red_score_setting_id] cụ thể là phần thiết kế DB cần đối chiếu khi schema được chốt; không dùng mapping đề xuất làm business oracle. Bất kể cách lưu, kết quả quan sát phải phân biệt rõ sáu trạng thái và trạng thái Đang chờ chạy lại.</t>
        </is>
      </c>
      <c r="C7421" s="57" t="n"/>
      <c r="D7421" s="57" t="n"/>
      <c r="E7421" s="57" t="n"/>
    </row>
    <row r="7422" ht="30" customHeight="1">
      <c r="A7422" s="47" t="inlineStr">
        <is>
          <t>2.</t>
        </is>
      </c>
      <c r="B7422" s="56" t="inlineStr">
        <is>
          <t>Dòng của S03 giữ nguyên (đang chờ chạy lại không có trạng thái riêng).</t>
        </is>
      </c>
      <c r="C7422" s="57" t="n"/>
      <c r="D7422" s="57" t="n"/>
      <c r="E7422" s="57" t="n"/>
    </row>
    <row r="7423" ht="44" customHeight="1">
      <c r="A7423" s="47" t="inlineStr">
        <is>
          <t>Giữ nguyên</t>
        </is>
      </c>
      <c r="B7423" s="56" t="inlineStr">
        <is>
          <t>• Giữ điểm, cấu hình và đối tượng không đích theo expected;
• Chỉ thay phần thủ tục yêu cầu, không tự đổi oracle hoặc mở rộng phạm vi.</t>
        </is>
      </c>
      <c r="C7423" s="57" t="n"/>
      <c r="D7423" s="57" t="n"/>
      <c r="E7423" s="57" t="n"/>
    </row>
    <row r="7424" ht="61" customHeight="1">
      <c r="A7424" s="47" t="inlineStr">
        <is>
          <t>Quan sát tại</t>
        </is>
      </c>
      <c r="B7424" s="56" t="inlineStr">
        <is>
          <t>• Dùng trích xuất không lọc để thấy cả ô đối chứng. Trạng thái không có dấu đỏ cần đọc thêm trạng thái lưu;
• Output Excel/PDF dùng file thật.</t>
        </is>
      </c>
      <c r="C7424" s="57" t="n"/>
      <c r="D7424" s="57" t="n"/>
      <c r="E7424" s="57" t="n"/>
    </row>
    <row r="7425" ht="30" customHeight="1">
      <c r="A7425" s="58" t="inlineStr">
        <is>
          <t>Kết quả thực tế</t>
        </is>
      </c>
      <c r="B7425" s="59" t="n"/>
      <c r="C7425" s="59" t="n"/>
      <c r="D7425" s="59" t="n"/>
      <c r="E7425" s="59" t="n"/>
    </row>
    <row r="7426" ht="30" customHeight="1">
      <c r="A7426" s="47" t="inlineStr">
        <is>
          <t>Dữ liệu biến thể</t>
        </is>
      </c>
      <c r="B7426" s="56" t="inlineStr">
        <is>
          <t>Toàn bộ thủ tục theo đúng thứ tự; các đối chứng cùng fixture được kiểm trong cùng lượt, không bỏ bước</t>
        </is>
      </c>
      <c r="C7426" s="57" t="n"/>
      <c r="D7426" s="57" t="n"/>
      <c r="E7426" s="57" t="n"/>
    </row>
    <row r="7427" ht="30" customHeight="1">
      <c r="A7427" s="62" t="inlineStr">
        <is>
          <t>Kết quả thực tế</t>
        </is>
      </c>
    </row>
    <row r="7428" ht="64" customHeight="1">
      <c r="A7428" s="63" t="inlineStr"/>
      <c r="B7428" s="64" t="n"/>
      <c r="C7428" s="64" t="n"/>
      <c r="D7428" s="64" t="n"/>
      <c r="E7428" s="65" t="n"/>
    </row>
    <row r="7429" ht="30" customHeight="1">
      <c r="A7429" s="62" t="inlineStr">
        <is>
          <t>Ảnh minh chứng</t>
        </is>
      </c>
    </row>
    <row r="7430" ht="90" customHeight="1">
      <c r="A7430" s="63" t="inlineStr"/>
      <c r="B7430" s="64" t="n"/>
      <c r="C7430" s="64" t="n"/>
      <c r="D7430" s="64" t="n"/>
      <c r="E7430" s="65" t="n"/>
    </row>
    <row r="7431" ht="12" customHeight="1">
      <c r="A7431" s="66" t="inlineStr"/>
    </row>
    <row r="7432" ht="20" customHeight="1">
      <c r="A7432" s="66" t="inlineStr"/>
    </row>
    <row r="7433" ht="30" customHeight="1">
      <c r="A7433" s="46" t="inlineStr">
        <is>
          <t>TC-RS-DATA-005 — Xét điểm đỏ không ghi đè điểm học sinh</t>
        </is>
      </c>
      <c r="B7433" s="23" t="n"/>
      <c r="C7433" s="23" t="n"/>
      <c r="D7433" s="23" t="n"/>
      <c r="E7433" s="23" t="n"/>
    </row>
    <row r="7434" ht="30" customHeight="1">
      <c r="A7434" s="47" t="inlineStr">
        <is>
          <t>Trạng thái</t>
        </is>
      </c>
      <c r="B7434" s="61" t="inlineStr">
        <is>
          <t>Chưa thực hiện</t>
        </is>
      </c>
      <c r="C7434" s="57" t="n"/>
      <c r="D7434" s="57" t="n"/>
      <c r="E7434" s="57" t="n"/>
    </row>
    <row r="7435" ht="30" customHeight="1">
      <c r="A7435" s="47" t="inlineStr">
        <is>
          <t>Màn hình / chức năng</t>
        </is>
      </c>
      <c r="B7435" s="47" t="inlineStr">
        <is>
          <t>Bảo toàn dữ liệu và cấu hình</t>
        </is>
      </c>
      <c r="C7435" s="57" t="n"/>
      <c r="D7435" s="47" t="inlineStr">
        <is>
          <t>Đường dẫn</t>
        </is>
      </c>
      <c r="E7435" s="56" t="inlineStr">
        <is>
          <t>Chưa xác minh</t>
        </is>
      </c>
    </row>
    <row r="7436" ht="30" customHeight="1">
      <c r="A7436" s="58" t="inlineStr">
        <is>
          <t>Điều kiện kiểm thử</t>
        </is>
      </c>
      <c r="B7436" s="59" t="n"/>
      <c r="C7436" s="59" t="n"/>
      <c r="D7436" s="59" t="n"/>
      <c r="E7436" s="59" t="n"/>
    </row>
    <row r="7437" ht="30" customHeight="1">
      <c r="A7437" s="47" t="inlineStr">
        <is>
          <t>Cấu hình</t>
        </is>
      </c>
      <c r="B7437" s="56" t="inlineStr">
        <is>
          <t>• Học sinh S01–S09 có điểm. quy tắc công thức hai dòng (trung bình ÷ 2 × 0.8) (có làm tròn).</t>
        </is>
      </c>
      <c r="C7437" s="57" t="n"/>
      <c r="D7437" s="57" t="n"/>
      <c r="E7437" s="57" t="n"/>
    </row>
    <row r="7438" ht="61" customHeight="1">
      <c r="A7438" s="47" t="inlineStr">
        <is>
          <t>Vai trò / quyền</t>
        </is>
      </c>
      <c r="B743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438" s="57" t="n"/>
      <c r="D7438" s="57" t="n"/>
      <c r="E7438" s="57" t="n"/>
    </row>
    <row r="7439" ht="44" customHeight="1">
      <c r="A7439" s="47" t="inlineStr">
        <is>
          <t>Dữ liệu test</t>
        </is>
      </c>
      <c r="B7439" s="56" t="inlineStr">
        <is>
          <t>• Quy tắc công thức hai dòng (trung bình ÷ 2 × 0.8);
• Học sinh S01–S09</t>
        </is>
      </c>
      <c r="C7439" s="57" t="n"/>
      <c r="D7439" s="57" t="n"/>
      <c r="E7439" s="57" t="n"/>
    </row>
    <row r="7440" ht="30" customHeight="1">
      <c r="A7440" s="47" t="inlineStr">
        <is>
          <t>Trigger</t>
        </is>
      </c>
      <c r="B7440" s="56" t="inlineStr">
        <is>
          <t>• Chỉ xem/xuất không tự chạy xét.</t>
        </is>
      </c>
      <c r="C7440" s="57" t="n"/>
      <c r="D7440" s="57" t="n"/>
      <c r="E7440" s="57" t="n"/>
    </row>
    <row r="7441" ht="44" customHeight="1">
      <c r="A7441" s="47" t="inlineStr">
        <is>
          <t>Blocker</t>
        </is>
      </c>
      <c r="B7441" s="56" t="inlineStr">
        <is>
          <t>• G-PREP-UNASSESSED: Chưa có xác minh fixture, đường thực hiện và phép quan sát trên build của từng case chưa đánh giá.</t>
        </is>
      </c>
      <c r="C7441" s="57" t="n"/>
      <c r="D7441" s="57" t="n"/>
      <c r="E7441" s="57" t="n"/>
    </row>
    <row r="7442" ht="30" customHeight="1">
      <c r="A7442" s="58" t="inlineStr">
        <is>
          <t>Thao tác</t>
        </is>
      </c>
      <c r="B7442" s="59" t="n"/>
      <c r="C7442" s="59" t="n"/>
      <c r="D7442" s="59" t="n"/>
      <c r="E7442" s="59" t="n"/>
    </row>
    <row r="7443" ht="30" customHeight="1">
      <c r="A7443" s="47" t="inlineStr">
        <is>
          <t>Step 1</t>
        </is>
      </c>
      <c r="B7443" s="56" t="inlineStr">
        <is>
          <t>SELECT điểm trước.</t>
        </is>
      </c>
      <c r="C7443" s="57" t="n"/>
      <c r="D7443" s="57" t="n"/>
      <c r="E7443" s="57" t="n"/>
    </row>
    <row r="7444" ht="30" customHeight="1">
      <c r="A7444" s="47" t="inlineStr">
        <is>
          <t>Step 2</t>
        </is>
      </c>
      <c r="B7444" s="56" t="inlineStr">
        <is>
          <t>Chạy nút cam.</t>
        </is>
      </c>
      <c r="C7444" s="57" t="n"/>
      <c r="D7444" s="57" t="n"/>
      <c r="E7444" s="57" t="n"/>
    </row>
    <row r="7445" ht="30" customHeight="1">
      <c r="A7445" s="47" t="inlineStr">
        <is>
          <t>Step 3</t>
        </is>
      </c>
      <c r="B7445" s="56" t="inlineStr">
        <is>
          <t>SELECT điểm sau.</t>
        </is>
      </c>
      <c r="C7445" s="57" t="n"/>
      <c r="D7445" s="57" t="n"/>
      <c r="E7445" s="57" t="n"/>
    </row>
    <row r="7446" ht="44" customHeight="1">
      <c r="A7446" s="47" t="inlineStr">
        <is>
          <t>Reset</t>
        </is>
      </c>
      <c r="B7446" s="56" t="inlineStr">
        <is>
          <t>Trước mỗi biến thể, dựng lại điều kiện/dữ liệu đầu của case bằng đường được phép; giữ các reset/fixture độc lập đã nêu trong thủ tục.</t>
        </is>
      </c>
      <c r="C7446" s="57" t="n"/>
      <c r="D7446" s="57" t="n"/>
      <c r="E7446" s="57" t="n"/>
    </row>
    <row r="7447" ht="30" customHeight="1">
      <c r="A7447" s="58" t="inlineStr">
        <is>
          <t>Kết quả mong đợi</t>
        </is>
      </c>
      <c r="B7447" s="59" t="n"/>
      <c r="C7447" s="59" t="n"/>
      <c r="D7447" s="59" t="n"/>
      <c r="E7447" s="59" t="n"/>
    </row>
    <row r="7448" ht="30" customHeight="1">
      <c r="A7448" s="47" t="inlineStr">
        <is>
          <t>•</t>
        </is>
      </c>
      <c r="B7448" s="56" t="inlineStr">
        <is>
          <t>Mọi điểm giữ nguyên (kể cả S09=29.5).</t>
        </is>
      </c>
      <c r="C7448" s="57" t="n"/>
      <c r="D7448" s="57" t="n"/>
      <c r="E7448" s="57" t="n"/>
    </row>
    <row r="7449" ht="44" customHeight="1">
      <c r="A7449" s="47" t="inlineStr">
        <is>
          <t>Giữ nguyên</t>
        </is>
      </c>
      <c r="B7449" s="56" t="inlineStr">
        <is>
          <t>• Giữ điểm, cấu hình và đối tượng không đích theo expected;
• Chỉ thay phần thủ tục yêu cầu, không tự đổi oracle hoặc mở rộng phạm vi.</t>
        </is>
      </c>
      <c r="C7449" s="57" t="n"/>
      <c r="D7449" s="57" t="n"/>
      <c r="E7449" s="57" t="n"/>
    </row>
    <row r="7450" ht="61" customHeight="1">
      <c r="A7450" s="47" t="inlineStr">
        <is>
          <t>Quan sát tại</t>
        </is>
      </c>
      <c r="B7450" s="56" t="inlineStr">
        <is>
          <t>• Dùng trích xuất không lọc để thấy cả ô đối chứng. Trạng thái không có dấu đỏ cần đọc thêm trạng thái lưu;
• Output Excel/PDF dùng file thật.</t>
        </is>
      </c>
      <c r="C7450" s="57" t="n"/>
      <c r="D7450" s="57" t="n"/>
      <c r="E7450" s="57" t="n"/>
    </row>
    <row r="7451" ht="30" customHeight="1">
      <c r="A7451" s="58" t="inlineStr">
        <is>
          <t>Kết quả thực tế</t>
        </is>
      </c>
      <c r="B7451" s="59" t="n"/>
      <c r="C7451" s="59" t="n"/>
      <c r="D7451" s="59" t="n"/>
      <c r="E7451" s="59" t="n"/>
    </row>
    <row r="7452" ht="30" customHeight="1">
      <c r="A7452" s="47" t="inlineStr">
        <is>
          <t>Dữ liệu biến thể</t>
        </is>
      </c>
      <c r="B7452" s="56" t="inlineStr">
        <is>
          <t>Toàn bộ thủ tục theo đúng thứ tự; các đối chứng cùng fixture được kiểm trong cùng lượt, không bỏ bước</t>
        </is>
      </c>
      <c r="C7452" s="57" t="n"/>
      <c r="D7452" s="57" t="n"/>
      <c r="E7452" s="57" t="n"/>
    </row>
    <row r="7453" ht="30" customHeight="1">
      <c r="A7453" s="62" t="inlineStr">
        <is>
          <t>Kết quả thực tế</t>
        </is>
      </c>
    </row>
    <row r="7454" ht="64" customHeight="1">
      <c r="A7454" s="63" t="inlineStr"/>
      <c r="B7454" s="64" t="n"/>
      <c r="C7454" s="64" t="n"/>
      <c r="D7454" s="64" t="n"/>
      <c r="E7454" s="65" t="n"/>
    </row>
    <row r="7455" ht="30" customHeight="1">
      <c r="A7455" s="62" t="inlineStr">
        <is>
          <t>Ảnh minh chứng</t>
        </is>
      </c>
    </row>
    <row r="7456" ht="90" customHeight="1">
      <c r="A7456" s="63" t="inlineStr"/>
      <c r="B7456" s="64" t="n"/>
      <c r="C7456" s="64" t="n"/>
      <c r="D7456" s="64" t="n"/>
      <c r="E7456" s="65" t="n"/>
    </row>
    <row r="7457" ht="12" customHeight="1">
      <c r="A7457" s="66" t="inlineStr"/>
    </row>
    <row r="7458" ht="20" customHeight="1">
      <c r="A7458" s="66" t="inlineStr"/>
    </row>
    <row r="7459" ht="30" customHeight="1">
      <c r="A7459" s="46" t="inlineStr">
        <is>
          <t>TC-RS-DATA-007 — Cấu hình trình bày ở từng đầu ra lưu riêng, không làm đổi quy tắc/kết quả</t>
        </is>
      </c>
      <c r="B7459" s="23" t="n"/>
      <c r="C7459" s="23" t="n"/>
      <c r="D7459" s="23" t="n"/>
      <c r="E7459" s="23" t="n"/>
    </row>
    <row r="7460" ht="30" customHeight="1">
      <c r="A7460" s="47" t="inlineStr">
        <is>
          <t>Trạng thái</t>
        </is>
      </c>
      <c r="B7460" s="56">
        <f>IF(0&gt;0,"Không đạt",IF(0=3,"Đạt",IF(SUMPRODUCT(--EXACT('Testcases'!B7479:B7495,"Không thực hiện"))=3,"Không thực hiện",IF(SUMPRODUCT(--EXACT('Testcases'!B7479:B7495,"Bị chặn"))&gt;0,"Bị chặn",IF(SUMPRODUCT(--EXACT('Testcases'!B7479:B7495,"Chưa thực hiện"))=3,"Chưa thực hiện","Chưa đủ kết luận")))))</f>
        <v/>
      </c>
      <c r="C7460" s="57" t="n"/>
      <c r="D7460" s="57" t="n"/>
      <c r="E7460" s="57" t="n"/>
    </row>
    <row r="7461" ht="30" customHeight="1">
      <c r="A7461" s="47" t="inlineStr">
        <is>
          <t>Màn hình / chức năng</t>
        </is>
      </c>
      <c r="B7461" s="47" t="inlineStr">
        <is>
          <t>Bảo toàn dữ liệu và cấu hình</t>
        </is>
      </c>
      <c r="C7461" s="57" t="n"/>
      <c r="D7461" s="47" t="inlineStr">
        <is>
          <t>Đường dẫn</t>
        </is>
      </c>
      <c r="E7461" s="56" t="inlineStr">
        <is>
          <t>Chưa xác minh</t>
        </is>
      </c>
    </row>
    <row r="7462" ht="30" customHeight="1">
      <c r="A7462" s="58" t="inlineStr">
        <is>
          <t>Điều kiện kiểm thử</t>
        </is>
      </c>
      <c r="B7462" s="59" t="n"/>
      <c r="C7462" s="59" t="n"/>
      <c r="D7462" s="59" t="n"/>
      <c r="E7462" s="59" t="n"/>
    </row>
    <row r="7463" ht="44" customHeight="1">
      <c r="A7463" s="47" t="inlineStr">
        <is>
          <t>Cấu hình</t>
        </is>
      </c>
      <c r="B7463" s="56" t="inlineStr">
        <is>
          <t>• Cấu hình trích xuất: lọc, ký hiệu “*” phía trước, tô màu, cấu hình công khai: “*” phía trước, cấu hình phiếu điểm: ký tự “※” phía trước.</t>
        </is>
      </c>
      <c r="C7463" s="57" t="n"/>
      <c r="D7463" s="57" t="n"/>
      <c r="E7463" s="57" t="n"/>
    </row>
    <row r="7464" ht="61" customHeight="1">
      <c r="A7464" s="47" t="inlineStr">
        <is>
          <t>Vai trò / quyền</t>
        </is>
      </c>
      <c r="B746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464" s="57" t="n"/>
      <c r="D7464" s="57" t="n"/>
      <c r="E7464" s="57" t="n"/>
    </row>
    <row r="7465" ht="44" customHeight="1">
      <c r="A7465" s="47" t="inlineStr">
        <is>
          <t>Dữ liệu test</t>
        </is>
      </c>
      <c r="B7465" s="56" t="inlineStr">
        <is>
          <t>• Cấu hình trích xuất: lọc, ký hiệu “*” phía trước, tô màu, cấu hình công khai: “*” phía trước, cấu hình phiếu điểm: ký tự “※” phía trước</t>
        </is>
      </c>
      <c r="C7465" s="57" t="n"/>
      <c r="D7465" s="57" t="n"/>
      <c r="E7465" s="57" t="n"/>
    </row>
    <row r="7466" ht="30" customHeight="1">
      <c r="A7466" s="47" t="inlineStr">
        <is>
          <t>Trigger</t>
        </is>
      </c>
      <c r="B7466" s="56" t="inlineStr">
        <is>
          <t>• Chỉ xem/xuất không tự chạy xét.</t>
        </is>
      </c>
      <c r="C7466" s="57" t="n"/>
      <c r="D7466" s="57" t="n"/>
      <c r="E7466" s="57" t="n"/>
    </row>
    <row r="7467" ht="44" customHeight="1">
      <c r="A7467" s="47" t="inlineStr">
        <is>
          <t>Blocker</t>
        </is>
      </c>
      <c r="B7467" s="56" t="inlineStr">
        <is>
          <t>• G-PREP-UNASSESSED: Chưa có xác minh fixture, đường thực hiện và phép quan sát trên build của từng case chưa đánh giá.</t>
        </is>
      </c>
      <c r="C7467" s="57" t="n"/>
      <c r="D7467" s="57" t="n"/>
      <c r="E7467" s="57" t="n"/>
    </row>
    <row r="7468" ht="30" customHeight="1">
      <c r="A7468" s="58" t="inlineStr">
        <is>
          <t>Thao tác</t>
        </is>
      </c>
      <c r="B7468" s="59" t="n"/>
      <c r="C7468" s="59" t="n"/>
      <c r="D7468" s="59" t="n"/>
      <c r="E7468" s="59" t="n"/>
    </row>
    <row r="7469" ht="30" customHeight="1">
      <c r="A7469" s="47" t="inlineStr">
        <is>
          <t>Step 1</t>
        </is>
      </c>
      <c r="B7469" s="56" t="inlineStr">
        <is>
          <t>Đổi từng cấu hình đầu ra, lưu.</t>
        </is>
      </c>
      <c r="C7469" s="57" t="n"/>
      <c r="D7469" s="57" t="n"/>
      <c r="E7469" s="57" t="n"/>
    </row>
    <row r="7470" ht="30" customHeight="1">
      <c r="A7470" s="47" t="inlineStr">
        <is>
          <t>Step 2</t>
        </is>
      </c>
      <c r="B7470" s="56" t="inlineStr">
        <is>
          <t>Kiểm quy tắc và kết quả xét.</t>
        </is>
      </c>
      <c r="C7470" s="57" t="n"/>
      <c r="D7470" s="57" t="n"/>
      <c r="E7470" s="57" t="n"/>
    </row>
    <row r="7471" ht="44" customHeight="1">
      <c r="A7471" s="47" t="inlineStr">
        <is>
          <t>Reset</t>
        </is>
      </c>
      <c r="B7471" s="56" t="inlineStr">
        <is>
          <t>Trước mỗi biến thể, dựng lại điều kiện/dữ liệu đầu của case bằng đường được phép; giữ các reset/fixture độc lập đã nêu trong thủ tục.</t>
        </is>
      </c>
      <c r="C7471" s="57" t="n"/>
      <c r="D7471" s="57" t="n"/>
      <c r="E7471" s="57" t="n"/>
    </row>
    <row r="7472" ht="30" customHeight="1">
      <c r="A7472" s="58" t="inlineStr">
        <is>
          <t>Kết quả mong đợi</t>
        </is>
      </c>
      <c r="B7472" s="59" t="n"/>
      <c r="C7472" s="59" t="n"/>
      <c r="D7472" s="59" t="n"/>
      <c r="E7472" s="59" t="n"/>
    </row>
    <row r="7473" ht="30" customHeight="1">
      <c r="A7473" s="47" t="inlineStr">
        <is>
          <t>•</t>
        </is>
      </c>
      <c r="B7473" s="56" t="inlineStr">
        <is>
          <t>Quy tắc và kết quả không đổi; cấu hình mỗi đầu ra độc lập (đổi công khai không đổi trích xuất).</t>
        </is>
      </c>
      <c r="C7473" s="57" t="n"/>
      <c r="D7473" s="57" t="n"/>
      <c r="E7473" s="57" t="n"/>
    </row>
    <row r="7474" ht="44" customHeight="1">
      <c r="A7474" s="47" t="inlineStr">
        <is>
          <t>Giữ nguyên</t>
        </is>
      </c>
      <c r="B7474" s="56" t="inlineStr">
        <is>
          <t>• Giữ điểm, cấu hình và đối tượng không đích theo expected;
• Chỉ thay phần thủ tục yêu cầu, không tự đổi oracle hoặc mở rộng phạm vi.</t>
        </is>
      </c>
      <c r="C7474" s="57" t="n"/>
      <c r="D7474" s="57" t="n"/>
      <c r="E7474" s="57" t="n"/>
    </row>
    <row r="7475" ht="61" customHeight="1">
      <c r="A7475" s="47" t="inlineStr">
        <is>
          <t>Quan sát tại</t>
        </is>
      </c>
      <c r="B7475" s="56" t="inlineStr">
        <is>
          <t>• Dùng trích xuất không lọc để thấy cả ô đối chứng. Trạng thái không có dấu đỏ cần đọc thêm trạng thái lưu;
• Output Excel/PDF dùng file thật.</t>
        </is>
      </c>
      <c r="C7475" s="57" t="n"/>
      <c r="D7475" s="57" t="n"/>
      <c r="E7475" s="57" t="n"/>
    </row>
    <row r="7476" ht="30" customHeight="1">
      <c r="A7476" s="58" t="inlineStr">
        <is>
          <t>Kết quả thực tế</t>
        </is>
      </c>
      <c r="B7476" s="59" t="n"/>
      <c r="C7476" s="59" t="n"/>
      <c r="D7476" s="59" t="n"/>
      <c r="E7476" s="59" t="n"/>
    </row>
    <row r="7477" ht="30" customHeight="1">
      <c r="A7477" s="60" t="inlineStr">
        <is>
          <t>TC-RS-DATA-007 / extract</t>
        </is>
      </c>
      <c r="B7477" s="36" t="n"/>
      <c r="C7477" s="36" t="n"/>
      <c r="D7477" s="36" t="n"/>
      <c r="E7477" s="36" t="n"/>
    </row>
    <row r="7478" ht="30" customHeight="1">
      <c r="A7478" s="47" t="inlineStr">
        <is>
          <t>Dữ liệu biến thể</t>
        </is>
      </c>
      <c r="B7478" s="56" t="inlineStr">
        <is>
          <t>Cấu hình trích xuất</t>
        </is>
      </c>
      <c r="C7478" s="57" t="n"/>
      <c r="D7478" s="57" t="n"/>
      <c r="E7478" s="57" t="n"/>
    </row>
    <row r="7479" ht="30" customHeight="1">
      <c r="A7479" s="47" t="inlineStr">
        <is>
          <t>Trạng thái</t>
        </is>
      </c>
      <c r="B7479" s="61" t="inlineStr">
        <is>
          <t>Chưa thực hiện</t>
        </is>
      </c>
      <c r="C7479" s="57" t="n"/>
      <c r="D7479" s="57" t="n"/>
      <c r="E7479" s="57" t="n"/>
    </row>
    <row r="7480" ht="30" customHeight="1">
      <c r="A7480" s="62" t="inlineStr">
        <is>
          <t>Kết quả thực tế</t>
        </is>
      </c>
    </row>
    <row r="7481" ht="64" customHeight="1">
      <c r="A7481" s="63" t="inlineStr"/>
      <c r="B7481" s="64" t="n"/>
      <c r="C7481" s="64" t="n"/>
      <c r="D7481" s="64" t="n"/>
      <c r="E7481" s="65" t="n"/>
    </row>
    <row r="7482" ht="30" customHeight="1">
      <c r="A7482" s="62" t="inlineStr">
        <is>
          <t>Ảnh minh chứng</t>
        </is>
      </c>
    </row>
    <row r="7483" ht="90" customHeight="1">
      <c r="A7483" s="63" t="inlineStr"/>
      <c r="B7483" s="64" t="n"/>
      <c r="C7483" s="64" t="n"/>
      <c r="D7483" s="64" t="n"/>
      <c r="E7483" s="65" t="n"/>
    </row>
    <row r="7484" ht="12" customHeight="1">
      <c r="A7484" s="66" t="inlineStr"/>
    </row>
    <row r="7485" ht="30" customHeight="1">
      <c r="A7485" s="60" t="inlineStr">
        <is>
          <t>TC-RS-DATA-007 / publish</t>
        </is>
      </c>
      <c r="B7485" s="36" t="n"/>
      <c r="C7485" s="36" t="n"/>
      <c r="D7485" s="36" t="n"/>
      <c r="E7485" s="36" t="n"/>
    </row>
    <row r="7486" ht="30" customHeight="1">
      <c r="A7486" s="47" t="inlineStr">
        <is>
          <t>Dữ liệu biến thể</t>
        </is>
      </c>
      <c r="B7486" s="56" t="inlineStr">
        <is>
          <t>Cấu hình công khai</t>
        </is>
      </c>
      <c r="C7486" s="57" t="n"/>
      <c r="D7486" s="57" t="n"/>
      <c r="E7486" s="57" t="n"/>
    </row>
    <row r="7487" ht="30" customHeight="1">
      <c r="A7487" s="47" t="inlineStr">
        <is>
          <t>Trạng thái</t>
        </is>
      </c>
      <c r="B7487" s="61" t="inlineStr">
        <is>
          <t>Chưa thực hiện</t>
        </is>
      </c>
      <c r="C7487" s="57" t="n"/>
      <c r="D7487" s="57" t="n"/>
      <c r="E7487" s="57" t="n"/>
    </row>
    <row r="7488" ht="30" customHeight="1">
      <c r="A7488" s="62" t="inlineStr">
        <is>
          <t>Kết quả thực tế</t>
        </is>
      </c>
    </row>
    <row r="7489" ht="64" customHeight="1">
      <c r="A7489" s="63" t="inlineStr"/>
      <c r="B7489" s="64" t="n"/>
      <c r="C7489" s="64" t="n"/>
      <c r="D7489" s="64" t="n"/>
      <c r="E7489" s="65" t="n"/>
    </row>
    <row r="7490" ht="30" customHeight="1">
      <c r="A7490" s="62" t="inlineStr">
        <is>
          <t>Ảnh minh chứng</t>
        </is>
      </c>
    </row>
    <row r="7491" ht="90" customHeight="1">
      <c r="A7491" s="63" t="inlineStr"/>
      <c r="B7491" s="64" t="n"/>
      <c r="C7491" s="64" t="n"/>
      <c r="D7491" s="64" t="n"/>
      <c r="E7491" s="65" t="n"/>
    </row>
    <row r="7492" ht="12" customHeight="1">
      <c r="A7492" s="66" t="inlineStr"/>
    </row>
    <row r="7493" ht="30" customHeight="1">
      <c r="A7493" s="60" t="inlineStr">
        <is>
          <t>TC-RS-DATA-007 / report</t>
        </is>
      </c>
      <c r="B7493" s="36" t="n"/>
      <c r="C7493" s="36" t="n"/>
      <c r="D7493" s="36" t="n"/>
      <c r="E7493" s="36" t="n"/>
    </row>
    <row r="7494" ht="30" customHeight="1">
      <c r="A7494" s="47" t="inlineStr">
        <is>
          <t>Dữ liệu biến thể</t>
        </is>
      </c>
      <c r="B7494" s="56" t="inlineStr">
        <is>
          <t>Cấu hình phiếu điểm</t>
        </is>
      </c>
      <c r="C7494" s="57" t="n"/>
      <c r="D7494" s="57" t="n"/>
      <c r="E7494" s="57" t="n"/>
    </row>
    <row r="7495" ht="30" customHeight="1">
      <c r="A7495" s="47" t="inlineStr">
        <is>
          <t>Trạng thái</t>
        </is>
      </c>
      <c r="B7495" s="61" t="inlineStr">
        <is>
          <t>Chưa thực hiện</t>
        </is>
      </c>
      <c r="C7495" s="57" t="n"/>
      <c r="D7495" s="57" t="n"/>
      <c r="E7495" s="57" t="n"/>
    </row>
    <row r="7496" ht="30" customHeight="1">
      <c r="A7496" s="62" t="inlineStr">
        <is>
          <t>Kết quả thực tế</t>
        </is>
      </c>
    </row>
    <row r="7497" ht="64" customHeight="1">
      <c r="A7497" s="63" t="inlineStr"/>
      <c r="B7497" s="64" t="n"/>
      <c r="C7497" s="64" t="n"/>
      <c r="D7497" s="64" t="n"/>
      <c r="E7497" s="65" t="n"/>
    </row>
    <row r="7498" ht="30" customHeight="1">
      <c r="A7498" s="62" t="inlineStr">
        <is>
          <t>Ảnh minh chứng</t>
        </is>
      </c>
    </row>
    <row r="7499" ht="90" customHeight="1">
      <c r="A7499" s="63" t="inlineStr"/>
      <c r="B7499" s="64" t="n"/>
      <c r="C7499" s="64" t="n"/>
      <c r="D7499" s="64" t="n"/>
      <c r="E7499" s="65" t="n"/>
    </row>
    <row r="7500" ht="12" customHeight="1">
      <c r="A7500" s="66" t="inlineStr"/>
    </row>
    <row r="7501" ht="20" customHeight="1">
      <c r="A7501" s="66" t="inlineStr"/>
    </row>
    <row r="7502" ht="30" customHeight="1">
      <c r="A7502" s="46" t="inlineStr">
        <is>
          <t>TC-RS-DATA-008 — Lưu thông tin giải thích kết quả</t>
        </is>
      </c>
      <c r="B7502" s="23" t="n"/>
      <c r="C7502" s="23" t="n"/>
      <c r="D7502" s="23" t="n"/>
      <c r="E7502" s="23" t="n"/>
    </row>
    <row r="7503" ht="30" customHeight="1">
      <c r="A7503" s="47" t="inlineStr">
        <is>
          <t>Trạng thái</t>
        </is>
      </c>
      <c r="B7503" s="61" t="inlineStr">
        <is>
          <t>Chưa thực hiện</t>
        </is>
      </c>
      <c r="C7503" s="57" t="n"/>
      <c r="D7503" s="57" t="n"/>
      <c r="E7503" s="57" t="n"/>
    </row>
    <row r="7504" ht="30" customHeight="1">
      <c r="A7504" s="47" t="inlineStr">
        <is>
          <t>Màn hình / chức năng</t>
        </is>
      </c>
      <c r="B7504" s="47" t="inlineStr">
        <is>
          <t>Bảo toàn dữ liệu và cấu hình</t>
        </is>
      </c>
      <c r="C7504" s="57" t="n"/>
      <c r="D7504" s="47" t="inlineStr">
        <is>
          <t>Đường dẫn</t>
        </is>
      </c>
      <c r="E7504" s="56" t="inlineStr">
        <is>
          <t>Chưa xác minh</t>
        </is>
      </c>
    </row>
    <row r="7505" ht="30" customHeight="1">
      <c r="A7505" s="58" t="inlineStr">
        <is>
          <t>Điều kiện kiểm thử</t>
        </is>
      </c>
      <c r="B7505" s="59" t="n"/>
      <c r="C7505" s="59" t="n"/>
      <c r="D7505" s="59" t="n"/>
      <c r="E7505" s="59" t="n"/>
    </row>
    <row r="7506" ht="61" customHeight="1">
      <c r="A7506" s="47" t="inlineStr">
        <is>
          <t>Cấu hình</t>
        </is>
      </c>
      <c r="B7506" s="56" t="inlineStr">
        <is>
          <t>• Có ô Đỏ, ô Chưa xét được, ô Không áp dụng và (nếu tạo được) một ô chưa từng xét đã có dòng điều khiển;
• Một ô dùng quy tắc Tỷ lệ (quy tắc tỷ lệ 30%);
• Một ô dùng quy tắc có nguồn trung bình (quy tắc công thức hai dòng (trung bình ÷ 2 × 0.8)).</t>
        </is>
      </c>
      <c r="C7506" s="57" t="n"/>
      <c r="D7506" s="57" t="n"/>
      <c r="E7506" s="57" t="n"/>
    </row>
    <row r="7507" ht="61" customHeight="1">
      <c r="A7507" s="47" t="inlineStr">
        <is>
          <t>Vai trò / quyền</t>
        </is>
      </c>
      <c r="B750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507" s="57" t="n"/>
      <c r="D7507" s="57" t="n"/>
      <c r="E7507" s="57" t="n"/>
    </row>
    <row r="7508" ht="61" customHeight="1">
      <c r="A7508" s="47" t="inlineStr">
        <is>
          <t>Dữ liệu test</t>
        </is>
      </c>
      <c r="B7508" s="56" t="inlineStr">
        <is>
          <t>• Học sinh S01 (điểm 29);
• Quy tắc tỷ lệ 30%;
• Quy tắc công thức hai dòng (trung bình ÷ 2 × 0.8)</t>
        </is>
      </c>
      <c r="C7508" s="57" t="n"/>
      <c r="D7508" s="57" t="n"/>
      <c r="E7508" s="57" t="n"/>
    </row>
    <row r="7509" ht="30" customHeight="1">
      <c r="A7509" s="47" t="inlineStr">
        <is>
          <t>Trigger</t>
        </is>
      </c>
      <c r="B7509" s="56" t="inlineStr">
        <is>
          <t>• Chỉ xem/xuất không tự chạy xét.</t>
        </is>
      </c>
      <c r="C7509" s="57" t="n"/>
      <c r="D7509" s="57" t="n"/>
      <c r="E7509" s="57" t="n"/>
    </row>
    <row r="7510" ht="44" customHeight="1">
      <c r="A7510" s="47" t="inlineStr">
        <is>
          <t>Blocker</t>
        </is>
      </c>
      <c r="B7510" s="56" t="inlineStr">
        <is>
          <t>• G-PREP-UNASSESSED: Chưa có xác minh fixture, đường thực hiện và phép quan sát trên build của từng case chưa đánh giá.</t>
        </is>
      </c>
      <c r="C7510" s="57" t="n"/>
      <c r="D7510" s="57" t="n"/>
      <c r="E7510" s="57" t="n"/>
    </row>
    <row r="7511" ht="30" customHeight="1">
      <c r="A7511" s="58" t="inlineStr">
        <is>
          <t>Thao tác</t>
        </is>
      </c>
      <c r="B7511" s="59" t="n"/>
      <c r="C7511" s="59" t="n"/>
      <c r="D7511" s="59" t="n"/>
      <c r="E7511" s="59" t="n"/>
    </row>
    <row r="7512" ht="44" customHeight="1">
      <c r="A7512" s="47" t="inlineStr">
        <is>
          <t>Step 1</t>
        </is>
      </c>
      <c r="B7512" s="56" t="inlineStr">
        <is>
          <t>SELECT [red_score_setting_id], [reason_code], [judgment_context], [judged_at] của ô Đỏ (S01), ô Chưa xét được, ô Không áp dụng, ô chưa từng xét, ô Tỷ lệ và ô có nguồn.</t>
        </is>
      </c>
      <c r="C7512" s="57" t="n"/>
      <c r="D7512" s="57" t="n"/>
      <c r="E7512" s="57" t="n"/>
    </row>
    <row r="7513" ht="44" customHeight="1">
      <c r="A7513" s="47" t="inlineStr">
        <is>
          <t>Step 2</t>
        </is>
      </c>
      <c r="B7513" s="56" t="inlineStr">
        <is>
          <t>Làm ô S01 chuyển từ Đỏ sang Không áp dụng (như case “Xóa quy tắc cuối: giữ kết quả tới lần chạy lại; chạy lại → Không áp dụng”), SELECT lại.</t>
        </is>
      </c>
      <c r="C7513" s="57" t="n"/>
      <c r="D7513" s="57" t="n"/>
      <c r="E7513" s="57" t="n"/>
    </row>
    <row r="7514" ht="44" customHeight="1">
      <c r="A7514" s="47" t="inlineStr">
        <is>
          <t>Reset</t>
        </is>
      </c>
      <c r="B7514" s="56" t="inlineStr">
        <is>
          <t>Trước mỗi biến thể, dựng lại điều kiện/dữ liệu đầu của case bằng đường được phép; giữ các reset/fixture độc lập đã nêu trong thủ tục.</t>
        </is>
      </c>
      <c r="C7514" s="57" t="n"/>
      <c r="D7514" s="57" t="n"/>
      <c r="E7514" s="57" t="n"/>
    </row>
    <row r="7515" ht="30" customHeight="1">
      <c r="A7515" s="58" t="inlineStr">
        <is>
          <t>Kết quả mong đợi</t>
        </is>
      </c>
      <c r="B7515" s="59" t="n"/>
      <c r="C7515" s="59" t="n"/>
      <c r="D7515" s="59" t="n"/>
      <c r="E7515" s="59" t="n"/>
    </row>
    <row r="7516" ht="129" customHeight="1">
      <c r="A7516" s="47" t="inlineStr">
        <is>
          <t>1.</t>
        </is>
      </c>
      <c r="B7516" s="56" t="inlineStr">
        <is>
          <t>Ô Đỏ: có quy tắc được chọn; [judgment_context] có [score]="29", [threshold] dạng tử/mẫu (30/1), [compare_type]=1, [sources] rỗng với quy tắc cố định. Ô Chưa xét được: có [reason_code] (ví dụ [source_missing]). [judged_at] có giá trị cho cả ô Chưa xét được và Không áp dụng; NULL ở ô chưa từng xét. Ô có điểm hợp lệ: [judgment_context] có [grade_id] (ID dòng điểm nguồn). Ô Tỷ lệ: [judgment_context] có [maximum]. Ô có nguồn: [sources[]] có [usage], [kind], [reference], [population_key]; với nhóm môn học（科目グループ） có thêm [resolved_population_type]/[resolved_population_ref_id] nhưng vẫn giữ loại/ID đã chọn. Không có tên học sinh, thông tin liên hệ hay câu lỗi SQL.</t>
        </is>
      </c>
      <c r="C7516" s="57" t="n"/>
      <c r="D7516" s="57" t="n"/>
      <c r="E7516" s="57" t="n"/>
    </row>
    <row r="7517" ht="30" customHeight="1">
      <c r="A7517" s="47" t="inlineStr">
        <is>
          <t>2.</t>
        </is>
      </c>
      <c r="B7517" s="56" t="inlineStr">
        <is>
          <t>Sau khi chuyển sang Không áp dụng: không còn giữ ngưỡng, dấu so sánh hay nguồn của lần Đỏ trước.</t>
        </is>
      </c>
      <c r="C7517" s="57" t="n"/>
      <c r="D7517" s="57" t="n"/>
      <c r="E7517" s="57" t="n"/>
    </row>
    <row r="7518" ht="44" customHeight="1">
      <c r="A7518" s="47" t="inlineStr">
        <is>
          <t>Giữ nguyên</t>
        </is>
      </c>
      <c r="B7518" s="56" t="inlineStr">
        <is>
          <t>• Giữ điểm, cấu hình và đối tượng không đích theo expected;
• Chỉ thay phần thủ tục yêu cầu, không tự đổi oracle hoặc mở rộng phạm vi.</t>
        </is>
      </c>
      <c r="C7518" s="57" t="n"/>
      <c r="D7518" s="57" t="n"/>
      <c r="E7518" s="57" t="n"/>
    </row>
    <row r="7519" ht="61" customHeight="1">
      <c r="A7519" s="47" t="inlineStr">
        <is>
          <t>Quan sát tại</t>
        </is>
      </c>
      <c r="B7519" s="56" t="inlineStr">
        <is>
          <t>• Dùng trích xuất không lọc để thấy cả ô đối chứng. Trạng thái không có dấu đỏ cần đọc thêm trạng thái lưu;
• Output Excel/PDF dùng file thật.</t>
        </is>
      </c>
      <c r="C7519" s="57" t="n"/>
      <c r="D7519" s="57" t="n"/>
      <c r="E7519" s="57" t="n"/>
    </row>
    <row r="7520" ht="30" customHeight="1">
      <c r="A7520" s="58" t="inlineStr">
        <is>
          <t>Kết quả thực tế</t>
        </is>
      </c>
      <c r="B7520" s="59" t="n"/>
      <c r="C7520" s="59" t="n"/>
      <c r="D7520" s="59" t="n"/>
      <c r="E7520" s="59" t="n"/>
    </row>
    <row r="7521" ht="30" customHeight="1">
      <c r="A7521" s="47" t="inlineStr">
        <is>
          <t>Dữ liệu biến thể</t>
        </is>
      </c>
      <c r="B7521" s="56" t="inlineStr">
        <is>
          <t>Toàn bộ thủ tục theo đúng thứ tự; các đối chứng cùng fixture được kiểm trong cùng lượt, không bỏ bước</t>
        </is>
      </c>
      <c r="C7521" s="57" t="n"/>
      <c r="D7521" s="57" t="n"/>
      <c r="E7521" s="57" t="n"/>
    </row>
    <row r="7522" ht="30" customHeight="1">
      <c r="A7522" s="62" t="inlineStr">
        <is>
          <t>Kết quả thực tế</t>
        </is>
      </c>
    </row>
    <row r="7523" ht="64" customHeight="1">
      <c r="A7523" s="63" t="inlineStr"/>
      <c r="B7523" s="64" t="n"/>
      <c r="C7523" s="64" t="n"/>
      <c r="D7523" s="64" t="n"/>
      <c r="E7523" s="65" t="n"/>
    </row>
    <row r="7524" ht="30" customHeight="1">
      <c r="A7524" s="62" t="inlineStr">
        <is>
          <t>Ảnh minh chứng</t>
        </is>
      </c>
    </row>
    <row r="7525" ht="90" customHeight="1">
      <c r="A7525" s="63" t="inlineStr"/>
      <c r="B7525" s="64" t="n"/>
      <c r="C7525" s="64" t="n"/>
      <c r="D7525" s="64" t="n"/>
      <c r="E7525" s="65" t="n"/>
    </row>
    <row r="7526" ht="12" customHeight="1">
      <c r="A7526" s="66" t="inlineStr"/>
    </row>
    <row r="7527" ht="20" customHeight="1">
      <c r="A7527" s="66" t="inlineStr"/>
    </row>
    <row r="7528" ht="30" customHeight="1">
      <c r="A7528" s="46" t="inlineStr">
        <is>
          <t>TC-RS-DATA-011 — Bảng/cột mới theo quy tắc schema của BLEND</t>
        </is>
      </c>
      <c r="B7528" s="23" t="n"/>
      <c r="C7528" s="23" t="n"/>
      <c r="D7528" s="23" t="n"/>
      <c r="E7528" s="23" t="n"/>
    </row>
    <row r="7529" ht="30" customHeight="1">
      <c r="A7529" s="47" t="inlineStr">
        <is>
          <t>Trạng thái</t>
        </is>
      </c>
      <c r="B7529" s="61" t="inlineStr">
        <is>
          <t>Chưa thực hiện</t>
        </is>
      </c>
      <c r="C7529" s="57" t="n"/>
      <c r="D7529" s="57" t="n"/>
      <c r="E7529" s="57" t="n"/>
    </row>
    <row r="7530" ht="30" customHeight="1">
      <c r="A7530" s="47" t="inlineStr">
        <is>
          <t>Màn hình / chức năng</t>
        </is>
      </c>
      <c r="B7530" s="47" t="inlineStr">
        <is>
          <t>Bảo toàn dữ liệu và cấu hình</t>
        </is>
      </c>
      <c r="C7530" s="57" t="n"/>
      <c r="D7530" s="47" t="inlineStr">
        <is>
          <t>Đường dẫn</t>
        </is>
      </c>
      <c r="E7530" s="56" t="inlineStr">
        <is>
          <t>Chưa xác minh</t>
        </is>
      </c>
    </row>
    <row r="7531" ht="30" customHeight="1">
      <c r="A7531" s="58" t="inlineStr">
        <is>
          <t>Điều kiện kiểm thử</t>
        </is>
      </c>
      <c r="B7531" s="59" t="n"/>
      <c r="C7531" s="59" t="n"/>
      <c r="D7531" s="59" t="n"/>
      <c r="E7531" s="59" t="n"/>
    </row>
    <row r="7532" ht="30" customHeight="1">
      <c r="A7532" s="47" t="inlineStr">
        <is>
          <t>Cấu hình</t>
        </is>
      </c>
      <c r="B7532" s="56" t="inlineStr">
        <is>
          <t>• Build có migration của tính năng.</t>
        </is>
      </c>
      <c r="C7532" s="57" t="n"/>
      <c r="D7532" s="57" t="n"/>
      <c r="E7532" s="57" t="n"/>
    </row>
    <row r="7533" ht="61" customHeight="1">
      <c r="A7533" s="47" t="inlineStr">
        <is>
          <t>Vai trò / quyền</t>
        </is>
      </c>
      <c r="B753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533" s="57" t="n"/>
      <c r="D7533" s="57" t="n"/>
      <c r="E7533" s="57" t="n"/>
    </row>
    <row r="7534" ht="30" customHeight="1">
      <c r="A7534" s="47" t="inlineStr">
        <is>
          <t>Dữ liệu test</t>
        </is>
      </c>
      <c r="B7534" s="56" t="inlineStr">
        <is>
          <t>• Quyền đọc DB local (chỉ SELECT/SHOW)</t>
        </is>
      </c>
      <c r="C7534" s="57" t="n"/>
      <c r="D7534" s="57" t="n"/>
      <c r="E7534" s="57" t="n"/>
    </row>
    <row r="7535" ht="30" customHeight="1">
      <c r="A7535" s="47" t="inlineStr">
        <is>
          <t>Trigger</t>
        </is>
      </c>
      <c r="B7535" s="56" t="inlineStr">
        <is>
          <t>• Chỉ xem/xuất không tự chạy xét.</t>
        </is>
      </c>
      <c r="C7535" s="57" t="n"/>
      <c r="D7535" s="57" t="n"/>
      <c r="E7535" s="57" t="n"/>
    </row>
    <row r="7536" ht="44" customHeight="1">
      <c r="A7536" s="47" t="inlineStr">
        <is>
          <t>Blocker</t>
        </is>
      </c>
      <c r="B7536" s="56" t="inlineStr">
        <is>
          <t>• G-PREP-UNASSESSED: Chưa có xác minh fixture, đường thực hiện và phép quan sát trên build của từng case chưa đánh giá.</t>
        </is>
      </c>
      <c r="C7536" s="57" t="n"/>
      <c r="D7536" s="57" t="n"/>
      <c r="E7536" s="57" t="n"/>
    </row>
    <row r="7537" ht="30" customHeight="1">
      <c r="A7537" s="58" t="inlineStr">
        <is>
          <t>Thao tác</t>
        </is>
      </c>
      <c r="B7537" s="59" t="n"/>
      <c r="C7537" s="59" t="n"/>
      <c r="D7537" s="59" t="n"/>
      <c r="E7537" s="59" t="n"/>
    </row>
    <row r="7538" ht="30" customHeight="1">
      <c r="A7538" s="47" t="inlineStr">
        <is>
          <t>Step 1</t>
        </is>
      </c>
      <c r="B7538" s="56" t="inlineStr">
        <is>
          <t>[SHOW CREATE TABLE] và [SHOW FULL COLUMNS] cho [red_score_settings], [red_score_results].</t>
        </is>
      </c>
      <c r="C7538" s="57" t="n"/>
      <c r="D7538" s="57" t="n"/>
      <c r="E7538" s="57" t="n"/>
    </row>
    <row r="7539" ht="44" customHeight="1">
      <c r="A7539" s="47" t="inlineStr">
        <is>
          <t>Step 2</t>
        </is>
      </c>
      <c r="B7539" s="56" t="inlineStr">
        <is>
          <t>[SHOW CREATE TABLE] cho [grade_publish_conf_grade_items] và [grade_evaluate_frame_items]; so với bản trước migration (hoặc DDL gốc trong source).</t>
        </is>
      </c>
      <c r="C7539" s="57" t="n"/>
      <c r="D7539" s="57" t="n"/>
      <c r="E7539" s="57" t="n"/>
    </row>
    <row r="7540" ht="44" customHeight="1">
      <c r="A7540" s="47" t="inlineStr">
        <is>
          <t>Reset</t>
        </is>
      </c>
      <c r="B7540" s="56" t="inlineStr">
        <is>
          <t>Trước mỗi biến thể, dựng lại điều kiện/dữ liệu đầu của case bằng đường được phép; giữ các reset/fixture độc lập đã nêu trong thủ tục.</t>
        </is>
      </c>
      <c r="C7540" s="57" t="n"/>
      <c r="D7540" s="57" t="n"/>
      <c r="E7540" s="57" t="n"/>
    </row>
    <row r="7541" ht="30" customHeight="1">
      <c r="A7541" s="58" t="inlineStr">
        <is>
          <t>Kết quả mong đợi</t>
        </is>
      </c>
      <c r="B7541" s="59" t="n"/>
      <c r="C7541" s="59" t="n"/>
      <c r="D7541" s="59" t="n"/>
      <c r="E7541" s="59" t="n"/>
    </row>
    <row r="7542" ht="95" customHeight="1">
      <c r="A7542" s="47" t="inlineStr">
        <is>
          <t>1.</t>
        </is>
      </c>
      <c r="B7542" s="56" t="inlineStr">
        <is>
          <t>Có phạm vi trường/năm, cột audit và comment theo quy tắc schema hiện hành. Đối chiếu thêm với thiết kế (PROPOSED): InnoDB, [utf8mb4]/[utf8mb4_general_ci], không khai báo foreign key, có [idx_red_score_settings_01], [uk_red_score_results_01], [idx_red_score_results_01], [setting_status] mặc định 0 và phân biệt rõ trạng thái 0/1/2; [red_score_results] có thêm [cell_generation], [write_version] (mặc định 0), [judged_version], [rule_revision] (cho phép NULL); bảng/cột cũ ([red_score], [changed_red_score]) không đổi.</t>
        </is>
      </c>
      <c r="C7542" s="57" t="n"/>
      <c r="D7542" s="57" t="n"/>
      <c r="E7542" s="57" t="n"/>
    </row>
    <row r="7543" ht="95" customHeight="1">
      <c r="A7543" s="47" t="inlineStr">
        <is>
          <t>2.</t>
        </is>
      </c>
      <c r="B7543" s="56" t="inlineStr">
        <is>
          <t>(PROPOSED) Chỉ thêm [red_score_display_type TINYINT UNSIGNED NOT NULL DEFAULT 0] vào [grade_publish_conf_grade_items] và [red_score_revision BIGINT UNSIGNED NOT NULL DEFAULT 0] vào [grade_evaluate_frame_items]; không đổi kiểu/khóa/collation của cột có sẵn, không thêm index hay foreign key. Thiết lập đỏ của Trích xuất thành tích（成績抽出） và Công cụ phiếu điểm（通知表ツール） không có cột/bảng mới (dùng JSON [grade_extract_conf.extract_setting] và phần lưu bảng/điều kiện phiếu điểm hiện có).</t>
        </is>
      </c>
      <c r="C7543" s="57" t="n"/>
      <c r="D7543" s="57" t="n"/>
      <c r="E7543" s="57" t="n"/>
    </row>
    <row r="7544" ht="44" customHeight="1">
      <c r="A7544" s="47" t="inlineStr">
        <is>
          <t>Giữ nguyên</t>
        </is>
      </c>
      <c r="B7544" s="56" t="inlineStr">
        <is>
          <t>• Giữ điểm, cấu hình và đối tượng không đích theo expected;
• Chỉ thay phần thủ tục yêu cầu, không tự đổi oracle hoặc mở rộng phạm vi.</t>
        </is>
      </c>
      <c r="C7544" s="57" t="n"/>
      <c r="D7544" s="57" t="n"/>
      <c r="E7544" s="57" t="n"/>
    </row>
    <row r="7545" ht="61" customHeight="1">
      <c r="A7545" s="47" t="inlineStr">
        <is>
          <t>Quan sát tại</t>
        </is>
      </c>
      <c r="B7545" s="56" t="inlineStr">
        <is>
          <t>• Dùng trích xuất không lọc để thấy cả ô đối chứng. Trạng thái không có dấu đỏ cần đọc thêm trạng thái lưu;
• Output Excel/PDF dùng file thật.</t>
        </is>
      </c>
      <c r="C7545" s="57" t="n"/>
      <c r="D7545" s="57" t="n"/>
      <c r="E7545" s="57" t="n"/>
    </row>
    <row r="7546" ht="30" customHeight="1">
      <c r="A7546" s="58" t="inlineStr">
        <is>
          <t>Kết quả thực tế</t>
        </is>
      </c>
      <c r="B7546" s="59" t="n"/>
      <c r="C7546" s="59" t="n"/>
      <c r="D7546" s="59" t="n"/>
      <c r="E7546" s="59" t="n"/>
    </row>
    <row r="7547" ht="30" customHeight="1">
      <c r="A7547" s="47" t="inlineStr">
        <is>
          <t>Dữ liệu biến thể</t>
        </is>
      </c>
      <c r="B7547" s="56" t="inlineStr">
        <is>
          <t>Toàn bộ thủ tục theo đúng thứ tự; các đối chứng cùng fixture được kiểm trong cùng lượt, không bỏ bước</t>
        </is>
      </c>
      <c r="C7547" s="57" t="n"/>
      <c r="D7547" s="57" t="n"/>
      <c r="E7547" s="57" t="n"/>
    </row>
    <row r="7548" ht="30" customHeight="1">
      <c r="A7548" s="62" t="inlineStr">
        <is>
          <t>Kết quả thực tế</t>
        </is>
      </c>
    </row>
    <row r="7549" ht="64" customHeight="1">
      <c r="A7549" s="63" t="inlineStr"/>
      <c r="B7549" s="64" t="n"/>
      <c r="C7549" s="64" t="n"/>
      <c r="D7549" s="64" t="n"/>
      <c r="E7549" s="65" t="n"/>
    </row>
    <row r="7550" ht="30" customHeight="1">
      <c r="A7550" s="62" t="inlineStr">
        <is>
          <t>Ảnh minh chứng</t>
        </is>
      </c>
    </row>
    <row r="7551" ht="90" customHeight="1">
      <c r="A7551" s="63" t="inlineStr"/>
      <c r="B7551" s="64" t="n"/>
      <c r="C7551" s="64" t="n"/>
      <c r="D7551" s="64" t="n"/>
      <c r="E7551" s="65" t="n"/>
    </row>
    <row r="7552" ht="12" customHeight="1">
      <c r="A7552" s="66" t="inlineStr"/>
    </row>
    <row r="7553" ht="20" customHeight="1">
      <c r="A7553" s="66" t="inlineStr"/>
    </row>
    <row r="7554" ht="30" customHeight="1">
      <c r="A7554" s="46" t="inlineStr">
        <is>
          <t>TC-RS-DATA-012 — Lưu, đọc lại và sao chép hiệu ứng đỏ theo dòng mục của cấu hình công khai</t>
        </is>
      </c>
      <c r="B7554" s="23" t="n"/>
      <c r="C7554" s="23" t="n"/>
      <c r="D7554" s="23" t="n"/>
      <c r="E7554" s="23" t="n"/>
    </row>
    <row r="7555" ht="30" customHeight="1">
      <c r="A7555" s="47" t="inlineStr">
        <is>
          <t>Trạng thái</t>
        </is>
      </c>
      <c r="B7555" s="56">
        <f>IF(0&gt;0,"Không đạt",IF(0=3,"Đạt",IF(SUMPRODUCT(--EXACT('Testcases'!B7579:B7595,"Không thực hiện"))=3,"Không thực hiện",IF(SUMPRODUCT(--EXACT('Testcases'!B7579:B7595,"Bị chặn"))&gt;0,"Bị chặn",IF(SUMPRODUCT(--EXACT('Testcases'!B7579:B7595,"Chưa thực hiện"))=3,"Chưa thực hiện","Chưa đủ kết luận")))))</f>
        <v/>
      </c>
      <c r="C7555" s="57" t="n"/>
      <c r="D7555" s="57" t="n"/>
      <c r="E7555" s="57" t="n"/>
    </row>
    <row r="7556" ht="30" customHeight="1">
      <c r="A7556" s="47" t="inlineStr">
        <is>
          <t>Màn hình / chức năng</t>
        </is>
      </c>
      <c r="B7556" s="47" t="inlineStr">
        <is>
          <t>Bảo toàn dữ liệu và cấu hình</t>
        </is>
      </c>
      <c r="C7556" s="57" t="n"/>
      <c r="D7556" s="47" t="inlineStr">
        <is>
          <t>Đường dẫn</t>
        </is>
      </c>
      <c r="E7556" s="56" t="inlineStr">
        <is>
          <t>Chưa xác minh</t>
        </is>
      </c>
    </row>
    <row r="7557" ht="30" customHeight="1">
      <c r="A7557" s="58" t="inlineStr">
        <is>
          <t>Điều kiện kiểm thử</t>
        </is>
      </c>
      <c r="B7557" s="59" t="n"/>
      <c r="C7557" s="59" t="n"/>
      <c r="D7557" s="59" t="n"/>
      <c r="E7557" s="59" t="n"/>
    </row>
    <row r="7558" ht="61" customHeight="1">
      <c r="A7558" s="47" t="inlineStr">
        <is>
          <t>Cấu hình</t>
        </is>
      </c>
      <c r="B7558" s="56" t="inlineStr">
        <is>
          <t>• Build có migration thêm [red_score_display_type];
• Cấu hình công khai tạo trước khi migrate (dòng cũ) và hai cấu hình X, Y theo hai cấu hình công khai cùng một mục.</t>
        </is>
      </c>
      <c r="C7558" s="57" t="n"/>
      <c r="D7558" s="57" t="n"/>
      <c r="E7558" s="57" t="n"/>
    </row>
    <row r="7559" ht="61" customHeight="1">
      <c r="A7559" s="47" t="inlineStr">
        <is>
          <t>Vai trò / quyền</t>
        </is>
      </c>
      <c r="B755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559" s="57" t="n"/>
      <c r="D7559" s="57" t="n"/>
      <c r="E7559" s="57" t="n"/>
    </row>
    <row r="7560" ht="61" customHeight="1">
      <c r="A7560" s="47" t="inlineStr">
        <is>
          <t>Dữ liệu test</t>
        </is>
      </c>
      <c r="B7560" s="56" t="inlineStr">
        <is>
          <t>• Hai cấu hình công khai cùng một mục, cấu hình công khai có mục điểm thường và mục điểm đơn vị;
• Quyền đọc DB local (chỉ SELECT/SHOW);
• Tài khoản phụ trách đầu ra (trích xuất, công khai, phiếu điểm), tài khoản của trường B</t>
        </is>
      </c>
      <c r="C7560" s="57" t="n"/>
      <c r="D7560" s="57" t="n"/>
      <c r="E7560" s="57" t="n"/>
    </row>
    <row r="7561" ht="30" customHeight="1">
      <c r="A7561" s="47" t="inlineStr">
        <is>
          <t>Trigger</t>
        </is>
      </c>
      <c r="B7561" s="56" t="inlineStr">
        <is>
          <t>• Chỉ xem/xuất không tự chạy xét.</t>
        </is>
      </c>
      <c r="C7561" s="57" t="n"/>
      <c r="D7561" s="57" t="n"/>
      <c r="E7561" s="57" t="n"/>
    </row>
    <row r="7562" ht="44" customHeight="1">
      <c r="A7562" s="47" t="inlineStr">
        <is>
          <t>Blocker</t>
        </is>
      </c>
      <c r="B7562" s="56" t="inlineStr">
        <is>
          <t>• G-PREP-UNASSESSED: Chưa có xác minh fixture, đường thực hiện và phép quan sát trên build của từng case chưa đánh giá.</t>
        </is>
      </c>
      <c r="C7562" s="57" t="n"/>
      <c r="D7562" s="57" t="n"/>
      <c r="E7562" s="57" t="n"/>
    </row>
    <row r="7563" ht="30" customHeight="1">
      <c r="A7563" s="58" t="inlineStr">
        <is>
          <t>Thao tác</t>
        </is>
      </c>
      <c r="B7563" s="59" t="n"/>
      <c r="C7563" s="59" t="n"/>
      <c r="D7563" s="59" t="n"/>
      <c r="E7563" s="59" t="n"/>
    </row>
    <row r="7564" ht="44" customHeight="1">
      <c r="A7564" s="47" t="inlineStr">
        <is>
          <t>Step 1</t>
        </is>
      </c>
      <c r="B7564" s="56" t="inlineStr">
        <is>
          <t>SELECT [grade_publish_conf_id], [year], [evaluate_item_id], [tangen_flg], [red_score_display_type] của X, Y và của cấu hình cũ.</t>
        </is>
      </c>
      <c r="C7564" s="57" t="n"/>
      <c r="D7564" s="57" t="n"/>
      <c r="E7564" s="57" t="n"/>
    </row>
    <row r="7565" ht="30" customHeight="1">
      <c r="A7565" s="47" t="inlineStr">
        <is>
          <t>Step 2</t>
        </is>
      </c>
      <c r="B7565" s="56" t="inlineStr">
        <is>
          <t>Mở cấu hình cũ trên màn, xem màn học sinh của cấu hình đó.</t>
        </is>
      </c>
      <c r="C7565" s="57" t="n"/>
      <c r="D7565" s="57" t="n"/>
      <c r="E7565" s="57" t="n"/>
    </row>
    <row r="7566" ht="30" customHeight="1">
      <c r="A7566" s="47" t="inlineStr">
        <is>
          <t>Step 3</t>
        </is>
      </c>
      <c r="B7566" s="56" t="inlineStr">
        <is>
          <t>Sao chép X; SELECT dòng của bản sao.</t>
        </is>
      </c>
      <c r="C7566" s="57" t="n"/>
      <c r="D7566" s="57" t="n"/>
      <c r="E7566" s="57" t="n"/>
    </row>
    <row r="7567" ht="44" customHeight="1">
      <c r="A7567" s="47" t="inlineStr">
        <is>
          <t>Step 4</t>
        </is>
      </c>
      <c r="B7567" s="56" t="inlineStr">
        <is>
          <t>Gửi request lưu với [red_score_display_type]=4, và với ID cấu hình công khai của trường B (tài khoản của trường B / trường B (trường khác)).</t>
        </is>
      </c>
      <c r="C7567" s="57" t="n"/>
      <c r="D7567" s="57" t="n"/>
      <c r="E7567" s="57" t="n"/>
    </row>
    <row r="7568" ht="44" customHeight="1">
      <c r="A7568" s="47" t="inlineStr">
        <is>
          <t>Reset</t>
        </is>
      </c>
      <c r="B7568" s="56" t="inlineStr">
        <is>
          <t>Trước mỗi biến thể, dựng lại điều kiện/dữ liệu đầu của case bằng đường được phép; giữ các reset/fixture độc lập đã nêu trong thủ tục.</t>
        </is>
      </c>
      <c r="C7568" s="57" t="n"/>
      <c r="D7568" s="57" t="n"/>
      <c r="E7568" s="57" t="n"/>
    </row>
    <row r="7569" ht="30" customHeight="1">
      <c r="A7569" s="58" t="inlineStr">
        <is>
          <t>Kết quả mong đợi</t>
        </is>
      </c>
      <c r="B7569" s="59" t="n"/>
      <c r="C7569" s="59" t="n"/>
      <c r="D7569" s="59" t="n"/>
      <c r="E7569" s="59" t="n"/>
    </row>
    <row r="7570" ht="44" customHeight="1">
      <c r="A7570" s="47" t="inlineStr">
        <is>
          <t>1.</t>
        </is>
      </c>
      <c r="B7570" s="56" t="inlineStr">
        <is>
          <t>X: 1 (ngoặc) ở dòng mục số nguyên (M=100); Y: 2 ([*] trước); dòng thường/đơn vị tách theo [tangen_flg]. Không có cột hiệu ứng trong bảng kết quả của học sinh.</t>
        </is>
      </c>
      <c r="C7570" s="57" t="n"/>
      <c r="D7570" s="57" t="n"/>
      <c r="E7570" s="57" t="n"/>
    </row>
    <row r="7571" ht="30" customHeight="1">
      <c r="A7571" s="47" t="inlineStr">
        <is>
          <t>2.</t>
        </is>
      </c>
      <c r="B7571" s="56" t="inlineStr">
        <is>
          <t>Dòng cũ có giá trị 0; hiển thị giữ như trước khi có chức năng.</t>
        </is>
      </c>
      <c r="C7571" s="57" t="n"/>
      <c r="D7571" s="57" t="n"/>
      <c r="E7571" s="57" t="n"/>
    </row>
    <row r="7572" ht="30" customHeight="1">
      <c r="A7572" s="47" t="inlineStr">
        <is>
          <t>3.</t>
        </is>
      </c>
      <c r="B7572" s="56" t="inlineStr">
        <is>
          <t>Bản sao có ID cấu hình mới và giữ giá trị 1; không có dòng kết quả học sinh nào được sao chép.</t>
        </is>
      </c>
      <c r="C7572" s="57" t="n"/>
      <c r="D7572" s="57" t="n"/>
      <c r="E7572" s="57" t="n"/>
    </row>
    <row r="7573" ht="30" customHeight="1">
      <c r="A7573" s="47" t="inlineStr">
        <is>
          <t>4.</t>
        </is>
      </c>
      <c r="B7573" s="56" t="inlineStr">
        <is>
          <t>Bị từ chối; giá trị đã lưu không đổi.</t>
        </is>
      </c>
      <c r="C7573" s="57" t="n"/>
      <c r="D7573" s="57" t="n"/>
      <c r="E7573" s="57" t="n"/>
    </row>
    <row r="7574" ht="44" customHeight="1">
      <c r="A7574" s="47" t="inlineStr">
        <is>
          <t>Giữ nguyên</t>
        </is>
      </c>
      <c r="B7574" s="56" t="inlineStr">
        <is>
          <t>• Giữ điểm, cấu hình và đối tượng không đích theo expected;
• Chỉ thay phần thủ tục yêu cầu, không tự đổi oracle hoặc mở rộng phạm vi.</t>
        </is>
      </c>
      <c r="C7574" s="57" t="n"/>
      <c r="D7574" s="57" t="n"/>
      <c r="E7574" s="57" t="n"/>
    </row>
    <row r="7575" ht="61" customHeight="1">
      <c r="A7575" s="47" t="inlineStr">
        <is>
          <t>Quan sát tại</t>
        </is>
      </c>
      <c r="B7575" s="56" t="inlineStr">
        <is>
          <t>• Dùng trích xuất không lọc để thấy cả ô đối chứng. Trạng thái không có dấu đỏ cần đọc thêm trạng thái lưu;
• Output Excel/PDF dùng file thật.</t>
        </is>
      </c>
      <c r="C7575" s="57" t="n"/>
      <c r="D7575" s="57" t="n"/>
      <c r="E7575" s="57" t="n"/>
    </row>
    <row r="7576" ht="30" customHeight="1">
      <c r="A7576" s="58" t="inlineStr">
        <is>
          <t>Kết quả thực tế</t>
        </is>
      </c>
      <c r="B7576" s="59" t="n"/>
      <c r="C7576" s="59" t="n"/>
      <c r="D7576" s="59" t="n"/>
      <c r="E7576" s="59" t="n"/>
    </row>
    <row r="7577" ht="30" customHeight="1">
      <c r="A7577" s="60" t="inlineStr">
        <is>
          <t>TC-RS-DATA-012 / read-copy</t>
        </is>
      </c>
      <c r="B7577" s="36" t="n"/>
      <c r="C7577" s="36" t="n"/>
      <c r="D7577" s="36" t="n"/>
      <c r="E7577" s="36" t="n"/>
    </row>
    <row r="7578" ht="30" customHeight="1">
      <c r="A7578" s="47" t="inlineStr">
        <is>
          <t>Dữ liệu biến thể</t>
        </is>
      </c>
      <c r="B7578" s="56" t="inlineStr">
        <is>
          <t>Bước 1–3 đọc cấu hình cũ và sao chép</t>
        </is>
      </c>
      <c r="C7578" s="57" t="n"/>
      <c r="D7578" s="57" t="n"/>
      <c r="E7578" s="57" t="n"/>
    </row>
    <row r="7579" ht="30" customHeight="1">
      <c r="A7579" s="47" t="inlineStr">
        <is>
          <t>Trạng thái</t>
        </is>
      </c>
      <c r="B7579" s="61" t="inlineStr">
        <is>
          <t>Chưa thực hiện</t>
        </is>
      </c>
      <c r="C7579" s="57" t="n"/>
      <c r="D7579" s="57" t="n"/>
      <c r="E7579" s="57" t="n"/>
    </row>
    <row r="7580" ht="30" customHeight="1">
      <c r="A7580" s="62" t="inlineStr">
        <is>
          <t>Kết quả thực tế</t>
        </is>
      </c>
    </row>
    <row r="7581" ht="64" customHeight="1">
      <c r="A7581" s="63" t="inlineStr"/>
      <c r="B7581" s="64" t="n"/>
      <c r="C7581" s="64" t="n"/>
      <c r="D7581" s="64" t="n"/>
      <c r="E7581" s="65" t="n"/>
    </row>
    <row r="7582" ht="30" customHeight="1">
      <c r="A7582" s="62" t="inlineStr">
        <is>
          <t>Ảnh minh chứng</t>
        </is>
      </c>
    </row>
    <row r="7583" ht="90" customHeight="1">
      <c r="A7583" s="63" t="inlineStr"/>
      <c r="B7583" s="64" t="n"/>
      <c r="C7583" s="64" t="n"/>
      <c r="D7583" s="64" t="n"/>
      <c r="E7583" s="65" t="n"/>
    </row>
    <row r="7584" ht="12" customHeight="1">
      <c r="A7584" s="66" t="inlineStr"/>
    </row>
    <row r="7585" ht="30" customHeight="1">
      <c r="A7585" s="60" t="inlineStr">
        <is>
          <t>TC-RS-DATA-012 / invalid-enum</t>
        </is>
      </c>
      <c r="B7585" s="36" t="n"/>
      <c r="C7585" s="36" t="n"/>
      <c r="D7585" s="36" t="n"/>
      <c r="E7585" s="36" t="n"/>
    </row>
    <row r="7586" ht="30" customHeight="1">
      <c r="A7586" s="47" t="inlineStr">
        <is>
          <t>Dữ liệu biến thể</t>
        </is>
      </c>
      <c r="B7586" s="56" t="inlineStr">
        <is>
          <t>Bước 4 giá trị 4</t>
        </is>
      </c>
      <c r="C7586" s="57" t="n"/>
      <c r="D7586" s="57" t="n"/>
      <c r="E7586" s="57" t="n"/>
    </row>
    <row r="7587" ht="30" customHeight="1">
      <c r="A7587" s="47" t="inlineStr">
        <is>
          <t>Trạng thái</t>
        </is>
      </c>
      <c r="B7587" s="61" t="inlineStr">
        <is>
          <t>Chưa thực hiện</t>
        </is>
      </c>
      <c r="C7587" s="57" t="n"/>
      <c r="D7587" s="57" t="n"/>
      <c r="E7587" s="57" t="n"/>
    </row>
    <row r="7588" ht="30" customHeight="1">
      <c r="A7588" s="62" t="inlineStr">
        <is>
          <t>Kết quả thực tế</t>
        </is>
      </c>
    </row>
    <row r="7589" ht="64" customHeight="1">
      <c r="A7589" s="63" t="inlineStr"/>
      <c r="B7589" s="64" t="n"/>
      <c r="C7589" s="64" t="n"/>
      <c r="D7589" s="64" t="n"/>
      <c r="E7589" s="65" t="n"/>
    </row>
    <row r="7590" ht="30" customHeight="1">
      <c r="A7590" s="62" t="inlineStr">
        <is>
          <t>Ảnh minh chứng</t>
        </is>
      </c>
    </row>
    <row r="7591" ht="90" customHeight="1">
      <c r="A7591" s="63" t="inlineStr"/>
      <c r="B7591" s="64" t="n"/>
      <c r="C7591" s="64" t="n"/>
      <c r="D7591" s="64" t="n"/>
      <c r="E7591" s="65" t="n"/>
    </row>
    <row r="7592" ht="12" customHeight="1">
      <c r="A7592" s="66" t="inlineStr"/>
    </row>
    <row r="7593" ht="30" customHeight="1">
      <c r="A7593" s="60" t="inlineStr">
        <is>
          <t>TC-RS-DATA-012 / foreign-school</t>
        </is>
      </c>
      <c r="B7593" s="36" t="n"/>
      <c r="C7593" s="36" t="n"/>
      <c r="D7593" s="36" t="n"/>
      <c r="E7593" s="36" t="n"/>
    </row>
    <row r="7594" ht="30" customHeight="1">
      <c r="A7594" s="47" t="inlineStr">
        <is>
          <t>Dữ liệu biến thể</t>
        </is>
      </c>
      <c r="B7594" s="56" t="inlineStr">
        <is>
          <t>Bước 4 ID trường B</t>
        </is>
      </c>
      <c r="C7594" s="57" t="n"/>
      <c r="D7594" s="57" t="n"/>
      <c r="E7594" s="57" t="n"/>
    </row>
    <row r="7595" ht="30" customHeight="1">
      <c r="A7595" s="47" t="inlineStr">
        <is>
          <t>Trạng thái</t>
        </is>
      </c>
      <c r="B7595" s="61" t="inlineStr">
        <is>
          <t>Chưa thực hiện</t>
        </is>
      </c>
      <c r="C7595" s="57" t="n"/>
      <c r="D7595" s="57" t="n"/>
      <c r="E7595" s="57" t="n"/>
    </row>
    <row r="7596" ht="30" customHeight="1">
      <c r="A7596" s="62" t="inlineStr">
        <is>
          <t>Kết quả thực tế</t>
        </is>
      </c>
    </row>
    <row r="7597" ht="64" customHeight="1">
      <c r="A7597" s="63" t="inlineStr"/>
      <c r="B7597" s="64" t="n"/>
      <c r="C7597" s="64" t="n"/>
      <c r="D7597" s="64" t="n"/>
      <c r="E7597" s="65" t="n"/>
    </row>
    <row r="7598" ht="30" customHeight="1">
      <c r="A7598" s="62" t="inlineStr">
        <is>
          <t>Ảnh minh chứng</t>
        </is>
      </c>
    </row>
    <row r="7599" ht="90" customHeight="1">
      <c r="A7599" s="63" t="inlineStr"/>
      <c r="B7599" s="64" t="n"/>
      <c r="C7599" s="64" t="n"/>
      <c r="D7599" s="64" t="n"/>
      <c r="E7599" s="65" t="n"/>
    </row>
    <row r="7600" ht="12" customHeight="1">
      <c r="A7600" s="66" t="inlineStr"/>
    </row>
    <row r="7601" ht="20" customHeight="1">
      <c r="A7601" s="66" t="inlineStr"/>
    </row>
    <row r="7602" ht="30" customHeight="1">
      <c r="A7602" s="46" t="inlineStr">
        <is>
          <t>TC-RS-DATA-013 — Phiên bản quy tắc, dòng điều khiển và thế hệ ô được cập nhật đúng sự kiện</t>
        </is>
      </c>
      <c r="B7602" s="23" t="n"/>
      <c r="C7602" s="23" t="n"/>
      <c r="D7602" s="23" t="n"/>
      <c r="E7602" s="23" t="n"/>
    </row>
    <row r="7603" ht="30" customHeight="1">
      <c r="A7603" s="47" t="inlineStr">
        <is>
          <t>Trạng thái</t>
        </is>
      </c>
      <c r="B7603" s="56">
        <f>IF(0&gt;0,"Không đạt",IF(0=4,"Đạt",IF(SUMPRODUCT(--EXACT('Testcases'!B7630:B7654,"Không thực hiện"))=4,"Không thực hiện",IF(SUMPRODUCT(--EXACT('Testcases'!B7630:B7654,"Bị chặn"))&gt;0,"Bị chặn",IF(SUMPRODUCT(--EXACT('Testcases'!B7630:B7654,"Chưa thực hiện"))=4,"Chưa thực hiện","Chưa đủ kết luận")))))</f>
        <v/>
      </c>
      <c r="C7603" s="57" t="n"/>
      <c r="D7603" s="57" t="n"/>
      <c r="E7603" s="57" t="n"/>
    </row>
    <row r="7604" ht="30" customHeight="1">
      <c r="A7604" s="47" t="inlineStr">
        <is>
          <t>Màn hình / chức năng</t>
        </is>
      </c>
      <c r="B7604" s="47" t="inlineStr">
        <is>
          <t>Bảo toàn dữ liệu và cấu hình</t>
        </is>
      </c>
      <c r="C7604" s="57" t="n"/>
      <c r="D7604" s="47" t="inlineStr">
        <is>
          <t>Đường dẫn</t>
        </is>
      </c>
      <c r="E7604" s="56" t="inlineStr">
        <is>
          <t>Chưa xác minh</t>
        </is>
      </c>
    </row>
    <row r="7605" ht="30" customHeight="1">
      <c r="A7605" s="58" t="inlineStr">
        <is>
          <t>Điều kiện kiểm thử</t>
        </is>
      </c>
      <c r="B7605" s="59" t="n"/>
      <c r="C7605" s="59" t="n"/>
      <c r="D7605" s="59" t="n"/>
      <c r="E7605" s="59" t="n"/>
    </row>
    <row r="7606" ht="78" customHeight="1">
      <c r="A7606" s="47" t="inlineStr">
        <is>
          <t>Cấu hình</t>
        </is>
      </c>
      <c r="B7606" s="56" t="inlineStr">
        <is>
          <t>• Build có migration v2. mục số nguyên (M=100) có quy tắc “Cố định 30” (dưới 30) và cặp quy tắc cùng áp dụng (dưới 20 và dưới 30);
• S01 = 29 đã được xét (Đỏ);
• Ô S02 chưa từng xét.</t>
        </is>
      </c>
      <c r="C7606" s="57" t="n"/>
      <c r="D7606" s="57" t="n"/>
      <c r="E7606" s="57" t="n"/>
    </row>
    <row r="7607" ht="61" customHeight="1">
      <c r="A7607" s="47" t="inlineStr">
        <is>
          <t>Vai trò / quyền</t>
        </is>
      </c>
      <c r="B760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607" s="57" t="n"/>
      <c r="D7607" s="57" t="n"/>
      <c r="E7607" s="57" t="n"/>
    </row>
    <row r="7608" ht="78" customHeight="1">
      <c r="A7608" s="47" t="inlineStr">
        <is>
          <t>Dữ liệu test</t>
        </is>
      </c>
      <c r="B7608" s="56" t="inlineStr">
        <is>
          <t>• Mục số nguyên (M=100);
• Quy tắc “Cố định 30” (dưới 30), cặp quy tắc cùng áp dụng (dưới 20 và dưới 30);
• Học sinh S01 (điểm 29), học sinh S02 (điểm 30);
• Quyền đọc DB local (chỉ SELECT/SHOW)</t>
        </is>
      </c>
      <c r="C7608" s="57" t="n"/>
      <c r="D7608" s="57" t="n"/>
      <c r="E7608" s="57" t="n"/>
    </row>
    <row r="7609" ht="30" customHeight="1">
      <c r="A7609" s="47" t="inlineStr">
        <is>
          <t>Trigger</t>
        </is>
      </c>
      <c r="B7609" s="56" t="inlineStr">
        <is>
          <t>• Chỉ xem/xuất không tự chạy xét.</t>
        </is>
      </c>
      <c r="C7609" s="57" t="n"/>
      <c r="D7609" s="57" t="n"/>
      <c r="E7609" s="57" t="n"/>
    </row>
    <row r="7610" ht="44" customHeight="1">
      <c r="A7610" s="47" t="inlineStr">
        <is>
          <t>Blocker</t>
        </is>
      </c>
      <c r="B7610" s="56" t="inlineStr">
        <is>
          <t>• G-PREP-UNASSESSED: Chưa có xác minh fixture, đường thực hiện và phép quan sát trên build của từng case chưa đánh giá.</t>
        </is>
      </c>
      <c r="C7610" s="57" t="n"/>
      <c r="D7610" s="57" t="n"/>
      <c r="E7610" s="57" t="n"/>
    </row>
    <row r="7611" ht="30" customHeight="1">
      <c r="A7611" s="58" t="inlineStr">
        <is>
          <t>Thao tác</t>
        </is>
      </c>
      <c r="B7611" s="59" t="n"/>
      <c r="C7611" s="59" t="n"/>
      <c r="D7611" s="59" t="n"/>
      <c r="E7611" s="59" t="n"/>
    </row>
    <row r="7612" ht="44" customHeight="1">
      <c r="A7612" s="47" t="inlineStr">
        <is>
          <t>Step 1</t>
        </is>
      </c>
      <c r="B7612" s="56" t="inlineStr">
        <is>
          <t>SELECT [red_score_revision] của mục mục số nguyên (M=100) trên [grade_evaluate_frame_items]; SELECT [cell_generation], [write_version], [judged_version], [rule_revision], [judgment_status] của S01.</t>
        </is>
      </c>
      <c r="C7612" s="57" t="n"/>
      <c r="D7612" s="57" t="n"/>
      <c r="E7612" s="57" t="n"/>
    </row>
    <row r="7613" ht="44" customHeight="1">
      <c r="A7613" s="47" t="inlineStr">
        <is>
          <t>Step 2</t>
        </is>
      </c>
      <c r="B7613" s="56" t="inlineStr">
        <is>
          <t>Chuỗi revision độc lập: trên fixture A, lần lượt thêm quy tắc; sửa ngưỡng; đổi thứ tự; xóa quy tắc. SELECT [red_score_revision] và kết quả S01 sau mỗi thao tác, chưa chạy xét.</t>
        </is>
      </c>
      <c r="C7613" s="57" t="n"/>
      <c r="D7613" s="57" t="n"/>
      <c r="E7613" s="57" t="n"/>
    </row>
    <row r="7614" ht="44" customHeight="1">
      <c r="A7614" s="47" t="inlineStr">
        <is>
          <t>Step 3</t>
        </is>
      </c>
      <c r="B7614" s="56" t="inlineStr">
        <is>
          <t>Chuỗi xóa cuối độc lập trên fixture B: tạo S01=29 Đỏ, xóa tới quy tắc cuối, rồi chạy lại; không dùng kết quả của chuỗi revision A làm baseline.</t>
        </is>
      </c>
      <c r="C7614" s="57" t="n"/>
      <c r="D7614" s="57" t="n"/>
      <c r="E7614" s="57" t="n"/>
    </row>
    <row r="7615" ht="44" customHeight="1">
      <c r="A7615" s="47" t="inlineStr">
        <is>
          <t>Step 4</t>
        </is>
      </c>
      <c r="B7615" s="56" t="inlineStr">
        <is>
          <t>Chuỗi reservation độc lập trên fixture C: đặt batch S01 nhưng chưa hoàn tất, SELECT S01; chỉ đánh giá trạng thái theo R18 §7.5/§8.2, không mặc định payload cũ được giữ.</t>
        </is>
      </c>
      <c r="C7615" s="57" t="n"/>
      <c r="D7615" s="57" t="n"/>
      <c r="E7615" s="57" t="n"/>
    </row>
    <row r="7616" ht="30" customHeight="1">
      <c r="A7616" s="47" t="inlineStr">
        <is>
          <t>Step 5</t>
        </is>
      </c>
      <c r="B7616" s="56" t="inlineStr">
        <is>
          <t>Chuỗi cell-generation độc lập trên fixture D: lưu điểm S02 lần đầu, rồi xóa trống ô S01; SELECT từng ô.</t>
        </is>
      </c>
      <c r="C7616" s="57" t="n"/>
      <c r="D7616" s="57" t="n"/>
      <c r="E7616" s="57" t="n"/>
    </row>
    <row r="7617" ht="44" customHeight="1">
      <c r="A7617" s="47" t="inlineStr">
        <is>
          <t>Reset</t>
        </is>
      </c>
      <c r="B7617" s="56" t="inlineStr">
        <is>
          <t>Trước mỗi biến thể, dựng lại điều kiện/dữ liệu đầu của case bằng đường được phép; giữ các reset/fixture độc lập đã nêu trong thủ tục.</t>
        </is>
      </c>
      <c r="C7617" s="57" t="n"/>
      <c r="D7617" s="57" t="n"/>
      <c r="E7617" s="57" t="n"/>
    </row>
    <row r="7618" ht="30" customHeight="1">
      <c r="A7618" s="58" t="inlineStr">
        <is>
          <t>Kết quả mong đợi</t>
        </is>
      </c>
      <c r="B7618" s="59" t="n"/>
      <c r="C7618" s="59" t="n"/>
      <c r="D7618" s="59" t="n"/>
      <c r="E7618" s="59" t="n"/>
    </row>
    <row r="7619" ht="30" customHeight="1">
      <c r="A7619" s="47" t="inlineStr">
        <is>
          <t>1.</t>
        </is>
      </c>
      <c r="B7619" s="56" t="inlineStr">
        <is>
          <t>Có giá trị ban đầu; [judged_version] của S01 bằng phiên bản của lần ghi hoàn tất.</t>
        </is>
      </c>
      <c r="C7619" s="57" t="n"/>
      <c r="D7619" s="57" t="n"/>
      <c r="E7619" s="57" t="n"/>
    </row>
    <row r="7620" ht="44" customHeight="1">
      <c r="A7620" s="47" t="inlineStr">
        <is>
          <t>2.</t>
        </is>
      </c>
      <c r="B7620" s="56" t="inlineStr">
        <is>
          <t>Trên fixture A, [red_score_revision] tăng sau mỗi thao tác cấu hình; kết quả S01 chỉ được đối chiếu trước khi có trigger chạy lại.</t>
        </is>
      </c>
      <c r="C7620" s="57" t="n"/>
      <c r="D7620" s="57" t="n"/>
      <c r="E7620" s="57" t="n"/>
    </row>
    <row r="7621" ht="44" customHeight="1">
      <c r="A7621" s="47" t="inlineStr">
        <is>
          <t>3.</t>
        </is>
      </c>
      <c r="B7621" s="56" t="inlineStr">
        <is>
          <t>Trên fixture B, sau xóa rule cuối và chạy lại, S01 chuyển theo trạng thái Không áp dụng/đã ngừng kết quả cũ của G20/G21; không đọc kết quả từ fixture A.</t>
        </is>
      </c>
      <c r="C7621" s="57" t="n"/>
      <c r="D7621" s="57" t="n"/>
      <c r="E7621" s="57" t="n"/>
    </row>
    <row r="7622" ht="44" customHeight="1">
      <c r="A7622" s="47" t="inlineStr">
        <is>
          <t>4.</t>
        </is>
      </c>
      <c r="B7622" s="56" t="inlineStr">
        <is>
          <t>Trên fixture C, ghi nhận chính sách trạng thái thực tế; không dùng “payload đỏ vẫn còn” làm expected cố định khi phiên bản lệch.</t>
        </is>
      </c>
      <c r="C7622" s="57" t="n"/>
      <c r="D7622" s="57" t="n"/>
      <c r="E7622" s="57" t="n"/>
    </row>
    <row r="7623" ht="30" customHeight="1">
      <c r="A7623" s="47" t="inlineStr">
        <is>
          <t>5.</t>
        </is>
      </c>
      <c r="B7623" s="56" t="inlineStr">
        <is>
          <t>Trên fixture D, có đúng một dòng điều khiển cho mỗi ô; sau khi hoàn tất có trạng thái và [judged_at].</t>
        </is>
      </c>
      <c r="C7623" s="57" t="n"/>
      <c r="D7623" s="57" t="n"/>
      <c r="E7623" s="57" t="n"/>
    </row>
    <row r="7624" ht="44" customHeight="1">
      <c r="A7624" s="47" t="inlineStr">
        <is>
          <t>6.</t>
        </is>
      </c>
      <c r="B7624" s="56" t="inlineStr">
        <is>
          <t>Trên fixture D, [cell_generation] mới và thông tin rule/ngưỡng/nguồn cũ bị xóa theo trạng thái xóa ô; dòng điều khiển được giữ.</t>
        </is>
      </c>
      <c r="C7624" s="57" t="n"/>
      <c r="D7624" s="57" t="n"/>
      <c r="E7624" s="57" t="n"/>
    </row>
    <row r="7625" ht="44" customHeight="1">
      <c r="A7625" s="47" t="inlineStr">
        <is>
          <t>Giữ nguyên</t>
        </is>
      </c>
      <c r="B7625" s="56" t="inlineStr">
        <is>
          <t>• Giữ điểm, cấu hình và đối tượng không đích theo expected;
• Chỉ thay phần thủ tục yêu cầu, không tự đổi oracle hoặc mở rộng phạm vi.</t>
        </is>
      </c>
      <c r="C7625" s="57" t="n"/>
      <c r="D7625" s="57" t="n"/>
      <c r="E7625" s="57" t="n"/>
    </row>
    <row r="7626" ht="61" customHeight="1">
      <c r="A7626" s="47" t="inlineStr">
        <is>
          <t>Quan sát tại</t>
        </is>
      </c>
      <c r="B7626" s="56" t="inlineStr">
        <is>
          <t>• Dùng trích xuất không lọc để thấy cả ô đối chứng. Trạng thái không có dấu đỏ cần đọc thêm trạng thái lưu;
• Output Excel/PDF dùng file thật.</t>
        </is>
      </c>
      <c r="C7626" s="57" t="n"/>
      <c r="D7626" s="57" t="n"/>
      <c r="E7626" s="57" t="n"/>
    </row>
    <row r="7627" ht="30" customHeight="1">
      <c r="A7627" s="58" t="inlineStr">
        <is>
          <t>Kết quả thực tế</t>
        </is>
      </c>
      <c r="B7627" s="59" t="n"/>
      <c r="C7627" s="59" t="n"/>
      <c r="D7627" s="59" t="n"/>
      <c r="E7627" s="59" t="n"/>
    </row>
    <row r="7628" ht="30" customHeight="1">
      <c r="A7628" s="60" t="inlineStr">
        <is>
          <t>TC-RS-DATA-013 / revision</t>
        </is>
      </c>
      <c r="B7628" s="36" t="n"/>
      <c r="C7628" s="36" t="n"/>
      <c r="D7628" s="36" t="n"/>
      <c r="E7628" s="36" t="n"/>
    </row>
    <row r="7629" ht="30" customHeight="1">
      <c r="A7629" s="47" t="inlineStr">
        <is>
          <t>Dữ liệu biến thể</t>
        </is>
      </c>
      <c r="B7629" s="56" t="inlineStr">
        <is>
          <t>Bước 1–2 fixture A, SELECT sau từng sự kiện</t>
        </is>
      </c>
      <c r="C7629" s="57" t="n"/>
      <c r="D7629" s="57" t="n"/>
      <c r="E7629" s="57" t="n"/>
    </row>
    <row r="7630" ht="30" customHeight="1">
      <c r="A7630" s="47" t="inlineStr">
        <is>
          <t>Trạng thái</t>
        </is>
      </c>
      <c r="B7630" s="61" t="inlineStr">
        <is>
          <t>Chưa thực hiện</t>
        </is>
      </c>
      <c r="C7630" s="57" t="n"/>
      <c r="D7630" s="57" t="n"/>
      <c r="E7630" s="57" t="n"/>
    </row>
    <row r="7631" ht="30" customHeight="1">
      <c r="A7631" s="62" t="inlineStr">
        <is>
          <t>Kết quả thực tế</t>
        </is>
      </c>
    </row>
    <row r="7632" ht="64" customHeight="1">
      <c r="A7632" s="63" t="inlineStr"/>
      <c r="B7632" s="64" t="n"/>
      <c r="C7632" s="64" t="n"/>
      <c r="D7632" s="64" t="n"/>
      <c r="E7632" s="65" t="n"/>
    </row>
    <row r="7633" ht="30" customHeight="1">
      <c r="A7633" s="62" t="inlineStr">
        <is>
          <t>Ảnh minh chứng</t>
        </is>
      </c>
    </row>
    <row r="7634" ht="90" customHeight="1">
      <c r="A7634" s="63" t="inlineStr"/>
      <c r="B7634" s="64" t="n"/>
      <c r="C7634" s="64" t="n"/>
      <c r="D7634" s="64" t="n"/>
      <c r="E7634" s="65" t="n"/>
    </row>
    <row r="7635" ht="12" customHeight="1">
      <c r="A7635" s="66" t="inlineStr"/>
    </row>
    <row r="7636" ht="30" customHeight="1">
      <c r="A7636" s="60" t="inlineStr">
        <is>
          <t>TC-RS-DATA-013 / delete-last-rule</t>
        </is>
      </c>
      <c r="B7636" s="36" t="n"/>
      <c r="C7636" s="36" t="n"/>
      <c r="D7636" s="36" t="n"/>
      <c r="E7636" s="36" t="n"/>
    </row>
    <row r="7637" ht="30" customHeight="1">
      <c r="A7637" s="47" t="inlineStr">
        <is>
          <t>Dữ liệu biến thể</t>
        </is>
      </c>
      <c r="B7637" s="56" t="inlineStr">
        <is>
          <t>Bước 1 và 3 fixture B độc lập</t>
        </is>
      </c>
      <c r="C7637" s="57" t="n"/>
      <c r="D7637" s="57" t="n"/>
      <c r="E7637" s="57" t="n"/>
    </row>
    <row r="7638" ht="30" customHeight="1">
      <c r="A7638" s="47" t="inlineStr">
        <is>
          <t>Trạng thái</t>
        </is>
      </c>
      <c r="B7638" s="61" t="inlineStr">
        <is>
          <t>Chưa thực hiện</t>
        </is>
      </c>
      <c r="C7638" s="57" t="n"/>
      <c r="D7638" s="57" t="n"/>
      <c r="E7638" s="57" t="n"/>
    </row>
    <row r="7639" ht="30" customHeight="1">
      <c r="A7639" s="62" t="inlineStr">
        <is>
          <t>Kết quả thực tế</t>
        </is>
      </c>
    </row>
    <row r="7640" ht="64" customHeight="1">
      <c r="A7640" s="63" t="inlineStr"/>
      <c r="B7640" s="64" t="n"/>
      <c r="C7640" s="64" t="n"/>
      <c r="D7640" s="64" t="n"/>
      <c r="E7640" s="65" t="n"/>
    </row>
    <row r="7641" ht="30" customHeight="1">
      <c r="A7641" s="62" t="inlineStr">
        <is>
          <t>Ảnh minh chứng</t>
        </is>
      </c>
    </row>
    <row r="7642" ht="90" customHeight="1">
      <c r="A7642" s="63" t="inlineStr"/>
      <c r="B7642" s="64" t="n"/>
      <c r="C7642" s="64" t="n"/>
      <c r="D7642" s="64" t="n"/>
      <c r="E7642" s="65" t="n"/>
    </row>
    <row r="7643" ht="12" customHeight="1">
      <c r="A7643" s="66" t="inlineStr"/>
    </row>
    <row r="7644" ht="30" customHeight="1">
      <c r="A7644" s="60" t="inlineStr">
        <is>
          <t>TC-RS-DATA-013 / reservation</t>
        </is>
      </c>
      <c r="B7644" s="36" t="n"/>
      <c r="C7644" s="36" t="n"/>
      <c r="D7644" s="36" t="n"/>
      <c r="E7644" s="36" t="n"/>
    </row>
    <row r="7645" ht="30" customHeight="1">
      <c r="A7645" s="47" t="inlineStr">
        <is>
          <t>Dữ liệu biến thể</t>
        </is>
      </c>
      <c r="B7645" s="56" t="inlineStr">
        <is>
          <t>Bước 1 và 4 fixture C độc lập</t>
        </is>
      </c>
      <c r="C7645" s="57" t="n"/>
      <c r="D7645" s="57" t="n"/>
      <c r="E7645" s="57" t="n"/>
    </row>
    <row r="7646" ht="30" customHeight="1">
      <c r="A7646" s="47" t="inlineStr">
        <is>
          <t>Trạng thái</t>
        </is>
      </c>
      <c r="B7646" s="61" t="inlineStr">
        <is>
          <t>Chưa thực hiện</t>
        </is>
      </c>
      <c r="C7646" s="57" t="n"/>
      <c r="D7646" s="57" t="n"/>
      <c r="E7646" s="57" t="n"/>
    </row>
    <row r="7647" ht="30" customHeight="1">
      <c r="A7647" s="62" t="inlineStr">
        <is>
          <t>Kết quả thực tế</t>
        </is>
      </c>
    </row>
    <row r="7648" ht="64" customHeight="1">
      <c r="A7648" s="63" t="inlineStr"/>
      <c r="B7648" s="64" t="n"/>
      <c r="C7648" s="64" t="n"/>
      <c r="D7648" s="64" t="n"/>
      <c r="E7648" s="65" t="n"/>
    </row>
    <row r="7649" ht="30" customHeight="1">
      <c r="A7649" s="62" t="inlineStr">
        <is>
          <t>Ảnh minh chứng</t>
        </is>
      </c>
    </row>
    <row r="7650" ht="90" customHeight="1">
      <c r="A7650" s="63" t="inlineStr"/>
      <c r="B7650" s="64" t="n"/>
      <c r="C7650" s="64" t="n"/>
      <c r="D7650" s="64" t="n"/>
      <c r="E7650" s="65" t="n"/>
    </row>
    <row r="7651" ht="12" customHeight="1">
      <c r="A7651" s="66" t="inlineStr"/>
    </row>
    <row r="7652" ht="30" customHeight="1">
      <c r="A7652" s="60" t="inlineStr">
        <is>
          <t>TC-RS-DATA-013 / cell-generation</t>
        </is>
      </c>
      <c r="B7652" s="36" t="n"/>
      <c r="C7652" s="36" t="n"/>
      <c r="D7652" s="36" t="n"/>
      <c r="E7652" s="36" t="n"/>
    </row>
    <row r="7653" ht="30" customHeight="1">
      <c r="A7653" s="47" t="inlineStr">
        <is>
          <t>Dữ liệu biến thể</t>
        </is>
      </c>
      <c r="B7653" s="56" t="inlineStr">
        <is>
          <t>Bước 1 và 5 fixture D độc lập</t>
        </is>
      </c>
      <c r="C7653" s="57" t="n"/>
      <c r="D7653" s="57" t="n"/>
      <c r="E7653" s="57" t="n"/>
    </row>
    <row r="7654" ht="30" customHeight="1">
      <c r="A7654" s="47" t="inlineStr">
        <is>
          <t>Trạng thái</t>
        </is>
      </c>
      <c r="B7654" s="61" t="inlineStr">
        <is>
          <t>Chưa thực hiện</t>
        </is>
      </c>
      <c r="C7654" s="57" t="n"/>
      <c r="D7654" s="57" t="n"/>
      <c r="E7654" s="57" t="n"/>
    </row>
    <row r="7655" ht="30" customHeight="1">
      <c r="A7655" s="62" t="inlineStr">
        <is>
          <t>Kết quả thực tế</t>
        </is>
      </c>
    </row>
    <row r="7656" ht="64" customHeight="1">
      <c r="A7656" s="63" t="inlineStr"/>
      <c r="B7656" s="64" t="n"/>
      <c r="C7656" s="64" t="n"/>
      <c r="D7656" s="64" t="n"/>
      <c r="E7656" s="65" t="n"/>
    </row>
    <row r="7657" ht="30" customHeight="1">
      <c r="A7657" s="62" t="inlineStr">
        <is>
          <t>Ảnh minh chứng</t>
        </is>
      </c>
    </row>
    <row r="7658" ht="90" customHeight="1">
      <c r="A7658" s="63" t="inlineStr"/>
      <c r="B7658" s="64" t="n"/>
      <c r="C7658" s="64" t="n"/>
      <c r="D7658" s="64" t="n"/>
      <c r="E7658" s="65" t="n"/>
    </row>
    <row r="7659" ht="12" customHeight="1">
      <c r="A7659" s="66" t="inlineStr"/>
    </row>
    <row r="7660" ht="20" customHeight="1">
      <c r="A7660" s="66" t="inlineStr"/>
    </row>
    <row r="7661" ht="30" customHeight="1">
      <c r="A7661" s="46" t="inlineStr">
        <is>
          <t>TC-RS-DATA-014 — Legacy: báo cáo riêng trường vẫn giữ cách dùng điểm đỏ cũ</t>
        </is>
      </c>
      <c r="B7661" s="23" t="n"/>
      <c r="C7661" s="23" t="n"/>
      <c r="D7661" s="23" t="n"/>
      <c r="E7661" s="23" t="n"/>
    </row>
    <row r="7662" ht="30" customHeight="1">
      <c r="A7662" s="47" t="inlineStr">
        <is>
          <t>Trạng thái</t>
        </is>
      </c>
      <c r="B7662" s="61" t="inlineStr">
        <is>
          <t>Chưa thực hiện</t>
        </is>
      </c>
      <c r="C7662" s="57" t="n"/>
      <c r="D7662" s="57" t="n"/>
      <c r="E7662" s="57" t="n"/>
    </row>
    <row r="7663" ht="30" customHeight="1">
      <c r="A7663" s="47" t="inlineStr">
        <is>
          <t>Màn hình / chức năng</t>
        </is>
      </c>
      <c r="B7663" s="47" t="inlineStr">
        <is>
          <t>Bảo toàn dữ liệu và cấu hình</t>
        </is>
      </c>
      <c r="C7663" s="57" t="n"/>
      <c r="D7663" s="47" t="inlineStr">
        <is>
          <t>Đường dẫn</t>
        </is>
      </c>
      <c r="E7663" s="56" t="inlineStr">
        <is>
          <t>Chưa xác minh</t>
        </is>
      </c>
    </row>
    <row r="7664" ht="30" customHeight="1">
      <c r="A7664" s="58" t="inlineStr">
        <is>
          <t>Điều kiện kiểm thử</t>
        </is>
      </c>
      <c r="B7664" s="59" t="n"/>
      <c r="C7664" s="59" t="n"/>
      <c r="D7664" s="59" t="n"/>
      <c r="E7664" s="59" t="n"/>
    </row>
    <row r="7665" ht="44" customHeight="1">
      <c r="A7665" s="47" t="inlineStr">
        <is>
          <t>Cấu hình</t>
        </is>
      </c>
      <c r="B7665" s="56" t="inlineStr">
        <is>
          <t>• Có dữ liệu legacy [red_score] trước khi bật cấu hình mới;
• Có cùng mục được cấu hình rule mới.</t>
        </is>
      </c>
      <c r="C7665" s="57" t="n"/>
      <c r="D7665" s="57" t="n"/>
      <c r="E7665" s="57" t="n"/>
    </row>
    <row r="7666" ht="61" customHeight="1">
      <c r="A7666" s="47" t="inlineStr">
        <is>
          <t>Vai trò / quyền</t>
        </is>
      </c>
      <c r="B766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666" s="57" t="n"/>
      <c r="D7666" s="57" t="n"/>
      <c r="E7666" s="57" t="n"/>
    </row>
    <row r="7667" ht="44" customHeight="1">
      <c r="A7667" s="47" t="inlineStr">
        <is>
          <t>Dữ liệu test</t>
        </is>
      </c>
      <c r="B7667" s="56" t="inlineStr">
        <is>
          <t>• Có dữ liệu legacy [red_score] trước khi bật cấu hình mới;
• Có cùng mục được cấu hình rule mới.</t>
        </is>
      </c>
      <c r="C7667" s="57" t="n"/>
      <c r="D7667" s="57" t="n"/>
      <c r="E7667" s="57" t="n"/>
    </row>
    <row r="7668" ht="30" customHeight="1">
      <c r="A7668" s="47" t="inlineStr">
        <is>
          <t>Trigger</t>
        </is>
      </c>
      <c r="B7668" s="56" t="inlineStr">
        <is>
          <t>• Chỉ xem/xuất không tự chạy xét.</t>
        </is>
      </c>
      <c r="C7668" s="57" t="n"/>
      <c r="D7668" s="57" t="n"/>
      <c r="E7668" s="57" t="n"/>
    </row>
    <row r="7669" ht="44" customHeight="1">
      <c r="A7669" s="47" t="inlineStr">
        <is>
          <t>Blocker</t>
        </is>
      </c>
      <c r="B7669" s="56" t="inlineStr">
        <is>
          <t>• G-PREP-UNASSESSED: Chưa có xác minh fixture, đường thực hiện và phép quan sát trên build của từng case chưa đánh giá.</t>
        </is>
      </c>
      <c r="C7669" s="57" t="n"/>
      <c r="D7669" s="57" t="n"/>
      <c r="E7669" s="57" t="n"/>
    </row>
    <row r="7670" ht="30" customHeight="1">
      <c r="A7670" s="58" t="inlineStr">
        <is>
          <t>Thao tác</t>
        </is>
      </c>
      <c r="B7670" s="59" t="n"/>
      <c r="C7670" s="59" t="n"/>
      <c r="D7670" s="59" t="n"/>
      <c r="E7670" s="59" t="n"/>
    </row>
    <row r="7671" ht="30" customHeight="1">
      <c r="A7671" s="47" t="inlineStr">
        <is>
          <t>Step 1</t>
        </is>
      </c>
      <c r="B7671" s="56" t="inlineStr">
        <is>
          <t>Xem báo cáo riêng trường trước và sau khi cấu hình/chạy rule mới.</t>
        </is>
      </c>
      <c r="C7671" s="57" t="n"/>
      <c r="D7671" s="57" t="n"/>
      <c r="E7671" s="57" t="n"/>
    </row>
    <row r="7672" ht="30" customHeight="1">
      <c r="A7672" s="47" t="inlineStr">
        <is>
          <t>Step 2</t>
        </is>
      </c>
      <c r="B7672" s="56" t="inlineStr">
        <is>
          <t>Đối chiếu giá trị legacy và kết luận của rule mới.</t>
        </is>
      </c>
      <c r="C7672" s="57" t="n"/>
      <c r="D7672" s="57" t="n"/>
      <c r="E7672" s="57" t="n"/>
    </row>
    <row r="7673" ht="44" customHeight="1">
      <c r="A7673" s="47" t="inlineStr">
        <is>
          <t>Reset</t>
        </is>
      </c>
      <c r="B7673" s="56" t="inlineStr">
        <is>
          <t>Trước mỗi biến thể, dựng lại điều kiện/dữ liệu đầu của case bằng đường được phép; giữ các reset/fixture độc lập đã nêu trong thủ tục.</t>
        </is>
      </c>
      <c r="C7673" s="57" t="n"/>
      <c r="D7673" s="57" t="n"/>
      <c r="E7673" s="57" t="n"/>
    </row>
    <row r="7674" ht="30" customHeight="1">
      <c r="A7674" s="58" t="inlineStr">
        <is>
          <t>Kết quả mong đợi</t>
        </is>
      </c>
      <c r="B7674" s="59" t="n"/>
      <c r="C7674" s="59" t="n"/>
      <c r="D7674" s="59" t="n"/>
      <c r="E7674" s="59" t="n"/>
    </row>
    <row r="7675" ht="44" customHeight="1">
      <c r="A7675" s="47" t="inlineStr">
        <is>
          <t>•</t>
        </is>
      </c>
      <c r="B7675" s="56" t="inlineStr">
        <is>
          <t>Legacy không bị chuyển thành rule mới, reset hoặc dùng thay cho rule mới; hai nguồn được giữ riêng và báo cáo legacy vẫn giữ cách dùng cũ.</t>
        </is>
      </c>
      <c r="C7675" s="57" t="n"/>
      <c r="D7675" s="57" t="n"/>
      <c r="E7675" s="57" t="n"/>
    </row>
    <row r="7676" ht="44" customHeight="1">
      <c r="A7676" s="47" t="inlineStr">
        <is>
          <t>Giữ nguyên</t>
        </is>
      </c>
      <c r="B7676" s="56" t="inlineStr">
        <is>
          <t>• Giữ điểm, cấu hình và đối tượng không đích theo expected;
• Chỉ thay phần thủ tục yêu cầu, không tự đổi oracle hoặc mở rộng phạm vi.</t>
        </is>
      </c>
      <c r="C7676" s="57" t="n"/>
      <c r="D7676" s="57" t="n"/>
      <c r="E7676" s="57" t="n"/>
    </row>
    <row r="7677" ht="61" customHeight="1">
      <c r="A7677" s="47" t="inlineStr">
        <is>
          <t>Quan sát tại</t>
        </is>
      </c>
      <c r="B7677" s="56" t="inlineStr">
        <is>
          <t>• Dùng trích xuất không lọc để thấy cả ô đối chứng. Trạng thái không có dấu đỏ cần đọc thêm trạng thái lưu;
• Output Excel/PDF dùng file thật.</t>
        </is>
      </c>
      <c r="C7677" s="57" t="n"/>
      <c r="D7677" s="57" t="n"/>
      <c r="E7677" s="57" t="n"/>
    </row>
    <row r="7678" ht="30" customHeight="1">
      <c r="A7678" s="58" t="inlineStr">
        <is>
          <t>Kết quả thực tế</t>
        </is>
      </c>
      <c r="B7678" s="59" t="n"/>
      <c r="C7678" s="59" t="n"/>
      <c r="D7678" s="59" t="n"/>
      <c r="E7678" s="59" t="n"/>
    </row>
    <row r="7679" ht="30" customHeight="1">
      <c r="A7679" s="47" t="inlineStr">
        <is>
          <t>Dữ liệu biến thể</t>
        </is>
      </c>
      <c r="B7679" s="56" t="inlineStr">
        <is>
          <t>Toàn bộ thủ tục theo đúng thứ tự; các đối chứng cùng fixture được kiểm trong cùng lượt, không bỏ bước</t>
        </is>
      </c>
      <c r="C7679" s="57" t="n"/>
      <c r="D7679" s="57" t="n"/>
      <c r="E7679" s="57" t="n"/>
    </row>
    <row r="7680" ht="30" customHeight="1">
      <c r="A7680" s="62" t="inlineStr">
        <is>
          <t>Kết quả thực tế</t>
        </is>
      </c>
    </row>
    <row r="7681" ht="64" customHeight="1">
      <c r="A7681" s="63" t="inlineStr"/>
      <c r="B7681" s="64" t="n"/>
      <c r="C7681" s="64" t="n"/>
      <c r="D7681" s="64" t="n"/>
      <c r="E7681" s="65" t="n"/>
    </row>
    <row r="7682" ht="30" customHeight="1">
      <c r="A7682" s="62" t="inlineStr">
        <is>
          <t>Ảnh minh chứng</t>
        </is>
      </c>
    </row>
    <row r="7683" ht="90" customHeight="1">
      <c r="A7683" s="63" t="inlineStr"/>
      <c r="B7683" s="64" t="n"/>
      <c r="C7683" s="64" t="n"/>
      <c r="D7683" s="64" t="n"/>
      <c r="E7683" s="65" t="n"/>
    </row>
    <row r="7684" ht="12" customHeight="1">
      <c r="A7684" s="66" t="inlineStr"/>
    </row>
    <row r="7685" ht="20" customHeight="1">
      <c r="A7685" s="66" t="inlineStr"/>
    </row>
    <row r="7686" ht="30" customHeight="1">
      <c r="A7686" s="46" t="inlineStr">
        <is>
          <t>TC-RS-DATA-015 — Sao chép cấu hình giữ riêng legacy và không sao chép kết quả cá nhân</t>
        </is>
      </c>
      <c r="B7686" s="23" t="n"/>
      <c r="C7686" s="23" t="n"/>
      <c r="D7686" s="23" t="n"/>
      <c r="E7686" s="23" t="n"/>
    </row>
    <row r="7687" ht="30" customHeight="1">
      <c r="A7687" s="47" t="inlineStr">
        <is>
          <t>Trạng thái</t>
        </is>
      </c>
      <c r="B7687" s="61" t="inlineStr">
        <is>
          <t>Chưa thực hiện</t>
        </is>
      </c>
      <c r="C7687" s="57" t="n"/>
      <c r="D7687" s="57" t="n"/>
      <c r="E7687" s="57" t="n"/>
    </row>
    <row r="7688" ht="30" customHeight="1">
      <c r="A7688" s="47" t="inlineStr">
        <is>
          <t>Màn hình / chức năng</t>
        </is>
      </c>
      <c r="B7688" s="47" t="inlineStr">
        <is>
          <t>Bảo toàn dữ liệu và cấu hình</t>
        </is>
      </c>
      <c r="C7688" s="57" t="n"/>
      <c r="D7688" s="47" t="inlineStr">
        <is>
          <t>Đường dẫn</t>
        </is>
      </c>
      <c r="E7688" s="56" t="inlineStr">
        <is>
          <t>Chưa xác minh</t>
        </is>
      </c>
    </row>
    <row r="7689" ht="30" customHeight="1">
      <c r="A7689" s="58" t="inlineStr">
        <is>
          <t>Điều kiện kiểm thử</t>
        </is>
      </c>
      <c r="B7689" s="59" t="n"/>
      <c r="C7689" s="59" t="n"/>
      <c r="D7689" s="59" t="n"/>
      <c r="E7689" s="59" t="n"/>
    </row>
    <row r="7690" ht="78" customHeight="1">
      <c r="A7690" s="47" t="inlineStr">
        <is>
          <t>Cấu hình</t>
        </is>
      </c>
      <c r="B7690" s="56" t="inlineStr">
        <is>
          <t>•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 Mapping môn Toán và identity ô đích khác nguồn. Có chức năng sao chép cấu hình trong phạm vi đợt.</t>
        </is>
      </c>
      <c r="C7690" s="57" t="n"/>
      <c r="D7690" s="57" t="n"/>
      <c r="E7690" s="57" t="n"/>
    </row>
    <row r="7691" ht="61" customHeight="1">
      <c r="A7691" s="47" t="inlineStr">
        <is>
          <t>Vai trò / quyền</t>
        </is>
      </c>
      <c r="B769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691" s="57" t="n"/>
      <c r="D7691" s="57" t="n"/>
      <c r="E7691" s="57" t="n"/>
    </row>
    <row r="7692" ht="78" customHeight="1">
      <c r="A7692" s="47" t="inlineStr">
        <is>
          <t>Dữ liệu test</t>
        </is>
      </c>
      <c r="B7692" s="56" t="inlineStr">
        <is>
          <t>• Nguồn: trường A / năm 2026 / mục Toán / nhóm G-A, có rule mới [&lt;30], ngưỡng legacy [red_score=25] đang được báo cáo riêng, và S01 có kết quả Đỏ đã chốt. Đích: trường A / năm 2026 / mục Toán tương ứng / nhóm G-B, chưa có legacy/kết quả cá nhân;
• Mapping môn Toán và identity ô đích khác nguồn. Có chức năng sao chép cấu hình trong phạm vi đợt.</t>
        </is>
      </c>
      <c r="C7692" s="57" t="n"/>
      <c r="D7692" s="57" t="n"/>
      <c r="E7692" s="57" t="n"/>
    </row>
    <row r="7693" ht="30" customHeight="1">
      <c r="A7693" s="47" t="inlineStr">
        <is>
          <t>Trigger</t>
        </is>
      </c>
      <c r="B7693" s="56" t="inlineStr">
        <is>
          <t>• Chỉ xem/xuất không tự chạy xét.</t>
        </is>
      </c>
      <c r="C7693" s="57" t="n"/>
      <c r="D7693" s="57" t="n"/>
      <c r="E7693" s="57" t="n"/>
    </row>
    <row r="7694" ht="61" customHeight="1">
      <c r="A7694" s="47" t="inlineStr">
        <is>
          <t>Blocker</t>
        </is>
      </c>
      <c r="B7694" s="56" t="inlineStr">
        <is>
          <t>• G-PREP-TC-RS-DATA-015: BLOCKED — fixture sao chép riêng năm 2026 với ngưỡng legacy 25 và đường copy/mapping/reader legacy ở đích chưa được provision hoặc xác minh;
• Cần quan sát giá trị nguồn và đích trước/sau thao tác.</t>
        </is>
      </c>
      <c r="C7694" s="57" t="n"/>
      <c r="D7694" s="57" t="n"/>
      <c r="E7694" s="57" t="n"/>
    </row>
    <row r="7695" ht="30" customHeight="1">
      <c r="A7695" s="58" t="inlineStr">
        <is>
          <t>Thao tác</t>
        </is>
      </c>
      <c r="B7695" s="59" t="n"/>
      <c r="C7695" s="59" t="n"/>
      <c r="D7695" s="59" t="n"/>
      <c r="E7695" s="59" t="n"/>
    </row>
    <row r="7696" ht="30" customHeight="1">
      <c r="A7696" s="47" t="inlineStr">
        <is>
          <t>Step 1</t>
        </is>
      </c>
      <c r="B7696" s="56" t="inlineStr">
        <is>
          <t>Ghi snapshot trước thao tác: rule, mapping mục/môn/nhóm, legacy và kết quả riêng của S01 ở nguồn.</t>
        </is>
      </c>
      <c r="C7696" s="57" t="n"/>
      <c r="D7696" s="57" t="n"/>
      <c r="E7696" s="57" t="n"/>
    </row>
    <row r="7697" ht="30" customHeight="1">
      <c r="A7697" s="47" t="inlineStr">
        <is>
          <t>Step 2</t>
        </is>
      </c>
      <c r="B7697" s="56" t="inlineStr">
        <is>
          <t>Sao chép cấu hình sang mục/đối tượng đích; ghi identity nguồn/đích và mapping thực tế.</t>
        </is>
      </c>
      <c r="C7697" s="57" t="n"/>
      <c r="D7697" s="57" t="n"/>
      <c r="E7697" s="57" t="n"/>
    </row>
    <row r="7698" ht="30" customHeight="1">
      <c r="A7698" s="47" t="inlineStr">
        <is>
          <t>Step 3</t>
        </is>
      </c>
      <c r="B7698" s="56" t="inlineStr">
        <is>
          <t>Mở cấu hình, legacy và kết quả của đích; không dùng dữ liệu nguồn làm baseline cho đích.</t>
        </is>
      </c>
      <c r="C7698" s="57" t="n"/>
      <c r="D7698" s="57" t="n"/>
      <c r="E7698" s="57" t="n"/>
    </row>
    <row r="7699" ht="44" customHeight="1">
      <c r="A7699" s="47" t="inlineStr">
        <is>
          <t>Reset</t>
        </is>
      </c>
      <c r="B7699" s="56" t="inlineStr">
        <is>
          <t>Trước mỗi biến thể, dựng lại điều kiện/dữ liệu đầu của case bằng đường được phép; giữ các reset/fixture độc lập đã nêu trong thủ tục.</t>
        </is>
      </c>
      <c r="C7699" s="57" t="n"/>
      <c r="D7699" s="57" t="n"/>
      <c r="E7699" s="57" t="n"/>
    </row>
    <row r="7700" ht="30" customHeight="1">
      <c r="A7700" s="58" t="inlineStr">
        <is>
          <t>Kết quả mong đợi</t>
        </is>
      </c>
      <c r="B7700" s="59" t="n"/>
      <c r="C7700" s="59" t="n"/>
      <c r="D7700" s="59" t="n"/>
      <c r="E7700" s="59" t="n"/>
    </row>
    <row r="7701" ht="95" customHeight="1">
      <c r="A7701" s="47" t="inlineStr">
        <is>
          <t>•</t>
        </is>
      </c>
      <c r="B7701" s="56" t="inlineStr">
        <is>
          <t>Cấu hình [&lt;30] được ánh xạ theo identity đích. Ngưỡng legacy [red_score=25] có mapping hợp lệ cũng được sao chép theo đường legacy hiện hữu: nguồn và đích đều đọc ra 25 tại cấu hình/báo cáo legacy riêng; không xóa, đổi nghĩa hoặc biến thành rule/fallback mới. Nếu đường sao chép legacy của build chưa được xác minh, giữ nhánh BLOCKED và ghi seam/mapping thiếu. Đích không có kết quả đỏ/bản chốt cá nhân của S01 nguồn; chỉ lần xét mới trên identity đích mới tạo kết quả cá nhân ở đích.</t>
        </is>
      </c>
      <c r="C7701" s="57" t="n"/>
      <c r="D7701" s="57" t="n"/>
      <c r="E7701" s="57" t="n"/>
    </row>
    <row r="7702" ht="44" customHeight="1">
      <c r="A7702" s="47" t="inlineStr">
        <is>
          <t>Giữ nguyên</t>
        </is>
      </c>
      <c r="B7702" s="56" t="inlineStr">
        <is>
          <t>• Giữ điểm, cấu hình và đối tượng không đích theo expected;
• Chỉ thay phần thủ tục yêu cầu, không tự đổi oracle hoặc mở rộng phạm vi.</t>
        </is>
      </c>
      <c r="C7702" s="57" t="n"/>
      <c r="D7702" s="57" t="n"/>
      <c r="E7702" s="57" t="n"/>
    </row>
    <row r="7703" ht="61" customHeight="1">
      <c r="A7703" s="47" t="inlineStr">
        <is>
          <t>Quan sát tại</t>
        </is>
      </c>
      <c r="B7703" s="56" t="inlineStr">
        <is>
          <t>• Dùng trích xuất không lọc để thấy cả ô đối chứng. Trạng thái không có dấu đỏ cần đọc thêm trạng thái lưu;
• Output Excel/PDF dùng file thật.</t>
        </is>
      </c>
      <c r="C7703" s="57" t="n"/>
      <c r="D7703" s="57" t="n"/>
      <c r="E7703" s="57" t="n"/>
    </row>
    <row r="7704" ht="30" customHeight="1">
      <c r="A7704" s="58" t="inlineStr">
        <is>
          <t>Kết quả thực tế</t>
        </is>
      </c>
      <c r="B7704" s="59" t="n"/>
      <c r="C7704" s="59" t="n"/>
      <c r="D7704" s="59" t="n"/>
      <c r="E7704" s="59" t="n"/>
    </row>
    <row r="7705" ht="30" customHeight="1">
      <c r="A7705" s="47" t="inlineStr">
        <is>
          <t>Dữ liệu biến thể</t>
        </is>
      </c>
      <c r="B7705" s="56" t="inlineStr">
        <is>
          <t>Toàn bộ thủ tục theo đúng thứ tự; các đối chứng cùng fixture được kiểm trong cùng lượt, không bỏ bước</t>
        </is>
      </c>
      <c r="C7705" s="57" t="n"/>
      <c r="D7705" s="57" t="n"/>
      <c r="E7705" s="57" t="n"/>
    </row>
    <row r="7706" ht="30" customHeight="1">
      <c r="A7706" s="62" t="inlineStr">
        <is>
          <t>Kết quả thực tế</t>
        </is>
      </c>
    </row>
    <row r="7707" ht="64" customHeight="1">
      <c r="A7707" s="63" t="inlineStr"/>
      <c r="B7707" s="64" t="n"/>
      <c r="C7707" s="64" t="n"/>
      <c r="D7707" s="64" t="n"/>
      <c r="E7707" s="65" t="n"/>
    </row>
    <row r="7708" ht="30" customHeight="1">
      <c r="A7708" s="62" t="inlineStr">
        <is>
          <t>Ảnh minh chứng</t>
        </is>
      </c>
    </row>
    <row r="7709" ht="90" customHeight="1">
      <c r="A7709" s="63" t="inlineStr"/>
      <c r="B7709" s="64" t="n"/>
      <c r="C7709" s="64" t="n"/>
      <c r="D7709" s="64" t="n"/>
      <c r="E7709" s="65" t="n"/>
    </row>
    <row r="7710" ht="12" customHeight="1">
      <c r="A7710" s="66" t="inlineStr"/>
    </row>
    <row r="7711" ht="20" customHeight="1">
      <c r="A7711" s="66" t="inlineStr"/>
    </row>
    <row r="7712" ht="30" customHeight="1">
      <c r="A7712" s="46" t="inlineStr">
        <is>
          <t>TC-RS-DATA-016 — Kế thừa năm mới không dùng bản chốt hoặc kết quả cá nhân của năm cũ</t>
        </is>
      </c>
      <c r="B7712" s="23" t="n"/>
      <c r="C7712" s="23" t="n"/>
      <c r="D7712" s="23" t="n"/>
      <c r="E7712" s="23" t="n"/>
    </row>
    <row r="7713" ht="30" customHeight="1">
      <c r="A7713" s="47" t="inlineStr">
        <is>
          <t>Trạng thái</t>
        </is>
      </c>
      <c r="B7713" s="61" t="inlineStr">
        <is>
          <t>Chưa thực hiện</t>
        </is>
      </c>
      <c r="C7713" s="57" t="n"/>
      <c r="D7713" s="57" t="n"/>
      <c r="E7713" s="57" t="n"/>
    </row>
    <row r="7714" ht="30" customHeight="1">
      <c r="A7714" s="47" t="inlineStr">
        <is>
          <t>Màn hình / chức năng</t>
        </is>
      </c>
      <c r="B7714" s="47" t="inlineStr">
        <is>
          <t>Bảo toàn dữ liệu và cấu hình</t>
        </is>
      </c>
      <c r="C7714" s="57" t="n"/>
      <c r="D7714" s="47" t="inlineStr">
        <is>
          <t>Đường dẫn</t>
        </is>
      </c>
      <c r="E7714" s="56" t="inlineStr">
        <is>
          <t>Chưa xác minh</t>
        </is>
      </c>
    </row>
    <row r="7715" ht="30" customHeight="1">
      <c r="A7715" s="58" t="inlineStr">
        <is>
          <t>Điều kiện kiểm thử</t>
        </is>
      </c>
      <c r="B7715" s="59" t="n"/>
      <c r="C7715" s="59" t="n"/>
      <c r="D7715" s="59" t="n"/>
      <c r="E7715" s="59" t="n"/>
    </row>
    <row r="7716" ht="78" customHeight="1">
      <c r="A7716" s="47" t="inlineStr">
        <is>
          <t>Cấu hình</t>
        </is>
      </c>
      <c r="B7716" s="56" t="inlineStr">
        <is>
          <t>•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 Ghi identity học sinh đích riêng. Đường tạo/kế thừa năm cần provision và xác minh mapping thực tế.</t>
        </is>
      </c>
      <c r="C7716" s="57" t="n"/>
      <c r="D7716" s="57" t="n"/>
      <c r="E7716" s="57" t="n"/>
    </row>
    <row r="7717" ht="61" customHeight="1">
      <c r="A7717" s="47" t="inlineStr">
        <is>
          <t>Vai trò / quyền</t>
        </is>
      </c>
      <c r="B771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717" s="57" t="n"/>
      <c r="D7717" s="57" t="n"/>
      <c r="E7717" s="57" t="n"/>
    </row>
    <row r="7718" ht="78" customHeight="1">
      <c r="A7718" s="47" t="inlineStr">
        <is>
          <t>Dữ liệu test</t>
        </is>
      </c>
      <c r="B7718" s="56" t="inlineStr">
        <is>
          <t>• Nguồn: TD-LEGACY-01 tại trường A/năm 2025/kỳ Cuối kỳ học kỳ 1/mục Toán/nhóm G-A có rule mới [&lt;30], ngưỡng legacy [red_score=25], snapshot và kết quả cá nhân Đỏ của S01. Đích: cùng trường/năm 2026/kỳ tương ứng/mục Toán/nhóm được ánh xạ G-A→G-A năm mới, ban đầu không có ngưỡng legacy hay kết quả cá nhân;
• Ghi identity học sinh đích riêng. Đường tạo/kế thừa năm cần provision và xác minh mapping thực tế.</t>
        </is>
      </c>
      <c r="C7718" s="57" t="n"/>
      <c r="D7718" s="57" t="n"/>
      <c r="E7718" s="57" t="n"/>
    </row>
    <row r="7719" ht="30" customHeight="1">
      <c r="A7719" s="47" t="inlineStr">
        <is>
          <t>Trigger</t>
        </is>
      </c>
      <c r="B7719" s="56" t="inlineStr">
        <is>
          <t>• Chỉ xem/xuất không tự chạy xét.</t>
        </is>
      </c>
      <c r="C7719" s="57" t="n"/>
      <c r="D7719" s="57" t="n"/>
      <c r="E7719" s="57" t="n"/>
    </row>
    <row r="7720" ht="44" customHeight="1">
      <c r="A7720" s="47" t="inlineStr">
        <is>
          <t>Blocker</t>
        </is>
      </c>
      <c r="B7720" s="56" t="inlineStr">
        <is>
          <t>• G-PREP-TC-RS-DATA-016: BLOCKED — TD-LEGACY-01 và đường kế thừa năm 2025→2026 chưa được provision;
• Cần xác minh mapping kỳ/môn/mục/nhóm, reader legacy ở đích và kết quả cá nhân trước lần xét mới.</t>
        </is>
      </c>
      <c r="C7720" s="57" t="n"/>
      <c r="D7720" s="57" t="n"/>
      <c r="E7720" s="57" t="n"/>
    </row>
    <row r="7721" ht="30" customHeight="1">
      <c r="A7721" s="58" t="inlineStr">
        <is>
          <t>Thao tác</t>
        </is>
      </c>
      <c r="B7721" s="59" t="n"/>
      <c r="C7721" s="59" t="n"/>
      <c r="D7721" s="59" t="n"/>
      <c r="E7721" s="59" t="n"/>
    </row>
    <row r="7722" ht="44" customHeight="1">
      <c r="A7722" s="47" t="inlineStr">
        <is>
          <t>Step 1</t>
        </is>
      </c>
      <c r="B7722" s="56" t="inlineStr">
        <is>
          <t>Chụp riêng rule mới, giá trị legacy 25 tại nguồn, snapshot và kết quả cá nhân S01 năm 2025; ghi đích chưa có legacy/kết quả.</t>
        </is>
      </c>
      <c r="C7722" s="57" t="n"/>
      <c r="D7722" s="57" t="n"/>
      <c r="E7722" s="57" t="n"/>
    </row>
    <row r="7723" ht="44" customHeight="1">
      <c r="A7723" s="47" t="inlineStr">
        <is>
          <t>Step 2</t>
        </is>
      </c>
      <c r="B7723" s="56" t="inlineStr">
        <is>
          <t>Tạo năm 2026/kế thừa cấu hình; ghi mapping kỳ/mục Toán/môn Toán/nhóm G-A, identity ô và học sinh đích thực tế.</t>
        </is>
      </c>
      <c r="C7723" s="57" t="n"/>
      <c r="D7723" s="57" t="n"/>
      <c r="E7723" s="57" t="n"/>
    </row>
    <row r="7724" ht="44" customHeight="1">
      <c r="A7724" s="47" t="inlineStr">
        <is>
          <t>Step 3</t>
        </is>
      </c>
      <c r="B7724" s="56" t="inlineStr">
        <is>
          <t>Đọc lại ngưỡng/báo cáo legacy của hai năm; mở kết quả cá nhân năm 2026 trước khi chạy xét, rồi chạy xét riêng ở đích.</t>
        </is>
      </c>
      <c r="C7724" s="57" t="n"/>
      <c r="D7724" s="57" t="n"/>
      <c r="E7724" s="57" t="n"/>
    </row>
    <row r="7725" ht="44" customHeight="1">
      <c r="A7725" s="47" t="inlineStr">
        <is>
          <t>Reset</t>
        </is>
      </c>
      <c r="B7725" s="56" t="inlineStr">
        <is>
          <t>Trước mỗi biến thể, dựng lại điều kiện/dữ liệu đầu của case bằng đường được phép; giữ các reset/fixture độc lập đã nêu trong thủ tục.</t>
        </is>
      </c>
      <c r="C7725" s="57" t="n"/>
      <c r="D7725" s="57" t="n"/>
      <c r="E7725" s="57" t="n"/>
    </row>
    <row r="7726" ht="30" customHeight="1">
      <c r="A7726" s="58" t="inlineStr">
        <is>
          <t>Kết quả mong đợi</t>
        </is>
      </c>
      <c r="B7726" s="59" t="n"/>
      <c r="C7726" s="59" t="n"/>
      <c r="D7726" s="59" t="n"/>
      <c r="E7726" s="59" t="n"/>
    </row>
    <row r="7727" ht="78" customHeight="1">
      <c r="A7727" s="47" t="inlineStr">
        <is>
          <t>•</t>
        </is>
      </c>
      <c r="B7727" s="56" t="inlineStr">
        <is>
          <t>Rule mới [&lt;30] và ngưỡng legacy 25 được kế thừa đúng mapping: nguồn vẫn 25, đích đọc 25 ở cấu hình/báo cáo legacy riêng; không thành rule/fallback mới. Trước lần xét mới, đích không có snapshot/kết quả cá nhân của S01 năm 2025; sau lần xét riêng, kết quả chỉ mang identity năm 2026. Nếu chưa xác minh được seam kế thừa/mapping hoặc reader legacy ở đích thì BLOCKED, không chỉ kiểm nguồn giữ nguyên.</t>
        </is>
      </c>
      <c r="C7727" s="57" t="n"/>
      <c r="D7727" s="57" t="n"/>
      <c r="E7727" s="57" t="n"/>
    </row>
    <row r="7728" ht="44" customHeight="1">
      <c r="A7728" s="47" t="inlineStr">
        <is>
          <t>Giữ nguyên</t>
        </is>
      </c>
      <c r="B7728" s="56" t="inlineStr">
        <is>
          <t>• Giữ điểm, cấu hình và đối tượng không đích theo expected;
• Chỉ thay phần thủ tục yêu cầu, không tự đổi oracle hoặc mở rộng phạm vi.</t>
        </is>
      </c>
      <c r="C7728" s="57" t="n"/>
      <c r="D7728" s="57" t="n"/>
      <c r="E7728" s="57" t="n"/>
    </row>
    <row r="7729" ht="61" customHeight="1">
      <c r="A7729" s="47" t="inlineStr">
        <is>
          <t>Quan sát tại</t>
        </is>
      </c>
      <c r="B7729" s="56" t="inlineStr">
        <is>
          <t>• Dùng trích xuất không lọc để thấy cả ô đối chứng. Trạng thái không có dấu đỏ cần đọc thêm trạng thái lưu;
• Output Excel/PDF dùng file thật.</t>
        </is>
      </c>
      <c r="C7729" s="57" t="n"/>
      <c r="D7729" s="57" t="n"/>
      <c r="E7729" s="57" t="n"/>
    </row>
    <row r="7730" ht="30" customHeight="1">
      <c r="A7730" s="58" t="inlineStr">
        <is>
          <t>Kết quả thực tế</t>
        </is>
      </c>
      <c r="B7730" s="59" t="n"/>
      <c r="C7730" s="59" t="n"/>
      <c r="D7730" s="59" t="n"/>
      <c r="E7730" s="59" t="n"/>
    </row>
    <row r="7731" ht="30" customHeight="1">
      <c r="A7731" s="47" t="inlineStr">
        <is>
          <t>Dữ liệu biến thể</t>
        </is>
      </c>
      <c r="B7731" s="56" t="inlineStr">
        <is>
          <t>Toàn bộ thủ tục theo đúng thứ tự; các đối chứng cùng fixture được kiểm trong cùng lượt, không bỏ bước</t>
        </is>
      </c>
      <c r="C7731" s="57" t="n"/>
      <c r="D7731" s="57" t="n"/>
      <c r="E7731" s="57" t="n"/>
    </row>
    <row r="7732" ht="30" customHeight="1">
      <c r="A7732" s="62" t="inlineStr">
        <is>
          <t>Kết quả thực tế</t>
        </is>
      </c>
    </row>
    <row r="7733" ht="64" customHeight="1">
      <c r="A7733" s="63" t="inlineStr"/>
      <c r="B7733" s="64" t="n"/>
      <c r="C7733" s="64" t="n"/>
      <c r="D7733" s="64" t="n"/>
      <c r="E7733" s="65" t="n"/>
    </row>
    <row r="7734" ht="30" customHeight="1">
      <c r="A7734" s="62" t="inlineStr">
        <is>
          <t>Ảnh minh chứng</t>
        </is>
      </c>
    </row>
    <row r="7735" ht="90" customHeight="1">
      <c r="A7735" s="63" t="inlineStr"/>
      <c r="B7735" s="64" t="n"/>
      <c r="C7735" s="64" t="n"/>
      <c r="D7735" s="64" t="n"/>
      <c r="E7735" s="65" t="n"/>
    </row>
    <row r="7736" ht="12" customHeight="1">
      <c r="A7736" s="66" t="inlineStr"/>
    </row>
    <row r="7737" ht="20" customHeight="1">
      <c r="A7737" s="66" t="inlineStr"/>
    </row>
    <row r="7738" ht="30" customHeight="1">
      <c r="A7738" s="46" t="inlineStr">
        <is>
          <t>TC-RS-DATA-017 — Xuất/nhập cấu hình giữ legacy riêng và không nhập kết quả cá nhân</t>
        </is>
      </c>
      <c r="B7738" s="23" t="n"/>
      <c r="C7738" s="23" t="n"/>
      <c r="D7738" s="23" t="n"/>
      <c r="E7738" s="23" t="n"/>
    </row>
    <row r="7739" ht="30" customHeight="1">
      <c r="A7739" s="47" t="inlineStr">
        <is>
          <t>Trạng thái</t>
        </is>
      </c>
      <c r="B7739" s="61" t="inlineStr">
        <is>
          <t>Chưa thực hiện</t>
        </is>
      </c>
      <c r="C7739" s="57" t="n"/>
      <c r="D7739" s="57" t="n"/>
      <c r="E7739" s="57" t="n"/>
    </row>
    <row r="7740" ht="30" customHeight="1">
      <c r="A7740" s="47" t="inlineStr">
        <is>
          <t>Màn hình / chức năng</t>
        </is>
      </c>
      <c r="B7740" s="47" t="inlineStr">
        <is>
          <t>Bảo toàn dữ liệu và cấu hình</t>
        </is>
      </c>
      <c r="C7740" s="57" t="n"/>
      <c r="D7740" s="47" t="inlineStr">
        <is>
          <t>Đường dẫn</t>
        </is>
      </c>
      <c r="E7740" s="56" t="inlineStr">
        <is>
          <t>Chưa xác minh</t>
        </is>
      </c>
    </row>
    <row r="7741" ht="30" customHeight="1">
      <c r="A7741" s="58" t="inlineStr">
        <is>
          <t>Điều kiện kiểm thử</t>
        </is>
      </c>
      <c r="B7741" s="59" t="n"/>
      <c r="C7741" s="59" t="n"/>
      <c r="D7741" s="59" t="n"/>
      <c r="E7741" s="59" t="n"/>
    </row>
    <row r="7742" ht="129" customHeight="1">
      <c r="A7742" s="47" t="inlineStr">
        <is>
          <t>Cấu hình</t>
        </is>
      </c>
      <c r="B7742" s="56" t="inlineStr">
        <is>
          <t>• Nguồn: TD-LEGACY-01 trường A/năm 2025/kỳ Cuối kỳ học kỳ 1/mục Toán/nhóm G-A. File cấu hình xuất phải chứa mapping kỳ/môn Toán/mục Toán/nhóm G-A và giá trị legacy [red_score=25], không chỉ metadata/tên field;
• Rule mới [&lt;30] nằm ở phần cấu hình mới riêng. Snapshot/kết quả cá nhân Đỏ của S01 làm đối chứng âm, không thuộc payload cấu hình được phép nhập. Đích: trường A/năm 2026/kỳ, môn, mục, nhóm tương ứng được ánh xạ, ban đầu chưa có legacy/kết quả cá nhân;
• Quyền nhập hợp lệ.</t>
        </is>
      </c>
      <c r="C7742" s="57" t="n"/>
      <c r="D7742" s="57" t="n"/>
      <c r="E7742" s="57" t="n"/>
    </row>
    <row r="7743" ht="61" customHeight="1">
      <c r="A7743" s="47" t="inlineStr">
        <is>
          <t>Vai trò / quyền</t>
        </is>
      </c>
      <c r="B774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743" s="57" t="n"/>
      <c r="D7743" s="57" t="n"/>
      <c r="E7743" s="57" t="n"/>
    </row>
    <row r="7744" ht="129" customHeight="1">
      <c r="A7744" s="47" t="inlineStr">
        <is>
          <t>Dữ liệu test</t>
        </is>
      </c>
      <c r="B7744" s="56" t="inlineStr">
        <is>
          <t>• Nguồn: TD-LEGACY-01 trường A/năm 2025/kỳ Cuối kỳ học kỳ 1/mục Toán/nhóm G-A. File cấu hình xuất phải chứa mapping kỳ/môn Toán/mục Toán/nhóm G-A và giá trị legacy [red_score=25], không chỉ metadata/tên field;
• Rule mới [&lt;30] nằm ở phần cấu hình mới riêng. Snapshot/kết quả cá nhân Đỏ của S01 làm đối chứng âm, không thuộc payload cấu hình được phép nhập. Đích: trường A/năm 2026/kỳ, môn, mục, nhóm tương ứng được ánh xạ, ban đầu chưa có legacy/kết quả cá nhân;
• Quyền nhập hợp lệ.</t>
        </is>
      </c>
      <c r="C7744" s="57" t="n"/>
      <c r="D7744" s="57" t="n"/>
      <c r="E7744" s="57" t="n"/>
    </row>
    <row r="7745" ht="30" customHeight="1">
      <c r="A7745" s="47" t="inlineStr">
        <is>
          <t>Trigger</t>
        </is>
      </c>
      <c r="B7745" s="56" t="inlineStr">
        <is>
          <t>• Chỉ xem/xuất không tự chạy xét.</t>
        </is>
      </c>
      <c r="C7745" s="57" t="n"/>
      <c r="D7745" s="57" t="n"/>
      <c r="E7745" s="57" t="n"/>
    </row>
    <row r="7746" ht="61" customHeight="1">
      <c r="A7746" s="47" t="inlineStr">
        <is>
          <t>Blocker</t>
        </is>
      </c>
      <c r="B7746" s="56" t="inlineStr">
        <is>
          <t>• G-PREP-TC-RS-DATA-017: BLOCKED — TD-LEGACY-01, file xuất có giá trị legacy 25, format nhập và reader legacy ở đích chưa được provision/xác minh;
• Cần đối chiếu payload thật và trạng thái đích trước/sau nhập.</t>
        </is>
      </c>
      <c r="C7746" s="57" t="n"/>
      <c r="D7746" s="57" t="n"/>
      <c r="E7746" s="57" t="n"/>
    </row>
    <row r="7747" ht="30" customHeight="1">
      <c r="A7747" s="58" t="inlineStr">
        <is>
          <t>Thao tác</t>
        </is>
      </c>
      <c r="B7747" s="59" t="n"/>
      <c r="C7747" s="59" t="n"/>
      <c r="D7747" s="59" t="n"/>
      <c r="E7747" s="59" t="n"/>
    </row>
    <row r="7748" ht="44" customHeight="1">
      <c r="A7748" s="47" t="inlineStr">
        <is>
          <t>Step 1</t>
        </is>
      </c>
      <c r="B7748" s="56" t="inlineStr">
        <is>
          <t>Ghi file xuất thật, vị trí giá trị legacy 25, mapping nguồn→đích và sự vắng mặt của snapshot/kết quả cá nhân trong phần cấu hình.</t>
        </is>
      </c>
      <c r="C7748" s="57" t="n"/>
      <c r="D7748" s="57" t="n"/>
      <c r="E7748" s="57" t="n"/>
    </row>
    <row r="7749" ht="30" customHeight="1">
      <c r="A7749" s="47" t="inlineStr">
        <is>
          <t>Step 2</t>
        </is>
      </c>
      <c r="B7749" s="56" t="inlineStr">
        <is>
          <t>Nhập file vào trường/năm đích bằng đường import được hỗ trợ; ghi response/lỗi ánh xạ nếu có.</t>
        </is>
      </c>
      <c r="C7749" s="57" t="n"/>
      <c r="D7749" s="57" t="n"/>
      <c r="E7749" s="57" t="n"/>
    </row>
    <row r="7750" ht="44" customHeight="1">
      <c r="A7750" s="47" t="inlineStr">
        <is>
          <t>Step 3</t>
        </is>
      </c>
      <c r="B7750" s="56" t="inlineStr">
        <is>
          <t>Đọc lại legacy ở nguồn và đích qua cấu hình/báo cáo riêng, rule mới và kết quả cá nhân đích trước/sau lần xét riêng.</t>
        </is>
      </c>
      <c r="C7750" s="57" t="n"/>
      <c r="D7750" s="57" t="n"/>
      <c r="E7750" s="57" t="n"/>
    </row>
    <row r="7751" ht="44" customHeight="1">
      <c r="A7751" s="47" t="inlineStr">
        <is>
          <t>Reset</t>
        </is>
      </c>
      <c r="B7751" s="56" t="inlineStr">
        <is>
          <t>Trước mỗi biến thể, dựng lại điều kiện/dữ liệu đầu của case bằng đường được phép; giữ các reset/fixture độc lập đã nêu trong thủ tục.</t>
        </is>
      </c>
      <c r="C7751" s="57" t="n"/>
      <c r="D7751" s="57" t="n"/>
      <c r="E7751" s="57" t="n"/>
    </row>
    <row r="7752" ht="30" customHeight="1">
      <c r="A7752" s="58" t="inlineStr">
        <is>
          <t>Kết quả mong đợi</t>
        </is>
      </c>
      <c r="B7752" s="59" t="n"/>
      <c r="C7752" s="59" t="n"/>
      <c r="D7752" s="59" t="n"/>
      <c r="E7752" s="59" t="n"/>
    </row>
    <row r="7753" ht="95" customHeight="1">
      <c r="A7753" s="47" t="inlineStr">
        <is>
          <t>•</t>
        </is>
      </c>
      <c r="B7753" s="56" t="inlineStr">
        <is>
          <t>Chỉ payload cấu hình có mapping hợp lệ được nhập: ngưỡng legacy nguồn 25 vẫn là 25, file chứa 25 và đích đọc ra 25 ở cấu hình/báo cáo legacy riêng; rule mới [&lt;30] giữ riêng, không dùng 25 như fallback. Snapshot/kết quả cá nhân của S01 nguồn không được nhập hoặc gắn vào identity đích trước lần xét riêng; kết quả mới phải mang identity đích. Nếu format/đường import hoặc reader legacy chưa xác minh thì BLOCKED đúng nhánh, ghi seam thiếu, không suy giá trị từ metadata trống.</t>
        </is>
      </c>
      <c r="C7753" s="57" t="n"/>
      <c r="D7753" s="57" t="n"/>
      <c r="E7753" s="57" t="n"/>
    </row>
    <row r="7754" ht="44" customHeight="1">
      <c r="A7754" s="47" t="inlineStr">
        <is>
          <t>Giữ nguyên</t>
        </is>
      </c>
      <c r="B7754" s="56" t="inlineStr">
        <is>
          <t>• Giữ điểm, cấu hình và đối tượng không đích theo expected;
• Chỉ thay phần thủ tục yêu cầu, không tự đổi oracle hoặc mở rộng phạm vi.</t>
        </is>
      </c>
      <c r="C7754" s="57" t="n"/>
      <c r="D7754" s="57" t="n"/>
      <c r="E7754" s="57" t="n"/>
    </row>
    <row r="7755" ht="61" customHeight="1">
      <c r="A7755" s="47" t="inlineStr">
        <is>
          <t>Quan sát tại</t>
        </is>
      </c>
      <c r="B7755" s="56" t="inlineStr">
        <is>
          <t>• Dùng trích xuất không lọc để thấy cả ô đối chứng. Trạng thái không có dấu đỏ cần đọc thêm trạng thái lưu;
• Output Excel/PDF dùng file thật.</t>
        </is>
      </c>
      <c r="C7755" s="57" t="n"/>
      <c r="D7755" s="57" t="n"/>
      <c r="E7755" s="57" t="n"/>
    </row>
    <row r="7756" ht="30" customHeight="1">
      <c r="A7756" s="58" t="inlineStr">
        <is>
          <t>Kết quả thực tế</t>
        </is>
      </c>
      <c r="B7756" s="59" t="n"/>
      <c r="C7756" s="59" t="n"/>
      <c r="D7756" s="59" t="n"/>
      <c r="E7756" s="59" t="n"/>
    </row>
    <row r="7757" ht="30" customHeight="1">
      <c r="A7757" s="47" t="inlineStr">
        <is>
          <t>Dữ liệu biến thể</t>
        </is>
      </c>
      <c r="B7757" s="56" t="inlineStr">
        <is>
          <t>Toàn bộ thủ tục theo đúng thứ tự; các đối chứng cùng fixture được kiểm trong cùng lượt, không bỏ bước</t>
        </is>
      </c>
      <c r="C7757" s="57" t="n"/>
      <c r="D7757" s="57" t="n"/>
      <c r="E7757" s="57" t="n"/>
    </row>
    <row r="7758" ht="30" customHeight="1">
      <c r="A7758" s="62" t="inlineStr">
        <is>
          <t>Kết quả thực tế</t>
        </is>
      </c>
    </row>
    <row r="7759" ht="64" customHeight="1">
      <c r="A7759" s="63" t="inlineStr"/>
      <c r="B7759" s="64" t="n"/>
      <c r="C7759" s="64" t="n"/>
      <c r="D7759" s="64" t="n"/>
      <c r="E7759" s="65" t="n"/>
    </row>
    <row r="7760" ht="30" customHeight="1">
      <c r="A7760" s="62" t="inlineStr">
        <is>
          <t>Ảnh minh chứng</t>
        </is>
      </c>
    </row>
    <row r="7761" ht="90" customHeight="1">
      <c r="A7761" s="63" t="inlineStr"/>
      <c r="B7761" s="64" t="n"/>
      <c r="C7761" s="64" t="n"/>
      <c r="D7761" s="64" t="n"/>
      <c r="E7761" s="65" t="n"/>
    </row>
    <row r="7762" ht="12" customHeight="1">
      <c r="A7762" s="66" t="inlineStr"/>
    </row>
    <row r="7763" ht="20" customHeight="1">
      <c r="A7763" s="66" t="inlineStr"/>
    </row>
    <row r="7764" ht="30" customHeight="1">
      <c r="A7764" s="46" t="inlineStr">
        <is>
          <t>TC-RS-DATA-018 — Khôi phục/thay khung không gắn kết quả vào ô mới</t>
        </is>
      </c>
      <c r="B7764" s="23" t="n"/>
      <c r="C7764" s="23" t="n"/>
      <c r="D7764" s="23" t="n"/>
      <c r="E7764" s="23" t="n"/>
    </row>
    <row r="7765" ht="30" customHeight="1">
      <c r="A7765" s="47" t="inlineStr">
        <is>
          <t>Trạng thái</t>
        </is>
      </c>
      <c r="B7765" s="61" t="inlineStr">
        <is>
          <t>Chưa thực hiện</t>
        </is>
      </c>
      <c r="C7765" s="57" t="n"/>
      <c r="D7765" s="57" t="n"/>
      <c r="E7765" s="57" t="n"/>
    </row>
    <row r="7766" ht="30" customHeight="1">
      <c r="A7766" s="47" t="inlineStr">
        <is>
          <t>Màn hình / chức năng</t>
        </is>
      </c>
      <c r="B7766" s="47" t="inlineStr">
        <is>
          <t>Bảo toàn dữ liệu và cấu hình</t>
        </is>
      </c>
      <c r="C7766" s="57" t="n"/>
      <c r="D7766" s="47" t="inlineStr">
        <is>
          <t>Đường dẫn</t>
        </is>
      </c>
      <c r="E7766" s="56" t="inlineStr">
        <is>
          <t>Chưa xác minh</t>
        </is>
      </c>
    </row>
    <row r="7767" ht="30" customHeight="1">
      <c r="A7767" s="58" t="inlineStr">
        <is>
          <t>Điều kiện kiểm thử</t>
        </is>
      </c>
      <c r="B7767" s="59" t="n"/>
      <c r="C7767" s="59" t="n"/>
      <c r="D7767" s="59" t="n"/>
      <c r="E7767" s="59" t="n"/>
    </row>
    <row r="7768" ht="78" customHeight="1">
      <c r="A7768" s="47" t="inlineStr">
        <is>
          <t>Cấu hình</t>
        </is>
      </c>
      <c r="B7768" s="56" t="inlineStr">
        <is>
          <t>•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 Đường khôi phục cần provision.</t>
        </is>
      </c>
      <c r="C7768" s="57" t="n"/>
      <c r="D7768" s="57" t="n"/>
      <c r="E7768" s="57" t="n"/>
    </row>
    <row r="7769" ht="61" customHeight="1">
      <c r="A7769" s="47" t="inlineStr">
        <is>
          <t>Vai trò / quyền</t>
        </is>
      </c>
      <c r="B776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769" s="57" t="n"/>
      <c r="D7769" s="57" t="n"/>
      <c r="E7769" s="57" t="n"/>
    </row>
    <row r="7770" ht="78" customHeight="1">
      <c r="A7770" s="47" t="inlineStr">
        <is>
          <t>Dữ liệu test</t>
        </is>
      </c>
      <c r="B7770" s="56" t="inlineStr">
        <is>
          <t>• Nguồn: TD-LEGACY-01, ô cũ trường A/năm 2025/kỳ Cuối kỳ học kỳ 1/mục Toán/nhóm G-A có rule mới [&lt;30], ngưỡng legacy 25, snapshot và kết quả cá nhân Đỏ. Đích: ô/khung tạo lại có identity mới, cùng kỳ/môn Toán/mục Toán/nhóm G-A theo mapping được hỗ trợ, ban đầu chưa có legacy/kết quả cá nhân;
• Đường khôi phục cần provision.</t>
        </is>
      </c>
      <c r="C7770" s="57" t="n"/>
      <c r="D7770" s="57" t="n"/>
      <c r="E7770" s="57" t="n"/>
    </row>
    <row r="7771" ht="30" customHeight="1">
      <c r="A7771" s="47" t="inlineStr">
        <is>
          <t>Trigger</t>
        </is>
      </c>
      <c r="B7771" s="56" t="inlineStr">
        <is>
          <t>• Chỉ xem/xuất không tự chạy xét.</t>
        </is>
      </c>
      <c r="C7771" s="57" t="n"/>
      <c r="D7771" s="57" t="n"/>
      <c r="E7771" s="57" t="n"/>
    </row>
    <row r="7772" ht="44" customHeight="1">
      <c r="A7772" s="47" t="inlineStr">
        <is>
          <t>Blocker</t>
        </is>
      </c>
      <c r="B7772" s="56" t="inlineStr">
        <is>
          <t>• G-PREP-TC-RS-DATA-018: BLOCKED — TD-LEGACY-01 và đường khôi phục/thay khung chưa được provision;
• Cần xác minh identity ô mới, mapping legacy 25 và reader kết quả cá nhân trước lần xét mới.</t>
        </is>
      </c>
      <c r="C7772" s="57" t="n"/>
      <c r="D7772" s="57" t="n"/>
      <c r="E7772" s="57" t="n"/>
    </row>
    <row r="7773" ht="30" customHeight="1">
      <c r="A7773" s="58" t="inlineStr">
        <is>
          <t>Thao tác</t>
        </is>
      </c>
      <c r="B7773" s="59" t="n"/>
      <c r="C7773" s="59" t="n"/>
      <c r="D7773" s="59" t="n"/>
      <c r="E7773" s="59" t="n"/>
    </row>
    <row r="7774" ht="30" customHeight="1">
      <c r="A7774" s="47" t="inlineStr">
        <is>
          <t>Step 1</t>
        </is>
      </c>
      <c r="B7774" s="56" t="inlineStr">
        <is>
          <t>Chụp identity, rule mới, ngưỡng legacy 25 và kết quả cá nhân ô cũ; ghi ô đích chưa có các giá trị đó.</t>
        </is>
      </c>
      <c r="C7774" s="57" t="n"/>
      <c r="D7774" s="57" t="n"/>
      <c r="E7774" s="57" t="n"/>
    </row>
    <row r="7775" ht="44" customHeight="1">
      <c r="A7775" s="47" t="inlineStr">
        <is>
          <t>Step 2</t>
        </is>
      </c>
      <c r="B7775" s="56" t="inlineStr">
        <is>
          <t>Khôi phục/thay khung theo đường được hỗ trợ; ghi mapping kỳ/môn/mục/nhóm và ô cũ → ô mới, không tự ghép theo tên giống nhau.</t>
        </is>
      </c>
      <c r="C7775" s="57" t="n"/>
      <c r="D7775" s="57" t="n"/>
      <c r="E7775" s="57" t="n"/>
    </row>
    <row r="7776" ht="44" customHeight="1">
      <c r="A7776" s="47" t="inlineStr">
        <is>
          <t>Step 3</t>
        </is>
      </c>
      <c r="B7776" s="56" t="inlineStr">
        <is>
          <t>Đọc lại ngưỡng/báo cáo legacy nguồn và đích, rule mới và kết quả cá nhân ô mới trước/sau khi xét riêng; kiểm ba đầu ra theo identity ô.</t>
        </is>
      </c>
      <c r="C7776" s="57" t="n"/>
      <c r="D7776" s="57" t="n"/>
      <c r="E7776" s="57" t="n"/>
    </row>
    <row r="7777" ht="44" customHeight="1">
      <c r="A7777" s="47" t="inlineStr">
        <is>
          <t>Reset</t>
        </is>
      </c>
      <c r="B7777" s="56" t="inlineStr">
        <is>
          <t>Trước mỗi biến thể, dựng lại điều kiện/dữ liệu đầu của case bằng đường được phép; giữ các reset/fixture độc lập đã nêu trong thủ tục.</t>
        </is>
      </c>
      <c r="C7777" s="57" t="n"/>
      <c r="D7777" s="57" t="n"/>
      <c r="E7777" s="57" t="n"/>
    </row>
    <row r="7778" ht="30" customHeight="1">
      <c r="A7778" s="58" t="inlineStr">
        <is>
          <t>Kết quả mong đợi</t>
        </is>
      </c>
      <c r="B7778" s="59" t="n"/>
      <c r="C7778" s="59" t="n"/>
      <c r="D7778" s="59" t="n"/>
      <c r="E7778" s="59" t="n"/>
    </row>
    <row r="7779" ht="78" customHeight="1">
      <c r="A7779" s="47" t="inlineStr">
        <is>
          <t>•</t>
        </is>
      </c>
      <c r="B7779" s="56" t="inlineStr">
        <is>
          <t>Nguồn giữ ngưỡng legacy 25; ô/khung mới có mapping hợp lệ cũng đọc 25 qua cấu hình/báo cáo legacy riêng, không thành rule/fallback mới. Ô mới không nhận snapshot/kết quả cá nhân của ô cũ trước lần xét riêng; sau đó kết quả phải mang identity ô mới. Nếu chưa xác minh đường khôi phục/mapping hoặc reader legacy ở đích thì BLOCKED, không bỏ nhánh.</t>
        </is>
      </c>
      <c r="C7779" s="57" t="n"/>
      <c r="D7779" s="57" t="n"/>
      <c r="E7779" s="57" t="n"/>
    </row>
    <row r="7780" ht="44" customHeight="1">
      <c r="A7780" s="47" t="inlineStr">
        <is>
          <t>Giữ nguyên</t>
        </is>
      </c>
      <c r="B7780" s="56" t="inlineStr">
        <is>
          <t>• Giữ điểm, cấu hình và đối tượng không đích theo expected;
• Chỉ thay phần thủ tục yêu cầu, không tự đổi oracle hoặc mở rộng phạm vi.</t>
        </is>
      </c>
      <c r="C7780" s="57" t="n"/>
      <c r="D7780" s="57" t="n"/>
      <c r="E7780" s="57" t="n"/>
    </row>
    <row r="7781" ht="61" customHeight="1">
      <c r="A7781" s="47" t="inlineStr">
        <is>
          <t>Quan sát tại</t>
        </is>
      </c>
      <c r="B7781" s="56" t="inlineStr">
        <is>
          <t>• Dùng trích xuất không lọc để thấy cả ô đối chứng. Trạng thái không có dấu đỏ cần đọc thêm trạng thái lưu;
• Output Excel/PDF dùng file thật.</t>
        </is>
      </c>
      <c r="C7781" s="57" t="n"/>
      <c r="D7781" s="57" t="n"/>
      <c r="E7781" s="57" t="n"/>
    </row>
    <row r="7782" ht="30" customHeight="1">
      <c r="A7782" s="58" t="inlineStr">
        <is>
          <t>Kết quả thực tế</t>
        </is>
      </c>
      <c r="B7782" s="59" t="n"/>
      <c r="C7782" s="59" t="n"/>
      <c r="D7782" s="59" t="n"/>
      <c r="E7782" s="59" t="n"/>
    </row>
    <row r="7783" ht="30" customHeight="1">
      <c r="A7783" s="47" t="inlineStr">
        <is>
          <t>Dữ liệu biến thể</t>
        </is>
      </c>
      <c r="B7783" s="56" t="inlineStr">
        <is>
          <t>Toàn bộ thủ tục theo đúng thứ tự; các đối chứng cùng fixture được kiểm trong cùng lượt, không bỏ bước</t>
        </is>
      </c>
      <c r="C7783" s="57" t="n"/>
      <c r="D7783" s="57" t="n"/>
      <c r="E7783" s="57" t="n"/>
    </row>
    <row r="7784" ht="30" customHeight="1">
      <c r="A7784" s="62" t="inlineStr">
        <is>
          <t>Kết quả thực tế</t>
        </is>
      </c>
    </row>
    <row r="7785" ht="64" customHeight="1">
      <c r="A7785" s="63" t="inlineStr"/>
      <c r="B7785" s="64" t="n"/>
      <c r="C7785" s="64" t="n"/>
      <c r="D7785" s="64" t="n"/>
      <c r="E7785" s="65" t="n"/>
    </row>
    <row r="7786" ht="30" customHeight="1">
      <c r="A7786" s="62" t="inlineStr">
        <is>
          <t>Ảnh minh chứng</t>
        </is>
      </c>
    </row>
    <row r="7787" ht="90" customHeight="1">
      <c r="A7787" s="63" t="inlineStr"/>
      <c r="B7787" s="64" t="n"/>
      <c r="C7787" s="64" t="n"/>
      <c r="D7787" s="64" t="n"/>
      <c r="E7787" s="65" t="n"/>
    </row>
    <row r="7788" ht="12" customHeight="1">
      <c r="A7788" s="66" t="inlineStr"/>
    </row>
    <row r="7789" ht="20" customHeight="1">
      <c r="A7789" s="66" t="inlineStr"/>
    </row>
    <row r="7790" ht="30" customHeight="1">
      <c r="A7790" s="46" t="inlineStr">
        <is>
          <t>TC-RS-DATA-019 — Đồng bộ cấu hình không đồng nghĩa đã xét</t>
        </is>
      </c>
      <c r="B7790" s="23" t="n"/>
      <c r="C7790" s="23" t="n"/>
      <c r="D7790" s="23" t="n"/>
      <c r="E7790" s="23" t="n"/>
    </row>
    <row r="7791" ht="30" customHeight="1">
      <c r="A7791" s="47" t="inlineStr">
        <is>
          <t>Trạng thái</t>
        </is>
      </c>
      <c r="B7791" s="61" t="inlineStr">
        <is>
          <t>Chưa thực hiện</t>
        </is>
      </c>
      <c r="C7791" s="57" t="n"/>
      <c r="D7791" s="57" t="n"/>
      <c r="E7791" s="57" t="n"/>
    </row>
    <row r="7792" ht="30" customHeight="1">
      <c r="A7792" s="47" t="inlineStr">
        <is>
          <t>Màn hình / chức năng</t>
        </is>
      </c>
      <c r="B7792" s="47" t="inlineStr">
        <is>
          <t>Bảo toàn dữ liệu và cấu hình</t>
        </is>
      </c>
      <c r="C7792" s="57" t="n"/>
      <c r="D7792" s="47" t="inlineStr">
        <is>
          <t>Đường dẫn</t>
        </is>
      </c>
      <c r="E7792" s="56" t="inlineStr">
        <is>
          <t>Chưa xác minh</t>
        </is>
      </c>
    </row>
    <row r="7793" ht="30" customHeight="1">
      <c r="A7793" s="58" t="inlineStr">
        <is>
          <t>Điều kiện kiểm thử</t>
        </is>
      </c>
      <c r="B7793" s="59" t="n"/>
      <c r="C7793" s="59" t="n"/>
      <c r="D7793" s="59" t="n"/>
      <c r="E7793" s="59" t="n"/>
    </row>
    <row r="7794" ht="78" customHeight="1">
      <c r="A7794" s="47" t="inlineStr">
        <is>
          <t>Cấu hình</t>
        </is>
      </c>
      <c r="B7794" s="56" t="inlineStr">
        <is>
          <t>•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 Đường sync cấu hình cần provision.</t>
        </is>
      </c>
      <c r="C7794" s="57" t="n"/>
      <c r="D7794" s="57" t="n"/>
      <c r="E7794" s="57" t="n"/>
    </row>
    <row r="7795" ht="61" customHeight="1">
      <c r="A7795" s="47" t="inlineStr">
        <is>
          <t>Vai trò / quyền</t>
        </is>
      </c>
      <c r="B779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795" s="57" t="n"/>
      <c r="D7795" s="57" t="n"/>
      <c r="E7795" s="57" t="n"/>
    </row>
    <row r="7796" ht="78" customHeight="1">
      <c r="A7796" s="47" t="inlineStr">
        <is>
          <t>Dữ liệu test</t>
        </is>
      </c>
      <c r="B7796" s="56" t="inlineStr">
        <is>
          <t>• Nguồn: TD-LEGACY-01 trường A/năm 2025/kỳ Cuối kỳ học kỳ 1/mục Toán/nhóm G-A có rule mới [&lt;30], ngưỡng legacy 25, snapshot và kết quả cá nhân Đỏ của S01. Đích: cùng trường/năm 2026/kỳ tương ứng/môn Toán/mục Toán/nhóm được ánh xạ G-A→G-A năm mới, ban đầu không có legacy, snapshot hoặc kết quả nguồn;
• Đường sync cấu hình cần provision.</t>
        </is>
      </c>
      <c r="C7796" s="57" t="n"/>
      <c r="D7796" s="57" t="n"/>
      <c r="E7796" s="57" t="n"/>
    </row>
    <row r="7797" ht="30" customHeight="1">
      <c r="A7797" s="47" t="inlineStr">
        <is>
          <t>Trigger</t>
        </is>
      </c>
      <c r="B7797" s="56" t="inlineStr">
        <is>
          <t>• Chỉ xem/xuất không tự chạy xét.</t>
        </is>
      </c>
      <c r="C7797" s="57" t="n"/>
      <c r="D7797" s="57" t="n"/>
      <c r="E7797" s="57" t="n"/>
    </row>
    <row r="7798" ht="44" customHeight="1">
      <c r="A7798" s="47" t="inlineStr">
        <is>
          <t>Blocker</t>
        </is>
      </c>
      <c r="B7798" s="56" t="inlineStr">
        <is>
          <t>• G-PREP-TC-RS-DATA-019: BLOCKED — TD-LEGACY-01 và seam sync năm 2025→2026 chưa được provision;
• Cần xác minh mapping/reader legacy 25 tại đích và kết quả cá nhân trước lần xét mới.</t>
        </is>
      </c>
      <c r="C7798" s="57" t="n"/>
      <c r="D7798" s="57" t="n"/>
      <c r="E7798" s="57" t="n"/>
    </row>
    <row r="7799" ht="30" customHeight="1">
      <c r="A7799" s="58" t="inlineStr">
        <is>
          <t>Thao tác</t>
        </is>
      </c>
      <c r="B7799" s="59" t="n"/>
      <c r="C7799" s="59" t="n"/>
      <c r="D7799" s="59" t="n"/>
      <c r="E7799" s="59" t="n"/>
    </row>
    <row r="7800" ht="44" customHeight="1">
      <c r="A7800" s="47" t="inlineStr">
        <is>
          <t>Step 1</t>
        </is>
      </c>
      <c r="B7800" s="56" t="inlineStr">
        <is>
          <t>Ghi mapping kỳ/môn/mục/nhóm, identity nguồn/đích, giá trị legacy nguồn 25 và snapshot/kết quả cá nhân nguồn; ghi trạng thái đích ban đầu.</t>
        </is>
      </c>
      <c r="C7800" s="57" t="n"/>
      <c r="D7800" s="57" t="n"/>
      <c r="E7800" s="57" t="n"/>
    </row>
    <row r="7801" ht="30" customHeight="1">
      <c r="A7801" s="47" t="inlineStr">
        <is>
          <t>Step 2</t>
        </is>
      </c>
      <c r="B7801" s="56" t="inlineStr">
        <is>
          <t>Đồng bộ cấu hình; đọc lại rule mới và ngưỡng/báo cáo legacy ở cả nguồn lẫn đích.</t>
        </is>
      </c>
      <c r="C7801" s="57" t="n"/>
      <c r="D7801" s="57" t="n"/>
      <c r="E7801" s="57" t="n"/>
    </row>
    <row r="7802" ht="30" customHeight="1">
      <c r="A7802" s="47" t="inlineStr">
        <is>
          <t>Step 3</t>
        </is>
      </c>
      <c r="B7802" s="56" t="inlineStr">
        <is>
          <t>Mở kết quả cá nhân và ba đầu ra của đích trước khi chạy xét, sau đó chạy xét riêng ở đích và đọc lại.</t>
        </is>
      </c>
      <c r="C7802" s="57" t="n"/>
      <c r="D7802" s="57" t="n"/>
      <c r="E7802" s="57" t="n"/>
    </row>
    <row r="7803" ht="44" customHeight="1">
      <c r="A7803" s="47" t="inlineStr">
        <is>
          <t>Reset</t>
        </is>
      </c>
      <c r="B7803" s="56" t="inlineStr">
        <is>
          <t>Trước mỗi biến thể, dựng lại điều kiện/dữ liệu đầu của case bằng đường được phép; giữ các reset/fixture độc lập đã nêu trong thủ tục.</t>
        </is>
      </c>
      <c r="C7803" s="57" t="n"/>
      <c r="D7803" s="57" t="n"/>
      <c r="E7803" s="57" t="n"/>
    </row>
    <row r="7804" ht="30" customHeight="1">
      <c r="A7804" s="58" t="inlineStr">
        <is>
          <t>Kết quả mong đợi</t>
        </is>
      </c>
      <c r="B7804" s="59" t="n"/>
      <c r="C7804" s="59" t="n"/>
      <c r="D7804" s="59" t="n"/>
      <c r="E7804" s="59" t="n"/>
    </row>
    <row r="7805" ht="78" customHeight="1">
      <c r="A7805" s="47" t="inlineStr">
        <is>
          <t>•</t>
        </is>
      </c>
      <c r="B7805" s="56" t="inlineStr">
        <is>
          <t>Đồng bộ cấu hình có mapping hợp lệ giữ ngưỡng legacy 25 ở nguồn và đưa 25 tới cấu hình/báo cáo legacy riêng của đích; không thành rule/fallback mới. Trước lần xét riêng, đích chưa được coi là đã xét và không dùng snapshot/kết quả cá nhân nguồn; sau đó kết quả chỉ thuộc identity đích. Nếu seam sync/mapping hoặc reader legacy ở đích chưa xác minh thì BLOCKED, không coi chỉ bảo toàn nguồn là đủ.</t>
        </is>
      </c>
      <c r="C7805" s="57" t="n"/>
      <c r="D7805" s="57" t="n"/>
      <c r="E7805" s="57" t="n"/>
    </row>
    <row r="7806" ht="44" customHeight="1">
      <c r="A7806" s="47" t="inlineStr">
        <is>
          <t>Giữ nguyên</t>
        </is>
      </c>
      <c r="B7806" s="56" t="inlineStr">
        <is>
          <t>• Giữ điểm, cấu hình và đối tượng không đích theo expected;
• Chỉ thay phần thủ tục yêu cầu, không tự đổi oracle hoặc mở rộng phạm vi.</t>
        </is>
      </c>
      <c r="C7806" s="57" t="n"/>
      <c r="D7806" s="57" t="n"/>
      <c r="E7806" s="57" t="n"/>
    </row>
    <row r="7807" ht="61" customHeight="1">
      <c r="A7807" s="47" t="inlineStr">
        <is>
          <t>Quan sát tại</t>
        </is>
      </c>
      <c r="B7807" s="56" t="inlineStr">
        <is>
          <t>• Dùng trích xuất không lọc để thấy cả ô đối chứng. Trạng thái không có dấu đỏ cần đọc thêm trạng thái lưu;
• Output Excel/PDF dùng file thật.</t>
        </is>
      </c>
      <c r="C7807" s="57" t="n"/>
      <c r="D7807" s="57" t="n"/>
      <c r="E7807" s="57" t="n"/>
    </row>
    <row r="7808" ht="30" customHeight="1">
      <c r="A7808" s="58" t="inlineStr">
        <is>
          <t>Kết quả thực tế</t>
        </is>
      </c>
      <c r="B7808" s="59" t="n"/>
      <c r="C7808" s="59" t="n"/>
      <c r="D7808" s="59" t="n"/>
      <c r="E7808" s="59" t="n"/>
    </row>
    <row r="7809" ht="30" customHeight="1">
      <c r="A7809" s="47" t="inlineStr">
        <is>
          <t>Dữ liệu biến thể</t>
        </is>
      </c>
      <c r="B7809" s="56" t="inlineStr">
        <is>
          <t>Toàn bộ thủ tục theo đúng thứ tự; các đối chứng cùng fixture được kiểm trong cùng lượt, không bỏ bước</t>
        </is>
      </c>
      <c r="C7809" s="57" t="n"/>
      <c r="D7809" s="57" t="n"/>
      <c r="E7809" s="57" t="n"/>
    </row>
    <row r="7810" ht="30" customHeight="1">
      <c r="A7810" s="62" t="inlineStr">
        <is>
          <t>Kết quả thực tế</t>
        </is>
      </c>
    </row>
    <row r="7811" ht="64" customHeight="1">
      <c r="A7811" s="63" t="inlineStr"/>
      <c r="B7811" s="64" t="n"/>
      <c r="C7811" s="64" t="n"/>
      <c r="D7811" s="64" t="n"/>
      <c r="E7811" s="65" t="n"/>
    </row>
    <row r="7812" ht="30" customHeight="1">
      <c r="A7812" s="62" t="inlineStr">
        <is>
          <t>Ảnh minh chứng</t>
        </is>
      </c>
    </row>
    <row r="7813" ht="90" customHeight="1">
      <c r="A7813" s="63" t="inlineStr"/>
      <c r="B7813" s="64" t="n"/>
      <c r="C7813" s="64" t="n"/>
      <c r="D7813" s="64" t="n"/>
      <c r="E7813" s="65" t="n"/>
    </row>
    <row r="7814" ht="12" customHeight="1">
      <c r="A7814" s="66" t="inlineStr"/>
    </row>
    <row r="7815" ht="20" customHeight="1">
      <c r="A7815" s="66" t="inlineStr"/>
    </row>
    <row r="7816" ht="30" customHeight="1">
      <c r="A7816" s="46" t="inlineStr">
        <is>
          <t>TC-RS-DATA-006 — Giá trị legacy giữ nguyên khi thay đổi rule mới</t>
        </is>
      </c>
      <c r="B7816" s="23" t="n"/>
      <c r="C7816" s="23" t="n"/>
      <c r="D7816" s="23" t="n"/>
      <c r="E7816" s="23" t="n"/>
    </row>
    <row r="7817" ht="30" customHeight="1">
      <c r="A7817" s="47" t="inlineStr">
        <is>
          <t>Trạng thái</t>
        </is>
      </c>
      <c r="B7817" s="61" t="inlineStr">
        <is>
          <t>Chưa thực hiện</t>
        </is>
      </c>
      <c r="C7817" s="57" t="n"/>
      <c r="D7817" s="57" t="n"/>
      <c r="E7817" s="57" t="n"/>
    </row>
    <row r="7818" ht="30" customHeight="1">
      <c r="A7818" s="47" t="inlineStr">
        <is>
          <t>Màn hình / chức năng</t>
        </is>
      </c>
      <c r="B7818" s="47" t="inlineStr">
        <is>
          <t>Bảo toàn dữ liệu và cấu hình</t>
        </is>
      </c>
      <c r="C7818" s="57" t="n"/>
      <c r="D7818" s="47" t="inlineStr">
        <is>
          <t>Đường dẫn</t>
        </is>
      </c>
      <c r="E7818" s="56" t="inlineStr">
        <is>
          <t>Chưa xác minh</t>
        </is>
      </c>
    </row>
    <row r="7819" ht="30" customHeight="1">
      <c r="A7819" s="58" t="inlineStr">
        <is>
          <t>Điều kiện kiểm thử</t>
        </is>
      </c>
      <c r="B7819" s="59" t="n"/>
      <c r="C7819" s="59" t="n"/>
      <c r="D7819" s="59" t="n"/>
      <c r="E7819" s="59" t="n"/>
    </row>
    <row r="7820" ht="30" customHeight="1">
      <c r="A7820" s="47" t="inlineStr">
        <is>
          <t>Cấu hình</t>
        </is>
      </c>
      <c r="B7820" s="56" t="inlineStr">
        <is>
          <t>• Có giá trị và kết quả legacy trước khi thêm rule mới.</t>
        </is>
      </c>
      <c r="C7820" s="57" t="n"/>
      <c r="D7820" s="57" t="n"/>
      <c r="E7820" s="57" t="n"/>
    </row>
    <row r="7821" ht="61" customHeight="1">
      <c r="A7821" s="47" t="inlineStr">
        <is>
          <t>Vai trò / quyền</t>
        </is>
      </c>
      <c r="B782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821" s="57" t="n"/>
      <c r="D7821" s="57" t="n"/>
      <c r="E7821" s="57" t="n"/>
    </row>
    <row r="7822" ht="30" customHeight="1">
      <c r="A7822" s="47" t="inlineStr">
        <is>
          <t>Dữ liệu test</t>
        </is>
      </c>
      <c r="B7822" s="56" t="inlineStr">
        <is>
          <t>• Có giá trị và kết quả legacy trước khi thêm rule mới.</t>
        </is>
      </c>
      <c r="C7822" s="57" t="n"/>
      <c r="D7822" s="57" t="n"/>
      <c r="E7822" s="57" t="n"/>
    </row>
    <row r="7823" ht="30" customHeight="1">
      <c r="A7823" s="47" t="inlineStr">
        <is>
          <t>Trigger</t>
        </is>
      </c>
      <c r="B7823" s="56" t="inlineStr">
        <is>
          <t>• Chỉ xem/xuất không tự chạy xét.</t>
        </is>
      </c>
      <c r="C7823" s="57" t="n"/>
      <c r="D7823" s="57" t="n"/>
      <c r="E7823" s="57" t="n"/>
    </row>
    <row r="7824" ht="44" customHeight="1">
      <c r="A7824" s="47" t="inlineStr">
        <is>
          <t>Blocker</t>
        </is>
      </c>
      <c r="B7824" s="56" t="inlineStr">
        <is>
          <t>• G-PREP-UNASSESSED: Chưa có xác minh fixture, đường thực hiện và phép quan sát trên build của từng case chưa đánh giá.</t>
        </is>
      </c>
      <c r="C7824" s="57" t="n"/>
      <c r="D7824" s="57" t="n"/>
      <c r="E7824" s="57" t="n"/>
    </row>
    <row r="7825" ht="30" customHeight="1">
      <c r="A7825" s="58" t="inlineStr">
        <is>
          <t>Thao tác</t>
        </is>
      </c>
      <c r="B7825" s="59" t="n"/>
      <c r="C7825" s="59" t="n"/>
      <c r="D7825" s="59" t="n"/>
      <c r="E7825" s="59" t="n"/>
    </row>
    <row r="7826" ht="30" customHeight="1">
      <c r="A7826" s="47" t="inlineStr">
        <is>
          <t>Step 1</t>
        </is>
      </c>
      <c r="B7826" s="56" t="inlineStr">
        <is>
          <t>Thêm, sửa, xóa và chạy rule mới.</t>
        </is>
      </c>
      <c r="C7826" s="57" t="n"/>
      <c r="D7826" s="57" t="n"/>
      <c r="E7826" s="57" t="n"/>
    </row>
    <row r="7827" ht="30" customHeight="1">
      <c r="A7827" s="47" t="inlineStr">
        <is>
          <t>Step 2</t>
        </is>
      </c>
      <c r="B7827" s="56" t="inlineStr">
        <is>
          <t>Đọc lại giá trị legacy và kết quả legacy.</t>
        </is>
      </c>
      <c r="C7827" s="57" t="n"/>
      <c r="D7827" s="57" t="n"/>
      <c r="E7827" s="57" t="n"/>
    </row>
    <row r="7828" ht="44" customHeight="1">
      <c r="A7828" s="47" t="inlineStr">
        <is>
          <t>Reset</t>
        </is>
      </c>
      <c r="B7828" s="56" t="inlineStr">
        <is>
          <t>Trước mỗi biến thể, dựng lại điều kiện/dữ liệu đầu của case bằng đường được phép; giữ các reset/fixture độc lập đã nêu trong thủ tục.</t>
        </is>
      </c>
      <c r="C7828" s="57" t="n"/>
      <c r="D7828" s="57" t="n"/>
      <c r="E7828" s="57" t="n"/>
    </row>
    <row r="7829" ht="30" customHeight="1">
      <c r="A7829" s="58" t="inlineStr">
        <is>
          <t>Kết quả mong đợi</t>
        </is>
      </c>
      <c r="B7829" s="59" t="n"/>
      <c r="C7829" s="59" t="n"/>
      <c r="D7829" s="59" t="n"/>
      <c r="E7829" s="59" t="n"/>
    </row>
    <row r="7830" ht="30" customHeight="1">
      <c r="A7830" s="47" t="inlineStr">
        <is>
          <t>•</t>
        </is>
      </c>
      <c r="B7830" s="56" t="inlineStr">
        <is>
          <t>Giá trị legacy không bị sửa, xóa hoặc dùng lại làm kết quả cá nhân của rule mới.</t>
        </is>
      </c>
      <c r="C7830" s="57" t="n"/>
      <c r="D7830" s="57" t="n"/>
      <c r="E7830" s="57" t="n"/>
    </row>
    <row r="7831" ht="44" customHeight="1">
      <c r="A7831" s="47" t="inlineStr">
        <is>
          <t>Giữ nguyên</t>
        </is>
      </c>
      <c r="B7831" s="56" t="inlineStr">
        <is>
          <t>• Giữ điểm, cấu hình và đối tượng không đích theo expected;
• Chỉ thay phần thủ tục yêu cầu, không tự đổi oracle hoặc mở rộng phạm vi.</t>
        </is>
      </c>
      <c r="C7831" s="57" t="n"/>
      <c r="D7831" s="57" t="n"/>
      <c r="E7831" s="57" t="n"/>
    </row>
    <row r="7832" ht="61" customHeight="1">
      <c r="A7832" s="47" t="inlineStr">
        <is>
          <t>Quan sát tại</t>
        </is>
      </c>
      <c r="B7832" s="56" t="inlineStr">
        <is>
          <t>• Dùng trích xuất không lọc để thấy cả ô đối chứng. Trạng thái không có dấu đỏ cần đọc thêm trạng thái lưu;
• Output Excel/PDF dùng file thật.</t>
        </is>
      </c>
      <c r="C7832" s="57" t="n"/>
      <c r="D7832" s="57" t="n"/>
      <c r="E7832" s="57" t="n"/>
    </row>
    <row r="7833" ht="30" customHeight="1">
      <c r="A7833" s="58" t="inlineStr">
        <is>
          <t>Kết quả thực tế</t>
        </is>
      </c>
      <c r="B7833" s="59" t="n"/>
      <c r="C7833" s="59" t="n"/>
      <c r="D7833" s="59" t="n"/>
      <c r="E7833" s="59" t="n"/>
    </row>
    <row r="7834" ht="30" customHeight="1">
      <c r="A7834" s="47" t="inlineStr">
        <is>
          <t>Dữ liệu biến thể</t>
        </is>
      </c>
      <c r="B7834" s="56" t="inlineStr">
        <is>
          <t>Toàn bộ thủ tục theo đúng thứ tự; các đối chứng cùng fixture được kiểm trong cùng lượt, không bỏ bước</t>
        </is>
      </c>
      <c r="C7834" s="57" t="n"/>
      <c r="D7834" s="57" t="n"/>
      <c r="E7834" s="57" t="n"/>
    </row>
    <row r="7835" ht="30" customHeight="1">
      <c r="A7835" s="62" t="inlineStr">
        <is>
          <t>Kết quả thực tế</t>
        </is>
      </c>
    </row>
    <row r="7836" ht="64" customHeight="1">
      <c r="A7836" s="63" t="inlineStr"/>
      <c r="B7836" s="64" t="n"/>
      <c r="C7836" s="64" t="n"/>
      <c r="D7836" s="64" t="n"/>
      <c r="E7836" s="65" t="n"/>
    </row>
    <row r="7837" ht="30" customHeight="1">
      <c r="A7837" s="62" t="inlineStr">
        <is>
          <t>Ảnh minh chứng</t>
        </is>
      </c>
    </row>
    <row r="7838" ht="90" customHeight="1">
      <c r="A7838" s="63" t="inlineStr"/>
      <c r="B7838" s="64" t="n"/>
      <c r="C7838" s="64" t="n"/>
      <c r="D7838" s="64" t="n"/>
      <c r="E7838" s="65" t="n"/>
    </row>
    <row r="7839" ht="12" customHeight="1">
      <c r="A7839" s="66" t="inlineStr"/>
    </row>
    <row r="7840" ht="20" customHeight="1">
      <c r="A7840" s="66" t="inlineStr"/>
    </row>
    <row r="7841" ht="30" customHeight="1">
      <c r="A7841" s="46" t="inlineStr">
        <is>
          <t>TC-RS-DATA-009 — Copy, kế thừa năm, import/export và sync không mang kết quả cũ</t>
        </is>
      </c>
      <c r="B7841" s="23" t="n"/>
      <c r="C7841" s="23" t="n"/>
      <c r="D7841" s="23" t="n"/>
      <c r="E7841" s="23" t="n"/>
    </row>
    <row r="7842" ht="30" customHeight="1">
      <c r="A7842" s="47" t="inlineStr">
        <is>
          <t>Trạng thái</t>
        </is>
      </c>
      <c r="B7842" s="56">
        <f>IF(0&gt;0,"Không đạt",IF(0=4,"Đạt",IF(SUMPRODUCT(--EXACT('Testcases'!B7861:B7885,"Không thực hiện"))=4,"Không thực hiện",IF(SUMPRODUCT(--EXACT('Testcases'!B7861:B7885,"Bị chặn"))&gt;0,"Bị chặn",IF(SUMPRODUCT(--EXACT('Testcases'!B7861:B7885,"Chưa thực hiện"))=4,"Chưa thực hiện","Chưa đủ kết luận")))))</f>
        <v/>
      </c>
      <c r="C7842" s="57" t="n"/>
      <c r="D7842" s="57" t="n"/>
      <c r="E7842" s="57" t="n"/>
    </row>
    <row r="7843" ht="30" customHeight="1">
      <c r="A7843" s="47" t="inlineStr">
        <is>
          <t>Màn hình / chức năng</t>
        </is>
      </c>
      <c r="B7843" s="47" t="inlineStr">
        <is>
          <t>Bảo toàn dữ liệu và cấu hình</t>
        </is>
      </c>
      <c r="C7843" s="57" t="n"/>
      <c r="D7843" s="47" t="inlineStr">
        <is>
          <t>Đường dẫn</t>
        </is>
      </c>
      <c r="E7843" s="56" t="inlineStr">
        <is>
          <t>Chưa xác minh</t>
        </is>
      </c>
    </row>
    <row r="7844" ht="30" customHeight="1">
      <c r="A7844" s="58" t="inlineStr">
        <is>
          <t>Điều kiện kiểm thử</t>
        </is>
      </c>
      <c r="B7844" s="59" t="n"/>
      <c r="C7844" s="59" t="n"/>
      <c r="D7844" s="59" t="n"/>
      <c r="E7844" s="59" t="n"/>
    </row>
    <row r="7845" ht="44" customHeight="1">
      <c r="A7845" s="47" t="inlineStr">
        <is>
          <t>Cấu hình</t>
        </is>
      </c>
      <c r="B7845" s="56" t="inlineStr">
        <is>
          <t>• Nguồn có cấu hình, bản chốt và kết quả cá nhân legacy;
• Đích là năm mới/đối tượng mới.</t>
        </is>
      </c>
      <c r="C7845" s="57" t="n"/>
      <c r="D7845" s="57" t="n"/>
      <c r="E7845" s="57" t="n"/>
    </row>
    <row r="7846" ht="61" customHeight="1">
      <c r="A7846" s="47" t="inlineStr">
        <is>
          <t>Vai trò / quyền</t>
        </is>
      </c>
      <c r="B7846"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846" s="57" t="n"/>
      <c r="D7846" s="57" t="n"/>
      <c r="E7846" s="57" t="n"/>
    </row>
    <row r="7847" ht="44" customHeight="1">
      <c r="A7847" s="47" t="inlineStr">
        <is>
          <t>Dữ liệu test</t>
        </is>
      </c>
      <c r="B7847" s="56" t="inlineStr">
        <is>
          <t>• Nguồn có cấu hình, bản chốt và kết quả cá nhân legacy;
• Đích là năm mới/đối tượng mới.</t>
        </is>
      </c>
      <c r="C7847" s="57" t="n"/>
      <c r="D7847" s="57" t="n"/>
      <c r="E7847" s="57" t="n"/>
    </row>
    <row r="7848" ht="30" customHeight="1">
      <c r="A7848" s="47" t="inlineStr">
        <is>
          <t>Trigger</t>
        </is>
      </c>
      <c r="B7848" s="56" t="inlineStr">
        <is>
          <t>• Chỉ xem/xuất không tự chạy xét.</t>
        </is>
      </c>
      <c r="C7848" s="57" t="n"/>
      <c r="D7848" s="57" t="n"/>
      <c r="E7848" s="57" t="n"/>
    </row>
    <row r="7849" ht="44" customHeight="1">
      <c r="A7849" s="47" t="inlineStr">
        <is>
          <t>Blocker</t>
        </is>
      </c>
      <c r="B7849" s="56" t="inlineStr">
        <is>
          <t>• G-PREP-UNASSESSED: Chưa có xác minh fixture, đường thực hiện và phép quan sát trên build của từng case chưa đánh giá.</t>
        </is>
      </c>
      <c r="C7849" s="57" t="n"/>
      <c r="D7849" s="57" t="n"/>
      <c r="E7849" s="57" t="n"/>
    </row>
    <row r="7850" ht="30" customHeight="1">
      <c r="A7850" s="58" t="inlineStr">
        <is>
          <t>Thao tác</t>
        </is>
      </c>
      <c r="B7850" s="59" t="n"/>
      <c r="C7850" s="59" t="n"/>
      <c r="D7850" s="59" t="n"/>
      <c r="E7850" s="59" t="n"/>
    </row>
    <row r="7851" ht="30" customHeight="1">
      <c r="A7851" s="47" t="inlineStr">
        <is>
          <t>Step 1</t>
        </is>
      </c>
      <c r="B7851" s="56" t="inlineStr">
        <is>
          <t>Thực hiện từng đường copy, kế thừa năm, import/export và sync.</t>
        </is>
      </c>
      <c r="C7851" s="57" t="n"/>
      <c r="D7851" s="57" t="n"/>
      <c r="E7851" s="57" t="n"/>
    </row>
    <row r="7852" ht="30" customHeight="1">
      <c r="A7852" s="47" t="inlineStr">
        <is>
          <t>Step 2</t>
        </is>
      </c>
      <c r="B7852" s="56" t="inlineStr">
        <is>
          <t>Kiểm tra cấu hình, mapping identity, bản chốt và kết quả trước khi chạy xét ở đích.</t>
        </is>
      </c>
      <c r="C7852" s="57" t="n"/>
      <c r="D7852" s="57" t="n"/>
      <c r="E7852" s="57" t="n"/>
    </row>
    <row r="7853" ht="44" customHeight="1">
      <c r="A7853" s="47" t="inlineStr">
        <is>
          <t>Reset</t>
        </is>
      </c>
      <c r="B7853" s="56" t="inlineStr">
        <is>
          <t>Trước mỗi biến thể, dựng lại điều kiện/dữ liệu đầu của case bằng đường được phép; giữ các reset/fixture độc lập đã nêu trong thủ tục.</t>
        </is>
      </c>
      <c r="C7853" s="57" t="n"/>
      <c r="D7853" s="57" t="n"/>
      <c r="E7853" s="57" t="n"/>
    </row>
    <row r="7854" ht="30" customHeight="1">
      <c r="A7854" s="58" t="inlineStr">
        <is>
          <t>Kết quả mong đợi</t>
        </is>
      </c>
      <c r="B7854" s="59" t="n"/>
      <c r="C7854" s="59" t="n"/>
      <c r="D7854" s="59" t="n"/>
      <c r="E7854" s="59" t="n"/>
    </row>
    <row r="7855" ht="44" customHeight="1">
      <c r="A7855" s="47" t="inlineStr">
        <is>
          <t>•</t>
        </is>
      </c>
      <c r="B7855" s="56" t="inlineStr">
        <is>
          <t>Chỉ phần được phép copy/sync được chuyển; không chuyển kết quả cá nhân hoặc bản chốt legacy sang identity đích. Mapping đúng; đích chỉ có kết quả sau lượt xét riêng.</t>
        </is>
      </c>
      <c r="C7855" s="57" t="n"/>
      <c r="D7855" s="57" t="n"/>
      <c r="E7855" s="57" t="n"/>
    </row>
    <row r="7856" ht="44" customHeight="1">
      <c r="A7856" s="47" t="inlineStr">
        <is>
          <t>Giữ nguyên</t>
        </is>
      </c>
      <c r="B7856" s="56" t="inlineStr">
        <is>
          <t>• Giữ điểm, cấu hình và đối tượng không đích theo expected;
• Chỉ thay phần thủ tục yêu cầu, không tự đổi oracle hoặc mở rộng phạm vi.</t>
        </is>
      </c>
      <c r="C7856" s="57" t="n"/>
      <c r="D7856" s="57" t="n"/>
      <c r="E7856" s="57" t="n"/>
    </row>
    <row r="7857" ht="61" customHeight="1">
      <c r="A7857" s="47" t="inlineStr">
        <is>
          <t>Quan sát tại</t>
        </is>
      </c>
      <c r="B7857" s="56" t="inlineStr">
        <is>
          <t>• Dùng trích xuất không lọc để thấy cả ô đối chứng. Trạng thái không có dấu đỏ cần đọc thêm trạng thái lưu;
• Output Excel/PDF dùng file thật.</t>
        </is>
      </c>
      <c r="C7857" s="57" t="n"/>
      <c r="D7857" s="57" t="n"/>
      <c r="E7857" s="57" t="n"/>
    </row>
    <row r="7858" ht="30" customHeight="1">
      <c r="A7858" s="58" t="inlineStr">
        <is>
          <t>Kết quả thực tế</t>
        </is>
      </c>
      <c r="B7858" s="59" t="n"/>
      <c r="C7858" s="59" t="n"/>
      <c r="D7858" s="59" t="n"/>
      <c r="E7858" s="59" t="n"/>
    </row>
    <row r="7859" ht="30" customHeight="1">
      <c r="A7859" s="60" t="inlineStr">
        <is>
          <t>TC-RS-DATA-009 / copy</t>
        </is>
      </c>
      <c r="B7859" s="36" t="n"/>
      <c r="C7859" s="36" t="n"/>
      <c r="D7859" s="36" t="n"/>
      <c r="E7859" s="36" t="n"/>
    </row>
    <row r="7860" ht="30" customHeight="1">
      <c r="A7860" s="47" t="inlineStr">
        <is>
          <t>Dữ liệu biến thể</t>
        </is>
      </c>
      <c r="B7860" s="56" t="inlineStr">
        <is>
          <t>Đường copy, fixture DATA-015</t>
        </is>
      </c>
      <c r="C7860" s="57" t="n"/>
      <c r="D7860" s="57" t="n"/>
      <c r="E7860" s="57" t="n"/>
    </row>
    <row r="7861" ht="30" customHeight="1">
      <c r="A7861" s="47" t="inlineStr">
        <is>
          <t>Trạng thái</t>
        </is>
      </c>
      <c r="B7861" s="61" t="inlineStr">
        <is>
          <t>Chưa thực hiện</t>
        </is>
      </c>
      <c r="C7861" s="57" t="n"/>
      <c r="D7861" s="57" t="n"/>
      <c r="E7861" s="57" t="n"/>
    </row>
    <row r="7862" ht="30" customHeight="1">
      <c r="A7862" s="62" t="inlineStr">
        <is>
          <t>Kết quả thực tế</t>
        </is>
      </c>
    </row>
    <row r="7863" ht="64" customHeight="1">
      <c r="A7863" s="63" t="inlineStr"/>
      <c r="B7863" s="64" t="n"/>
      <c r="C7863" s="64" t="n"/>
      <c r="D7863" s="64" t="n"/>
      <c r="E7863" s="65" t="n"/>
    </row>
    <row r="7864" ht="30" customHeight="1">
      <c r="A7864" s="62" t="inlineStr">
        <is>
          <t>Ảnh minh chứng</t>
        </is>
      </c>
    </row>
    <row r="7865" ht="90" customHeight="1">
      <c r="A7865" s="63" t="inlineStr"/>
      <c r="B7865" s="64" t="n"/>
      <c r="C7865" s="64" t="n"/>
      <c r="D7865" s="64" t="n"/>
      <c r="E7865" s="65" t="n"/>
    </row>
    <row r="7866" ht="12" customHeight="1">
      <c r="A7866" s="66" t="inlineStr"/>
    </row>
    <row r="7867" ht="30" customHeight="1">
      <c r="A7867" s="60" t="inlineStr">
        <is>
          <t>TC-RS-DATA-009 / year</t>
        </is>
      </c>
      <c r="B7867" s="36" t="n"/>
      <c r="C7867" s="36" t="n"/>
      <c r="D7867" s="36" t="n"/>
      <c r="E7867" s="36" t="n"/>
    </row>
    <row r="7868" ht="30" customHeight="1">
      <c r="A7868" s="47" t="inlineStr">
        <is>
          <t>Dữ liệu biến thể</t>
        </is>
      </c>
      <c r="B7868" s="56" t="inlineStr">
        <is>
          <t>Đường kế thừa năm, fixture DATA-016</t>
        </is>
      </c>
      <c r="C7868" s="57" t="n"/>
      <c r="D7868" s="57" t="n"/>
      <c r="E7868" s="57" t="n"/>
    </row>
    <row r="7869" ht="30" customHeight="1">
      <c r="A7869" s="47" t="inlineStr">
        <is>
          <t>Trạng thái</t>
        </is>
      </c>
      <c r="B7869" s="61" t="inlineStr">
        <is>
          <t>Chưa thực hiện</t>
        </is>
      </c>
      <c r="C7869" s="57" t="n"/>
      <c r="D7869" s="57" t="n"/>
      <c r="E7869" s="57" t="n"/>
    </row>
    <row r="7870" ht="30" customHeight="1">
      <c r="A7870" s="62" t="inlineStr">
        <is>
          <t>Kết quả thực tế</t>
        </is>
      </c>
    </row>
    <row r="7871" ht="64" customHeight="1">
      <c r="A7871" s="63" t="inlineStr"/>
      <c r="B7871" s="64" t="n"/>
      <c r="C7871" s="64" t="n"/>
      <c r="D7871" s="64" t="n"/>
      <c r="E7871" s="65" t="n"/>
    </row>
    <row r="7872" ht="30" customHeight="1">
      <c r="A7872" s="62" t="inlineStr">
        <is>
          <t>Ảnh minh chứng</t>
        </is>
      </c>
    </row>
    <row r="7873" ht="90" customHeight="1">
      <c r="A7873" s="63" t="inlineStr"/>
      <c r="B7873" s="64" t="n"/>
      <c r="C7873" s="64" t="n"/>
      <c r="D7873" s="64" t="n"/>
      <c r="E7873" s="65" t="n"/>
    </row>
    <row r="7874" ht="12" customHeight="1">
      <c r="A7874" s="66" t="inlineStr"/>
    </row>
    <row r="7875" ht="30" customHeight="1">
      <c r="A7875" s="60" t="inlineStr">
        <is>
          <t>TC-RS-DATA-009 / import-export</t>
        </is>
      </c>
      <c r="B7875" s="36" t="n"/>
      <c r="C7875" s="36" t="n"/>
      <c r="D7875" s="36" t="n"/>
      <c r="E7875" s="36" t="n"/>
    </row>
    <row r="7876" ht="30" customHeight="1">
      <c r="A7876" s="47" t="inlineStr">
        <is>
          <t>Dữ liệu biến thể</t>
        </is>
      </c>
      <c r="B7876" s="56" t="inlineStr">
        <is>
          <t>Đường xuất nhập, fixture DATA-017</t>
        </is>
      </c>
      <c r="C7876" s="57" t="n"/>
      <c r="D7876" s="57" t="n"/>
      <c r="E7876" s="57" t="n"/>
    </row>
    <row r="7877" ht="30" customHeight="1">
      <c r="A7877" s="47" t="inlineStr">
        <is>
          <t>Trạng thái</t>
        </is>
      </c>
      <c r="B7877" s="61" t="inlineStr">
        <is>
          <t>Chưa thực hiện</t>
        </is>
      </c>
      <c r="C7877" s="57" t="n"/>
      <c r="D7877" s="57" t="n"/>
      <c r="E7877" s="57" t="n"/>
    </row>
    <row r="7878" ht="30" customHeight="1">
      <c r="A7878" s="62" t="inlineStr">
        <is>
          <t>Kết quả thực tế</t>
        </is>
      </c>
    </row>
    <row r="7879" ht="64" customHeight="1">
      <c r="A7879" s="63" t="inlineStr"/>
      <c r="B7879" s="64" t="n"/>
      <c r="C7879" s="64" t="n"/>
      <c r="D7879" s="64" t="n"/>
      <c r="E7879" s="65" t="n"/>
    </row>
    <row r="7880" ht="30" customHeight="1">
      <c r="A7880" s="62" t="inlineStr">
        <is>
          <t>Ảnh minh chứng</t>
        </is>
      </c>
    </row>
    <row r="7881" ht="90" customHeight="1">
      <c r="A7881" s="63" t="inlineStr"/>
      <c r="B7881" s="64" t="n"/>
      <c r="C7881" s="64" t="n"/>
      <c r="D7881" s="64" t="n"/>
      <c r="E7881" s="65" t="n"/>
    </row>
    <row r="7882" ht="12" customHeight="1">
      <c r="A7882" s="66" t="inlineStr"/>
    </row>
    <row r="7883" ht="30" customHeight="1">
      <c r="A7883" s="60" t="inlineStr">
        <is>
          <t>TC-RS-DATA-009 / sync</t>
        </is>
      </c>
      <c r="B7883" s="36" t="n"/>
      <c r="C7883" s="36" t="n"/>
      <c r="D7883" s="36" t="n"/>
      <c r="E7883" s="36" t="n"/>
    </row>
    <row r="7884" ht="30" customHeight="1">
      <c r="A7884" s="47" t="inlineStr">
        <is>
          <t>Dữ liệu biến thể</t>
        </is>
      </c>
      <c r="B7884" s="56" t="inlineStr">
        <is>
          <t>Đường đồng bộ, fixture DATA-019</t>
        </is>
      </c>
      <c r="C7884" s="57" t="n"/>
      <c r="D7884" s="57" t="n"/>
      <c r="E7884" s="57" t="n"/>
    </row>
    <row r="7885" ht="30" customHeight="1">
      <c r="A7885" s="47" t="inlineStr">
        <is>
          <t>Trạng thái</t>
        </is>
      </c>
      <c r="B7885" s="61" t="inlineStr">
        <is>
          <t>Chưa thực hiện</t>
        </is>
      </c>
      <c r="C7885" s="57" t="n"/>
      <c r="D7885" s="57" t="n"/>
      <c r="E7885" s="57" t="n"/>
    </row>
    <row r="7886" ht="30" customHeight="1">
      <c r="A7886" s="62" t="inlineStr">
        <is>
          <t>Kết quả thực tế</t>
        </is>
      </c>
    </row>
    <row r="7887" ht="64" customHeight="1">
      <c r="A7887" s="63" t="inlineStr"/>
      <c r="B7887" s="64" t="n"/>
      <c r="C7887" s="64" t="n"/>
      <c r="D7887" s="64" t="n"/>
      <c r="E7887" s="65" t="n"/>
    </row>
    <row r="7888" ht="30" customHeight="1">
      <c r="A7888" s="62" t="inlineStr">
        <is>
          <t>Ảnh minh chứng</t>
        </is>
      </c>
    </row>
    <row r="7889" ht="90" customHeight="1">
      <c r="A7889" s="63" t="inlineStr"/>
      <c r="B7889" s="64" t="n"/>
      <c r="C7889" s="64" t="n"/>
      <c r="D7889" s="64" t="n"/>
      <c r="E7889" s="65" t="n"/>
    </row>
    <row r="7890" ht="12" customHeight="1">
      <c r="A7890" s="66" t="inlineStr"/>
    </row>
    <row r="7891" ht="20" customHeight="1">
      <c r="A7891" s="66" t="inlineStr"/>
    </row>
    <row r="7892" ht="30" customHeight="1">
      <c r="A7892" s="46" t="inlineStr">
        <is>
          <t>TC-RS-UI-018 — Màn Tổng hợp thành tích（成績集計）: nút xanh/cam và lần chạy trước</t>
        </is>
      </c>
      <c r="B7892" s="23" t="n"/>
      <c r="C7892" s="23" t="n"/>
      <c r="D7892" s="23" t="n"/>
      <c r="E7892" s="23" t="n"/>
    </row>
    <row r="7893" ht="30" customHeight="1">
      <c r="A7893" s="47" t="inlineStr">
        <is>
          <t>Trạng thái</t>
        </is>
      </c>
      <c r="B7893" s="61" t="inlineStr">
        <is>
          <t>Chưa thực hiện</t>
        </is>
      </c>
      <c r="C7893" s="57" t="n"/>
      <c r="D7893" s="57" t="n"/>
      <c r="E7893" s="57" t="n"/>
    </row>
    <row r="7894" ht="30" customHeight="1">
      <c r="A7894" s="47" t="inlineStr">
        <is>
          <t>Màn hình / chức năng</t>
        </is>
      </c>
      <c r="B7894" s="47" t="inlineStr">
        <is>
          <t>Lỗi và cập nhật kết quả</t>
        </is>
      </c>
      <c r="C7894" s="57" t="n"/>
      <c r="D7894" s="47" t="inlineStr">
        <is>
          <t>Đường dẫn</t>
        </is>
      </c>
      <c r="E7894" s="56" t="inlineStr">
        <is>
          <t>Chưa xác minh</t>
        </is>
      </c>
    </row>
    <row r="7895" ht="30" customHeight="1">
      <c r="A7895" s="58" t="inlineStr">
        <is>
          <t>Điều kiện kiểm thử</t>
        </is>
      </c>
      <c r="B7895" s="59" t="n"/>
      <c r="C7895" s="59" t="n"/>
      <c r="D7895" s="59" t="n"/>
      <c r="E7895" s="59" t="n"/>
    </row>
    <row r="7896" ht="44" customHeight="1">
      <c r="A7896" s="47" t="inlineStr">
        <is>
          <t>Cấu hình</t>
        </is>
      </c>
      <c r="B7896" s="56" t="inlineStr">
        <is>
          <t>• Tài khoản có quyền chạy hàng loạt;
• Trường có tính tự động.</t>
        </is>
      </c>
      <c r="C7896" s="57" t="n"/>
      <c r="D7896" s="57" t="n"/>
      <c r="E7896" s="57" t="n"/>
    </row>
    <row r="7897" ht="61" customHeight="1">
      <c r="A7897" s="47" t="inlineStr">
        <is>
          <t>Vai trò / quyền</t>
        </is>
      </c>
      <c r="B789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897" s="57" t="n"/>
      <c r="D7897" s="57" t="n"/>
      <c r="E7897" s="57" t="n"/>
    </row>
    <row r="7898" ht="30" customHeight="1">
      <c r="A7898" s="47" t="inlineStr">
        <is>
          <t>Dữ liệu test</t>
        </is>
      </c>
      <c r="B7898" s="56" t="inlineStr">
        <is>
          <t>• Tài khoản có quyền chạy hàng loạt</t>
        </is>
      </c>
      <c r="C7898" s="57" t="n"/>
      <c r="D7898" s="57" t="n"/>
      <c r="E7898" s="57" t="n"/>
    </row>
    <row r="7899" ht="30" customHeight="1">
      <c r="A7899" s="47" t="inlineStr">
        <is>
          <t>Trigger</t>
        </is>
      </c>
      <c r="B7899" s="56" t="inlineStr">
        <is>
          <t>• Chỉ xem/xuất không tự chạy xét.</t>
        </is>
      </c>
      <c r="C7899" s="57" t="n"/>
      <c r="D7899" s="57" t="n"/>
      <c r="E7899" s="57" t="n"/>
    </row>
    <row r="7900" ht="44" customHeight="1">
      <c r="A7900" s="47" t="inlineStr">
        <is>
          <t>Blocker</t>
        </is>
      </c>
      <c r="B7900" s="56" t="inlineStr">
        <is>
          <t>• G-PREP-UNASSESSED: Chưa có xác minh fixture, đường thực hiện và phép quan sát trên build của từng case chưa đánh giá.</t>
        </is>
      </c>
      <c r="C7900" s="57" t="n"/>
      <c r="D7900" s="57" t="n"/>
      <c r="E7900" s="57" t="n"/>
    </row>
    <row r="7901" ht="30" customHeight="1">
      <c r="A7901" s="58" t="inlineStr">
        <is>
          <t>Thao tác</t>
        </is>
      </c>
      <c r="B7901" s="59" t="n"/>
      <c r="C7901" s="59" t="n"/>
      <c r="D7901" s="59" t="n"/>
      <c r="E7901" s="59" t="n"/>
    </row>
    <row r="7902" ht="30" customHeight="1">
      <c r="A7902" s="47" t="inlineStr">
        <is>
          <t>•</t>
        </is>
      </c>
      <c r="B7902" s="56" t="inlineStr">
        <is>
          <t>Mở Tổng hợp thành tích（成績集計）.</t>
        </is>
      </c>
      <c r="C7902" s="57" t="n"/>
      <c r="D7902" s="57" t="n"/>
      <c r="E7902" s="57" t="n"/>
    </row>
    <row r="7903" ht="44" customHeight="1">
      <c r="A7903" s="47" t="inlineStr">
        <is>
          <t>Reset</t>
        </is>
      </c>
      <c r="B7903" s="56" t="inlineStr">
        <is>
          <t>Trước mỗi biến thể, dựng lại điều kiện/dữ liệu đầu của case bằng đường được phép; giữ các reset/fixture độc lập đã nêu trong thủ tục.</t>
        </is>
      </c>
      <c r="C7903" s="57" t="n"/>
      <c r="D7903" s="57" t="n"/>
      <c r="E7903" s="57" t="n"/>
    </row>
    <row r="7904" ht="30" customHeight="1">
      <c r="A7904" s="58" t="inlineStr">
        <is>
          <t>Kết quả mong đợi</t>
        </is>
      </c>
      <c r="B7904" s="59" t="n"/>
      <c r="C7904" s="59" t="n"/>
      <c r="D7904" s="59" t="n"/>
      <c r="E7904" s="59" t="n"/>
    </row>
    <row r="7905" ht="44" customHeight="1">
      <c r="A7905" s="47" t="inlineStr">
        <is>
          <t>•</t>
        </is>
      </c>
      <c r="B7905" s="56" t="inlineStr">
        <is>
          <t>Mỗi khối có Thực hiện tổng hợp（集計実行） và Thực hiện tính toán tự động（自動算出実行） kèm thời điểm chạy trước, như màn hiện có.</t>
        </is>
      </c>
      <c r="C7905" s="57" t="n"/>
      <c r="D7905" s="57" t="n"/>
      <c r="E7905" s="57" t="n"/>
    </row>
    <row r="7906" ht="44" customHeight="1">
      <c r="A7906" s="47" t="inlineStr">
        <is>
          <t>Giữ nguyên</t>
        </is>
      </c>
      <c r="B7906" s="56" t="inlineStr">
        <is>
          <t>• Giữ điểm, cấu hình và đối tượng không đích theo expected;
• Chỉ thay phần thủ tục yêu cầu, không tự đổi oracle hoặc mở rộng phạm vi.</t>
        </is>
      </c>
      <c r="C7906" s="57" t="n"/>
      <c r="D7906" s="57" t="n"/>
      <c r="E7906" s="57" t="n"/>
    </row>
    <row r="7907" ht="61" customHeight="1">
      <c r="A7907" s="47" t="inlineStr">
        <is>
          <t>Quan sát tại</t>
        </is>
      </c>
      <c r="B7907" s="56" t="inlineStr">
        <is>
          <t>• Dùng trích xuất không lọc để thấy cả ô đối chứng. Trạng thái không có dấu đỏ cần đọc thêm trạng thái lưu;
• Output Excel/PDF dùng file thật.</t>
        </is>
      </c>
      <c r="C7907" s="57" t="n"/>
      <c r="D7907" s="57" t="n"/>
      <c r="E7907" s="57" t="n"/>
    </row>
    <row r="7908" ht="30" customHeight="1">
      <c r="A7908" s="58" t="inlineStr">
        <is>
          <t>Kết quả thực tế</t>
        </is>
      </c>
      <c r="B7908" s="59" t="n"/>
      <c r="C7908" s="59" t="n"/>
      <c r="D7908" s="59" t="n"/>
      <c r="E7908" s="59" t="n"/>
    </row>
    <row r="7909" ht="30" customHeight="1">
      <c r="A7909" s="47" t="inlineStr">
        <is>
          <t>Dữ liệu biến thể</t>
        </is>
      </c>
      <c r="B7909" s="56" t="inlineStr">
        <is>
          <t>Toàn bộ thủ tục theo đúng thứ tự; các đối chứng cùng fixture được kiểm trong cùng lượt, không bỏ bước</t>
        </is>
      </c>
      <c r="C7909" s="57" t="n"/>
      <c r="D7909" s="57" t="n"/>
      <c r="E7909" s="57" t="n"/>
    </row>
    <row r="7910" ht="30" customHeight="1">
      <c r="A7910" s="62" t="inlineStr">
        <is>
          <t>Kết quả thực tế</t>
        </is>
      </c>
    </row>
    <row r="7911" ht="64" customHeight="1">
      <c r="A7911" s="63" t="inlineStr"/>
      <c r="B7911" s="64" t="n"/>
      <c r="C7911" s="64" t="n"/>
      <c r="D7911" s="64" t="n"/>
      <c r="E7911" s="65" t="n"/>
    </row>
    <row r="7912" ht="30" customHeight="1">
      <c r="A7912" s="62" t="inlineStr">
        <is>
          <t>Ảnh minh chứng</t>
        </is>
      </c>
    </row>
    <row r="7913" ht="90" customHeight="1">
      <c r="A7913" s="63" t="inlineStr"/>
      <c r="B7913" s="64" t="n"/>
      <c r="C7913" s="64" t="n"/>
      <c r="D7913" s="64" t="n"/>
      <c r="E7913" s="65" t="n"/>
    </row>
    <row r="7914" ht="12" customHeight="1">
      <c r="A7914" s="66" t="inlineStr"/>
    </row>
    <row r="7915" ht="20" customHeight="1">
      <c r="A7915" s="66" t="inlineStr"/>
    </row>
    <row r="7916" ht="30" customHeight="1">
      <c r="A7916" s="46" t="inlineStr">
        <is>
          <t>TC-RS-UI-019 — Thông báo kết quả sau khi chạy: hoàn tất, chưa xét được, thất bại một phần</t>
        </is>
      </c>
      <c r="B7916" s="23" t="n"/>
      <c r="C7916" s="23" t="n"/>
      <c r="D7916" s="23" t="n"/>
      <c r="E7916" s="23" t="n"/>
    </row>
    <row r="7917" ht="30" customHeight="1">
      <c r="A7917" s="47" t="inlineStr">
        <is>
          <t>Trạng thái</t>
        </is>
      </c>
      <c r="B7917" s="56">
        <f>IF(0&gt;0,"Không đạt",IF(0=2,"Đạt",IF(SUMPRODUCT(--EXACT('Testcases'!B7937:B7945,"Không thực hiện"))=2,"Không thực hiện",IF(SUMPRODUCT(--EXACT('Testcases'!B7937:B7945,"Bị chặn"))&gt;0,"Bị chặn",IF(SUMPRODUCT(--EXACT('Testcases'!B7937:B7945,"Chưa thực hiện"))=2,"Chưa thực hiện","Chưa đủ kết luận")))))</f>
        <v/>
      </c>
      <c r="C7917" s="57" t="n"/>
      <c r="D7917" s="57" t="n"/>
      <c r="E7917" s="57" t="n"/>
    </row>
    <row r="7918" ht="30" customHeight="1">
      <c r="A7918" s="47" t="inlineStr">
        <is>
          <t>Màn hình / chức năng</t>
        </is>
      </c>
      <c r="B7918" s="47" t="inlineStr">
        <is>
          <t>Lỗi và cập nhật kết quả</t>
        </is>
      </c>
      <c r="C7918" s="57" t="n"/>
      <c r="D7918" s="47" t="inlineStr">
        <is>
          <t>Đường dẫn</t>
        </is>
      </c>
      <c r="E7918" s="56" t="inlineStr">
        <is>
          <t>Chưa xác minh</t>
        </is>
      </c>
    </row>
    <row r="7919" ht="30" customHeight="1">
      <c r="A7919" s="58" t="inlineStr">
        <is>
          <t>Điều kiện kiểm thử</t>
        </is>
      </c>
      <c r="B7919" s="59" t="n"/>
      <c r="C7919" s="59" t="n"/>
      <c r="D7919" s="59" t="n"/>
      <c r="E7919" s="59" t="n"/>
    </row>
    <row r="7920" ht="44" customHeight="1">
      <c r="A7920" s="47" t="inlineStr">
        <is>
          <t>Cấu hình</t>
        </is>
      </c>
      <c r="B7920" s="56" t="inlineStr">
        <is>
          <t>• Như case “Chưa có kết quả tổng hợp → Chưa xét được, không thay bằng 0 hay nhóm khác” (thiếu nguồn) và case “Batch hoàn tất một phần: báo đúng phạm vi đã/không cập nhật” (lỗi một phần).</t>
        </is>
      </c>
      <c r="C7920" s="57" t="n"/>
      <c r="D7920" s="57" t="n"/>
      <c r="E7920" s="57" t="n"/>
    </row>
    <row r="7921" ht="61" customHeight="1">
      <c r="A7921" s="47" t="inlineStr">
        <is>
          <t>Vai trò / quyền</t>
        </is>
      </c>
      <c r="B792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921" s="57" t="n"/>
      <c r="D7921" s="57" t="n"/>
      <c r="E7921" s="57" t="n"/>
    </row>
    <row r="7922" ht="30" customHeight="1">
      <c r="A7922" s="47" t="inlineStr">
        <is>
          <t>Dữ liệu test</t>
        </is>
      </c>
      <c r="B7922" s="56" t="inlineStr">
        <is>
          <t>• Nguồn chưa có kết quả tổng hợp</t>
        </is>
      </c>
      <c r="C7922" s="57" t="n"/>
      <c r="D7922" s="57" t="n"/>
      <c r="E7922" s="57" t="n"/>
    </row>
    <row r="7923" ht="30" customHeight="1">
      <c r="A7923" s="47" t="inlineStr">
        <is>
          <t>Trigger</t>
        </is>
      </c>
      <c r="B7923" s="56" t="inlineStr">
        <is>
          <t>• Chỉ xem/xuất không tự chạy xét.</t>
        </is>
      </c>
      <c r="C7923" s="57" t="n"/>
      <c r="D7923" s="57" t="n"/>
      <c r="E7923" s="57" t="n"/>
    </row>
    <row r="7924" ht="44" customHeight="1">
      <c r="A7924" s="47" t="inlineStr">
        <is>
          <t>Blocker</t>
        </is>
      </c>
      <c r="B7924" s="56" t="inlineStr">
        <is>
          <t>• G-PREP-UNASSESSED: Chưa có xác minh fixture, đường thực hiện và phép quan sát trên build của từng case chưa đánh giá.</t>
        </is>
      </c>
      <c r="C7924" s="57" t="n"/>
      <c r="D7924" s="57" t="n"/>
      <c r="E7924" s="57" t="n"/>
    </row>
    <row r="7925" ht="30" customHeight="1">
      <c r="A7925" s="58" t="inlineStr">
        <is>
          <t>Thao tác</t>
        </is>
      </c>
      <c r="B7925" s="59" t="n"/>
      <c r="C7925" s="59" t="n"/>
      <c r="D7925" s="59" t="n"/>
      <c r="E7925" s="59" t="n"/>
    </row>
    <row r="7926" ht="30" customHeight="1">
      <c r="A7926" s="47" t="inlineStr">
        <is>
          <t>Step 1</t>
        </is>
      </c>
      <c r="B7926" s="56" t="inlineStr">
        <is>
          <t>Chạy nút cam khi thiếu nguồn.</t>
        </is>
      </c>
      <c r="C7926" s="57" t="n"/>
      <c r="D7926" s="57" t="n"/>
      <c r="E7926" s="57" t="n"/>
    </row>
    <row r="7927" ht="30" customHeight="1">
      <c r="A7927" s="47" t="inlineStr">
        <is>
          <t>Step 2</t>
        </is>
      </c>
      <c r="B7927" s="56" t="inlineStr">
        <is>
          <t>Chạy khi có lỗi một phần (theo cách giả lập được team dev cho phép).</t>
        </is>
      </c>
      <c r="C7927" s="57" t="n"/>
      <c r="D7927" s="57" t="n"/>
      <c r="E7927" s="57" t="n"/>
    </row>
    <row r="7928" ht="44" customHeight="1">
      <c r="A7928" s="47" t="inlineStr">
        <is>
          <t>Reset</t>
        </is>
      </c>
      <c r="B7928" s="56" t="inlineStr">
        <is>
          <t>Trước mỗi biến thể, dựng lại điều kiện/dữ liệu đầu của case bằng đường được phép; giữ các reset/fixture độc lập đã nêu trong thủ tục.</t>
        </is>
      </c>
      <c r="C7928" s="57" t="n"/>
      <c r="D7928" s="57" t="n"/>
      <c r="E7928" s="57" t="n"/>
    </row>
    <row r="7929" ht="30" customHeight="1">
      <c r="A7929" s="58" t="inlineStr">
        <is>
          <t>Kết quả mong đợi</t>
        </is>
      </c>
      <c r="B7929" s="59" t="n"/>
      <c r="C7929" s="59" t="n"/>
      <c r="D7929" s="59" t="n"/>
      <c r="E7929" s="59" t="n"/>
    </row>
    <row r="7930" ht="30" customHeight="1">
      <c r="A7930" s="47" t="inlineStr">
        <is>
          <t>1.</t>
        </is>
      </c>
      <c r="B7930" s="56" t="inlineStr">
        <is>
          <t>Thông báo hoàn tất nêu có mục chưa xét được, phạm vi và lý do, và kết quả trước không còn dùng.</t>
        </is>
      </c>
      <c r="C7930" s="57" t="n"/>
      <c r="D7930" s="57" t="n"/>
      <c r="E7930" s="57" t="n"/>
    </row>
    <row r="7931" ht="30" customHeight="1">
      <c r="A7931" s="47" t="inlineStr">
        <is>
          <t>2.</t>
        </is>
      </c>
      <c r="B7931" s="56" t="inlineStr">
        <is>
          <t>Thông báo nêu phạm vi đã cập nhật / chưa cập nhật và hướng dẫn chạy lại; không báo hoàn tất toàn bộ.</t>
        </is>
      </c>
      <c r="C7931" s="57" t="n"/>
      <c r="D7931" s="57" t="n"/>
      <c r="E7931" s="57" t="n"/>
    </row>
    <row r="7932" ht="44" customHeight="1">
      <c r="A7932" s="47" t="inlineStr">
        <is>
          <t>Giữ nguyên</t>
        </is>
      </c>
      <c r="B7932" s="56" t="inlineStr">
        <is>
          <t>• Giữ điểm, cấu hình và đối tượng không đích theo expected;
• Chỉ thay phần thủ tục yêu cầu, không tự đổi oracle hoặc mở rộng phạm vi.</t>
        </is>
      </c>
      <c r="C7932" s="57" t="n"/>
      <c r="D7932" s="57" t="n"/>
      <c r="E7932" s="57" t="n"/>
    </row>
    <row r="7933" ht="61" customHeight="1">
      <c r="A7933" s="47" t="inlineStr">
        <is>
          <t>Quan sát tại</t>
        </is>
      </c>
      <c r="B7933" s="56" t="inlineStr">
        <is>
          <t>• Dùng trích xuất không lọc để thấy cả ô đối chứng. Trạng thái không có dấu đỏ cần đọc thêm trạng thái lưu;
• Output Excel/PDF dùng file thật.</t>
        </is>
      </c>
      <c r="C7933" s="57" t="n"/>
      <c r="D7933" s="57" t="n"/>
      <c r="E7933" s="57" t="n"/>
    </row>
    <row r="7934" ht="30" customHeight="1">
      <c r="A7934" s="58" t="inlineStr">
        <is>
          <t>Kết quả thực tế</t>
        </is>
      </c>
      <c r="B7934" s="59" t="n"/>
      <c r="C7934" s="59" t="n"/>
      <c r="D7934" s="59" t="n"/>
      <c r="E7934" s="59" t="n"/>
    </row>
    <row r="7935" ht="30" customHeight="1">
      <c r="A7935" s="60" t="inlineStr">
        <is>
          <t>TC-RS-UI-019 / missing</t>
        </is>
      </c>
      <c r="B7935" s="36" t="n"/>
      <c r="C7935" s="36" t="n"/>
      <c r="D7935" s="36" t="n"/>
      <c r="E7935" s="36" t="n"/>
    </row>
    <row r="7936" ht="30" customHeight="1">
      <c r="A7936" s="47" t="inlineStr">
        <is>
          <t>Dữ liệu biến thể</t>
        </is>
      </c>
      <c r="B7936" s="56" t="inlineStr">
        <is>
          <t>Thiếu nguồn</t>
        </is>
      </c>
      <c r="C7936" s="57" t="n"/>
      <c r="D7936" s="57" t="n"/>
      <c r="E7936" s="57" t="n"/>
    </row>
    <row r="7937" ht="30" customHeight="1">
      <c r="A7937" s="47" t="inlineStr">
        <is>
          <t>Trạng thái</t>
        </is>
      </c>
      <c r="B7937" s="61" t="inlineStr">
        <is>
          <t>Chưa thực hiện</t>
        </is>
      </c>
      <c r="C7937" s="57" t="n"/>
      <c r="D7937" s="57" t="n"/>
      <c r="E7937" s="57" t="n"/>
    </row>
    <row r="7938" ht="30" customHeight="1">
      <c r="A7938" s="62" t="inlineStr">
        <is>
          <t>Kết quả thực tế</t>
        </is>
      </c>
    </row>
    <row r="7939" ht="64" customHeight="1">
      <c r="A7939" s="63" t="inlineStr"/>
      <c r="B7939" s="64" t="n"/>
      <c r="C7939" s="64" t="n"/>
      <c r="D7939" s="64" t="n"/>
      <c r="E7939" s="65" t="n"/>
    </row>
    <row r="7940" ht="30" customHeight="1">
      <c r="A7940" s="62" t="inlineStr">
        <is>
          <t>Ảnh minh chứng</t>
        </is>
      </c>
    </row>
    <row r="7941" ht="90" customHeight="1">
      <c r="A7941" s="63" t="inlineStr"/>
      <c r="B7941" s="64" t="n"/>
      <c r="C7941" s="64" t="n"/>
      <c r="D7941" s="64" t="n"/>
      <c r="E7941" s="65" t="n"/>
    </row>
    <row r="7942" ht="12" customHeight="1">
      <c r="A7942" s="66" t="inlineStr"/>
    </row>
    <row r="7943" ht="30" customHeight="1">
      <c r="A7943" s="60" t="inlineStr">
        <is>
          <t>TC-RS-UI-019 / partial</t>
        </is>
      </c>
      <c r="B7943" s="36" t="n"/>
      <c r="C7943" s="36" t="n"/>
      <c r="D7943" s="36" t="n"/>
      <c r="E7943" s="36" t="n"/>
    </row>
    <row r="7944" ht="30" customHeight="1">
      <c r="A7944" s="47" t="inlineStr">
        <is>
          <t>Dữ liệu biến thể</t>
        </is>
      </c>
      <c r="B7944" s="56" t="inlineStr">
        <is>
          <t>Lỗi một phần</t>
        </is>
      </c>
      <c r="C7944" s="57" t="n"/>
      <c r="D7944" s="57" t="n"/>
      <c r="E7944" s="57" t="n"/>
    </row>
    <row r="7945" ht="30" customHeight="1">
      <c r="A7945" s="47" t="inlineStr">
        <is>
          <t>Trạng thái</t>
        </is>
      </c>
      <c r="B7945" s="61" t="inlineStr">
        <is>
          <t>Chưa thực hiện</t>
        </is>
      </c>
      <c r="C7945" s="57" t="n"/>
      <c r="D7945" s="57" t="n"/>
      <c r="E7945" s="57" t="n"/>
    </row>
    <row r="7946" ht="30" customHeight="1">
      <c r="A7946" s="62" t="inlineStr">
        <is>
          <t>Kết quả thực tế</t>
        </is>
      </c>
    </row>
    <row r="7947" ht="64" customHeight="1">
      <c r="A7947" s="63" t="inlineStr"/>
      <c r="B7947" s="64" t="n"/>
      <c r="C7947" s="64" t="n"/>
      <c r="D7947" s="64" t="n"/>
      <c r="E7947" s="65" t="n"/>
    </row>
    <row r="7948" ht="30" customHeight="1">
      <c r="A7948" s="62" t="inlineStr">
        <is>
          <t>Ảnh minh chứng</t>
        </is>
      </c>
    </row>
    <row r="7949" ht="90" customHeight="1">
      <c r="A7949" s="63" t="inlineStr"/>
      <c r="B7949" s="64" t="n"/>
      <c r="C7949" s="64" t="n"/>
      <c r="D7949" s="64" t="n"/>
      <c r="E7949" s="65" t="n"/>
    </row>
    <row r="7950" ht="12" customHeight="1">
      <c r="A7950" s="66" t="inlineStr"/>
    </row>
    <row r="7951" ht="20" customHeight="1">
      <c r="A7951" s="66" t="inlineStr"/>
    </row>
    <row r="7952" ht="30" customHeight="1">
      <c r="A7952" s="46" t="inlineStr">
        <is>
          <t>TC-RS-ERR-001 — Hiển thị theo từng trạng thái kết quả ở ba đầu ra</t>
        </is>
      </c>
      <c r="B7952" s="23" t="n"/>
      <c r="C7952" s="23" t="n"/>
      <c r="D7952" s="23" t="n"/>
      <c r="E7952" s="23" t="n"/>
    </row>
    <row r="7953" ht="30" customHeight="1">
      <c r="A7953" s="47" t="inlineStr">
        <is>
          <t>Trạng thái</t>
        </is>
      </c>
      <c r="B7953" s="56">
        <f>IF(0&gt;0,"Không đạt",IF(0=3,"Đạt",IF(SUMPRODUCT(--EXACT('Testcases'!B7973:B7989,"Không thực hiện"))=3,"Không thực hiện",IF(SUMPRODUCT(--EXACT('Testcases'!B7973:B7989,"Bị chặn"))&gt;0,"Bị chặn",IF(SUMPRODUCT(--EXACT('Testcases'!B7973:B7989,"Chưa thực hiện"))=3,"Chưa thực hiện","Chưa đủ kết luận")))))</f>
        <v/>
      </c>
      <c r="C7953" s="57" t="n"/>
      <c r="D7953" s="57" t="n"/>
      <c r="E7953" s="57" t="n"/>
    </row>
    <row r="7954" ht="30" customHeight="1">
      <c r="A7954" s="47" t="inlineStr">
        <is>
          <t>Màn hình / chức năng</t>
        </is>
      </c>
      <c r="B7954" s="47" t="inlineStr">
        <is>
          <t>Lỗi và cập nhật kết quả</t>
        </is>
      </c>
      <c r="C7954" s="57" t="n"/>
      <c r="D7954" s="47" t="inlineStr">
        <is>
          <t>Đường dẫn</t>
        </is>
      </c>
      <c r="E7954" s="56" t="inlineStr">
        <is>
          <t>Chưa xác minh</t>
        </is>
      </c>
    </row>
    <row r="7955" ht="30" customHeight="1">
      <c r="A7955" s="58" t="inlineStr">
        <is>
          <t>Điều kiện kiểm thử</t>
        </is>
      </c>
      <c r="B7955" s="59" t="n"/>
      <c r="C7955" s="59" t="n"/>
      <c r="D7955" s="59" t="n"/>
      <c r="E7955" s="59" t="n"/>
    </row>
    <row r="7956" ht="146" customHeight="1">
      <c r="A7956" s="47" t="inlineStr">
        <is>
          <t>Cấu hình</t>
        </is>
      </c>
      <c r="B7956" s="56" t="inlineStr">
        <is>
          <t>• Chuẩn bị bảy ô cùng mục mục số nguyên (M=100): (1) Đỏ;
• (2) Không đỏ;
• (3) Chưa từng xét (ô mới, chưa có lượt xét);
• (4) Chưa xét được (như case “Chưa có kết quả tổng hợp → Chưa xét được, không thay bằng 0 hay nhóm khác”);
• (5) Không áp dụng (như case “Không quy tắc nào khớp khi đủ dữ liệu → Không áp dụng”);
• (6) Không có điểm (S05);
• (7) Đang chờ chạy lại: Đỏ trước đó, sau đó đổi ngưỡng và chưa chạy lại.</t>
        </is>
      </c>
      <c r="C7956" s="57" t="n"/>
      <c r="D7956" s="57" t="n"/>
      <c r="E7956" s="57" t="n"/>
    </row>
    <row r="7957" ht="61" customHeight="1">
      <c r="A7957" s="47" t="inlineStr">
        <is>
          <t>Vai trò / quyền</t>
        </is>
      </c>
      <c r="B7957"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7957" s="57" t="n"/>
      <c r="D7957" s="57" t="n"/>
      <c r="E7957" s="57" t="n"/>
    </row>
    <row r="7958" ht="61" customHeight="1">
      <c r="A7958" s="47" t="inlineStr">
        <is>
          <t>Dữ liệu test</t>
        </is>
      </c>
      <c r="B7958" s="56" t="inlineStr">
        <is>
          <t>• Mục số nguyên (M=100);
• Cấu hình trích xuất: lọc, ký hiệu “*” phía trước, tô màu, cấu hình công khai: “*” phía trước, cấu hình phiếu điểm: ký tự “※” phía trước</t>
        </is>
      </c>
      <c r="C7958" s="57" t="n"/>
      <c r="D7958" s="57" t="n"/>
      <c r="E7958" s="57" t="n"/>
    </row>
    <row r="7959" ht="30" customHeight="1">
      <c r="A7959" s="47" t="inlineStr">
        <is>
          <t>Trigger</t>
        </is>
      </c>
      <c r="B7959" s="56" t="inlineStr">
        <is>
          <t>• Chỉ xem/xuất không tự chạy xét.</t>
        </is>
      </c>
      <c r="C7959" s="57" t="n"/>
      <c r="D7959" s="57" t="n"/>
      <c r="E7959" s="57" t="n"/>
    </row>
    <row r="7960" ht="44" customHeight="1">
      <c r="A7960" s="47" t="inlineStr">
        <is>
          <t>Blocker</t>
        </is>
      </c>
      <c r="B7960" s="56" t="inlineStr">
        <is>
          <t>• G-PREP-UNASSESSED: Chưa có xác minh fixture, đường thực hiện và phép quan sát trên build của từng case chưa đánh giá.</t>
        </is>
      </c>
      <c r="C7960" s="57" t="n"/>
      <c r="D7960" s="57" t="n"/>
      <c r="E7960" s="57" t="n"/>
    </row>
    <row r="7961" ht="30" customHeight="1">
      <c r="A7961" s="58" t="inlineStr">
        <is>
          <t>Thao tác</t>
        </is>
      </c>
      <c r="B7961" s="59" t="n"/>
      <c r="C7961" s="59" t="n"/>
      <c r="D7961" s="59" t="n"/>
      <c r="E7961" s="59" t="n"/>
    </row>
    <row r="7962" ht="30" customHeight="1">
      <c r="A7962" s="47" t="inlineStr">
        <is>
          <t>Step 1</t>
        </is>
      </c>
      <c r="B7962" s="56" t="inlineStr">
        <is>
          <t>Chạy trích xuất có lọc đỏ và xuất Excel.</t>
        </is>
      </c>
      <c r="C7962" s="57" t="n"/>
      <c r="D7962" s="57" t="n"/>
      <c r="E7962" s="57" t="n"/>
    </row>
    <row r="7963" ht="30" customHeight="1">
      <c r="A7963" s="47" t="inlineStr">
        <is>
          <t>Step 2</t>
        </is>
      </c>
      <c r="B7963" s="56" t="inlineStr">
        <is>
          <t>Xem màn học sinh công khai.</t>
        </is>
      </c>
      <c r="C7963" s="57" t="n"/>
      <c r="D7963" s="57" t="n"/>
      <c r="E7963" s="57" t="n"/>
    </row>
    <row r="7964" ht="30" customHeight="1">
      <c r="A7964" s="47" t="inlineStr">
        <is>
          <t>Step 3</t>
        </is>
      </c>
      <c r="B7964" s="56" t="inlineStr">
        <is>
          <t>Xuất PDF phiếu.</t>
        </is>
      </c>
      <c r="C7964" s="57" t="n"/>
      <c r="D7964" s="57" t="n"/>
      <c r="E7964" s="57" t="n"/>
    </row>
    <row r="7965" ht="44" customHeight="1">
      <c r="A7965" s="47" t="inlineStr">
        <is>
          <t>Reset</t>
        </is>
      </c>
      <c r="B7965" s="56" t="inlineStr">
        <is>
          <t>Trước mỗi biến thể, dựng lại điều kiện/dữ liệu đầu của case bằng đường được phép; giữ các reset/fixture độc lập đã nêu trong thủ tục.</t>
        </is>
      </c>
      <c r="C7965" s="57" t="n"/>
      <c r="D7965" s="57" t="n"/>
      <c r="E7965" s="57" t="n"/>
    </row>
    <row r="7966" ht="30" customHeight="1">
      <c r="A7966" s="58" t="inlineStr">
        <is>
          <t>Kết quả mong đợi</t>
        </is>
      </c>
      <c r="B7966" s="59" t="n"/>
      <c r="C7966" s="59" t="n"/>
      <c r="D7966" s="59" t="n"/>
      <c r="E7966" s="59" t="n"/>
    </row>
    <row r="7967" ht="44" customHeight="1">
      <c r="A7967" s="47" t="inlineStr">
        <is>
          <t>•</t>
        </is>
      </c>
      <c r="B7967" s="56" t="inlineStr">
        <is>
          <t>Chỉ ô (1) và (7) có dấu đỏ và làm học sinh thỏa lọc đỏ. Ô (2)–(6) không có dấu đỏ, không thỏa lọc; (3), (4), (5) không được hiển thị như "đạt". Ba đầu ra cho cùng kết luận.</t>
        </is>
      </c>
      <c r="C7967" s="57" t="n"/>
      <c r="D7967" s="57" t="n"/>
      <c r="E7967" s="57" t="n"/>
    </row>
    <row r="7968" ht="44" customHeight="1">
      <c r="A7968" s="47" t="inlineStr">
        <is>
          <t>Giữ nguyên</t>
        </is>
      </c>
      <c r="B7968" s="56" t="inlineStr">
        <is>
          <t>• Giữ điểm, cấu hình và đối tượng không đích theo expected;
• Chỉ thay phần thủ tục yêu cầu, không tự đổi oracle hoặc mở rộng phạm vi.</t>
        </is>
      </c>
      <c r="C7968" s="57" t="n"/>
      <c r="D7968" s="57" t="n"/>
      <c r="E7968" s="57" t="n"/>
    </row>
    <row r="7969" ht="61" customHeight="1">
      <c r="A7969" s="47" t="inlineStr">
        <is>
          <t>Quan sát tại</t>
        </is>
      </c>
      <c r="B7969" s="56" t="inlineStr">
        <is>
          <t>• Dùng trích xuất không lọc để thấy cả ô đối chứng. Trạng thái không có dấu đỏ cần đọc thêm trạng thái lưu;
• Output Excel/PDF dùng file thật.</t>
        </is>
      </c>
      <c r="C7969" s="57" t="n"/>
      <c r="D7969" s="57" t="n"/>
      <c r="E7969" s="57" t="n"/>
    </row>
    <row r="7970" ht="30" customHeight="1">
      <c r="A7970" s="58" t="inlineStr">
        <is>
          <t>Kết quả thực tế</t>
        </is>
      </c>
      <c r="B7970" s="59" t="n"/>
      <c r="C7970" s="59" t="n"/>
      <c r="D7970" s="59" t="n"/>
      <c r="E7970" s="59" t="n"/>
    </row>
    <row r="7971" ht="30" customHeight="1">
      <c r="A7971" s="60" t="inlineStr">
        <is>
          <t>TC-RS-ERR-001 / extract</t>
        </is>
      </c>
      <c r="B7971" s="36" t="n"/>
      <c r="C7971" s="36" t="n"/>
      <c r="D7971" s="36" t="n"/>
      <c r="E7971" s="36" t="n"/>
    </row>
    <row r="7972" ht="30" customHeight="1">
      <c r="A7972" s="47" t="inlineStr">
        <is>
          <t>Dữ liệu biến thể</t>
        </is>
      </c>
      <c r="B7972" s="56" t="inlineStr">
        <is>
          <t>Trích xuất cả bảy trạng thái không lọc</t>
        </is>
      </c>
      <c r="C7972" s="57" t="n"/>
      <c r="D7972" s="57" t="n"/>
      <c r="E7972" s="57" t="n"/>
    </row>
    <row r="7973" ht="30" customHeight="1">
      <c r="A7973" s="47" t="inlineStr">
        <is>
          <t>Trạng thái</t>
        </is>
      </c>
      <c r="B7973" s="61" t="inlineStr">
        <is>
          <t>Chưa thực hiện</t>
        </is>
      </c>
      <c r="C7973" s="57" t="n"/>
      <c r="D7973" s="57" t="n"/>
      <c r="E7973" s="57" t="n"/>
    </row>
    <row r="7974" ht="30" customHeight="1">
      <c r="A7974" s="62" t="inlineStr">
        <is>
          <t>Kết quả thực tế</t>
        </is>
      </c>
    </row>
    <row r="7975" ht="64" customHeight="1">
      <c r="A7975" s="63" t="inlineStr"/>
      <c r="B7975" s="64" t="n"/>
      <c r="C7975" s="64" t="n"/>
      <c r="D7975" s="64" t="n"/>
      <c r="E7975" s="65" t="n"/>
    </row>
    <row r="7976" ht="30" customHeight="1">
      <c r="A7976" s="62" t="inlineStr">
        <is>
          <t>Ảnh minh chứng</t>
        </is>
      </c>
    </row>
    <row r="7977" ht="90" customHeight="1">
      <c r="A7977" s="63" t="inlineStr"/>
      <c r="B7977" s="64" t="n"/>
      <c r="C7977" s="64" t="n"/>
      <c r="D7977" s="64" t="n"/>
      <c r="E7977" s="65" t="n"/>
    </row>
    <row r="7978" ht="12" customHeight="1">
      <c r="A7978" s="66" t="inlineStr"/>
    </row>
    <row r="7979" ht="30" customHeight="1">
      <c r="A7979" s="60" t="inlineStr">
        <is>
          <t>TC-RS-ERR-001 / publish</t>
        </is>
      </c>
      <c r="B7979" s="36" t="n"/>
      <c r="C7979" s="36" t="n"/>
      <c r="D7979" s="36" t="n"/>
      <c r="E7979" s="36" t="n"/>
    </row>
    <row r="7980" ht="30" customHeight="1">
      <c r="A7980" s="47" t="inlineStr">
        <is>
          <t>Dữ liệu biến thể</t>
        </is>
      </c>
      <c r="B7980" s="56" t="inlineStr">
        <is>
          <t>Công khai cả bảy trạng thái</t>
        </is>
      </c>
      <c r="C7980" s="57" t="n"/>
      <c r="D7980" s="57" t="n"/>
      <c r="E7980" s="57" t="n"/>
    </row>
    <row r="7981" ht="30" customHeight="1">
      <c r="A7981" s="47" t="inlineStr">
        <is>
          <t>Trạng thái</t>
        </is>
      </c>
      <c r="B7981" s="61" t="inlineStr">
        <is>
          <t>Chưa thực hiện</t>
        </is>
      </c>
      <c r="C7981" s="57" t="n"/>
      <c r="D7981" s="57" t="n"/>
      <c r="E7981" s="57" t="n"/>
    </row>
    <row r="7982" ht="30" customHeight="1">
      <c r="A7982" s="62" t="inlineStr">
        <is>
          <t>Kết quả thực tế</t>
        </is>
      </c>
    </row>
    <row r="7983" ht="64" customHeight="1">
      <c r="A7983" s="63" t="inlineStr"/>
      <c r="B7983" s="64" t="n"/>
      <c r="C7983" s="64" t="n"/>
      <c r="D7983" s="64" t="n"/>
      <c r="E7983" s="65" t="n"/>
    </row>
    <row r="7984" ht="30" customHeight="1">
      <c r="A7984" s="62" t="inlineStr">
        <is>
          <t>Ảnh minh chứng</t>
        </is>
      </c>
    </row>
    <row r="7985" ht="90" customHeight="1">
      <c r="A7985" s="63" t="inlineStr"/>
      <c r="B7985" s="64" t="n"/>
      <c r="C7985" s="64" t="n"/>
      <c r="D7985" s="64" t="n"/>
      <c r="E7985" s="65" t="n"/>
    </row>
    <row r="7986" ht="12" customHeight="1">
      <c r="A7986" s="66" t="inlineStr"/>
    </row>
    <row r="7987" ht="30" customHeight="1">
      <c r="A7987" s="60" t="inlineStr">
        <is>
          <t>TC-RS-ERR-001 / report</t>
        </is>
      </c>
      <c r="B7987" s="36" t="n"/>
      <c r="C7987" s="36" t="n"/>
      <c r="D7987" s="36" t="n"/>
      <c r="E7987" s="36" t="n"/>
    </row>
    <row r="7988" ht="30" customHeight="1">
      <c r="A7988" s="47" t="inlineStr">
        <is>
          <t>Dữ liệu biến thể</t>
        </is>
      </c>
      <c r="B7988" s="56" t="inlineStr">
        <is>
          <t>Phiếu điểm cả bảy trạng thái</t>
        </is>
      </c>
      <c r="C7988" s="57" t="n"/>
      <c r="D7988" s="57" t="n"/>
      <c r="E7988" s="57" t="n"/>
    </row>
    <row r="7989" ht="30" customHeight="1">
      <c r="A7989" s="47" t="inlineStr">
        <is>
          <t>Trạng thái</t>
        </is>
      </c>
      <c r="B7989" s="61" t="inlineStr">
        <is>
          <t>Chưa thực hiện</t>
        </is>
      </c>
      <c r="C7989" s="57" t="n"/>
      <c r="D7989" s="57" t="n"/>
      <c r="E7989" s="57" t="n"/>
    </row>
    <row r="7990" ht="30" customHeight="1">
      <c r="A7990" s="62" t="inlineStr">
        <is>
          <t>Kết quả thực tế</t>
        </is>
      </c>
    </row>
    <row r="7991" ht="64" customHeight="1">
      <c r="A7991" s="63" t="inlineStr"/>
      <c r="B7991" s="64" t="n"/>
      <c r="C7991" s="64" t="n"/>
      <c r="D7991" s="64" t="n"/>
      <c r="E7991" s="65" t="n"/>
    </row>
    <row r="7992" ht="30" customHeight="1">
      <c r="A7992" s="62" t="inlineStr">
        <is>
          <t>Ảnh minh chứng</t>
        </is>
      </c>
    </row>
    <row r="7993" ht="90" customHeight="1">
      <c r="A7993" s="63" t="inlineStr"/>
      <c r="B7993" s="64" t="n"/>
      <c r="C7993" s="64" t="n"/>
      <c r="D7993" s="64" t="n"/>
      <c r="E7993" s="65" t="n"/>
    </row>
    <row r="7994" ht="12" customHeight="1">
      <c r="A7994" s="66" t="inlineStr"/>
    </row>
    <row r="7995" ht="20" customHeight="1">
      <c r="A7995" s="66" t="inlineStr"/>
    </row>
    <row r="7996" ht="30" customHeight="1">
      <c r="A7996" s="46" t="inlineStr">
        <is>
          <t>TC-RS-ERR-002 — Lỗi kỹ thuật khi lưu kết quả khác với Chưa xét được; không báo thành công giả</t>
        </is>
      </c>
      <c r="B7996" s="23" t="n"/>
      <c r="C7996" s="23" t="n"/>
      <c r="D7996" s="23" t="n"/>
      <c r="E7996" s="23" t="n"/>
    </row>
    <row r="7997" ht="30" customHeight="1">
      <c r="A7997" s="47" t="inlineStr">
        <is>
          <t>Trạng thái</t>
        </is>
      </c>
      <c r="B7997" s="56">
        <f>IF(0&gt;0,"Không đạt",IF(0=15,"Đạt",IF(SUMPRODUCT(--EXACT('Testcases'!B8021:B8133,"Không thực hiện"))=15,"Không thực hiện",IF(SUMPRODUCT(--EXACT('Testcases'!B8021:B8133,"Bị chặn"))&gt;0,"Bị chặn",IF(SUMPRODUCT(--EXACT('Testcases'!B8021:B8133,"Chưa thực hiện"))=15,"Chưa thực hiện","Chưa đủ kết luận")))))</f>
        <v/>
      </c>
      <c r="C7997" s="57" t="n"/>
      <c r="D7997" s="57" t="n"/>
      <c r="E7997" s="57" t="n"/>
    </row>
    <row r="7998" ht="30" customHeight="1">
      <c r="A7998" s="47" t="inlineStr">
        <is>
          <t>Màn hình / chức năng</t>
        </is>
      </c>
      <c r="B7998" s="47" t="inlineStr">
        <is>
          <t>Lỗi và cập nhật kết quả</t>
        </is>
      </c>
      <c r="C7998" s="57" t="n"/>
      <c r="D7998" s="47" t="inlineStr">
        <is>
          <t>Đường dẫn</t>
        </is>
      </c>
      <c r="E7998" s="56" t="inlineStr">
        <is>
          <t>Chưa xác minh</t>
        </is>
      </c>
    </row>
    <row r="7999" ht="30" customHeight="1">
      <c r="A7999" s="58" t="inlineStr">
        <is>
          <t>Điều kiện kiểm thử</t>
        </is>
      </c>
      <c r="B7999" s="59" t="n"/>
      <c r="C7999" s="59" t="n"/>
      <c r="D7999" s="59" t="n"/>
      <c r="E7999" s="59" t="n"/>
    </row>
    <row r="8000" ht="129" customHeight="1">
      <c r="A8000" s="47" t="inlineStr">
        <is>
          <t>Cấu hình</t>
        </is>
      </c>
      <c r="B8000" s="56" t="inlineStr">
        <is>
          <t>• Chuẩn bị bản reset độc lập cho từng biến thể và từng đường nhập trực tiếp, Đăng ký thành tích bằng CSV（成績CSV登録） và liên kết điểm thi. Mỗi bản có điểm Toán 24 đang Đỏ, Ngữ văn 20 đang Đỏ và bằng chứng điểm/kết quả trước thao tác;
• File CSV và bài thi đã chấm phải ánh xạ tới đúng ô Toán của S01 (M=100). Chuẩn bị hai seam lỗi riêng trên từng đường, cho cả xóa và sửa nếu build hỗ trợ: lỗi lưu điểm và lỗi ghi kết quả đỏ;
• Ghi thời điểm lỗi và ranh giới giao dịch thực tế. Chưa có seam/đường đọc đáng tin thì giữ biến thể tương ứng BLOCKED.</t>
        </is>
      </c>
      <c r="C8000" s="57" t="n"/>
      <c r="D8000" s="57" t="n"/>
      <c r="E8000" s="57" t="n"/>
    </row>
    <row r="8001" ht="61" customHeight="1">
      <c r="A8001" s="47" t="inlineStr">
        <is>
          <t>Vai trò / quyền</t>
        </is>
      </c>
      <c r="B800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001" s="57" t="n"/>
      <c r="D8001" s="57" t="n"/>
      <c r="E8001" s="57" t="n"/>
    </row>
    <row r="8002" ht="44" customHeight="1">
      <c r="A8002" s="47" t="inlineStr">
        <is>
          <t>Dữ liệu test</t>
        </is>
      </c>
      <c r="B8002" s="56" t="inlineStr">
        <is>
          <t>• S01, Toán 24 → sửa thành 35 (không đỏ nếu xét thành công), Ngữ văn 20 giữ nguyên;
• Rule “Cố định 30” với dấu [&lt;]. Biến thể xóa dùng cùng điểm ban đầu nhưng bản reset khác biến thể sửa.</t>
        </is>
      </c>
      <c r="C8002" s="57" t="n"/>
      <c r="D8002" s="57" t="n"/>
      <c r="E8002" s="57" t="n"/>
    </row>
    <row r="8003" ht="30" customHeight="1">
      <c r="A8003" s="47" t="inlineStr">
        <is>
          <t>Trigger</t>
        </is>
      </c>
      <c r="B8003" s="56" t="inlineStr">
        <is>
          <t>• Chỉ xem/xuất không tự chạy xét.</t>
        </is>
      </c>
      <c r="C8003" s="57" t="n"/>
      <c r="D8003" s="57" t="n"/>
      <c r="E8003" s="57" t="n"/>
    </row>
    <row r="8004" ht="61" customHeight="1">
      <c r="A8004" s="47" t="inlineStr">
        <is>
          <t>Blocker</t>
        </is>
      </c>
      <c r="B8004" s="56" t="inlineStr">
        <is>
          <t>• G-PREP-TC-RS-ERR-002: BLOCKED — chưa xác minh được seam gây lỗi lưu điểm và lỗi ghi kết quả riêng cho đăng ký trực tiếp, CSV và liên kết điểm thi, cũng như ranh giới giao dịch/đọc lại của từng đường;
• Các nhánh lỗi không được suy thành rollback/Chưa xét được.</t>
        </is>
      </c>
      <c r="C8004" s="57" t="n"/>
      <c r="D8004" s="57" t="n"/>
      <c r="E8004" s="57" t="n"/>
    </row>
    <row r="8005" ht="30" customHeight="1">
      <c r="A8005" s="58" t="inlineStr">
        <is>
          <t>Thao tác</t>
        </is>
      </c>
      <c r="B8005" s="59" t="n"/>
      <c r="C8005" s="59" t="n"/>
      <c r="D8005" s="59" t="n"/>
      <c r="E8005" s="59" t="n"/>
    </row>
    <row r="8006" ht="44" customHeight="1">
      <c r="A8006" s="47" t="inlineStr">
        <is>
          <t>Step 1</t>
        </is>
      </c>
      <c r="B8006" s="56" t="inlineStr">
        <is>
          <t>Với [*-success-delete], dùng ba bản reset riêng và xóa ô Toán lần lượt bằng nhập trực tiếp, Đăng ký thành tích bằng CSV（成績CSV登録） và liên kết điểm thi; không giả lập lỗi.</t>
        </is>
      </c>
      <c r="C8006" s="57" t="n"/>
      <c r="D8006" s="57" t="n"/>
      <c r="E8006" s="57" t="n"/>
    </row>
    <row r="8007" ht="78" customHeight="1">
      <c r="A8007" s="47" t="inlineStr">
        <is>
          <t>Step 2</t>
        </is>
      </c>
      <c r="B8007" s="56" t="inlineStr">
        <is>
          <t>Với [*-delete-save-failure], reset trước từng lượt, xóa ô Toán qua đúng đường tương ứng và gây lỗi lưu điểm. Với [*-delete-result-write-failure], dùng ba bản reset khác, xóa ô Toán nhưng gây lỗi ghi kết quả đỏ sau đường xử lý điểm. Mỗi biến thể có Run ID, baseline, response và đọc lại riêng; không dùng kết quả của lỗi lưu điểm làm baseline cho lỗi ghi kết quả.</t>
        </is>
      </c>
      <c r="C8007" s="57" t="n"/>
      <c r="D8007" s="57" t="n"/>
      <c r="E8007" s="57" t="n"/>
    </row>
    <row r="8008" ht="61" customHeight="1">
      <c r="A8008" s="47" t="inlineStr">
        <is>
          <t>Step 3</t>
        </is>
      </c>
      <c r="B8008" s="56" t="inlineStr">
        <is>
          <t>Với [*-edit-save-failure], reset trước từng lượt, sửa Toán 24→35 qua từng đường và gây lỗi lưu điểm. Với [*-edit-result-write-failure], dùng các bản reset khác, sửa cùng giá trị nhưng gây lỗi ghi kết quả đỏ sau đường xử lý điểm. Không dùng trạng thái từ biến thể xóa làm baseline sửa.</t>
        </is>
      </c>
      <c r="C8008" s="57" t="n"/>
      <c r="D8008" s="57" t="n"/>
      <c r="E8008" s="57" t="n"/>
    </row>
    <row r="8009" ht="61" customHeight="1">
      <c r="A8009" s="47" t="inlineStr">
        <is>
          <t>Step 4</t>
        </is>
      </c>
      <c r="B8009" s="56" t="inlineStr">
        <is>
          <t>Sau mỗi biến thể, đọc lại điểm và kết quả đỏ của đúng ô Toán, ô Ngữ văn không đích và ba đầu ra; lưu thông báo, trạng thái giao dịch/response và identity để đối chiếu. Không dùng thông báo thành công hay một dấu UI làm bằng chứng duy nhất cho ghi điểm/kết quả.</t>
        </is>
      </c>
      <c r="C8009" s="57" t="n"/>
      <c r="D8009" s="57" t="n"/>
      <c r="E8009" s="57" t="n"/>
    </row>
    <row r="8010" ht="44" customHeight="1">
      <c r="A8010" s="47" t="inlineStr">
        <is>
          <t>Reset</t>
        </is>
      </c>
      <c r="B8010" s="56" t="inlineStr">
        <is>
          <t>Trước mỗi biến thể, dựng lại điều kiện/dữ liệu đầu của case bằng đường được phép; giữ các reset/fixture độc lập đã nêu trong thủ tục.</t>
        </is>
      </c>
      <c r="C8010" s="57" t="n"/>
      <c r="D8010" s="57" t="n"/>
      <c r="E8010" s="57" t="n"/>
    </row>
    <row r="8011" ht="30" customHeight="1">
      <c r="A8011" s="58" t="inlineStr">
        <is>
          <t>Kết quả mong đợi</t>
        </is>
      </c>
      <c r="B8011" s="59" t="n"/>
      <c r="C8011" s="59" t="n"/>
      <c r="D8011" s="59" t="n"/>
      <c r="E8011" s="59" t="n"/>
    </row>
    <row r="8012" ht="44" customHeight="1">
      <c r="A8012" s="47" t="inlineStr">
        <is>
          <t>1.</t>
        </is>
      </c>
      <c r="B8012" s="56" t="inlineStr">
        <is>
          <t>Mỗi đường xóa thành công chỉ xóa điểm/kết quả Toán của identity đích; Ngữ văn vẫn Đỏ và S01 vẫn qua bộ lọc nhờ Ngữ văn. CSV phải ánh xạ đúng ô.</t>
        </is>
      </c>
      <c r="C8012" s="57" t="n"/>
      <c r="D8012" s="57" t="n"/>
      <c r="E8012" s="57" t="n"/>
    </row>
    <row r="8013" ht="112" customHeight="1">
      <c r="A8013" s="47" t="inlineStr">
        <is>
          <t>2.</t>
        </is>
      </c>
      <c r="B8013" s="56" t="inlineStr">
        <is>
          <t>Với [*-delete-save-failure], không báo đã xóa/xét thành công; đối chiếu điểm và kết quả Toán với baseline 24/Đỏ. Với [*-delete-result-write-failure], cũng không báo thành công giả và phải phân biệt điểm đã bị xóa hay chưa theo ranh giới giao dịch thực tế; không tự coi ô là trống/Chưa xét được hoặc mặc định rollback. Đọc lại điểm, kết quả và trạng thái giao dịch của từng biến thể; nếu ranh giới commit hoặc trạng thái nhất quán chưa quan sát được thì giữ đúng biến thể BLOCKED, ghi giá trị thực tế của hai ô và không sửa oracle theo kết quả chạy.</t>
        </is>
      </c>
      <c r="C8013" s="57" t="n"/>
      <c r="D8013" s="57" t="n"/>
      <c r="E8013" s="57" t="n"/>
    </row>
    <row r="8014" ht="95" customHeight="1">
      <c r="A8014" s="47" t="inlineStr">
        <is>
          <t>3.</t>
        </is>
      </c>
      <c r="B8014" s="56" t="inlineStr">
        <is>
          <t>Với lỗi sửa điểm 24→35, không báo đã sửa và xét thành công giả. Lỗi lưu điểm phải được đối chiếu với điểm/kết quả trước đó; lỗi ghi kết quả phải phân biệt điểm đã lưu hay chưa theo ranh giới giao dịch hiện có. Không trình bày kết quả cũ Đỏ như kết luận mới đã hoàn tất cho điểm 35, cũng không tự đánh dấu Chưa xét được do lỗi kỹ thuật. Nếu ranh giới ghi/đọc hoặc trạng thái nhất quán chưa quan sát được, giữ đúng biến thể BLOCKED và ghi giá trị thực tế của cả hai ô thay vì tự đổi oracle thành PASS.</t>
        </is>
      </c>
      <c r="C8014" s="57" t="n"/>
      <c r="D8014" s="57" t="n"/>
      <c r="E8014" s="57" t="n"/>
    </row>
    <row r="8015" ht="44" customHeight="1">
      <c r="A8015" s="47" t="inlineStr">
        <is>
          <t>4.</t>
        </is>
      </c>
      <c r="B8015" s="56" t="inlineStr">
        <is>
          <t>Ngữ văn 20 và kết quả Đỏ của ô không đích giữ nguyên ở mọi lượt. Thông báo thất bại không chứa lỗi SQL, stack trace hay dữ liệu ngoài quyền.</t>
        </is>
      </c>
      <c r="C8015" s="57" t="n"/>
      <c r="D8015" s="57" t="n"/>
      <c r="E8015" s="57" t="n"/>
    </row>
    <row r="8016" ht="44" customHeight="1">
      <c r="A8016" s="47" t="inlineStr">
        <is>
          <t>Giữ nguyên</t>
        </is>
      </c>
      <c r="B8016" s="56" t="inlineStr">
        <is>
          <t>• Giữ điểm, cấu hình và đối tượng không đích theo expected;
• Chỉ thay phần thủ tục yêu cầu, không tự đổi oracle hoặc mở rộng phạm vi.</t>
        </is>
      </c>
      <c r="C8016" s="57" t="n"/>
      <c r="D8016" s="57" t="n"/>
      <c r="E8016" s="57" t="n"/>
    </row>
    <row r="8017" ht="61" customHeight="1">
      <c r="A8017" s="47" t="inlineStr">
        <is>
          <t>Quan sát tại</t>
        </is>
      </c>
      <c r="B8017" s="56" t="inlineStr">
        <is>
          <t>• Dùng trích xuất không lọc để thấy cả ô đối chứng. Trạng thái không có dấu đỏ cần đọc thêm trạng thái lưu;
• Output Excel/PDF dùng file thật.</t>
        </is>
      </c>
      <c r="C8017" s="57" t="n"/>
      <c r="D8017" s="57" t="n"/>
      <c r="E8017" s="57" t="n"/>
    </row>
    <row r="8018" ht="30" customHeight="1">
      <c r="A8018" s="58" t="inlineStr">
        <is>
          <t>Kết quả thực tế</t>
        </is>
      </c>
      <c r="B8018" s="59" t="n"/>
      <c r="C8018" s="59" t="n"/>
      <c r="D8018" s="59" t="n"/>
      <c r="E8018" s="59" t="n"/>
    </row>
    <row r="8019" ht="30" customHeight="1">
      <c r="A8019" s="60" t="inlineStr">
        <is>
          <t>TC-RS-ERR-002 / direct-success-delete</t>
        </is>
      </c>
      <c r="B8019" s="36" t="n"/>
      <c r="C8019" s="36" t="n"/>
      <c r="D8019" s="36" t="n"/>
      <c r="E8019" s="36" t="n"/>
    </row>
    <row r="8020" ht="44" customHeight="1">
      <c r="A8020" s="47" t="inlineStr">
        <is>
          <t>Dữ liệu biến thể</t>
        </is>
      </c>
      <c r="B8020" s="56" t="inlineStr">
        <is>
          <t>Nhánh direct-success-delete trong thủ tục và Expected của case; thực hiện các bước chuẩn bị chung trước nhánh</t>
        </is>
      </c>
      <c r="C8020" s="57" t="n"/>
      <c r="D8020" s="57" t="n"/>
      <c r="E8020" s="57" t="n"/>
    </row>
    <row r="8021" ht="30" customHeight="1">
      <c r="A8021" s="47" t="inlineStr">
        <is>
          <t>Trạng thái</t>
        </is>
      </c>
      <c r="B8021" s="61" t="inlineStr">
        <is>
          <t>Chưa thực hiện</t>
        </is>
      </c>
      <c r="C8021" s="57" t="n"/>
      <c r="D8021" s="57" t="n"/>
      <c r="E8021" s="57" t="n"/>
    </row>
    <row r="8022" ht="30" customHeight="1">
      <c r="A8022" s="62" t="inlineStr">
        <is>
          <t>Kết quả thực tế</t>
        </is>
      </c>
    </row>
    <row r="8023" ht="64" customHeight="1">
      <c r="A8023" s="63" t="inlineStr"/>
      <c r="B8023" s="64" t="n"/>
      <c r="C8023" s="64" t="n"/>
      <c r="D8023" s="64" t="n"/>
      <c r="E8023" s="65" t="n"/>
    </row>
    <row r="8024" ht="30" customHeight="1">
      <c r="A8024" s="62" t="inlineStr">
        <is>
          <t>Ảnh minh chứng</t>
        </is>
      </c>
    </row>
    <row r="8025" ht="90" customHeight="1">
      <c r="A8025" s="63" t="inlineStr"/>
      <c r="B8025" s="64" t="n"/>
      <c r="C8025" s="64" t="n"/>
      <c r="D8025" s="64" t="n"/>
      <c r="E8025" s="65" t="n"/>
    </row>
    <row r="8026" ht="12" customHeight="1">
      <c r="A8026" s="66" t="inlineStr"/>
    </row>
    <row r="8027" ht="30" customHeight="1">
      <c r="A8027" s="60" t="inlineStr">
        <is>
          <t>TC-RS-ERR-002 / csv-success-delete</t>
        </is>
      </c>
      <c r="B8027" s="36" t="n"/>
      <c r="C8027" s="36" t="n"/>
      <c r="D8027" s="36" t="n"/>
      <c r="E8027" s="36" t="n"/>
    </row>
    <row r="8028" ht="44" customHeight="1">
      <c r="A8028" s="47" t="inlineStr">
        <is>
          <t>Dữ liệu biến thể</t>
        </is>
      </c>
      <c r="B8028" s="56" t="inlineStr">
        <is>
          <t>Nhánh csv-success-delete trong thủ tục và Expected của case; thực hiện các bước chuẩn bị chung trước nhánh</t>
        </is>
      </c>
      <c r="C8028" s="57" t="n"/>
      <c r="D8028" s="57" t="n"/>
      <c r="E8028" s="57" t="n"/>
    </row>
    <row r="8029" ht="30" customHeight="1">
      <c r="A8029" s="47" t="inlineStr">
        <is>
          <t>Trạng thái</t>
        </is>
      </c>
      <c r="B8029" s="61" t="inlineStr">
        <is>
          <t>Chưa thực hiện</t>
        </is>
      </c>
      <c r="C8029" s="57" t="n"/>
      <c r="D8029" s="57" t="n"/>
      <c r="E8029" s="57" t="n"/>
    </row>
    <row r="8030" ht="30" customHeight="1">
      <c r="A8030" s="62" t="inlineStr">
        <is>
          <t>Kết quả thực tế</t>
        </is>
      </c>
    </row>
    <row r="8031" ht="64" customHeight="1">
      <c r="A8031" s="63" t="inlineStr"/>
      <c r="B8031" s="64" t="n"/>
      <c r="C8031" s="64" t="n"/>
      <c r="D8031" s="64" t="n"/>
      <c r="E8031" s="65" t="n"/>
    </row>
    <row r="8032" ht="30" customHeight="1">
      <c r="A8032" s="62" t="inlineStr">
        <is>
          <t>Ảnh minh chứng</t>
        </is>
      </c>
    </row>
    <row r="8033" ht="90" customHeight="1">
      <c r="A8033" s="63" t="inlineStr"/>
      <c r="B8033" s="64" t="n"/>
      <c r="C8033" s="64" t="n"/>
      <c r="D8033" s="64" t="n"/>
      <c r="E8033" s="65" t="n"/>
    </row>
    <row r="8034" ht="12" customHeight="1">
      <c r="A8034" s="66" t="inlineStr"/>
    </row>
    <row r="8035" ht="30" customHeight="1">
      <c r="A8035" s="60" t="inlineStr">
        <is>
          <t>TC-RS-ERR-002 / linked-success-delete</t>
        </is>
      </c>
      <c r="B8035" s="36" t="n"/>
      <c r="C8035" s="36" t="n"/>
      <c r="D8035" s="36" t="n"/>
      <c r="E8035" s="36" t="n"/>
    </row>
    <row r="8036" ht="44" customHeight="1">
      <c r="A8036" s="47" t="inlineStr">
        <is>
          <t>Dữ liệu biến thể</t>
        </is>
      </c>
      <c r="B8036" s="56" t="inlineStr">
        <is>
          <t>Nhánh linked-success-delete trong thủ tục và Expected của case; thực hiện các bước chuẩn bị chung trước nhánh</t>
        </is>
      </c>
      <c r="C8036" s="57" t="n"/>
      <c r="D8036" s="57" t="n"/>
      <c r="E8036" s="57" t="n"/>
    </row>
    <row r="8037" ht="30" customHeight="1">
      <c r="A8037" s="47" t="inlineStr">
        <is>
          <t>Trạng thái</t>
        </is>
      </c>
      <c r="B8037" s="61" t="inlineStr">
        <is>
          <t>Chưa thực hiện</t>
        </is>
      </c>
      <c r="C8037" s="57" t="n"/>
      <c r="D8037" s="57" t="n"/>
      <c r="E8037" s="57" t="n"/>
    </row>
    <row r="8038" ht="30" customHeight="1">
      <c r="A8038" s="62" t="inlineStr">
        <is>
          <t>Kết quả thực tế</t>
        </is>
      </c>
    </row>
    <row r="8039" ht="64" customHeight="1">
      <c r="A8039" s="63" t="inlineStr"/>
      <c r="B8039" s="64" t="n"/>
      <c r="C8039" s="64" t="n"/>
      <c r="D8039" s="64" t="n"/>
      <c r="E8039" s="65" t="n"/>
    </row>
    <row r="8040" ht="30" customHeight="1">
      <c r="A8040" s="62" t="inlineStr">
        <is>
          <t>Ảnh minh chứng</t>
        </is>
      </c>
    </row>
    <row r="8041" ht="90" customHeight="1">
      <c r="A8041" s="63" t="inlineStr"/>
      <c r="B8041" s="64" t="n"/>
      <c r="C8041" s="64" t="n"/>
      <c r="D8041" s="64" t="n"/>
      <c r="E8041" s="65" t="n"/>
    </row>
    <row r="8042" ht="12" customHeight="1">
      <c r="A8042" s="66" t="inlineStr"/>
    </row>
    <row r="8043" ht="30" customHeight="1">
      <c r="A8043" s="60" t="inlineStr">
        <is>
          <t>TC-RS-ERR-002 / direct-delete-save-failure</t>
        </is>
      </c>
      <c r="B8043" s="36" t="n"/>
      <c r="C8043" s="36" t="n"/>
      <c r="D8043" s="36" t="n"/>
      <c r="E8043" s="36" t="n"/>
    </row>
    <row r="8044" ht="44" customHeight="1">
      <c r="A8044" s="47" t="inlineStr">
        <is>
          <t>Dữ liệu biến thể</t>
        </is>
      </c>
      <c r="B8044" s="56" t="inlineStr">
        <is>
          <t>Nhánh direct-delete-save-failure trong thủ tục và Expected của case; thực hiện các bước chuẩn bị chung trước nhánh</t>
        </is>
      </c>
      <c r="C8044" s="57" t="n"/>
      <c r="D8044" s="57" t="n"/>
      <c r="E8044" s="57" t="n"/>
    </row>
    <row r="8045" ht="30" customHeight="1">
      <c r="A8045" s="47" t="inlineStr">
        <is>
          <t>Trạng thái</t>
        </is>
      </c>
      <c r="B8045" s="61" t="inlineStr">
        <is>
          <t>Chưa thực hiện</t>
        </is>
      </c>
      <c r="C8045" s="57" t="n"/>
      <c r="D8045" s="57" t="n"/>
      <c r="E8045" s="57" t="n"/>
    </row>
    <row r="8046" ht="30" customHeight="1">
      <c r="A8046" s="62" t="inlineStr">
        <is>
          <t>Kết quả thực tế</t>
        </is>
      </c>
    </row>
    <row r="8047" ht="64" customHeight="1">
      <c r="A8047" s="63" t="inlineStr"/>
      <c r="B8047" s="64" t="n"/>
      <c r="C8047" s="64" t="n"/>
      <c r="D8047" s="64" t="n"/>
      <c r="E8047" s="65" t="n"/>
    </row>
    <row r="8048" ht="30" customHeight="1">
      <c r="A8048" s="62" t="inlineStr">
        <is>
          <t>Ảnh minh chứng</t>
        </is>
      </c>
    </row>
    <row r="8049" ht="90" customHeight="1">
      <c r="A8049" s="63" t="inlineStr"/>
      <c r="B8049" s="64" t="n"/>
      <c r="C8049" s="64" t="n"/>
      <c r="D8049" s="64" t="n"/>
      <c r="E8049" s="65" t="n"/>
    </row>
    <row r="8050" ht="12" customHeight="1">
      <c r="A8050" s="66" t="inlineStr"/>
    </row>
    <row r="8051" ht="30" customHeight="1">
      <c r="A8051" s="60" t="inlineStr">
        <is>
          <t>TC-RS-ERR-002 / csv-delete-save-failure</t>
        </is>
      </c>
      <c r="B8051" s="36" t="n"/>
      <c r="C8051" s="36" t="n"/>
      <c r="D8051" s="36" t="n"/>
      <c r="E8051" s="36" t="n"/>
    </row>
    <row r="8052" ht="44" customHeight="1">
      <c r="A8052" s="47" t="inlineStr">
        <is>
          <t>Dữ liệu biến thể</t>
        </is>
      </c>
      <c r="B8052" s="56" t="inlineStr">
        <is>
          <t>Nhánh csv-delete-save-failure trong thủ tục và Expected của case; thực hiện các bước chuẩn bị chung trước nhánh</t>
        </is>
      </c>
      <c r="C8052" s="57" t="n"/>
      <c r="D8052" s="57" t="n"/>
      <c r="E8052" s="57" t="n"/>
    </row>
    <row r="8053" ht="30" customHeight="1">
      <c r="A8053" s="47" t="inlineStr">
        <is>
          <t>Trạng thái</t>
        </is>
      </c>
      <c r="B8053" s="61" t="inlineStr">
        <is>
          <t>Chưa thực hiện</t>
        </is>
      </c>
      <c r="C8053" s="57" t="n"/>
      <c r="D8053" s="57" t="n"/>
      <c r="E8053" s="57" t="n"/>
    </row>
    <row r="8054" ht="30" customHeight="1">
      <c r="A8054" s="62" t="inlineStr">
        <is>
          <t>Kết quả thực tế</t>
        </is>
      </c>
    </row>
    <row r="8055" ht="64" customHeight="1">
      <c r="A8055" s="63" t="inlineStr"/>
      <c r="B8055" s="64" t="n"/>
      <c r="C8055" s="64" t="n"/>
      <c r="D8055" s="64" t="n"/>
      <c r="E8055" s="65" t="n"/>
    </row>
    <row r="8056" ht="30" customHeight="1">
      <c r="A8056" s="62" t="inlineStr">
        <is>
          <t>Ảnh minh chứng</t>
        </is>
      </c>
    </row>
    <row r="8057" ht="90" customHeight="1">
      <c r="A8057" s="63" t="inlineStr"/>
      <c r="B8057" s="64" t="n"/>
      <c r="C8057" s="64" t="n"/>
      <c r="D8057" s="64" t="n"/>
      <c r="E8057" s="65" t="n"/>
    </row>
    <row r="8058" ht="12" customHeight="1">
      <c r="A8058" s="66" t="inlineStr"/>
    </row>
    <row r="8059" ht="30" customHeight="1">
      <c r="A8059" s="60" t="inlineStr">
        <is>
          <t>TC-RS-ERR-002 / linked-delete-save-failure</t>
        </is>
      </c>
      <c r="B8059" s="36" t="n"/>
      <c r="C8059" s="36" t="n"/>
      <c r="D8059" s="36" t="n"/>
      <c r="E8059" s="36" t="n"/>
    </row>
    <row r="8060" ht="44" customHeight="1">
      <c r="A8060" s="47" t="inlineStr">
        <is>
          <t>Dữ liệu biến thể</t>
        </is>
      </c>
      <c r="B8060" s="56" t="inlineStr">
        <is>
          <t>Nhánh linked-delete-save-failure trong thủ tục và Expected của case; thực hiện các bước chuẩn bị chung trước nhánh</t>
        </is>
      </c>
      <c r="C8060" s="57" t="n"/>
      <c r="D8060" s="57" t="n"/>
      <c r="E8060" s="57" t="n"/>
    </row>
    <row r="8061" ht="30" customHeight="1">
      <c r="A8061" s="47" t="inlineStr">
        <is>
          <t>Trạng thái</t>
        </is>
      </c>
      <c r="B8061" s="61" t="inlineStr">
        <is>
          <t>Chưa thực hiện</t>
        </is>
      </c>
      <c r="C8061" s="57" t="n"/>
      <c r="D8061" s="57" t="n"/>
      <c r="E8061" s="57" t="n"/>
    </row>
    <row r="8062" ht="30" customHeight="1">
      <c r="A8062" s="62" t="inlineStr">
        <is>
          <t>Kết quả thực tế</t>
        </is>
      </c>
    </row>
    <row r="8063" ht="64" customHeight="1">
      <c r="A8063" s="63" t="inlineStr"/>
      <c r="B8063" s="64" t="n"/>
      <c r="C8063" s="64" t="n"/>
      <c r="D8063" s="64" t="n"/>
      <c r="E8063" s="65" t="n"/>
    </row>
    <row r="8064" ht="30" customHeight="1">
      <c r="A8064" s="62" t="inlineStr">
        <is>
          <t>Ảnh minh chứng</t>
        </is>
      </c>
    </row>
    <row r="8065" ht="90" customHeight="1">
      <c r="A8065" s="63" t="inlineStr"/>
      <c r="B8065" s="64" t="n"/>
      <c r="C8065" s="64" t="n"/>
      <c r="D8065" s="64" t="n"/>
      <c r="E8065" s="65" t="n"/>
    </row>
    <row r="8066" ht="12" customHeight="1">
      <c r="A8066" s="66" t="inlineStr"/>
    </row>
    <row r="8067" ht="30" customHeight="1">
      <c r="A8067" s="60" t="inlineStr">
        <is>
          <t>TC-RS-ERR-002 / direct-delete-result-write-failure</t>
        </is>
      </c>
      <c r="B8067" s="36" t="n"/>
      <c r="C8067" s="36" t="n"/>
      <c r="D8067" s="36" t="n"/>
      <c r="E8067" s="36" t="n"/>
    </row>
    <row r="8068" ht="44" customHeight="1">
      <c r="A8068" s="47" t="inlineStr">
        <is>
          <t>Dữ liệu biến thể</t>
        </is>
      </c>
      <c r="B8068" s="56" t="inlineStr">
        <is>
          <t>Nhánh direct-delete-result-write-failure trong thủ tục và Expected của case; thực hiện các bước chuẩn bị chung trước nhánh</t>
        </is>
      </c>
      <c r="C8068" s="57" t="n"/>
      <c r="D8068" s="57" t="n"/>
      <c r="E8068" s="57" t="n"/>
    </row>
    <row r="8069" ht="30" customHeight="1">
      <c r="A8069" s="47" t="inlineStr">
        <is>
          <t>Trạng thái</t>
        </is>
      </c>
      <c r="B8069" s="61" t="inlineStr">
        <is>
          <t>Chưa thực hiện</t>
        </is>
      </c>
      <c r="C8069" s="57" t="n"/>
      <c r="D8069" s="57" t="n"/>
      <c r="E8069" s="57" t="n"/>
    </row>
    <row r="8070" ht="30" customHeight="1">
      <c r="A8070" s="62" t="inlineStr">
        <is>
          <t>Kết quả thực tế</t>
        </is>
      </c>
    </row>
    <row r="8071" ht="64" customHeight="1">
      <c r="A8071" s="63" t="inlineStr"/>
      <c r="B8071" s="64" t="n"/>
      <c r="C8071" s="64" t="n"/>
      <c r="D8071" s="64" t="n"/>
      <c r="E8071" s="65" t="n"/>
    </row>
    <row r="8072" ht="30" customHeight="1">
      <c r="A8072" s="62" t="inlineStr">
        <is>
          <t>Ảnh minh chứng</t>
        </is>
      </c>
    </row>
    <row r="8073" ht="90" customHeight="1">
      <c r="A8073" s="63" t="inlineStr"/>
      <c r="B8073" s="64" t="n"/>
      <c r="C8073" s="64" t="n"/>
      <c r="D8073" s="64" t="n"/>
      <c r="E8073" s="65" t="n"/>
    </row>
    <row r="8074" ht="12" customHeight="1">
      <c r="A8074" s="66" t="inlineStr"/>
    </row>
    <row r="8075" ht="30" customHeight="1">
      <c r="A8075" s="60" t="inlineStr">
        <is>
          <t>TC-RS-ERR-002 / csv-delete-result-write-failure</t>
        </is>
      </c>
      <c r="B8075" s="36" t="n"/>
      <c r="C8075" s="36" t="n"/>
      <c r="D8075" s="36" t="n"/>
      <c r="E8075" s="36" t="n"/>
    </row>
    <row r="8076" ht="44" customHeight="1">
      <c r="A8076" s="47" t="inlineStr">
        <is>
          <t>Dữ liệu biến thể</t>
        </is>
      </c>
      <c r="B8076" s="56" t="inlineStr">
        <is>
          <t>Nhánh csv-delete-result-write-failure trong thủ tục và Expected của case; thực hiện các bước chuẩn bị chung trước nhánh</t>
        </is>
      </c>
      <c r="C8076" s="57" t="n"/>
      <c r="D8076" s="57" t="n"/>
      <c r="E8076" s="57" t="n"/>
    </row>
    <row r="8077" ht="30" customHeight="1">
      <c r="A8077" s="47" t="inlineStr">
        <is>
          <t>Trạng thái</t>
        </is>
      </c>
      <c r="B8077" s="61" t="inlineStr">
        <is>
          <t>Chưa thực hiện</t>
        </is>
      </c>
      <c r="C8077" s="57" t="n"/>
      <c r="D8077" s="57" t="n"/>
      <c r="E8077" s="57" t="n"/>
    </row>
    <row r="8078" ht="30" customHeight="1">
      <c r="A8078" s="62" t="inlineStr">
        <is>
          <t>Kết quả thực tế</t>
        </is>
      </c>
    </row>
    <row r="8079" ht="64" customHeight="1">
      <c r="A8079" s="63" t="inlineStr"/>
      <c r="B8079" s="64" t="n"/>
      <c r="C8079" s="64" t="n"/>
      <c r="D8079" s="64" t="n"/>
      <c r="E8079" s="65" t="n"/>
    </row>
    <row r="8080" ht="30" customHeight="1">
      <c r="A8080" s="62" t="inlineStr">
        <is>
          <t>Ảnh minh chứng</t>
        </is>
      </c>
    </row>
    <row r="8081" ht="90" customHeight="1">
      <c r="A8081" s="63" t="inlineStr"/>
      <c r="B8081" s="64" t="n"/>
      <c r="C8081" s="64" t="n"/>
      <c r="D8081" s="64" t="n"/>
      <c r="E8081" s="65" t="n"/>
    </row>
    <row r="8082" ht="12" customHeight="1">
      <c r="A8082" s="66" t="inlineStr"/>
    </row>
    <row r="8083" ht="30" customHeight="1">
      <c r="A8083" s="60" t="inlineStr">
        <is>
          <t>TC-RS-ERR-002 / linked-delete-result-write-failure</t>
        </is>
      </c>
      <c r="B8083" s="36" t="n"/>
      <c r="C8083" s="36" t="n"/>
      <c r="D8083" s="36" t="n"/>
      <c r="E8083" s="36" t="n"/>
    </row>
    <row r="8084" ht="44" customHeight="1">
      <c r="A8084" s="47" t="inlineStr">
        <is>
          <t>Dữ liệu biến thể</t>
        </is>
      </c>
      <c r="B8084" s="56" t="inlineStr">
        <is>
          <t>Nhánh linked-delete-result-write-failure trong thủ tục và Expected của case; thực hiện các bước chuẩn bị chung trước nhánh</t>
        </is>
      </c>
      <c r="C8084" s="57" t="n"/>
      <c r="D8084" s="57" t="n"/>
      <c r="E8084" s="57" t="n"/>
    </row>
    <row r="8085" ht="30" customHeight="1">
      <c r="A8085" s="47" t="inlineStr">
        <is>
          <t>Trạng thái</t>
        </is>
      </c>
      <c r="B8085" s="61" t="inlineStr">
        <is>
          <t>Chưa thực hiện</t>
        </is>
      </c>
      <c r="C8085" s="57" t="n"/>
      <c r="D8085" s="57" t="n"/>
      <c r="E8085" s="57" t="n"/>
    </row>
    <row r="8086" ht="30" customHeight="1">
      <c r="A8086" s="62" t="inlineStr">
        <is>
          <t>Kết quả thực tế</t>
        </is>
      </c>
    </row>
    <row r="8087" ht="64" customHeight="1">
      <c r="A8087" s="63" t="inlineStr"/>
      <c r="B8087" s="64" t="n"/>
      <c r="C8087" s="64" t="n"/>
      <c r="D8087" s="64" t="n"/>
      <c r="E8087" s="65" t="n"/>
    </row>
    <row r="8088" ht="30" customHeight="1">
      <c r="A8088" s="62" t="inlineStr">
        <is>
          <t>Ảnh minh chứng</t>
        </is>
      </c>
    </row>
    <row r="8089" ht="90" customHeight="1">
      <c r="A8089" s="63" t="inlineStr"/>
      <c r="B8089" s="64" t="n"/>
      <c r="C8089" s="64" t="n"/>
      <c r="D8089" s="64" t="n"/>
      <c r="E8089" s="65" t="n"/>
    </row>
    <row r="8090" ht="12" customHeight="1">
      <c r="A8090" s="66" t="inlineStr"/>
    </row>
    <row r="8091" ht="30" customHeight="1">
      <c r="A8091" s="60" t="inlineStr">
        <is>
          <t>TC-RS-ERR-002 / direct-edit-save-failure</t>
        </is>
      </c>
      <c r="B8091" s="36" t="n"/>
      <c r="C8091" s="36" t="n"/>
      <c r="D8091" s="36" t="n"/>
      <c r="E8091" s="36" t="n"/>
    </row>
    <row r="8092" ht="44" customHeight="1">
      <c r="A8092" s="47" t="inlineStr">
        <is>
          <t>Dữ liệu biến thể</t>
        </is>
      </c>
      <c r="B8092" s="56" t="inlineStr">
        <is>
          <t>Nhánh direct-edit-save-failure trong thủ tục và Expected của case; thực hiện các bước chuẩn bị chung trước nhánh</t>
        </is>
      </c>
      <c r="C8092" s="57" t="n"/>
      <c r="D8092" s="57" t="n"/>
      <c r="E8092" s="57" t="n"/>
    </row>
    <row r="8093" ht="30" customHeight="1">
      <c r="A8093" s="47" t="inlineStr">
        <is>
          <t>Trạng thái</t>
        </is>
      </c>
      <c r="B8093" s="61" t="inlineStr">
        <is>
          <t>Chưa thực hiện</t>
        </is>
      </c>
      <c r="C8093" s="57" t="n"/>
      <c r="D8093" s="57" t="n"/>
      <c r="E8093" s="57" t="n"/>
    </row>
    <row r="8094" ht="30" customHeight="1">
      <c r="A8094" s="62" t="inlineStr">
        <is>
          <t>Kết quả thực tế</t>
        </is>
      </c>
    </row>
    <row r="8095" ht="64" customHeight="1">
      <c r="A8095" s="63" t="inlineStr"/>
      <c r="B8095" s="64" t="n"/>
      <c r="C8095" s="64" t="n"/>
      <c r="D8095" s="64" t="n"/>
      <c r="E8095" s="65" t="n"/>
    </row>
    <row r="8096" ht="30" customHeight="1">
      <c r="A8096" s="62" t="inlineStr">
        <is>
          <t>Ảnh minh chứng</t>
        </is>
      </c>
    </row>
    <row r="8097" ht="90" customHeight="1">
      <c r="A8097" s="63" t="inlineStr"/>
      <c r="B8097" s="64" t="n"/>
      <c r="C8097" s="64" t="n"/>
      <c r="D8097" s="64" t="n"/>
      <c r="E8097" s="65" t="n"/>
    </row>
    <row r="8098" ht="12" customHeight="1">
      <c r="A8098" s="66" t="inlineStr"/>
    </row>
    <row r="8099" ht="30" customHeight="1">
      <c r="A8099" s="60" t="inlineStr">
        <is>
          <t>TC-RS-ERR-002 / csv-edit-save-failure</t>
        </is>
      </c>
      <c r="B8099" s="36" t="n"/>
      <c r="C8099" s="36" t="n"/>
      <c r="D8099" s="36" t="n"/>
      <c r="E8099" s="36" t="n"/>
    </row>
    <row r="8100" ht="44" customHeight="1">
      <c r="A8100" s="47" t="inlineStr">
        <is>
          <t>Dữ liệu biến thể</t>
        </is>
      </c>
      <c r="B8100" s="56" t="inlineStr">
        <is>
          <t>Nhánh csv-edit-save-failure trong thủ tục và Expected của case; thực hiện các bước chuẩn bị chung trước nhánh</t>
        </is>
      </c>
      <c r="C8100" s="57" t="n"/>
      <c r="D8100" s="57" t="n"/>
      <c r="E8100" s="57" t="n"/>
    </row>
    <row r="8101" ht="30" customHeight="1">
      <c r="A8101" s="47" t="inlineStr">
        <is>
          <t>Trạng thái</t>
        </is>
      </c>
      <c r="B8101" s="61" t="inlineStr">
        <is>
          <t>Chưa thực hiện</t>
        </is>
      </c>
      <c r="C8101" s="57" t="n"/>
      <c r="D8101" s="57" t="n"/>
      <c r="E8101" s="57" t="n"/>
    </row>
    <row r="8102" ht="30" customHeight="1">
      <c r="A8102" s="62" t="inlineStr">
        <is>
          <t>Kết quả thực tế</t>
        </is>
      </c>
    </row>
    <row r="8103" ht="64" customHeight="1">
      <c r="A8103" s="63" t="inlineStr"/>
      <c r="B8103" s="64" t="n"/>
      <c r="C8103" s="64" t="n"/>
      <c r="D8103" s="64" t="n"/>
      <c r="E8103" s="65" t="n"/>
    </row>
    <row r="8104" ht="30" customHeight="1">
      <c r="A8104" s="62" t="inlineStr">
        <is>
          <t>Ảnh minh chứng</t>
        </is>
      </c>
    </row>
    <row r="8105" ht="90" customHeight="1">
      <c r="A8105" s="63" t="inlineStr"/>
      <c r="B8105" s="64" t="n"/>
      <c r="C8105" s="64" t="n"/>
      <c r="D8105" s="64" t="n"/>
      <c r="E8105" s="65" t="n"/>
    </row>
    <row r="8106" ht="12" customHeight="1">
      <c r="A8106" s="66" t="inlineStr"/>
    </row>
    <row r="8107" ht="30" customHeight="1">
      <c r="A8107" s="60" t="inlineStr">
        <is>
          <t>TC-RS-ERR-002 / linked-edit-save-failure</t>
        </is>
      </c>
      <c r="B8107" s="36" t="n"/>
      <c r="C8107" s="36" t="n"/>
      <c r="D8107" s="36" t="n"/>
      <c r="E8107" s="36" t="n"/>
    </row>
    <row r="8108" ht="44" customHeight="1">
      <c r="A8108" s="47" t="inlineStr">
        <is>
          <t>Dữ liệu biến thể</t>
        </is>
      </c>
      <c r="B8108" s="56" t="inlineStr">
        <is>
          <t>Nhánh linked-edit-save-failure trong thủ tục và Expected của case; thực hiện các bước chuẩn bị chung trước nhánh</t>
        </is>
      </c>
      <c r="C8108" s="57" t="n"/>
      <c r="D8108" s="57" t="n"/>
      <c r="E8108" s="57" t="n"/>
    </row>
    <row r="8109" ht="30" customHeight="1">
      <c r="A8109" s="47" t="inlineStr">
        <is>
          <t>Trạng thái</t>
        </is>
      </c>
      <c r="B8109" s="61" t="inlineStr">
        <is>
          <t>Chưa thực hiện</t>
        </is>
      </c>
      <c r="C8109" s="57" t="n"/>
      <c r="D8109" s="57" t="n"/>
      <c r="E8109" s="57" t="n"/>
    </row>
    <row r="8110" ht="30" customHeight="1">
      <c r="A8110" s="62" t="inlineStr">
        <is>
          <t>Kết quả thực tế</t>
        </is>
      </c>
    </row>
    <row r="8111" ht="64" customHeight="1">
      <c r="A8111" s="63" t="inlineStr"/>
      <c r="B8111" s="64" t="n"/>
      <c r="C8111" s="64" t="n"/>
      <c r="D8111" s="64" t="n"/>
      <c r="E8111" s="65" t="n"/>
    </row>
    <row r="8112" ht="30" customHeight="1">
      <c r="A8112" s="62" t="inlineStr">
        <is>
          <t>Ảnh minh chứng</t>
        </is>
      </c>
    </row>
    <row r="8113" ht="90" customHeight="1">
      <c r="A8113" s="63" t="inlineStr"/>
      <c r="B8113" s="64" t="n"/>
      <c r="C8113" s="64" t="n"/>
      <c r="D8113" s="64" t="n"/>
      <c r="E8113" s="65" t="n"/>
    </row>
    <row r="8114" ht="12" customHeight="1">
      <c r="A8114" s="66" t="inlineStr"/>
    </row>
    <row r="8115" ht="30" customHeight="1">
      <c r="A8115" s="60" t="inlineStr">
        <is>
          <t>TC-RS-ERR-002 / direct-edit-result-write-failure</t>
        </is>
      </c>
      <c r="B8115" s="36" t="n"/>
      <c r="C8115" s="36" t="n"/>
      <c r="D8115" s="36" t="n"/>
      <c r="E8115" s="36" t="n"/>
    </row>
    <row r="8116" ht="44" customHeight="1">
      <c r="A8116" s="47" t="inlineStr">
        <is>
          <t>Dữ liệu biến thể</t>
        </is>
      </c>
      <c r="B8116" s="56" t="inlineStr">
        <is>
          <t>Nhánh direct-edit-result-write-failure trong thủ tục và Expected của case; thực hiện các bước chuẩn bị chung trước nhánh</t>
        </is>
      </c>
      <c r="C8116" s="57" t="n"/>
      <c r="D8116" s="57" t="n"/>
      <c r="E8116" s="57" t="n"/>
    </row>
    <row r="8117" ht="30" customHeight="1">
      <c r="A8117" s="47" t="inlineStr">
        <is>
          <t>Trạng thái</t>
        </is>
      </c>
      <c r="B8117" s="61" t="inlineStr">
        <is>
          <t>Chưa thực hiện</t>
        </is>
      </c>
      <c r="C8117" s="57" t="n"/>
      <c r="D8117" s="57" t="n"/>
      <c r="E8117" s="57" t="n"/>
    </row>
    <row r="8118" ht="30" customHeight="1">
      <c r="A8118" s="62" t="inlineStr">
        <is>
          <t>Kết quả thực tế</t>
        </is>
      </c>
    </row>
    <row r="8119" ht="64" customHeight="1">
      <c r="A8119" s="63" t="inlineStr"/>
      <c r="B8119" s="64" t="n"/>
      <c r="C8119" s="64" t="n"/>
      <c r="D8119" s="64" t="n"/>
      <c r="E8119" s="65" t="n"/>
    </row>
    <row r="8120" ht="30" customHeight="1">
      <c r="A8120" s="62" t="inlineStr">
        <is>
          <t>Ảnh minh chứng</t>
        </is>
      </c>
    </row>
    <row r="8121" ht="90" customHeight="1">
      <c r="A8121" s="63" t="inlineStr"/>
      <c r="B8121" s="64" t="n"/>
      <c r="C8121" s="64" t="n"/>
      <c r="D8121" s="64" t="n"/>
      <c r="E8121" s="65" t="n"/>
    </row>
    <row r="8122" ht="12" customHeight="1">
      <c r="A8122" s="66" t="inlineStr"/>
    </row>
    <row r="8123" ht="30" customHeight="1">
      <c r="A8123" s="60" t="inlineStr">
        <is>
          <t>TC-RS-ERR-002 / csv-edit-result-write-failure</t>
        </is>
      </c>
      <c r="B8123" s="36" t="n"/>
      <c r="C8123" s="36" t="n"/>
      <c r="D8123" s="36" t="n"/>
      <c r="E8123" s="36" t="n"/>
    </row>
    <row r="8124" ht="44" customHeight="1">
      <c r="A8124" s="47" t="inlineStr">
        <is>
          <t>Dữ liệu biến thể</t>
        </is>
      </c>
      <c r="B8124" s="56" t="inlineStr">
        <is>
          <t>Nhánh csv-edit-result-write-failure trong thủ tục và Expected của case; thực hiện các bước chuẩn bị chung trước nhánh</t>
        </is>
      </c>
      <c r="C8124" s="57" t="n"/>
      <c r="D8124" s="57" t="n"/>
      <c r="E8124" s="57" t="n"/>
    </row>
    <row r="8125" ht="30" customHeight="1">
      <c r="A8125" s="47" t="inlineStr">
        <is>
          <t>Trạng thái</t>
        </is>
      </c>
      <c r="B8125" s="61" t="inlineStr">
        <is>
          <t>Chưa thực hiện</t>
        </is>
      </c>
      <c r="C8125" s="57" t="n"/>
      <c r="D8125" s="57" t="n"/>
      <c r="E8125" s="57" t="n"/>
    </row>
    <row r="8126" ht="30" customHeight="1">
      <c r="A8126" s="62" t="inlineStr">
        <is>
          <t>Kết quả thực tế</t>
        </is>
      </c>
    </row>
    <row r="8127" ht="64" customHeight="1">
      <c r="A8127" s="63" t="inlineStr"/>
      <c r="B8127" s="64" t="n"/>
      <c r="C8127" s="64" t="n"/>
      <c r="D8127" s="64" t="n"/>
      <c r="E8127" s="65" t="n"/>
    </row>
    <row r="8128" ht="30" customHeight="1">
      <c r="A8128" s="62" t="inlineStr">
        <is>
          <t>Ảnh minh chứng</t>
        </is>
      </c>
    </row>
    <row r="8129" ht="90" customHeight="1">
      <c r="A8129" s="63" t="inlineStr"/>
      <c r="B8129" s="64" t="n"/>
      <c r="C8129" s="64" t="n"/>
      <c r="D8129" s="64" t="n"/>
      <c r="E8129" s="65" t="n"/>
    </row>
    <row r="8130" ht="12" customHeight="1">
      <c r="A8130" s="66" t="inlineStr"/>
    </row>
    <row r="8131" ht="30" customHeight="1">
      <c r="A8131" s="60" t="inlineStr">
        <is>
          <t>TC-RS-ERR-002 / linked-edit-result-write-failure</t>
        </is>
      </c>
      <c r="B8131" s="36" t="n"/>
      <c r="C8131" s="36" t="n"/>
      <c r="D8131" s="36" t="n"/>
      <c r="E8131" s="36" t="n"/>
    </row>
    <row r="8132" ht="44" customHeight="1">
      <c r="A8132" s="47" t="inlineStr">
        <is>
          <t>Dữ liệu biến thể</t>
        </is>
      </c>
      <c r="B8132" s="56" t="inlineStr">
        <is>
          <t>Nhánh linked-edit-result-write-failure trong thủ tục và Expected của case; thực hiện các bước chuẩn bị chung trước nhánh</t>
        </is>
      </c>
      <c r="C8132" s="57" t="n"/>
      <c r="D8132" s="57" t="n"/>
      <c r="E8132" s="57" t="n"/>
    </row>
    <row r="8133" ht="30" customHeight="1">
      <c r="A8133" s="47" t="inlineStr">
        <is>
          <t>Trạng thái</t>
        </is>
      </c>
      <c r="B8133" s="61" t="inlineStr">
        <is>
          <t>Chưa thực hiện</t>
        </is>
      </c>
      <c r="C8133" s="57" t="n"/>
      <c r="D8133" s="57" t="n"/>
      <c r="E8133" s="57" t="n"/>
    </row>
    <row r="8134" ht="30" customHeight="1">
      <c r="A8134" s="62" t="inlineStr">
        <is>
          <t>Kết quả thực tế</t>
        </is>
      </c>
    </row>
    <row r="8135" ht="64" customHeight="1">
      <c r="A8135" s="63" t="inlineStr"/>
      <c r="B8135" s="64" t="n"/>
      <c r="C8135" s="64" t="n"/>
      <c r="D8135" s="64" t="n"/>
      <c r="E8135" s="65" t="n"/>
    </row>
    <row r="8136" ht="30" customHeight="1">
      <c r="A8136" s="62" t="inlineStr">
        <is>
          <t>Ảnh minh chứng</t>
        </is>
      </c>
    </row>
    <row r="8137" ht="90" customHeight="1">
      <c r="A8137" s="63" t="inlineStr"/>
      <c r="B8137" s="64" t="n"/>
      <c r="C8137" s="64" t="n"/>
      <c r="D8137" s="64" t="n"/>
      <c r="E8137" s="65" t="n"/>
    </row>
    <row r="8138" ht="12" customHeight="1">
      <c r="A8138" s="66" t="inlineStr"/>
    </row>
    <row r="8139" ht="20" customHeight="1">
      <c r="A8139" s="66" t="inlineStr"/>
    </row>
    <row r="8140" ht="30" customHeight="1">
      <c r="A8140" s="46" t="inlineStr">
        <is>
          <t>TC-RS-ERR-003 — Batch hoàn tất một phần: báo đúng phạm vi đã/không cập nhật</t>
        </is>
      </c>
      <c r="B8140" s="23" t="n"/>
      <c r="C8140" s="23" t="n"/>
      <c r="D8140" s="23" t="n"/>
      <c r="E8140" s="23" t="n"/>
    </row>
    <row r="8141" ht="30" customHeight="1">
      <c r="A8141" s="47" t="inlineStr">
        <is>
          <t>Trạng thái</t>
        </is>
      </c>
      <c r="B8141" s="56">
        <f>IF(0&gt;0,"Không đạt",IF(0=3,"Đạt",IF(SUMPRODUCT(--EXACT('Testcases'!B8165:B8181,"Không thực hiện"))=3,"Không thực hiện",IF(SUMPRODUCT(--EXACT('Testcases'!B8165:B8181,"Bị chặn"))&gt;0,"Bị chặn",IF(SUMPRODUCT(--EXACT('Testcases'!B8165:B8181,"Chưa thực hiện"))=3,"Chưa thực hiện","Chưa đủ kết luận")))))</f>
        <v/>
      </c>
      <c r="C8141" s="57" t="n"/>
      <c r="D8141" s="57" t="n"/>
      <c r="E8141" s="57" t="n"/>
    </row>
    <row r="8142" ht="30" customHeight="1">
      <c r="A8142" s="47" t="inlineStr">
        <is>
          <t>Màn hình / chức năng</t>
        </is>
      </c>
      <c r="B8142" s="47" t="inlineStr">
        <is>
          <t>Lỗi và cập nhật kết quả</t>
        </is>
      </c>
      <c r="C8142" s="57" t="n"/>
      <c r="D8142" s="47" t="inlineStr">
        <is>
          <t>Đường dẫn</t>
        </is>
      </c>
      <c r="E8142" s="56" t="inlineStr">
        <is>
          <t>Chưa xác minh</t>
        </is>
      </c>
    </row>
    <row r="8143" ht="30" customHeight="1">
      <c r="A8143" s="58" t="inlineStr">
        <is>
          <t>Điều kiện kiểm thử</t>
        </is>
      </c>
      <c r="B8143" s="59" t="n"/>
      <c r="C8143" s="59" t="n"/>
      <c r="D8143" s="59" t="n"/>
      <c r="E8143" s="59" t="n"/>
    </row>
    <row r="8144" ht="44" customHeight="1">
      <c r="A8144" s="47" t="inlineStr">
        <is>
          <t>Cấu hình</t>
        </is>
      </c>
      <c r="B8144" s="56" t="inlineStr">
        <is>
          <t>• Batch dùng [TD-GRP-03]: BATCH-GA1 và BATCH-GA2 cùng khối 1;
• Giả lập lỗi riêng ở BATCH-GA2.</t>
        </is>
      </c>
      <c r="C8144" s="57" t="n"/>
      <c r="D8144" s="57" t="n"/>
      <c r="E8144" s="57" t="n"/>
    </row>
    <row r="8145" ht="61" customHeight="1">
      <c r="A8145" s="47" t="inlineStr">
        <is>
          <t>Vai trò / quyền</t>
        </is>
      </c>
      <c r="B814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145" s="57" t="n"/>
      <c r="D8145" s="57" t="n"/>
      <c r="E8145" s="57" t="n"/>
    </row>
    <row r="8146" ht="61" customHeight="1">
      <c r="A8146" s="47" t="inlineStr">
        <is>
          <t>Dữ liệu test</t>
        </is>
      </c>
      <c r="B8146" s="56" t="inlineStr">
        <is>
          <t>• BATCH-S01 thuộc BATCH-GA1, BATCH-S02 thuộc BATCH-GA2, BATCH-S03 thuộc BATCH-GC ngoài batch;
• Mỗi học sinh có identity ô điểm fixture riêng. Không dùng S01/G-A hoặc lớp master làm bằng chứng nếu chưa chứng minh mapping.</t>
        </is>
      </c>
      <c r="C8146" s="57" t="n"/>
      <c r="D8146" s="57" t="n"/>
      <c r="E8146" s="57" t="n"/>
    </row>
    <row r="8147" ht="30" customHeight="1">
      <c r="A8147" s="47" t="inlineStr">
        <is>
          <t>Trigger</t>
        </is>
      </c>
      <c r="B8147" s="56" t="inlineStr">
        <is>
          <t>• Chỉ xem/xuất không tự chạy xét.</t>
        </is>
      </c>
      <c r="C8147" s="57" t="n"/>
      <c r="D8147" s="57" t="n"/>
      <c r="E8147" s="57" t="n"/>
    </row>
    <row r="8148" ht="61" customHeight="1">
      <c r="A8148" s="47" t="inlineStr">
        <is>
          <t>Blocker</t>
        </is>
      </c>
      <c r="B8148" s="56" t="inlineStr">
        <is>
          <t>• G-PREP-TC-RS-ERR-003: BLOCKED — TD-GRP-03, identity học sinh theo từng lớp và seam giả lập lỗi G-A2 chưa được provision/quan sát;
• Không suy ra kết quả batch từ dữ liệu master.</t>
        </is>
      </c>
      <c r="C8148" s="57" t="n"/>
      <c r="D8148" s="57" t="n"/>
      <c r="E8148" s="57" t="n"/>
    </row>
    <row r="8149" ht="30" customHeight="1">
      <c r="A8149" s="58" t="inlineStr">
        <is>
          <t>Thao tác</t>
        </is>
      </c>
      <c r="B8149" s="59" t="n"/>
      <c r="C8149" s="59" t="n"/>
      <c r="D8149" s="59" t="n"/>
      <c r="E8149" s="59" t="n"/>
    </row>
    <row r="8150" ht="30" customHeight="1">
      <c r="A8150" s="47" t="inlineStr">
        <is>
          <t>Step 1</t>
        </is>
      </c>
      <c r="B8150" s="56" t="inlineStr">
        <is>
          <t>Chạy nút cam cho khối.</t>
        </is>
      </c>
      <c r="C8150" s="57" t="n"/>
      <c r="D8150" s="57" t="n"/>
      <c r="E8150" s="57" t="n"/>
    </row>
    <row r="8151" ht="30" customHeight="1">
      <c r="A8151" s="47" t="inlineStr">
        <is>
          <t>Step 2</t>
        </is>
      </c>
      <c r="B8151" s="56" t="inlineStr">
        <is>
          <t>Xem thông báo và kết quả từng lớp.</t>
        </is>
      </c>
      <c r="C8151" s="57" t="n"/>
      <c r="D8151" s="57" t="n"/>
      <c r="E8151" s="57" t="n"/>
    </row>
    <row r="8152" ht="30" customHeight="1">
      <c r="A8152" s="47" t="inlineStr">
        <is>
          <t>Step 3</t>
        </is>
      </c>
      <c r="B8152" s="56" t="inlineStr">
        <is>
          <t>Gỡ giả lập lỗi, chạy lại nút cam chỉ cho phạm vi BATCH-GA2.</t>
        </is>
      </c>
      <c r="C8152" s="57" t="n"/>
      <c r="D8152" s="57" t="n"/>
      <c r="E8152" s="57" t="n"/>
    </row>
    <row r="8153" ht="30" customHeight="1">
      <c r="A8153" s="47" t="inlineStr">
        <is>
          <t>Step 4</t>
        </is>
      </c>
      <c r="B8153" s="56" t="inlineStr">
        <is>
          <t>Xem kết quả hai lớp.</t>
        </is>
      </c>
      <c r="C8153" s="57" t="n"/>
      <c r="D8153" s="57" t="n"/>
      <c r="E8153" s="57" t="n"/>
    </row>
    <row r="8154" ht="44" customHeight="1">
      <c r="A8154" s="47" t="inlineStr">
        <is>
          <t>Step 5</t>
        </is>
      </c>
      <c r="B8154" s="56" t="inlineStr">
        <is>
          <t>Chạy nút cam cho BATCH-GA1; khi chưa xong, giáo viên sửa và lưu điểm BATCH-S01. Chờ batch xong, xem thông báo/tiến độ và kết quả BATCH-S01.</t>
        </is>
      </c>
      <c r="C8154" s="57" t="n"/>
      <c r="D8154" s="57" t="n"/>
      <c r="E8154" s="57" t="n"/>
    </row>
    <row r="8155" ht="44" customHeight="1">
      <c r="A8155" s="47" t="inlineStr">
        <is>
          <t>Reset</t>
        </is>
      </c>
      <c r="B8155" s="56" t="inlineStr">
        <is>
          <t>Trước mỗi biến thể, dựng lại điều kiện/dữ liệu đầu của case bằng đường được phép; giữ các reset/fixture độc lập đã nêu trong thủ tục.</t>
        </is>
      </c>
      <c r="C8155" s="57" t="n"/>
      <c r="D8155" s="57" t="n"/>
      <c r="E8155" s="57" t="n"/>
    </row>
    <row r="8156" ht="30" customHeight="1">
      <c r="A8156" s="58" t="inlineStr">
        <is>
          <t>Kết quả mong đợi</t>
        </is>
      </c>
      <c r="B8156" s="59" t="n"/>
      <c r="C8156" s="59" t="n"/>
      <c r="D8156" s="59" t="n"/>
      <c r="E8156" s="59" t="n"/>
    </row>
    <row r="8157" ht="61" customHeight="1">
      <c r="A8157" s="47" t="inlineStr">
        <is>
          <t>•</t>
        </is>
      </c>
      <c r="B8157" s="56" t="inlineStr">
        <is>
          <t>1–2. G-A1 cập nhật; G-A2 giữ trạng thái trước lượt. Thông báo cho biết phạm vi đã cập nhật, chưa cập nhật và cần chạy lại; không báo hoàn tất toàn bộ; không suy số lớp đã xử lý thành số ô đã xét. Không hứa rollback toàn lượt. Không tự retry vô hạn. G-C ngoài batch không bị tính vào kết quả.</t>
        </is>
      </c>
      <c r="C8157" s="57" t="n"/>
      <c r="D8157" s="57" t="n"/>
      <c r="E8157" s="57" t="n"/>
    </row>
    <row r="8158" ht="44" customHeight="1">
      <c r="A8158" s="47" t="inlineStr">
        <is>
          <t>•</t>
        </is>
      </c>
      <c r="B8158" s="56" t="inlineStr">
        <is>
          <t>3–4. BATCH-GA2 được cập nhật; BATCH-GA1 giữ kết quả của bước 1, mỗi ô chỉ có một kết quả hiệu lực, không trùng.</t>
        </is>
      </c>
      <c r="C8158" s="57" t="n"/>
      <c r="D8158" s="57" t="n"/>
      <c r="E8158" s="57" t="n"/>
    </row>
    <row r="8159" ht="78" customHeight="1">
      <c r="A8159" s="47" t="inlineStr">
        <is>
          <t>5.</t>
        </is>
      </c>
      <c r="B8159" s="56" t="inlineStr">
        <is>
          <t>Phần của BATCH-S01 trong lượt batch (đã bị lần lưu mới thay thế) không được tính là cập nhật thành công, cũng không được tính là Chưa xét được; BATCH-S01 giữ kết quả của lần lưu mới. (PROPOSED theo thiết kế DB v2 mục 6.3 “Xóa/tạo lại, nguồn tham chiếu và lỗi”) Tiến độ ghi phần này là [superseded]; deadlock/timeout rollback toàn transaction đó và chỉ retry hữu hạn theo job hiện có.</t>
        </is>
      </c>
      <c r="C8159" s="57" t="n"/>
      <c r="D8159" s="57" t="n"/>
      <c r="E8159" s="57" t="n"/>
    </row>
    <row r="8160" ht="44" customHeight="1">
      <c r="A8160" s="47" t="inlineStr">
        <is>
          <t>Giữ nguyên</t>
        </is>
      </c>
      <c r="B8160" s="56" t="inlineStr">
        <is>
          <t>• Giữ điểm, cấu hình và đối tượng không đích theo expected;
• Chỉ thay phần thủ tục yêu cầu, không tự đổi oracle hoặc mở rộng phạm vi.</t>
        </is>
      </c>
      <c r="C8160" s="57" t="n"/>
      <c r="D8160" s="57" t="n"/>
      <c r="E8160" s="57" t="n"/>
    </row>
    <row r="8161" ht="61" customHeight="1">
      <c r="A8161" s="47" t="inlineStr">
        <is>
          <t>Quan sát tại</t>
        </is>
      </c>
      <c r="B8161" s="56" t="inlineStr">
        <is>
          <t>• Dùng trích xuất không lọc để thấy cả ô đối chứng. Trạng thái không có dấu đỏ cần đọc thêm trạng thái lưu;
• Output Excel/PDF dùng file thật.</t>
        </is>
      </c>
      <c r="C8161" s="57" t="n"/>
      <c r="D8161" s="57" t="n"/>
      <c r="E8161" s="57" t="n"/>
    </row>
    <row r="8162" ht="30" customHeight="1">
      <c r="A8162" s="58" t="inlineStr">
        <is>
          <t>Kết quả thực tế</t>
        </is>
      </c>
      <c r="B8162" s="59" t="n"/>
      <c r="C8162" s="59" t="n"/>
      <c r="D8162" s="59" t="n"/>
      <c r="E8162" s="59" t="n"/>
    </row>
    <row r="8163" ht="30" customHeight="1">
      <c r="A8163" s="60" t="inlineStr">
        <is>
          <t>TC-RS-ERR-003 / partial-G-A2-failure</t>
        </is>
      </c>
      <c r="B8163" s="36" t="n"/>
      <c r="C8163" s="36" t="n"/>
      <c r="D8163" s="36" t="n"/>
      <c r="E8163" s="36" t="n"/>
    </row>
    <row r="8164" ht="44" customHeight="1">
      <c r="A8164" s="47" t="inlineStr">
        <is>
          <t>Dữ liệu biến thể</t>
        </is>
      </c>
      <c r="B8164" s="56" t="inlineStr">
        <is>
          <t>Nhánh partial-G-A2-failure trong thủ tục và Expected của case; thực hiện các bước chuẩn bị chung trước nhánh</t>
        </is>
      </c>
      <c r="C8164" s="57" t="n"/>
      <c r="D8164" s="57" t="n"/>
      <c r="E8164" s="57" t="n"/>
    </row>
    <row r="8165" ht="30" customHeight="1">
      <c r="A8165" s="47" t="inlineStr">
        <is>
          <t>Trạng thái</t>
        </is>
      </c>
      <c r="B8165" s="61" t="inlineStr">
        <is>
          <t>Chưa thực hiện</t>
        </is>
      </c>
      <c r="C8165" s="57" t="n"/>
      <c r="D8165" s="57" t="n"/>
      <c r="E8165" s="57" t="n"/>
    </row>
    <row r="8166" ht="30" customHeight="1">
      <c r="A8166" s="62" t="inlineStr">
        <is>
          <t>Kết quả thực tế</t>
        </is>
      </c>
    </row>
    <row r="8167" ht="64" customHeight="1">
      <c r="A8167" s="63" t="inlineStr"/>
      <c r="B8167" s="64" t="n"/>
      <c r="C8167" s="64" t="n"/>
      <c r="D8167" s="64" t="n"/>
      <c r="E8167" s="65" t="n"/>
    </row>
    <row r="8168" ht="30" customHeight="1">
      <c r="A8168" s="62" t="inlineStr">
        <is>
          <t>Ảnh minh chứng</t>
        </is>
      </c>
    </row>
    <row r="8169" ht="90" customHeight="1">
      <c r="A8169" s="63" t="inlineStr"/>
      <c r="B8169" s="64" t="n"/>
      <c r="C8169" s="64" t="n"/>
      <c r="D8169" s="64" t="n"/>
      <c r="E8169" s="65" t="n"/>
    </row>
    <row r="8170" ht="12" customHeight="1">
      <c r="A8170" s="66" t="inlineStr"/>
    </row>
    <row r="8171" ht="30" customHeight="1">
      <c r="A8171" s="60" t="inlineStr">
        <is>
          <t>TC-RS-ERR-003 / retry-G-A2-only</t>
        </is>
      </c>
      <c r="B8171" s="36" t="n"/>
      <c r="C8171" s="36" t="n"/>
      <c r="D8171" s="36" t="n"/>
      <c r="E8171" s="36" t="n"/>
    </row>
    <row r="8172" ht="30" customHeight="1">
      <c r="A8172" s="47" t="inlineStr">
        <is>
          <t>Dữ liệu biến thể</t>
        </is>
      </c>
      <c r="B8172" s="56" t="inlineStr">
        <is>
          <t>Nhánh retry-G-A2-only trong thủ tục và Expected của case; thực hiện các bước chuẩn bị chung trước nhánh</t>
        </is>
      </c>
      <c r="C8172" s="57" t="n"/>
      <c r="D8172" s="57" t="n"/>
      <c r="E8172" s="57" t="n"/>
    </row>
    <row r="8173" ht="30" customHeight="1">
      <c r="A8173" s="47" t="inlineStr">
        <is>
          <t>Trạng thái</t>
        </is>
      </c>
      <c r="B8173" s="61" t="inlineStr">
        <is>
          <t>Chưa thực hiện</t>
        </is>
      </c>
      <c r="C8173" s="57" t="n"/>
      <c r="D8173" s="57" t="n"/>
      <c r="E8173" s="57" t="n"/>
    </row>
    <row r="8174" ht="30" customHeight="1">
      <c r="A8174" s="62" t="inlineStr">
        <is>
          <t>Kết quả thực tế</t>
        </is>
      </c>
    </row>
    <row r="8175" ht="64" customHeight="1">
      <c r="A8175" s="63" t="inlineStr"/>
      <c r="B8175" s="64" t="n"/>
      <c r="C8175" s="64" t="n"/>
      <c r="D8175" s="64" t="n"/>
      <c r="E8175" s="65" t="n"/>
    </row>
    <row r="8176" ht="30" customHeight="1">
      <c r="A8176" s="62" t="inlineStr">
        <is>
          <t>Ảnh minh chứng</t>
        </is>
      </c>
    </row>
    <row r="8177" ht="90" customHeight="1">
      <c r="A8177" s="63" t="inlineStr"/>
      <c r="B8177" s="64" t="n"/>
      <c r="C8177" s="64" t="n"/>
      <c r="D8177" s="64" t="n"/>
      <c r="E8177" s="65" t="n"/>
    </row>
    <row r="8178" ht="12" customHeight="1">
      <c r="A8178" s="66" t="inlineStr"/>
    </row>
    <row r="8179" ht="30" customHeight="1">
      <c r="A8179" s="60" t="inlineStr">
        <is>
          <t>TC-RS-ERR-003 / concurrent-score-write</t>
        </is>
      </c>
      <c r="B8179" s="36" t="n"/>
      <c r="C8179" s="36" t="n"/>
      <c r="D8179" s="36" t="n"/>
      <c r="E8179" s="36" t="n"/>
    </row>
    <row r="8180" ht="44" customHeight="1">
      <c r="A8180" s="47" t="inlineStr">
        <is>
          <t>Dữ liệu biến thể</t>
        </is>
      </c>
      <c r="B8180" s="56" t="inlineStr">
        <is>
          <t>Nhánh concurrent-score-write trong thủ tục và Expected của case; thực hiện các bước chuẩn bị chung trước nhánh</t>
        </is>
      </c>
      <c r="C8180" s="57" t="n"/>
      <c r="D8180" s="57" t="n"/>
      <c r="E8180" s="57" t="n"/>
    </row>
    <row r="8181" ht="30" customHeight="1">
      <c r="A8181" s="47" t="inlineStr">
        <is>
          <t>Trạng thái</t>
        </is>
      </c>
      <c r="B8181" s="61" t="inlineStr">
        <is>
          <t>Chưa thực hiện</t>
        </is>
      </c>
      <c r="C8181" s="57" t="n"/>
      <c r="D8181" s="57" t="n"/>
      <c r="E8181" s="57" t="n"/>
    </row>
    <row r="8182" ht="30" customHeight="1">
      <c r="A8182" s="62" t="inlineStr">
        <is>
          <t>Kết quả thực tế</t>
        </is>
      </c>
    </row>
    <row r="8183" ht="64" customHeight="1">
      <c r="A8183" s="63" t="inlineStr"/>
      <c r="B8183" s="64" t="n"/>
      <c r="C8183" s="64" t="n"/>
      <c r="D8183" s="64" t="n"/>
      <c r="E8183" s="65" t="n"/>
    </row>
    <row r="8184" ht="30" customHeight="1">
      <c r="A8184" s="62" t="inlineStr">
        <is>
          <t>Ảnh minh chứng</t>
        </is>
      </c>
    </row>
    <row r="8185" ht="90" customHeight="1">
      <c r="A8185" s="63" t="inlineStr"/>
      <c r="B8185" s="64" t="n"/>
      <c r="C8185" s="64" t="n"/>
      <c r="D8185" s="64" t="n"/>
      <c r="E8185" s="65" t="n"/>
    </row>
    <row r="8186" ht="12" customHeight="1">
      <c r="A8186" s="66" t="inlineStr"/>
    </row>
    <row r="8187" ht="20" customHeight="1">
      <c r="A8187" s="66" t="inlineStr"/>
    </row>
    <row r="8188" ht="30" customHeight="1">
      <c r="A8188" s="46" t="inlineStr">
        <is>
          <t>TC-RS-ERR-004 — Đã xếp hàng không phải đã hoàn tất; bấm chạy trùng</t>
        </is>
      </c>
      <c r="B8188" s="23" t="n"/>
      <c r="C8188" s="23" t="n"/>
      <c r="D8188" s="23" t="n"/>
      <c r="E8188" s="23" t="n"/>
    </row>
    <row r="8189" ht="30" customHeight="1">
      <c r="A8189" s="47" t="inlineStr">
        <is>
          <t>Trạng thái</t>
        </is>
      </c>
      <c r="B8189" s="61" t="inlineStr">
        <is>
          <t>Chưa thực hiện</t>
        </is>
      </c>
      <c r="C8189" s="57" t="n"/>
      <c r="D8189" s="57" t="n"/>
      <c r="E8189" s="57" t="n"/>
    </row>
    <row r="8190" ht="30" customHeight="1">
      <c r="A8190" s="47" t="inlineStr">
        <is>
          <t>Màn hình / chức năng</t>
        </is>
      </c>
      <c r="B8190" s="47" t="inlineStr">
        <is>
          <t>Lỗi và cập nhật kết quả</t>
        </is>
      </c>
      <c r="C8190" s="57" t="n"/>
      <c r="D8190" s="47" t="inlineStr">
        <is>
          <t>Đường dẫn</t>
        </is>
      </c>
      <c r="E8190" s="56" t="inlineStr">
        <is>
          <t>Chưa xác minh</t>
        </is>
      </c>
    </row>
    <row r="8191" ht="30" customHeight="1">
      <c r="A8191" s="58" t="inlineStr">
        <is>
          <t>Điều kiện kiểm thử</t>
        </is>
      </c>
      <c r="B8191" s="59" t="n"/>
      <c r="C8191" s="59" t="n"/>
      <c r="D8191" s="59" t="n"/>
      <c r="E8191" s="59" t="n"/>
    </row>
    <row r="8192" ht="30" customHeight="1">
      <c r="A8192" s="47" t="inlineStr">
        <is>
          <t>Cấu hình</t>
        </is>
      </c>
      <c r="B8192" s="56" t="inlineStr">
        <is>
          <t>• Tài khoản có quyền chạy hàng loạt. Đã đổi ngưỡng, chưa chạy lại.</t>
        </is>
      </c>
      <c r="C8192" s="57" t="n"/>
      <c r="D8192" s="57" t="n"/>
      <c r="E8192" s="57" t="n"/>
    </row>
    <row r="8193" ht="61" customHeight="1">
      <c r="A8193" s="47" t="inlineStr">
        <is>
          <t>Vai trò / quyền</t>
        </is>
      </c>
      <c r="B819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193" s="57" t="n"/>
      <c r="D8193" s="57" t="n"/>
      <c r="E8193" s="57" t="n"/>
    </row>
    <row r="8194" ht="30" customHeight="1">
      <c r="A8194" s="47" t="inlineStr">
        <is>
          <t>Dữ liệu test</t>
        </is>
      </c>
      <c r="B8194" s="56" t="inlineStr">
        <is>
          <t>• Quy tắc “Cố định 30” (dưới 30)</t>
        </is>
      </c>
      <c r="C8194" s="57" t="n"/>
      <c r="D8194" s="57" t="n"/>
      <c r="E8194" s="57" t="n"/>
    </row>
    <row r="8195" ht="30" customHeight="1">
      <c r="A8195" s="47" t="inlineStr">
        <is>
          <t>Trigger</t>
        </is>
      </c>
      <c r="B8195" s="56" t="inlineStr">
        <is>
          <t>• Chỉ xem/xuất không tự chạy xét.</t>
        </is>
      </c>
      <c r="C8195" s="57" t="n"/>
      <c r="D8195" s="57" t="n"/>
      <c r="E8195" s="57" t="n"/>
    </row>
    <row r="8196" ht="44" customHeight="1">
      <c r="A8196" s="47" t="inlineStr">
        <is>
          <t>Blocker</t>
        </is>
      </c>
      <c r="B8196" s="56" t="inlineStr">
        <is>
          <t>• G-PREP-UNASSESSED: Chưa có xác minh fixture, đường thực hiện và phép quan sát trên build của từng case chưa đánh giá.</t>
        </is>
      </c>
      <c r="C8196" s="57" t="n"/>
      <c r="D8196" s="57" t="n"/>
      <c r="E8196" s="57" t="n"/>
    </row>
    <row r="8197" ht="30" customHeight="1">
      <c r="A8197" s="58" t="inlineStr">
        <is>
          <t>Thao tác</t>
        </is>
      </c>
      <c r="B8197" s="59" t="n"/>
      <c r="C8197" s="59" t="n"/>
      <c r="D8197" s="59" t="n"/>
      <c r="E8197" s="59" t="n"/>
    </row>
    <row r="8198" ht="30" customHeight="1">
      <c r="A8198" s="47" t="inlineStr">
        <is>
          <t>Step 1</t>
        </is>
      </c>
      <c r="B8198" s="56" t="inlineStr">
        <is>
          <t>Bấm Thực hiện tính toán tự động（自動算出実行）, đọc thông báo ngay khi request trả về.</t>
        </is>
      </c>
      <c r="C8198" s="57" t="n"/>
      <c r="D8198" s="57" t="n"/>
      <c r="E8198" s="57" t="n"/>
    </row>
    <row r="8199" ht="30" customHeight="1">
      <c r="A8199" s="47" t="inlineStr">
        <is>
          <t>Step 2</t>
        </is>
      </c>
      <c r="B8199" s="56" t="inlineStr">
        <is>
          <t>Bấm lại lần nữa khi lượt đầu chưa xong.</t>
        </is>
      </c>
      <c r="C8199" s="57" t="n"/>
      <c r="D8199" s="57" t="n"/>
      <c r="E8199" s="57" t="n"/>
    </row>
    <row r="8200" ht="30" customHeight="1">
      <c r="A8200" s="47" t="inlineStr">
        <is>
          <t>Step 3</t>
        </is>
      </c>
      <c r="B8200" s="56" t="inlineStr">
        <is>
          <t>Sau khi xong, xem kết quả.</t>
        </is>
      </c>
      <c r="C8200" s="57" t="n"/>
      <c r="D8200" s="57" t="n"/>
      <c r="E8200" s="57" t="n"/>
    </row>
    <row r="8201" ht="44" customHeight="1">
      <c r="A8201" s="47" t="inlineStr">
        <is>
          <t>Reset</t>
        </is>
      </c>
      <c r="B8201" s="56" t="inlineStr">
        <is>
          <t>Trước mỗi biến thể, dựng lại điều kiện/dữ liệu đầu của case bằng đường được phép; giữ các reset/fixture độc lập đã nêu trong thủ tục.</t>
        </is>
      </c>
      <c r="C8201" s="57" t="n"/>
      <c r="D8201" s="57" t="n"/>
      <c r="E8201" s="57" t="n"/>
    </row>
    <row r="8202" ht="30" customHeight="1">
      <c r="A8202" s="58" t="inlineStr">
        <is>
          <t>Kết quả mong đợi</t>
        </is>
      </c>
      <c r="B8202" s="59" t="n"/>
      <c r="C8202" s="59" t="n"/>
      <c r="D8202" s="59" t="n"/>
      <c r="E8202" s="59" t="n"/>
    </row>
    <row r="8203" ht="44" customHeight="1">
      <c r="A8203" s="47" t="inlineStr">
        <is>
          <t>1.</t>
        </is>
      </c>
      <c r="B8203" s="56" t="inlineStr">
        <is>
          <t>Nếu xử lý chạy nền: thông báo là đã nhận/xếp hàng, không phải đã hoàn tất; kết quả chưa đổi cho tới khi xử lý xong.</t>
        </is>
      </c>
      <c r="C8203" s="57" t="n"/>
      <c r="D8203" s="57" t="n"/>
      <c r="E8203" s="57" t="n"/>
    </row>
    <row r="8204" ht="30" customHeight="1">
      <c r="A8204" s="47" t="inlineStr">
        <is>
          <t>2.</t>
        </is>
      </c>
      <c r="B8204" s="56" t="inlineStr">
        <is>
          <t>Chống trùng theo cơ chế hiện có (không tạo hai lượt ghi chồng gây kết quả sai).</t>
        </is>
      </c>
      <c r="C8204" s="57" t="n"/>
      <c r="D8204" s="57" t="n"/>
      <c r="E8204" s="57" t="n"/>
    </row>
    <row r="8205" ht="30" customHeight="1">
      <c r="A8205" s="47" t="inlineStr">
        <is>
          <t>3.</t>
        </is>
      </c>
      <c r="B8205" s="56" t="inlineStr">
        <is>
          <t>Một kết quả hiện hành cho mỗi ô, đúng theo ngưỡng mới.</t>
        </is>
      </c>
      <c r="C8205" s="57" t="n"/>
      <c r="D8205" s="57" t="n"/>
      <c r="E8205" s="57" t="n"/>
    </row>
    <row r="8206" ht="44" customHeight="1">
      <c r="A8206" s="47" t="inlineStr">
        <is>
          <t>Giữ nguyên</t>
        </is>
      </c>
      <c r="B8206" s="56" t="inlineStr">
        <is>
          <t>• Giữ điểm, cấu hình và đối tượng không đích theo expected;
• Chỉ thay phần thủ tục yêu cầu, không tự đổi oracle hoặc mở rộng phạm vi.</t>
        </is>
      </c>
      <c r="C8206" s="57" t="n"/>
      <c r="D8206" s="57" t="n"/>
      <c r="E8206" s="57" t="n"/>
    </row>
    <row r="8207" ht="61" customHeight="1">
      <c r="A8207" s="47" t="inlineStr">
        <is>
          <t>Quan sát tại</t>
        </is>
      </c>
      <c r="B8207" s="56" t="inlineStr">
        <is>
          <t>• Dùng trích xuất không lọc để thấy cả ô đối chứng. Trạng thái không có dấu đỏ cần đọc thêm trạng thái lưu;
• Output Excel/PDF dùng file thật.</t>
        </is>
      </c>
      <c r="C8207" s="57" t="n"/>
      <c r="D8207" s="57" t="n"/>
      <c r="E8207" s="57" t="n"/>
    </row>
    <row r="8208" ht="30" customHeight="1">
      <c r="A8208" s="58" t="inlineStr">
        <is>
          <t>Kết quả thực tế</t>
        </is>
      </c>
      <c r="B8208" s="59" t="n"/>
      <c r="C8208" s="59" t="n"/>
      <c r="D8208" s="59" t="n"/>
      <c r="E8208" s="59" t="n"/>
    </row>
    <row r="8209" ht="30" customHeight="1">
      <c r="A8209" s="47" t="inlineStr">
        <is>
          <t>Dữ liệu biến thể</t>
        </is>
      </c>
      <c r="B8209" s="56" t="inlineStr">
        <is>
          <t>Toàn bộ thủ tục theo đúng thứ tự; các đối chứng cùng fixture được kiểm trong cùng lượt, không bỏ bước</t>
        </is>
      </c>
      <c r="C8209" s="57" t="n"/>
      <c r="D8209" s="57" t="n"/>
      <c r="E8209" s="57" t="n"/>
    </row>
    <row r="8210" ht="30" customHeight="1">
      <c r="A8210" s="62" t="inlineStr">
        <is>
          <t>Kết quả thực tế</t>
        </is>
      </c>
    </row>
    <row r="8211" ht="64" customHeight="1">
      <c r="A8211" s="63" t="inlineStr"/>
      <c r="B8211" s="64" t="n"/>
      <c r="C8211" s="64" t="n"/>
      <c r="D8211" s="64" t="n"/>
      <c r="E8211" s="65" t="n"/>
    </row>
    <row r="8212" ht="30" customHeight="1">
      <c r="A8212" s="62" t="inlineStr">
        <is>
          <t>Ảnh minh chứng</t>
        </is>
      </c>
    </row>
    <row r="8213" ht="90" customHeight="1">
      <c r="A8213" s="63" t="inlineStr"/>
      <c r="B8213" s="64" t="n"/>
      <c r="C8213" s="64" t="n"/>
      <c r="D8213" s="64" t="n"/>
      <c r="E8213" s="65" t="n"/>
    </row>
    <row r="8214" ht="12" customHeight="1">
      <c r="A8214" s="66" t="inlineStr"/>
    </row>
    <row r="8215" ht="20" customHeight="1">
      <c r="A8215" s="66" t="inlineStr"/>
    </row>
    <row r="8216" ht="30" customHeight="1">
      <c r="A8216" s="46" t="inlineStr">
        <is>
          <t>TC-RS-ERR-005 — Thông báo lỗi không lộ SQL, stack trace hoặc dữ liệu ngoài quyền</t>
        </is>
      </c>
      <c r="B8216" s="23" t="n"/>
      <c r="C8216" s="23" t="n"/>
      <c r="D8216" s="23" t="n"/>
      <c r="E8216" s="23" t="n"/>
    </row>
    <row r="8217" ht="30" customHeight="1">
      <c r="A8217" s="47" t="inlineStr">
        <is>
          <t>Trạng thái</t>
        </is>
      </c>
      <c r="B8217" s="56">
        <f>IF(0&gt;0,"Không đạt",IF(0=4,"Đạt",IF(SUMPRODUCT(--EXACT('Testcases'!B8235:B8259,"Không thực hiện"))=4,"Không thực hiện",IF(SUMPRODUCT(--EXACT('Testcases'!B8235:B8259,"Bị chặn"))&gt;0,"Bị chặn",IF(SUMPRODUCT(--EXACT('Testcases'!B8235:B8259,"Chưa thực hiện"))=4,"Chưa thực hiện","Chưa đủ kết luận")))))</f>
        <v/>
      </c>
      <c r="C8217" s="57" t="n"/>
      <c r="D8217" s="57" t="n"/>
      <c r="E8217" s="57" t="n"/>
    </row>
    <row r="8218" ht="30" customHeight="1">
      <c r="A8218" s="47" t="inlineStr">
        <is>
          <t>Màn hình / chức năng</t>
        </is>
      </c>
      <c r="B8218" s="47" t="inlineStr">
        <is>
          <t>Lỗi và cập nhật kết quả</t>
        </is>
      </c>
      <c r="C8218" s="57" t="n"/>
      <c r="D8218" s="47" t="inlineStr">
        <is>
          <t>Đường dẫn</t>
        </is>
      </c>
      <c r="E8218" s="56" t="inlineStr">
        <is>
          <t>Chưa xác minh</t>
        </is>
      </c>
    </row>
    <row r="8219" ht="30" customHeight="1">
      <c r="A8219" s="58" t="inlineStr">
        <is>
          <t>Điều kiện kiểm thử</t>
        </is>
      </c>
      <c r="B8219" s="59" t="n"/>
      <c r="C8219" s="59" t="n"/>
      <c r="D8219" s="59" t="n"/>
      <c r="E8219" s="59" t="n"/>
    </row>
    <row r="8220" ht="30" customHeight="1">
      <c r="A8220" s="47" t="inlineStr">
        <is>
          <t>Cấu hình</t>
        </is>
      </c>
      <c r="B8220" s="56" t="inlineStr">
        <is>
          <t>• Các tình huống lỗi của ERR-002, ERR-003, ERR-006, ERR-009.</t>
        </is>
      </c>
      <c r="C8220" s="57" t="n"/>
      <c r="D8220" s="57" t="n"/>
      <c r="E8220" s="57" t="n"/>
    </row>
    <row r="8221" ht="61" customHeight="1">
      <c r="A8221" s="47" t="inlineStr">
        <is>
          <t>Vai trò / quyền</t>
        </is>
      </c>
      <c r="B822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221" s="57" t="n"/>
      <c r="D8221" s="57" t="n"/>
      <c r="E8221" s="57" t="n"/>
    </row>
    <row r="8222" ht="30" customHeight="1">
      <c r="A8222" s="47" t="inlineStr">
        <is>
          <t>Dữ liệu test</t>
        </is>
      </c>
      <c r="B8222" s="56" t="inlineStr">
        <is>
          <t>• —</t>
        </is>
      </c>
      <c r="C8222" s="57" t="n"/>
      <c r="D8222" s="57" t="n"/>
      <c r="E8222" s="57" t="n"/>
    </row>
    <row r="8223" ht="30" customHeight="1">
      <c r="A8223" s="47" t="inlineStr">
        <is>
          <t>Trigger</t>
        </is>
      </c>
      <c r="B8223" s="56" t="inlineStr">
        <is>
          <t>• Chỉ xem/xuất không tự chạy xét.</t>
        </is>
      </c>
      <c r="C8223" s="57" t="n"/>
      <c r="D8223" s="57" t="n"/>
      <c r="E8223" s="57" t="n"/>
    </row>
    <row r="8224" ht="44" customHeight="1">
      <c r="A8224" s="47" t="inlineStr">
        <is>
          <t>Blocker</t>
        </is>
      </c>
      <c r="B8224" s="56" t="inlineStr">
        <is>
          <t>• G-PREP-UNASSESSED: Chưa có xác minh fixture, đường thực hiện và phép quan sát trên build của từng case chưa đánh giá.</t>
        </is>
      </c>
      <c r="C8224" s="57" t="n"/>
      <c r="D8224" s="57" t="n"/>
      <c r="E8224" s="57" t="n"/>
    </row>
    <row r="8225" ht="30" customHeight="1">
      <c r="A8225" s="58" t="inlineStr">
        <is>
          <t>Thao tác</t>
        </is>
      </c>
      <c r="B8225" s="59" t="n"/>
      <c r="C8225" s="59" t="n"/>
      <c r="D8225" s="59" t="n"/>
      <c r="E8225" s="59" t="n"/>
    </row>
    <row r="8226" ht="30" customHeight="1">
      <c r="A8226" s="47" t="inlineStr">
        <is>
          <t>•</t>
        </is>
      </c>
      <c r="B8226" s="56" t="inlineStr">
        <is>
          <t>Thu thập mọi thông báo lỗi hiển thị cho người dùng trong các case trên.</t>
        </is>
      </c>
      <c r="C8226" s="57" t="n"/>
      <c r="D8226" s="57" t="n"/>
      <c r="E8226" s="57" t="n"/>
    </row>
    <row r="8227" ht="44" customHeight="1">
      <c r="A8227" s="47" t="inlineStr">
        <is>
          <t>Reset</t>
        </is>
      </c>
      <c r="B8227" s="56" t="inlineStr">
        <is>
          <t>Trước mỗi biến thể, dựng lại điều kiện/dữ liệu đầu của case bằng đường được phép; giữ các reset/fixture độc lập đã nêu trong thủ tục.</t>
        </is>
      </c>
      <c r="C8227" s="57" t="n"/>
      <c r="D8227" s="57" t="n"/>
      <c r="E8227" s="57" t="n"/>
    </row>
    <row r="8228" ht="30" customHeight="1">
      <c r="A8228" s="58" t="inlineStr">
        <is>
          <t>Kết quả mong đợi</t>
        </is>
      </c>
      <c r="B8228" s="59" t="n"/>
      <c r="C8228" s="59" t="n"/>
      <c r="D8228" s="59" t="n"/>
      <c r="E8228" s="59" t="n"/>
    </row>
    <row r="8229" ht="30" customHeight="1">
      <c r="A8229" s="47" t="inlineStr">
        <is>
          <t>•</t>
        </is>
      </c>
      <c r="B8229" s="56" t="inlineStr">
        <is>
          <t>Không có câu SQL, stack trace, đường dẫn file server hoặc tên/điểm học sinh ngoài quyền người thao tác.</t>
        </is>
      </c>
      <c r="C8229" s="57" t="n"/>
      <c r="D8229" s="57" t="n"/>
      <c r="E8229" s="57" t="n"/>
    </row>
    <row r="8230" ht="44" customHeight="1">
      <c r="A8230" s="47" t="inlineStr">
        <is>
          <t>Giữ nguyên</t>
        </is>
      </c>
      <c r="B8230" s="56" t="inlineStr">
        <is>
          <t>• Giữ điểm, cấu hình và đối tượng không đích theo expected;
• Chỉ thay phần thủ tục yêu cầu, không tự đổi oracle hoặc mở rộng phạm vi.</t>
        </is>
      </c>
      <c r="C8230" s="57" t="n"/>
      <c r="D8230" s="57" t="n"/>
      <c r="E8230" s="57" t="n"/>
    </row>
    <row r="8231" ht="61" customHeight="1">
      <c r="A8231" s="47" t="inlineStr">
        <is>
          <t>Quan sát tại</t>
        </is>
      </c>
      <c r="B8231" s="56" t="inlineStr">
        <is>
          <t>• Dùng trích xuất không lọc để thấy cả ô đối chứng. Trạng thái không có dấu đỏ cần đọc thêm trạng thái lưu;
• Output Excel/PDF dùng file thật.</t>
        </is>
      </c>
      <c r="C8231" s="57" t="n"/>
      <c r="D8231" s="57" t="n"/>
      <c r="E8231" s="57" t="n"/>
    </row>
    <row r="8232" ht="30" customHeight="1">
      <c r="A8232" s="58" t="inlineStr">
        <is>
          <t>Kết quả thực tế</t>
        </is>
      </c>
      <c r="B8232" s="59" t="n"/>
      <c r="C8232" s="59" t="n"/>
      <c r="D8232" s="59" t="n"/>
      <c r="E8232" s="59" t="n"/>
    </row>
    <row r="8233" ht="30" customHeight="1">
      <c r="A8233" s="60" t="inlineStr">
        <is>
          <t>TC-RS-ERR-005 / save-error</t>
        </is>
      </c>
      <c r="B8233" s="36" t="n"/>
      <c r="C8233" s="36" t="n"/>
      <c r="D8233" s="36" t="n"/>
      <c r="E8233" s="36" t="n"/>
    </row>
    <row r="8234" ht="30" customHeight="1">
      <c r="A8234" s="47" t="inlineStr">
        <is>
          <t>Dữ liệu biến thể</t>
        </is>
      </c>
      <c r="B8234" s="56" t="inlineStr">
        <is>
          <t>Lỗi lưu theo ERR-002</t>
        </is>
      </c>
      <c r="C8234" s="57" t="n"/>
      <c r="D8234" s="57" t="n"/>
      <c r="E8234" s="57" t="n"/>
    </row>
    <row r="8235" ht="30" customHeight="1">
      <c r="A8235" s="47" t="inlineStr">
        <is>
          <t>Trạng thái</t>
        </is>
      </c>
      <c r="B8235" s="61" t="inlineStr">
        <is>
          <t>Chưa thực hiện</t>
        </is>
      </c>
      <c r="C8235" s="57" t="n"/>
      <c r="D8235" s="57" t="n"/>
      <c r="E8235" s="57" t="n"/>
    </row>
    <row r="8236" ht="30" customHeight="1">
      <c r="A8236" s="62" t="inlineStr">
        <is>
          <t>Kết quả thực tế</t>
        </is>
      </c>
    </row>
    <row r="8237" ht="64" customHeight="1">
      <c r="A8237" s="63" t="inlineStr"/>
      <c r="B8237" s="64" t="n"/>
      <c r="C8237" s="64" t="n"/>
      <c r="D8237" s="64" t="n"/>
      <c r="E8237" s="65" t="n"/>
    </row>
    <row r="8238" ht="30" customHeight="1">
      <c r="A8238" s="62" t="inlineStr">
        <is>
          <t>Ảnh minh chứng</t>
        </is>
      </c>
    </row>
    <row r="8239" ht="90" customHeight="1">
      <c r="A8239" s="63" t="inlineStr"/>
      <c r="B8239" s="64" t="n"/>
      <c r="C8239" s="64" t="n"/>
      <c r="D8239" s="64" t="n"/>
      <c r="E8239" s="65" t="n"/>
    </row>
    <row r="8240" ht="12" customHeight="1">
      <c r="A8240" s="66" t="inlineStr"/>
    </row>
    <row r="8241" ht="30" customHeight="1">
      <c r="A8241" s="60" t="inlineStr">
        <is>
          <t>TC-RS-ERR-005 / batch-error</t>
        </is>
      </c>
      <c r="B8241" s="36" t="n"/>
      <c r="C8241" s="36" t="n"/>
      <c r="D8241" s="36" t="n"/>
      <c r="E8241" s="36" t="n"/>
    </row>
    <row r="8242" ht="30" customHeight="1">
      <c r="A8242" s="47" t="inlineStr">
        <is>
          <t>Dữ liệu biến thể</t>
        </is>
      </c>
      <c r="B8242" s="56" t="inlineStr">
        <is>
          <t>Lỗi batch theo ERR-003</t>
        </is>
      </c>
      <c r="C8242" s="57" t="n"/>
      <c r="D8242" s="57" t="n"/>
      <c r="E8242" s="57" t="n"/>
    </row>
    <row r="8243" ht="30" customHeight="1">
      <c r="A8243" s="47" t="inlineStr">
        <is>
          <t>Trạng thái</t>
        </is>
      </c>
      <c r="B8243" s="61" t="inlineStr">
        <is>
          <t>Chưa thực hiện</t>
        </is>
      </c>
      <c r="C8243" s="57" t="n"/>
      <c r="D8243" s="57" t="n"/>
      <c r="E8243" s="57" t="n"/>
    </row>
    <row r="8244" ht="30" customHeight="1">
      <c r="A8244" s="62" t="inlineStr">
        <is>
          <t>Kết quả thực tế</t>
        </is>
      </c>
    </row>
    <row r="8245" ht="64" customHeight="1">
      <c r="A8245" s="63" t="inlineStr"/>
      <c r="B8245" s="64" t="n"/>
      <c r="C8245" s="64" t="n"/>
      <c r="D8245" s="64" t="n"/>
      <c r="E8245" s="65" t="n"/>
    </row>
    <row r="8246" ht="30" customHeight="1">
      <c r="A8246" s="62" t="inlineStr">
        <is>
          <t>Ảnh minh chứng</t>
        </is>
      </c>
    </row>
    <row r="8247" ht="90" customHeight="1">
      <c r="A8247" s="63" t="inlineStr"/>
      <c r="B8247" s="64" t="n"/>
      <c r="C8247" s="64" t="n"/>
      <c r="D8247" s="64" t="n"/>
      <c r="E8247" s="65" t="n"/>
    </row>
    <row r="8248" ht="12" customHeight="1">
      <c r="A8248" s="66" t="inlineStr"/>
    </row>
    <row r="8249" ht="30" customHeight="1">
      <c r="A8249" s="60" t="inlineStr">
        <is>
          <t>TC-RS-ERR-005 / permission-error</t>
        </is>
      </c>
      <c r="B8249" s="36" t="n"/>
      <c r="C8249" s="36" t="n"/>
      <c r="D8249" s="36" t="n"/>
      <c r="E8249" s="36" t="n"/>
    </row>
    <row r="8250" ht="30" customHeight="1">
      <c r="A8250" s="47" t="inlineStr">
        <is>
          <t>Dữ liệu biến thể</t>
        </is>
      </c>
      <c r="B8250" s="56" t="inlineStr">
        <is>
          <t>Lỗi quyền theo ERR-006</t>
        </is>
      </c>
      <c r="C8250" s="57" t="n"/>
      <c r="D8250" s="57" t="n"/>
      <c r="E8250" s="57" t="n"/>
    </row>
    <row r="8251" ht="30" customHeight="1">
      <c r="A8251" s="47" t="inlineStr">
        <is>
          <t>Trạng thái</t>
        </is>
      </c>
      <c r="B8251" s="61" t="inlineStr">
        <is>
          <t>Chưa thực hiện</t>
        </is>
      </c>
      <c r="C8251" s="57" t="n"/>
      <c r="D8251" s="57" t="n"/>
      <c r="E8251" s="57" t="n"/>
    </row>
    <row r="8252" ht="30" customHeight="1">
      <c r="A8252" s="62" t="inlineStr">
        <is>
          <t>Kết quả thực tế</t>
        </is>
      </c>
    </row>
    <row r="8253" ht="64" customHeight="1">
      <c r="A8253" s="63" t="inlineStr"/>
      <c r="B8253" s="64" t="n"/>
      <c r="C8253" s="64" t="n"/>
      <c r="D8253" s="64" t="n"/>
      <c r="E8253" s="65" t="n"/>
    </row>
    <row r="8254" ht="30" customHeight="1">
      <c r="A8254" s="62" t="inlineStr">
        <is>
          <t>Ảnh minh chứng</t>
        </is>
      </c>
    </row>
    <row r="8255" ht="90" customHeight="1">
      <c r="A8255" s="63" t="inlineStr"/>
      <c r="B8255" s="64" t="n"/>
      <c r="C8255" s="64" t="n"/>
      <c r="D8255" s="64" t="n"/>
      <c r="E8255" s="65" t="n"/>
    </row>
    <row r="8256" ht="12" customHeight="1">
      <c r="A8256" s="66" t="inlineStr"/>
    </row>
    <row r="8257" ht="30" customHeight="1">
      <c r="A8257" s="60" t="inlineStr">
        <is>
          <t>TC-RS-ERR-005 / input-error</t>
        </is>
      </c>
      <c r="B8257" s="36" t="n"/>
      <c r="C8257" s="36" t="n"/>
      <c r="D8257" s="36" t="n"/>
      <c r="E8257" s="36" t="n"/>
    </row>
    <row r="8258" ht="30" customHeight="1">
      <c r="A8258" s="47" t="inlineStr">
        <is>
          <t>Dữ liệu biến thể</t>
        </is>
      </c>
      <c r="B8258" s="56" t="inlineStr">
        <is>
          <t>Lỗi dữ liệu theo ERR-009</t>
        </is>
      </c>
      <c r="C8258" s="57" t="n"/>
      <c r="D8258" s="57" t="n"/>
      <c r="E8258" s="57" t="n"/>
    </row>
    <row r="8259" ht="30" customHeight="1">
      <c r="A8259" s="47" t="inlineStr">
        <is>
          <t>Trạng thái</t>
        </is>
      </c>
      <c r="B8259" s="61" t="inlineStr">
        <is>
          <t>Chưa thực hiện</t>
        </is>
      </c>
      <c r="C8259" s="57" t="n"/>
      <c r="D8259" s="57" t="n"/>
      <c r="E8259" s="57" t="n"/>
    </row>
    <row r="8260" ht="30" customHeight="1">
      <c r="A8260" s="62" t="inlineStr">
        <is>
          <t>Kết quả thực tế</t>
        </is>
      </c>
    </row>
    <row r="8261" ht="64" customHeight="1">
      <c r="A8261" s="63" t="inlineStr"/>
      <c r="B8261" s="64" t="n"/>
      <c r="C8261" s="64" t="n"/>
      <c r="D8261" s="64" t="n"/>
      <c r="E8261" s="65" t="n"/>
    </row>
    <row r="8262" ht="30" customHeight="1">
      <c r="A8262" s="62" t="inlineStr">
        <is>
          <t>Ảnh minh chứng</t>
        </is>
      </c>
    </row>
    <row r="8263" ht="90" customHeight="1">
      <c r="A8263" s="63" t="inlineStr"/>
      <c r="B8263" s="64" t="n"/>
      <c r="C8263" s="64" t="n"/>
      <c r="D8263" s="64" t="n"/>
      <c r="E8263" s="65" t="n"/>
    </row>
    <row r="8264" ht="12" customHeight="1">
      <c r="A8264" s="66" t="inlineStr"/>
    </row>
    <row r="8265" ht="20" customHeight="1">
      <c r="A8265" s="66" t="inlineStr"/>
    </row>
    <row r="8266" ht="30" customHeight="1">
      <c r="A8266" s="46" t="inlineStr">
        <is>
          <t>TC-RS-ERR-011 — Lượt cũ hoàn tất muộn không ghi đè kết quả của điểm/cấu hình mới hơn</t>
        </is>
      </c>
      <c r="B8266" s="23" t="n"/>
      <c r="C8266" s="23" t="n"/>
      <c r="D8266" s="23" t="n"/>
      <c r="E8266" s="23" t="n"/>
    </row>
    <row r="8267" ht="30" customHeight="1">
      <c r="A8267" s="47" t="inlineStr">
        <is>
          <t>Trạng thái</t>
        </is>
      </c>
      <c r="B8267" s="56">
        <f>IF(0&gt;0,"Không đạt",IF(0=6,"Đạt",IF(SUMPRODUCT(--EXACT('Testcases'!B8296:B8336,"Không thực hiện"))=6,"Không thực hiện",IF(SUMPRODUCT(--EXACT('Testcases'!B8296:B8336,"Bị chặn"))&gt;0,"Bị chặn",IF(SUMPRODUCT(--EXACT('Testcases'!B8296:B8336,"Chưa thực hiện"))=6,"Chưa thực hiện","Chưa đủ kết luận")))))</f>
        <v/>
      </c>
      <c r="C8267" s="57" t="n"/>
      <c r="D8267" s="57" t="n"/>
      <c r="E8267" s="57" t="n"/>
    </row>
    <row r="8268" ht="30" customHeight="1">
      <c r="A8268" s="47" t="inlineStr">
        <is>
          <t>Màn hình / chức năng</t>
        </is>
      </c>
      <c r="B8268" s="47" t="inlineStr">
        <is>
          <t>Lỗi và cập nhật kết quả</t>
        </is>
      </c>
      <c r="C8268" s="57" t="n"/>
      <c r="D8268" s="47" t="inlineStr">
        <is>
          <t>Đường dẫn</t>
        </is>
      </c>
      <c r="E8268" s="56" t="inlineStr">
        <is>
          <t>Chưa xác minh</t>
        </is>
      </c>
    </row>
    <row r="8269" ht="30" customHeight="1">
      <c r="A8269" s="58" t="inlineStr">
        <is>
          <t>Điều kiện kiểm thử</t>
        </is>
      </c>
      <c r="B8269" s="59" t="n"/>
      <c r="C8269" s="59" t="n"/>
      <c r="D8269" s="59" t="n"/>
      <c r="E8269" s="59" t="n"/>
    </row>
    <row r="8270" ht="61" customHeight="1">
      <c r="A8270" s="47" t="inlineStr">
        <is>
          <t>Cấu hình</t>
        </is>
      </c>
      <c r="B8270" s="56" t="inlineStr">
        <is>
          <t>• Batch lớn đang chạy cho khối 1;
• Quy tắc “Cố định 30” (dưới 30) trên mục của S01;
• Nguồn trung bình của cặp quy tắc phân nhánh theo trung bình 60 đã có một bản tổng hợp.</t>
        </is>
      </c>
      <c r="C8270" s="57" t="n"/>
      <c r="D8270" s="57" t="n"/>
      <c r="E8270" s="57" t="n"/>
    </row>
    <row r="8271" ht="61" customHeight="1">
      <c r="A8271" s="47" t="inlineStr">
        <is>
          <t>Vai trò / quyền</t>
        </is>
      </c>
      <c r="B8271"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271" s="57" t="n"/>
      <c r="D8271" s="57" t="n"/>
      <c r="E8271" s="57" t="n"/>
    </row>
    <row r="8272" ht="61" customHeight="1">
      <c r="A8272" s="47" t="inlineStr">
        <is>
          <t>Dữ liệu test</t>
        </is>
      </c>
      <c r="B8272" s="56" t="inlineStr">
        <is>
          <t>• Học sinh S01 (điểm 29);
• Quy tắc “Cố định 30” (dưới 30);
• Cặp quy tắc phân nhánh theo trung bình 60</t>
        </is>
      </c>
      <c r="C8272" s="57" t="n"/>
      <c r="D8272" s="57" t="n"/>
      <c r="E8272" s="57" t="n"/>
    </row>
    <row r="8273" ht="30" customHeight="1">
      <c r="A8273" s="47" t="inlineStr">
        <is>
          <t>Trigger</t>
        </is>
      </c>
      <c r="B8273" s="56" t="inlineStr">
        <is>
          <t>• Chỉ xem/xuất không tự chạy xét.</t>
        </is>
      </c>
      <c r="C8273" s="57" t="n"/>
      <c r="D8273" s="57" t="n"/>
      <c r="E8273" s="57" t="n"/>
    </row>
    <row r="8274" ht="44" customHeight="1">
      <c r="A8274" s="47" t="inlineStr">
        <is>
          <t>Blocker</t>
        </is>
      </c>
      <c r="B8274" s="56" t="inlineStr">
        <is>
          <t>• G-PREP-UNASSESSED: Chưa có xác minh fixture, đường thực hiện và phép quan sát trên build của từng case chưa đánh giá.</t>
        </is>
      </c>
      <c r="C8274" s="57" t="n"/>
      <c r="D8274" s="57" t="n"/>
      <c r="E8274" s="57" t="n"/>
    </row>
    <row r="8275" ht="30" customHeight="1">
      <c r="A8275" s="58" t="inlineStr">
        <is>
          <t>Thao tác</t>
        </is>
      </c>
      <c r="B8275" s="59" t="n"/>
      <c r="C8275" s="59" t="n"/>
      <c r="D8275" s="59" t="n"/>
      <c r="E8275" s="59" t="n"/>
    </row>
    <row r="8276" ht="30" customHeight="1">
      <c r="A8276" s="47" t="inlineStr">
        <is>
          <t>Step 1</t>
        </is>
      </c>
      <c r="B8276" s="56" t="inlineStr">
        <is>
          <t>Khi batch chưa xong, sửa S01 từ 29 thành 40 và lưu.</t>
        </is>
      </c>
      <c r="C8276" s="57" t="n"/>
      <c r="D8276" s="57" t="n"/>
      <c r="E8276" s="57" t="n"/>
    </row>
    <row r="8277" ht="30" customHeight="1">
      <c r="A8277" s="47" t="inlineStr">
        <is>
          <t>Step 2</t>
        </is>
      </c>
      <c r="B8277" s="56" t="inlineStr">
        <is>
          <t>Chờ batch xong, xem S01.</t>
        </is>
      </c>
      <c r="C8277" s="57" t="n"/>
      <c r="D8277" s="57" t="n"/>
      <c r="E8277" s="57" t="n"/>
    </row>
    <row r="8278" ht="44" customHeight="1">
      <c r="A8278" s="47" t="inlineStr">
        <is>
          <t>Step 3</t>
        </is>
      </c>
      <c r="B8278" s="56" t="inlineStr">
        <is>
          <t>Chạy lại batch; khi chưa xong, đổi ngưỡng quy tắc “Cố định 30” (dưới 30) thành 45, lưu, rồi đăng ký lại điểm S01 (40). Chờ batch cũ xong, xem S01.</t>
        </is>
      </c>
      <c r="C8278" s="57" t="n"/>
      <c r="D8278" s="57" t="n"/>
      <c r="E8278" s="57" t="n"/>
    </row>
    <row r="8279" ht="61" customHeight="1">
      <c r="A8279" s="47" t="inlineStr">
        <is>
          <t>Step 4</t>
        </is>
      </c>
      <c r="B8279" s="56" t="inlineStr">
        <is>
          <t>Với mục dùng cặp quy tắc phân nhánh theo trung bình 60: bắt đầu batch; khi chưa xong, bấm Thực hiện tổng hợp（集計実行） cho cùng phạm vi, chờ cả hai xong. SELECT kết quả và bản nguồn được ghi nhận cho các ô của lượt batch.</t>
        </is>
      </c>
      <c r="C8279" s="57" t="n"/>
      <c r="D8279" s="57" t="n"/>
      <c r="E8279" s="57" t="n"/>
    </row>
    <row r="8280" ht="44" customHeight="1">
      <c r="A8280" s="47" t="inlineStr">
        <is>
          <t>Step 5</t>
        </is>
      </c>
      <c r="B8280" s="56" t="inlineStr">
        <is>
          <t>Khôi phục ngưỡng 30, S01 = 29 (Đỏ). Bắt đầu batch; khi batch đã đọc điểm 29 nhưng chưa xong, sửa S01 thành 40 và lưu, rồi sửa lại 29 và lưu. Chờ batch cũ xong, SELECT kết quả S01.</t>
        </is>
      </c>
      <c r="C8280" s="57" t="n"/>
      <c r="D8280" s="57" t="n"/>
      <c r="E8280" s="57" t="n"/>
    </row>
    <row r="8281" ht="30" customHeight="1">
      <c r="A8281" s="47" t="inlineStr">
        <is>
          <t>Step 6</t>
        </is>
      </c>
      <c r="B8281" s="56" t="inlineStr">
        <is>
          <t>Lặp bước 5 nhưng thay bằng: xóa trống ô S01 và lưu, rồi nhập lại 29 và lưu.</t>
        </is>
      </c>
      <c r="C8281" s="57" t="n"/>
      <c r="D8281" s="57" t="n"/>
      <c r="E8281" s="57" t="n"/>
    </row>
    <row r="8282" ht="44" customHeight="1">
      <c r="A8282" s="47" t="inlineStr">
        <is>
          <t>Step 7</t>
        </is>
      </c>
      <c r="B8282" s="56" t="inlineStr">
        <is>
          <t>S01 = 40 (Không đỏ). Bắt đầu batch; khi chưa xong, chỉ đổi ngưỡng quy tắc “Cố định 30” (dưới 30) thành 45 và lưu, không đăng ký lại điểm. Chờ batch cũ xong, xem S01; sau đó chạy lại batch và xem S01.</t>
        </is>
      </c>
      <c r="C8282" s="57" t="n"/>
      <c r="D8282" s="57" t="n"/>
      <c r="E8282" s="57" t="n"/>
    </row>
    <row r="8283" ht="44" customHeight="1">
      <c r="A8283" s="47" t="inlineStr">
        <is>
          <t>Reset</t>
        </is>
      </c>
      <c r="B8283" s="56" t="inlineStr">
        <is>
          <t>Trước mỗi biến thể, dựng lại điều kiện/dữ liệu đầu của case bằng đường được phép; giữ các reset/fixture độc lập đã nêu trong thủ tục.</t>
        </is>
      </c>
      <c r="C8283" s="57" t="n"/>
      <c r="D8283" s="57" t="n"/>
      <c r="E8283" s="57" t="n"/>
    </row>
    <row r="8284" ht="30" customHeight="1">
      <c r="A8284" s="58" t="inlineStr">
        <is>
          <t>Kết quả mong đợi</t>
        </is>
      </c>
      <c r="B8284" s="59" t="n"/>
      <c r="C8284" s="59" t="n"/>
      <c r="D8284" s="59" t="n"/>
      <c r="E8284" s="59" t="n"/>
    </row>
    <row r="8285" ht="30" customHeight="1">
      <c r="A8285" s="47" t="inlineStr">
        <is>
          <t>•</t>
        </is>
      </c>
      <c r="B8285" s="56" t="inlineStr">
        <is>
          <t>1–2. S01 = 40 và Không đỏ; batch cũ không ghi lại kết quả Đỏ của điểm 29.</t>
        </is>
      </c>
      <c r="C8285" s="57" t="n"/>
      <c r="D8285" s="57" t="n"/>
      <c r="E8285" s="57" t="n"/>
    </row>
    <row r="8286" ht="30" customHeight="1">
      <c r="A8286" s="47" t="inlineStr">
        <is>
          <t>3.</t>
        </is>
      </c>
      <c r="B8286" s="56" t="inlineStr">
        <is>
          <t>S01 Đỏ theo cấu hình mới ([40&lt;45]); batch cũ không ghi đè bằng kết quả theo ngưỡng 30.</t>
        </is>
      </c>
      <c r="C8286" s="57" t="n"/>
      <c r="D8286" s="57" t="n"/>
      <c r="E8286" s="57" t="n"/>
    </row>
    <row r="8287" ht="44" customHeight="1">
      <c r="A8287" s="47" t="inlineStr">
        <is>
          <t>4.</t>
        </is>
      </c>
      <c r="B8287" s="56" t="inlineStr">
        <is>
          <t>Mọi ô của một lượt batch dùng cùng một bản nguồn (hoặc toàn bản cũ, hoặc toàn bản mới); không có lượt báo thành công mà ghép điểm/kết quả của hai thời điểm.</t>
        </is>
      </c>
      <c r="C8287" s="57" t="n"/>
      <c r="D8287" s="57" t="n"/>
      <c r="E8287" s="57" t="n"/>
    </row>
    <row r="8288" ht="61" customHeight="1">
      <c r="A8288" s="47" t="inlineStr">
        <is>
          <t>•</t>
        </is>
      </c>
      <c r="B8288" s="56" t="inlineStr">
        <is>
          <t>5–6. Kết quả hiện hành của S01 là kết quả của lần lưu cuối (29 → Đỏ, xét bởi lần đăng ký sau cùng); lượt batch cũ không ghi đè dù giá trị điểm cuối trùng với giá trị batch đã đọc. Ô chỉ có một dòng kết quả hiện hành.</t>
        </is>
      </c>
      <c r="C8288" s="57" t="n"/>
      <c r="D8288" s="57" t="n"/>
      <c r="E8288" s="57" t="n"/>
    </row>
    <row r="8289" ht="78" customHeight="1">
      <c r="A8289" s="47" t="inlineStr">
        <is>
          <t>7.</t>
        </is>
      </c>
      <c r="B8289" s="56" t="inlineStr">
        <is>
          <t>Sau khi chỉ lưu ngưỡng: kết quả trước được giữ tới lần xét lại (tiêu chí nghiệm thu “Giữ kết quả trước khi chạy lại”). Chạy lại batch → S01 Đỏ theo ngưỡng 45. (PROPOSED theo thiết kế DB v2 mục 6.2 “Đăng ký thường và batch”) Lượt batch cũ bị từ chối ghi vì phiên bản danh sách quy tắc ([red_score_revision]) đã đổi, nên không ghi kết quả theo ngưỡng 30 sau khi ngưỡng mới đã được lưu.</t>
        </is>
      </c>
      <c r="C8289" s="57" t="n"/>
      <c r="D8289" s="57" t="n"/>
      <c r="E8289" s="57" t="n"/>
    </row>
    <row r="8290" ht="44" customHeight="1">
      <c r="A8290" s="47" t="inlineStr">
        <is>
          <t>8.</t>
        </is>
      </c>
      <c r="B8290" s="56" t="inlineStr">
        <is>
          <t>(PROPOSED) SELECT [write_version], [judged_version], [rule_revision] của S01: [judged_version] bằng phiên bản của lần ghi hoàn tất sau cùng; lượt cũ không làm giảm hay ghi đè các giá trị này.</t>
        </is>
      </c>
      <c r="C8290" s="57" t="n"/>
      <c r="D8290" s="57" t="n"/>
      <c r="E8290" s="57" t="n"/>
    </row>
    <row r="8291" ht="44" customHeight="1">
      <c r="A8291" s="47" t="inlineStr">
        <is>
          <t>Giữ nguyên</t>
        </is>
      </c>
      <c r="B8291" s="56" t="inlineStr">
        <is>
          <t>• Giữ điểm, cấu hình và đối tượng không đích theo expected;
• Chỉ thay phần thủ tục yêu cầu, không tự đổi oracle hoặc mở rộng phạm vi.</t>
        </is>
      </c>
      <c r="C8291" s="57" t="n"/>
      <c r="D8291" s="57" t="n"/>
      <c r="E8291" s="57" t="n"/>
    </row>
    <row r="8292" ht="61" customHeight="1">
      <c r="A8292" s="47" t="inlineStr">
        <is>
          <t>Quan sát tại</t>
        </is>
      </c>
      <c r="B8292" s="56" t="inlineStr">
        <is>
          <t>• Dùng trích xuất không lọc để thấy cả ô đối chứng. Trạng thái không có dấu đỏ cần đọc thêm trạng thái lưu;
• Output Excel/PDF dùng file thật.</t>
        </is>
      </c>
      <c r="C8292" s="57" t="n"/>
      <c r="D8292" s="57" t="n"/>
      <c r="E8292" s="57" t="n"/>
    </row>
    <row r="8293" ht="30" customHeight="1">
      <c r="A8293" s="58" t="inlineStr">
        <is>
          <t>Kết quả thực tế</t>
        </is>
      </c>
      <c r="B8293" s="59" t="n"/>
      <c r="C8293" s="59" t="n"/>
      <c r="D8293" s="59" t="n"/>
      <c r="E8293" s="59" t="n"/>
    </row>
    <row r="8294" ht="30" customHeight="1">
      <c r="A8294" s="60" t="inlineStr">
        <is>
          <t>TC-RS-ERR-011 / score-update</t>
        </is>
      </c>
      <c r="B8294" s="36" t="n"/>
      <c r="C8294" s="36" t="n"/>
      <c r="D8294" s="36" t="n"/>
      <c r="E8294" s="36" t="n"/>
    </row>
    <row r="8295" ht="30" customHeight="1">
      <c r="A8295" s="47" t="inlineStr">
        <is>
          <t>Dữ liệu biến thể</t>
        </is>
      </c>
      <c r="B8295" s="56" t="inlineStr">
        <is>
          <t>Nhánh score-update trong thủ tục và Expected của case; thực hiện các bước chuẩn bị chung trước nhánh</t>
        </is>
      </c>
      <c r="C8295" s="57" t="n"/>
      <c r="D8295" s="57" t="n"/>
      <c r="E8295" s="57" t="n"/>
    </row>
    <row r="8296" ht="30" customHeight="1">
      <c r="A8296" s="47" t="inlineStr">
        <is>
          <t>Trạng thái</t>
        </is>
      </c>
      <c r="B8296" s="61" t="inlineStr">
        <is>
          <t>Chưa thực hiện</t>
        </is>
      </c>
      <c r="C8296" s="57" t="n"/>
      <c r="D8296" s="57" t="n"/>
      <c r="E8296" s="57" t="n"/>
    </row>
    <row r="8297" ht="30" customHeight="1">
      <c r="A8297" s="62" t="inlineStr">
        <is>
          <t>Kết quả thực tế</t>
        </is>
      </c>
    </row>
    <row r="8298" ht="64" customHeight="1">
      <c r="A8298" s="63" t="inlineStr"/>
      <c r="B8298" s="64" t="n"/>
      <c r="C8298" s="64" t="n"/>
      <c r="D8298" s="64" t="n"/>
      <c r="E8298" s="65" t="n"/>
    </row>
    <row r="8299" ht="30" customHeight="1">
      <c r="A8299" s="62" t="inlineStr">
        <is>
          <t>Ảnh minh chứng</t>
        </is>
      </c>
    </row>
    <row r="8300" ht="90" customHeight="1">
      <c r="A8300" s="63" t="inlineStr"/>
      <c r="B8300" s="64" t="n"/>
      <c r="C8300" s="64" t="n"/>
      <c r="D8300" s="64" t="n"/>
      <c r="E8300" s="65" t="n"/>
    </row>
    <row r="8301" ht="12" customHeight="1">
      <c r="A8301" s="66" t="inlineStr"/>
    </row>
    <row r="8302" ht="30" customHeight="1">
      <c r="A8302" s="60" t="inlineStr">
        <is>
          <t>TC-RS-ERR-011 / rule-update</t>
        </is>
      </c>
      <c r="B8302" s="36" t="n"/>
      <c r="C8302" s="36" t="n"/>
      <c r="D8302" s="36" t="n"/>
      <c r="E8302" s="36" t="n"/>
    </row>
    <row r="8303" ht="30" customHeight="1">
      <c r="A8303" s="47" t="inlineStr">
        <is>
          <t>Dữ liệu biến thể</t>
        </is>
      </c>
      <c r="B8303" s="56" t="inlineStr">
        <is>
          <t>Nhánh rule-update trong thủ tục và Expected của case; thực hiện các bước chuẩn bị chung trước nhánh</t>
        </is>
      </c>
      <c r="C8303" s="57" t="n"/>
      <c r="D8303" s="57" t="n"/>
      <c r="E8303" s="57" t="n"/>
    </row>
    <row r="8304" ht="30" customHeight="1">
      <c r="A8304" s="47" t="inlineStr">
        <is>
          <t>Trạng thái</t>
        </is>
      </c>
      <c r="B8304" s="61" t="inlineStr">
        <is>
          <t>Chưa thực hiện</t>
        </is>
      </c>
      <c r="C8304" s="57" t="n"/>
      <c r="D8304" s="57" t="n"/>
      <c r="E8304" s="57" t="n"/>
    </row>
    <row r="8305" ht="30" customHeight="1">
      <c r="A8305" s="62" t="inlineStr">
        <is>
          <t>Kết quả thực tế</t>
        </is>
      </c>
    </row>
    <row r="8306" ht="64" customHeight="1">
      <c r="A8306" s="63" t="inlineStr"/>
      <c r="B8306" s="64" t="n"/>
      <c r="C8306" s="64" t="n"/>
      <c r="D8306" s="64" t="n"/>
      <c r="E8306" s="65" t="n"/>
    </row>
    <row r="8307" ht="30" customHeight="1">
      <c r="A8307" s="62" t="inlineStr">
        <is>
          <t>Ảnh minh chứng</t>
        </is>
      </c>
    </row>
    <row r="8308" ht="90" customHeight="1">
      <c r="A8308" s="63" t="inlineStr"/>
      <c r="B8308" s="64" t="n"/>
      <c r="C8308" s="64" t="n"/>
      <c r="D8308" s="64" t="n"/>
      <c r="E8308" s="65" t="n"/>
    </row>
    <row r="8309" ht="12" customHeight="1">
      <c r="A8309" s="66" t="inlineStr"/>
    </row>
    <row r="8310" ht="30" customHeight="1">
      <c r="A8310" s="60" t="inlineStr">
        <is>
          <t>TC-RS-ERR-011 / aggregation-snapshot-update</t>
        </is>
      </c>
      <c r="B8310" s="36" t="n"/>
      <c r="C8310" s="36" t="n"/>
      <c r="D8310" s="36" t="n"/>
      <c r="E8310" s="36" t="n"/>
    </row>
    <row r="8311" ht="44" customHeight="1">
      <c r="A8311" s="47" t="inlineStr">
        <is>
          <t>Dữ liệu biến thể</t>
        </is>
      </c>
      <c r="B8311" s="56" t="inlineStr">
        <is>
          <t>Nhánh aggregation-snapshot-update trong thủ tục và Expected của case; thực hiện các bước chuẩn bị chung trước nhánh</t>
        </is>
      </c>
      <c r="C8311" s="57" t="n"/>
      <c r="D8311" s="57" t="n"/>
      <c r="E8311" s="57" t="n"/>
    </row>
    <row r="8312" ht="30" customHeight="1">
      <c r="A8312" s="47" t="inlineStr">
        <is>
          <t>Trạng thái</t>
        </is>
      </c>
      <c r="B8312" s="61" t="inlineStr">
        <is>
          <t>Chưa thực hiện</t>
        </is>
      </c>
      <c r="C8312" s="57" t="n"/>
      <c r="D8312" s="57" t="n"/>
      <c r="E8312" s="57" t="n"/>
    </row>
    <row r="8313" ht="30" customHeight="1">
      <c r="A8313" s="62" t="inlineStr">
        <is>
          <t>Kết quả thực tế</t>
        </is>
      </c>
    </row>
    <row r="8314" ht="64" customHeight="1">
      <c r="A8314" s="63" t="inlineStr"/>
      <c r="B8314" s="64" t="n"/>
      <c r="C8314" s="64" t="n"/>
      <c r="D8314" s="64" t="n"/>
      <c r="E8314" s="65" t="n"/>
    </row>
    <row r="8315" ht="30" customHeight="1">
      <c r="A8315" s="62" t="inlineStr">
        <is>
          <t>Ảnh minh chứng</t>
        </is>
      </c>
    </row>
    <row r="8316" ht="90" customHeight="1">
      <c r="A8316" s="63" t="inlineStr"/>
      <c r="B8316" s="64" t="n"/>
      <c r="C8316" s="64" t="n"/>
      <c r="D8316" s="64" t="n"/>
      <c r="E8316" s="65" t="n"/>
    </row>
    <row r="8317" ht="12" customHeight="1">
      <c r="A8317" s="66" t="inlineStr"/>
    </row>
    <row r="8318" ht="30" customHeight="1">
      <c r="A8318" s="60" t="inlineStr">
        <is>
          <t>TC-RS-ERR-011 / edit-away-and-back</t>
        </is>
      </c>
      <c r="B8318" s="36" t="n"/>
      <c r="C8318" s="36" t="n"/>
      <c r="D8318" s="36" t="n"/>
      <c r="E8318" s="36" t="n"/>
    </row>
    <row r="8319" ht="44" customHeight="1">
      <c r="A8319" s="47" t="inlineStr">
        <is>
          <t>Dữ liệu biến thể</t>
        </is>
      </c>
      <c r="B8319" s="56" t="inlineStr">
        <is>
          <t>Nhánh edit-away-and-back trong thủ tục và Expected của case; thực hiện các bước chuẩn bị chung trước nhánh</t>
        </is>
      </c>
      <c r="C8319" s="57" t="n"/>
      <c r="D8319" s="57" t="n"/>
      <c r="E8319" s="57" t="n"/>
    </row>
    <row r="8320" ht="30" customHeight="1">
      <c r="A8320" s="47" t="inlineStr">
        <is>
          <t>Trạng thái</t>
        </is>
      </c>
      <c r="B8320" s="61" t="inlineStr">
        <is>
          <t>Chưa thực hiện</t>
        </is>
      </c>
      <c r="C8320" s="57" t="n"/>
      <c r="D8320" s="57" t="n"/>
      <c r="E8320" s="57" t="n"/>
    </row>
    <row r="8321" ht="30" customHeight="1">
      <c r="A8321" s="62" t="inlineStr">
        <is>
          <t>Kết quả thực tế</t>
        </is>
      </c>
    </row>
    <row r="8322" ht="64" customHeight="1">
      <c r="A8322" s="63" t="inlineStr"/>
      <c r="B8322" s="64" t="n"/>
      <c r="C8322" s="64" t="n"/>
      <c r="D8322" s="64" t="n"/>
      <c r="E8322" s="65" t="n"/>
    </row>
    <row r="8323" ht="30" customHeight="1">
      <c r="A8323" s="62" t="inlineStr">
        <is>
          <t>Ảnh minh chứng</t>
        </is>
      </c>
    </row>
    <row r="8324" ht="90" customHeight="1">
      <c r="A8324" s="63" t="inlineStr"/>
      <c r="B8324" s="64" t="n"/>
      <c r="C8324" s="64" t="n"/>
      <c r="D8324" s="64" t="n"/>
      <c r="E8324" s="65" t="n"/>
    </row>
    <row r="8325" ht="12" customHeight="1">
      <c r="A8325" s="66" t="inlineStr"/>
    </row>
    <row r="8326" ht="30" customHeight="1">
      <c r="A8326" s="60" t="inlineStr">
        <is>
          <t>TC-RS-ERR-011 / delete-and-recreate</t>
        </is>
      </c>
      <c r="B8326" s="36" t="n"/>
      <c r="C8326" s="36" t="n"/>
      <c r="D8326" s="36" t="n"/>
      <c r="E8326" s="36" t="n"/>
    </row>
    <row r="8327" ht="44" customHeight="1">
      <c r="A8327" s="47" t="inlineStr">
        <is>
          <t>Dữ liệu biến thể</t>
        </is>
      </c>
      <c r="B8327" s="56" t="inlineStr">
        <is>
          <t>Nhánh delete-and-recreate trong thủ tục và Expected của case; thực hiện các bước chuẩn bị chung trước nhánh</t>
        </is>
      </c>
      <c r="C8327" s="57" t="n"/>
      <c r="D8327" s="57" t="n"/>
      <c r="E8327" s="57" t="n"/>
    </row>
    <row r="8328" ht="30" customHeight="1">
      <c r="A8328" s="47" t="inlineStr">
        <is>
          <t>Trạng thái</t>
        </is>
      </c>
      <c r="B8328" s="61" t="inlineStr">
        <is>
          <t>Chưa thực hiện</t>
        </is>
      </c>
      <c r="C8328" s="57" t="n"/>
      <c r="D8328" s="57" t="n"/>
      <c r="E8328" s="57" t="n"/>
    </row>
    <row r="8329" ht="30" customHeight="1">
      <c r="A8329" s="62" t="inlineStr">
        <is>
          <t>Kết quả thực tế</t>
        </is>
      </c>
    </row>
    <row r="8330" ht="64" customHeight="1">
      <c r="A8330" s="63" t="inlineStr"/>
      <c r="B8330" s="64" t="n"/>
      <c r="C8330" s="64" t="n"/>
      <c r="D8330" s="64" t="n"/>
      <c r="E8330" s="65" t="n"/>
    </row>
    <row r="8331" ht="30" customHeight="1">
      <c r="A8331" s="62" t="inlineStr">
        <is>
          <t>Ảnh minh chứng</t>
        </is>
      </c>
    </row>
    <row r="8332" ht="90" customHeight="1">
      <c r="A8332" s="63" t="inlineStr"/>
      <c r="B8332" s="64" t="n"/>
      <c r="C8332" s="64" t="n"/>
      <c r="D8332" s="64" t="n"/>
      <c r="E8332" s="65" t="n"/>
    </row>
    <row r="8333" ht="12" customHeight="1">
      <c r="A8333" s="66" t="inlineStr"/>
    </row>
    <row r="8334" ht="30" customHeight="1">
      <c r="A8334" s="60" t="inlineStr">
        <is>
          <t>TC-RS-ERR-011 / rule-update-without-score-write</t>
        </is>
      </c>
      <c r="B8334" s="36" t="n"/>
      <c r="C8334" s="36" t="n"/>
      <c r="D8334" s="36" t="n"/>
      <c r="E8334" s="36" t="n"/>
    </row>
    <row r="8335" ht="44" customHeight="1">
      <c r="A8335" s="47" t="inlineStr">
        <is>
          <t>Dữ liệu biến thể</t>
        </is>
      </c>
      <c r="B8335" s="56" t="inlineStr">
        <is>
          <t>Nhánh rule-update-without-score-write trong thủ tục và Expected của case; thực hiện các bước chuẩn bị chung trước nhánh</t>
        </is>
      </c>
      <c r="C8335" s="57" t="n"/>
      <c r="D8335" s="57" t="n"/>
      <c r="E8335" s="57" t="n"/>
    </row>
    <row r="8336" ht="30" customHeight="1">
      <c r="A8336" s="47" t="inlineStr">
        <is>
          <t>Trạng thái</t>
        </is>
      </c>
      <c r="B8336" s="61" t="inlineStr">
        <is>
          <t>Chưa thực hiện</t>
        </is>
      </c>
      <c r="C8336" s="57" t="n"/>
      <c r="D8336" s="57" t="n"/>
      <c r="E8336" s="57" t="n"/>
    </row>
    <row r="8337" ht="30" customHeight="1">
      <c r="A8337" s="62" t="inlineStr">
        <is>
          <t>Kết quả thực tế</t>
        </is>
      </c>
    </row>
    <row r="8338" ht="64" customHeight="1">
      <c r="A8338" s="63" t="inlineStr"/>
      <c r="B8338" s="64" t="n"/>
      <c r="C8338" s="64" t="n"/>
      <c r="D8338" s="64" t="n"/>
      <c r="E8338" s="65" t="n"/>
    </row>
    <row r="8339" ht="30" customHeight="1">
      <c r="A8339" s="62" t="inlineStr">
        <is>
          <t>Ảnh minh chứng</t>
        </is>
      </c>
    </row>
    <row r="8340" ht="90" customHeight="1">
      <c r="A8340" s="63" t="inlineStr"/>
      <c r="B8340" s="64" t="n"/>
      <c r="C8340" s="64" t="n"/>
      <c r="D8340" s="64" t="n"/>
      <c r="E8340" s="65" t="n"/>
    </row>
    <row r="8341" ht="12" customHeight="1">
      <c r="A8341" s="66" t="inlineStr"/>
    </row>
    <row r="8342" ht="20" customHeight="1">
      <c r="A8342" s="66" t="inlineStr"/>
    </row>
    <row r="8343" ht="30" customHeight="1">
      <c r="A8343" s="46" t="inlineStr">
        <is>
          <t>TC-RS-ERR-018 — Hai lượt xét lần đầu đồng thời hoặc gửi lại thao tác hoàn tất chỉ tạo một kết quả</t>
        </is>
      </c>
      <c r="B8343" s="23" t="n"/>
      <c r="C8343" s="23" t="n"/>
      <c r="D8343" s="23" t="n"/>
      <c r="E8343" s="23" t="n"/>
    </row>
    <row r="8344" ht="30" customHeight="1">
      <c r="A8344" s="47" t="inlineStr">
        <is>
          <t>Trạng thái</t>
        </is>
      </c>
      <c r="B8344" s="56">
        <f>IF(0&gt;0,"Không đạt",IF(0=3,"Đạt",IF(SUMPRODUCT(--EXACT('Testcases'!B8365:B8381,"Không thực hiện"))=3,"Không thực hiện",IF(SUMPRODUCT(--EXACT('Testcases'!B8365:B8381,"Bị chặn"))&gt;0,"Bị chặn",IF(SUMPRODUCT(--EXACT('Testcases'!B8365:B8381,"Chưa thực hiện"))=3,"Chưa thực hiện","Chưa đủ kết luận")))))</f>
        <v/>
      </c>
      <c r="C8344" s="57" t="n"/>
      <c r="D8344" s="57" t="n"/>
      <c r="E8344" s="57" t="n"/>
    </row>
    <row r="8345" ht="30" customHeight="1">
      <c r="A8345" s="47" t="inlineStr">
        <is>
          <t>Màn hình / chức năng</t>
        </is>
      </c>
      <c r="B8345" s="47" t="inlineStr">
        <is>
          <t>Lỗi và cập nhật kết quả</t>
        </is>
      </c>
      <c r="C8345" s="57" t="n"/>
      <c r="D8345" s="47" t="inlineStr">
        <is>
          <t>Đường dẫn</t>
        </is>
      </c>
      <c r="E8345" s="56" t="inlineStr">
        <is>
          <t>Chưa xác minh</t>
        </is>
      </c>
    </row>
    <row r="8346" ht="30" customHeight="1">
      <c r="A8346" s="58" t="inlineStr">
        <is>
          <t>Điều kiện kiểm thử</t>
        </is>
      </c>
      <c r="B8346" s="59" t="n"/>
      <c r="C8346" s="59" t="n"/>
      <c r="D8346" s="59" t="n"/>
      <c r="E8346" s="59" t="n"/>
    </row>
    <row r="8347" ht="61" customHeight="1">
      <c r="A8347" s="47" t="inlineStr">
        <is>
          <t>Cấu hình</t>
        </is>
      </c>
      <c r="B8347" s="56" t="inlineStr">
        <is>
          <t>• Ô S01 của mục số nguyên (M=100) chưa từng được xét (chưa có dòng kết quả);
• Quy tắc “Cố định 30” (dưới 30) là quy tắc duy nhất;
• Có cách cho hai lượt chạy gần như cùng lúc.</t>
        </is>
      </c>
      <c r="C8347" s="57" t="n"/>
      <c r="D8347" s="57" t="n"/>
      <c r="E8347" s="57" t="n"/>
    </row>
    <row r="8348" ht="61" customHeight="1">
      <c r="A8348" s="47" t="inlineStr">
        <is>
          <t>Vai trò / quyền</t>
        </is>
      </c>
      <c r="B834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348" s="57" t="n"/>
      <c r="D8348" s="57" t="n"/>
      <c r="E8348" s="57" t="n"/>
    </row>
    <row r="8349" ht="78" customHeight="1">
      <c r="A8349" s="47" t="inlineStr">
        <is>
          <t>Dữ liệu test</t>
        </is>
      </c>
      <c r="B8349" s="56" t="inlineStr">
        <is>
          <t>• Mục số nguyên (M=100);
• Quy tắc “Cố định 30” (dưới 30);
• Học sinh S01 (điểm 29) (29);
• Tài khoản có quyền chạy hàng loạt, tài khoản giáo viên nhập điểm lớp G-A, G-B, G-C</t>
        </is>
      </c>
      <c r="C8349" s="57" t="n"/>
      <c r="D8349" s="57" t="n"/>
      <c r="E8349" s="57" t="n"/>
    </row>
    <row r="8350" ht="30" customHeight="1">
      <c r="A8350" s="47" t="inlineStr">
        <is>
          <t>Trigger</t>
        </is>
      </c>
      <c r="B8350" s="56" t="inlineStr">
        <is>
          <t>• Chỉ xem/xuất không tự chạy xét.</t>
        </is>
      </c>
      <c r="C8350" s="57" t="n"/>
      <c r="D8350" s="57" t="n"/>
      <c r="E8350" s="57" t="n"/>
    </row>
    <row r="8351" ht="44" customHeight="1">
      <c r="A8351" s="47" t="inlineStr">
        <is>
          <t>Blocker</t>
        </is>
      </c>
      <c r="B8351" s="56" t="inlineStr">
        <is>
          <t>• G-PREP-UNASSESSED: Chưa có xác minh fixture, đường thực hiện và phép quan sát trên build của từng case chưa đánh giá.</t>
        </is>
      </c>
      <c r="C8351" s="57" t="n"/>
      <c r="D8351" s="57" t="n"/>
      <c r="E8351" s="57" t="n"/>
    </row>
    <row r="8352" ht="30" customHeight="1">
      <c r="A8352" s="58" t="inlineStr">
        <is>
          <t>Thao tác</t>
        </is>
      </c>
      <c r="B8352" s="59" t="n"/>
      <c r="C8352" s="59" t="n"/>
      <c r="D8352" s="59" t="n"/>
      <c r="E8352" s="59" t="n"/>
    </row>
    <row r="8353" ht="44" customHeight="1">
      <c r="A8353" s="47" t="inlineStr">
        <is>
          <t>Step 1</t>
        </is>
      </c>
      <c r="B8353" s="56" t="inlineStr">
        <is>
          <t>Cùng lúc: giáo viên lưu điểm S01 = 29 trên Đăng ký thành tích（成績登録） và người có quyền bấm nút cam cho G-A.</t>
        </is>
      </c>
      <c r="C8353" s="57" t="n"/>
      <c r="D8353" s="57" t="n"/>
      <c r="E8353" s="57" t="n"/>
    </row>
    <row r="8354" ht="30" customHeight="1">
      <c r="A8354" s="47" t="inlineStr">
        <is>
          <t>Step 2</t>
        </is>
      </c>
      <c r="B8354" s="56" t="inlineStr">
        <is>
          <t>Xem kết quả S01 ở ba đầu ra; SELECT dòng kết quả của ô.</t>
        </is>
      </c>
      <c r="C8354" s="57" t="n"/>
      <c r="D8354" s="57" t="n"/>
      <c r="E8354" s="57" t="n"/>
    </row>
    <row r="8355" ht="44" customHeight="1">
      <c r="A8355" s="47" t="inlineStr">
        <is>
          <t>Step 3</t>
        </is>
      </c>
      <c r="B8355" s="56" t="inlineStr">
        <is>
          <t>Lặp lại thao tác hoàn tất lần nữa với cùng dữ liệu (gửi lại form đăng ký, hoặc chạy lại job của cùng lượt nếu môi trường cho phép); xem lại và SELECT.</t>
        </is>
      </c>
      <c r="C8355" s="57" t="n"/>
      <c r="D8355" s="57" t="n"/>
      <c r="E8355" s="57" t="n"/>
    </row>
    <row r="8356" ht="44" customHeight="1">
      <c r="A8356" s="47" t="inlineStr">
        <is>
          <t>Reset</t>
        </is>
      </c>
      <c r="B8356" s="56" t="inlineStr">
        <is>
          <t>Trước mỗi biến thể, dựng lại điều kiện/dữ liệu đầu của case bằng đường được phép; giữ các reset/fixture độc lập đã nêu trong thủ tục.</t>
        </is>
      </c>
      <c r="C8356" s="57" t="n"/>
      <c r="D8356" s="57" t="n"/>
      <c r="E8356" s="57" t="n"/>
    </row>
    <row r="8357" ht="30" customHeight="1">
      <c r="A8357" s="58" t="inlineStr">
        <is>
          <t>Kết quả mong đợi</t>
        </is>
      </c>
      <c r="B8357" s="59" t="n"/>
      <c r="C8357" s="59" t="n"/>
      <c r="D8357" s="59" t="n"/>
      <c r="E8357" s="59" t="n"/>
    </row>
    <row r="8358" ht="44" customHeight="1">
      <c r="A8358" s="47" t="inlineStr">
        <is>
          <t>•</t>
        </is>
      </c>
      <c r="B8358" s="56" t="inlineStr">
        <is>
          <t>1–2. S01 Đỏ; ô có đúng một kết quả hiện hành; ký hiệu đỏ không bị nhân đôi ở đầu ra (không có [**29], [((29))]).</t>
        </is>
      </c>
      <c r="C8358" s="57" t="n"/>
      <c r="D8358" s="57" t="n"/>
      <c r="E8358" s="57" t="n"/>
    </row>
    <row r="8359" ht="30" customHeight="1">
      <c r="A8359" s="47" t="inlineStr">
        <is>
          <t>3.</t>
        </is>
      </c>
      <c r="B8359" s="56" t="inlineStr">
        <is>
          <t>Không phát sinh dòng hoặc thao tác ghi thứ hai; kết quả không đổi.</t>
        </is>
      </c>
      <c r="C8359" s="57" t="n"/>
      <c r="D8359" s="57" t="n"/>
      <c r="E8359" s="57" t="n"/>
    </row>
    <row r="8360" ht="44" customHeight="1">
      <c r="A8360" s="47" t="inlineStr">
        <is>
          <t>Giữ nguyên</t>
        </is>
      </c>
      <c r="B8360" s="56" t="inlineStr">
        <is>
          <t>• Giữ điểm, cấu hình và đối tượng không đích theo expected;
• Chỉ thay phần thủ tục yêu cầu, không tự đổi oracle hoặc mở rộng phạm vi.</t>
        </is>
      </c>
      <c r="C8360" s="57" t="n"/>
      <c r="D8360" s="57" t="n"/>
      <c r="E8360" s="57" t="n"/>
    </row>
    <row r="8361" ht="61" customHeight="1">
      <c r="A8361" s="47" t="inlineStr">
        <is>
          <t>Quan sát tại</t>
        </is>
      </c>
      <c r="B8361" s="56" t="inlineStr">
        <is>
          <t>• Dùng trích xuất không lọc để thấy cả ô đối chứng. Trạng thái không có dấu đỏ cần đọc thêm trạng thái lưu;
• Output Excel/PDF dùng file thật.</t>
        </is>
      </c>
      <c r="C8361" s="57" t="n"/>
      <c r="D8361" s="57" t="n"/>
      <c r="E8361" s="57" t="n"/>
    </row>
    <row r="8362" ht="30" customHeight="1">
      <c r="A8362" s="58" t="inlineStr">
        <is>
          <t>Kết quả thực tế</t>
        </is>
      </c>
      <c r="B8362" s="59" t="n"/>
      <c r="C8362" s="59" t="n"/>
      <c r="D8362" s="59" t="n"/>
      <c r="E8362" s="59" t="n"/>
    </row>
    <row r="8363" ht="30" customHeight="1">
      <c r="A8363" s="60" t="inlineStr">
        <is>
          <t>TC-RS-ERR-018 / concurrent</t>
        </is>
      </c>
      <c r="B8363" s="36" t="n"/>
      <c r="C8363" s="36" t="n"/>
      <c r="D8363" s="36" t="n"/>
      <c r="E8363" s="36" t="n"/>
    </row>
    <row r="8364" ht="30" customHeight="1">
      <c r="A8364" s="47" t="inlineStr">
        <is>
          <t>Dữ liệu biến thể</t>
        </is>
      </c>
      <c r="B8364" s="56" t="inlineStr">
        <is>
          <t>Bước 1–2 hai lượt lần đầu</t>
        </is>
      </c>
      <c r="C8364" s="57" t="n"/>
      <c r="D8364" s="57" t="n"/>
      <c r="E8364" s="57" t="n"/>
    </row>
    <row r="8365" ht="30" customHeight="1">
      <c r="A8365" s="47" t="inlineStr">
        <is>
          <t>Trạng thái</t>
        </is>
      </c>
      <c r="B8365" s="61" t="inlineStr">
        <is>
          <t>Chưa thực hiện</t>
        </is>
      </c>
      <c r="C8365" s="57" t="n"/>
      <c r="D8365" s="57" t="n"/>
      <c r="E8365" s="57" t="n"/>
    </row>
    <row r="8366" ht="30" customHeight="1">
      <c r="A8366" s="62" t="inlineStr">
        <is>
          <t>Kết quả thực tế</t>
        </is>
      </c>
    </row>
    <row r="8367" ht="64" customHeight="1">
      <c r="A8367" s="63" t="inlineStr"/>
      <c r="B8367" s="64" t="n"/>
      <c r="C8367" s="64" t="n"/>
      <c r="D8367" s="64" t="n"/>
      <c r="E8367" s="65" t="n"/>
    </row>
    <row r="8368" ht="30" customHeight="1">
      <c r="A8368" s="62" t="inlineStr">
        <is>
          <t>Ảnh minh chứng</t>
        </is>
      </c>
    </row>
    <row r="8369" ht="90" customHeight="1">
      <c r="A8369" s="63" t="inlineStr"/>
      <c r="B8369" s="64" t="n"/>
      <c r="C8369" s="64" t="n"/>
      <c r="D8369" s="64" t="n"/>
      <c r="E8369" s="65" t="n"/>
    </row>
    <row r="8370" ht="12" customHeight="1">
      <c r="A8370" s="66" t="inlineStr"/>
    </row>
    <row r="8371" ht="30" customHeight="1">
      <c r="A8371" s="60" t="inlineStr">
        <is>
          <t>TC-RS-ERR-018 / replay-form</t>
        </is>
      </c>
      <c r="B8371" s="36" t="n"/>
      <c r="C8371" s="36" t="n"/>
      <c r="D8371" s="36" t="n"/>
      <c r="E8371" s="36" t="n"/>
    </row>
    <row r="8372" ht="30" customHeight="1">
      <c r="A8372" s="47" t="inlineStr">
        <is>
          <t>Dữ liệu biến thể</t>
        </is>
      </c>
      <c r="B8372" s="56" t="inlineStr">
        <is>
          <t>Bước 3 gửi lại form sau baseline bước 1–2</t>
        </is>
      </c>
      <c r="C8372" s="57" t="n"/>
      <c r="D8372" s="57" t="n"/>
      <c r="E8372" s="57" t="n"/>
    </row>
    <row r="8373" ht="30" customHeight="1">
      <c r="A8373" s="47" t="inlineStr">
        <is>
          <t>Trạng thái</t>
        </is>
      </c>
      <c r="B8373" s="61" t="inlineStr">
        <is>
          <t>Chưa thực hiện</t>
        </is>
      </c>
      <c r="C8373" s="57" t="n"/>
      <c r="D8373" s="57" t="n"/>
      <c r="E8373" s="57" t="n"/>
    </row>
    <row r="8374" ht="30" customHeight="1">
      <c r="A8374" s="62" t="inlineStr">
        <is>
          <t>Kết quả thực tế</t>
        </is>
      </c>
    </row>
    <row r="8375" ht="64" customHeight="1">
      <c r="A8375" s="63" t="inlineStr"/>
      <c r="B8375" s="64" t="n"/>
      <c r="C8375" s="64" t="n"/>
      <c r="D8375" s="64" t="n"/>
      <c r="E8375" s="65" t="n"/>
    </row>
    <row r="8376" ht="30" customHeight="1">
      <c r="A8376" s="62" t="inlineStr">
        <is>
          <t>Ảnh minh chứng</t>
        </is>
      </c>
    </row>
    <row r="8377" ht="90" customHeight="1">
      <c r="A8377" s="63" t="inlineStr"/>
      <c r="B8377" s="64" t="n"/>
      <c r="C8377" s="64" t="n"/>
      <c r="D8377" s="64" t="n"/>
      <c r="E8377" s="65" t="n"/>
    </row>
    <row r="8378" ht="12" customHeight="1">
      <c r="A8378" s="66" t="inlineStr"/>
    </row>
    <row r="8379" ht="30" customHeight="1">
      <c r="A8379" s="60" t="inlineStr">
        <is>
          <t>TC-RS-ERR-018 / replay-job</t>
        </is>
      </c>
      <c r="B8379" s="36" t="n"/>
      <c r="C8379" s="36" t="n"/>
      <c r="D8379" s="36" t="n"/>
      <c r="E8379" s="36" t="n"/>
    </row>
    <row r="8380" ht="30" customHeight="1">
      <c r="A8380" s="47" t="inlineStr">
        <is>
          <t>Dữ liệu biến thể</t>
        </is>
      </c>
      <c r="B8380" s="56" t="inlineStr">
        <is>
          <t>Bước 3 chạy lại job cùng lượt nếu có seam, không có seam thì BLOCKED</t>
        </is>
      </c>
      <c r="C8380" s="57" t="n"/>
      <c r="D8380" s="57" t="n"/>
      <c r="E8380" s="57" t="n"/>
    </row>
    <row r="8381" ht="30" customHeight="1">
      <c r="A8381" s="47" t="inlineStr">
        <is>
          <t>Trạng thái</t>
        </is>
      </c>
      <c r="B8381" s="61" t="inlineStr">
        <is>
          <t>Chưa thực hiện</t>
        </is>
      </c>
      <c r="C8381" s="57" t="n"/>
      <c r="D8381" s="57" t="n"/>
      <c r="E8381" s="57" t="n"/>
    </row>
    <row r="8382" ht="30" customHeight="1">
      <c r="A8382" s="62" t="inlineStr">
        <is>
          <t>Kết quả thực tế</t>
        </is>
      </c>
    </row>
    <row r="8383" ht="64" customHeight="1">
      <c r="A8383" s="63" t="inlineStr"/>
      <c r="B8383" s="64" t="n"/>
      <c r="C8383" s="64" t="n"/>
      <c r="D8383" s="64" t="n"/>
      <c r="E8383" s="65" t="n"/>
    </row>
    <row r="8384" ht="30" customHeight="1">
      <c r="A8384" s="62" t="inlineStr">
        <is>
          <t>Ảnh minh chứng</t>
        </is>
      </c>
    </row>
    <row r="8385" ht="90" customHeight="1">
      <c r="A8385" s="63" t="inlineStr"/>
      <c r="B8385" s="64" t="n"/>
      <c r="C8385" s="64" t="n"/>
      <c r="D8385" s="64" t="n"/>
      <c r="E8385" s="65" t="n"/>
    </row>
    <row r="8386" ht="12" customHeight="1">
      <c r="A8386" s="66" t="inlineStr"/>
    </row>
    <row r="8387" ht="20" customHeight="1">
      <c r="A8387" s="66" t="inlineStr"/>
    </row>
    <row r="8388" ht="30" customHeight="1">
      <c r="A8388" s="46" t="inlineStr">
        <is>
          <t>TC-RS-ERR-019 — Đăng ký lần đầu đồng thời hai mục khác nhau của cùng học sinh giữ đủ cả hai</t>
        </is>
      </c>
      <c r="B8388" s="23" t="n"/>
      <c r="C8388" s="23" t="n"/>
      <c r="D8388" s="23" t="n"/>
      <c r="E8388" s="23" t="n"/>
    </row>
    <row r="8389" ht="30" customHeight="1">
      <c r="A8389" s="47" t="inlineStr">
        <is>
          <t>Trạng thái</t>
        </is>
      </c>
      <c r="B8389" s="61" t="inlineStr">
        <is>
          <t>Chưa thực hiện</t>
        </is>
      </c>
      <c r="C8389" s="57" t="n"/>
      <c r="D8389" s="57" t="n"/>
      <c r="E8389" s="57" t="n"/>
    </row>
    <row r="8390" ht="30" customHeight="1">
      <c r="A8390" s="47" t="inlineStr">
        <is>
          <t>Màn hình / chức năng</t>
        </is>
      </c>
      <c r="B8390" s="47" t="inlineStr">
        <is>
          <t>Lỗi và cập nhật kết quả</t>
        </is>
      </c>
      <c r="C8390" s="57" t="n"/>
      <c r="D8390" s="47" t="inlineStr">
        <is>
          <t>Đường dẫn</t>
        </is>
      </c>
      <c r="E8390" s="56" t="inlineStr">
        <is>
          <t>Chưa xác minh</t>
        </is>
      </c>
    </row>
    <row r="8391" ht="30" customHeight="1">
      <c r="A8391" s="58" t="inlineStr">
        <is>
          <t>Điều kiện kiểm thử</t>
        </is>
      </c>
      <c r="B8391" s="59" t="n"/>
      <c r="C8391" s="59" t="n"/>
      <c r="D8391" s="59" t="n"/>
      <c r="E8391" s="59" t="n"/>
    </row>
    <row r="8392" ht="78" customHeight="1">
      <c r="A8392" s="47" t="inlineStr">
        <is>
          <t>Cấu hình</t>
        </is>
      </c>
      <c r="B8392" s="56" t="inlineStr">
        <is>
          <t>• Cùng học sinh S01, lớp G-A, cùng kỳ Cuối kỳ học kỳ 1（1学期期末）, điểm thường;
• Hai mục số khác nhau (mục số nguyên (M=100) và một mục số thứ hai của cùng khung) đều có quy tắc cố định 30 [&lt;];
• Chưa có dòng điểm vật lý nào của S01 cho kỳ này.</t>
        </is>
      </c>
      <c r="C8392" s="57" t="n"/>
      <c r="D8392" s="57" t="n"/>
      <c r="E8392" s="57" t="n"/>
    </row>
    <row r="8393" ht="61" customHeight="1">
      <c r="A8393" s="47" t="inlineStr">
        <is>
          <t>Vai trò / quyền</t>
        </is>
      </c>
      <c r="B839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393" s="57" t="n"/>
      <c r="D8393" s="57" t="n"/>
      <c r="E8393" s="57" t="n"/>
    </row>
    <row r="8394" ht="78" customHeight="1">
      <c r="A8394" s="47" t="inlineStr">
        <is>
          <t>Dữ liệu test</t>
        </is>
      </c>
      <c r="B8394" s="56" t="inlineStr">
        <is>
          <t>• Mục số nguyên (M=100);
• Quy tắc “Cố định 30” (dưới 30);
• Học sinh S01 (điểm 29);
• Tài khoản giáo viên nhập điểm lớp G-A, G-B, G-C (hai phiên đăng nhập)</t>
        </is>
      </c>
      <c r="C8394" s="57" t="n"/>
      <c r="D8394" s="57" t="n"/>
      <c r="E8394" s="57" t="n"/>
    </row>
    <row r="8395" ht="30" customHeight="1">
      <c r="A8395" s="47" t="inlineStr">
        <is>
          <t>Trigger</t>
        </is>
      </c>
      <c r="B8395" s="56" t="inlineStr">
        <is>
          <t>• Chỉ xem/xuất không tự chạy xét.</t>
        </is>
      </c>
      <c r="C8395" s="57" t="n"/>
      <c r="D8395" s="57" t="n"/>
      <c r="E8395" s="57" t="n"/>
    </row>
    <row r="8396" ht="44" customHeight="1">
      <c r="A8396" s="47" t="inlineStr">
        <is>
          <t>Blocker</t>
        </is>
      </c>
      <c r="B8396" s="56" t="inlineStr">
        <is>
          <t>• G-PREP-UNASSESSED: Chưa có xác minh fixture, đường thực hiện và phép quan sát trên build của từng case chưa đánh giá.</t>
        </is>
      </c>
      <c r="C8396" s="57" t="n"/>
      <c r="D8396" s="57" t="n"/>
      <c r="E8396" s="57" t="n"/>
    </row>
    <row r="8397" ht="30" customHeight="1">
      <c r="A8397" s="58" t="inlineStr">
        <is>
          <t>Thao tác</t>
        </is>
      </c>
      <c r="B8397" s="59" t="n"/>
      <c r="C8397" s="59" t="n"/>
      <c r="D8397" s="59" t="n"/>
      <c r="E8397" s="59" t="n"/>
    </row>
    <row r="8398" ht="44" customHeight="1">
      <c r="A8398" s="47" t="inlineStr">
        <is>
          <t>Step 1</t>
        </is>
      </c>
      <c r="B8398" s="56" t="inlineStr">
        <is>
          <t>Hai phiên cùng lúc: phiên 1 lưu S01 = 29 cho mục số nguyên (M=100); phiên 2 lưu S01 = 45 cho mục thứ hai.</t>
        </is>
      </c>
      <c r="C8398" s="57" t="n"/>
      <c r="D8398" s="57" t="n"/>
      <c r="E8398" s="57" t="n"/>
    </row>
    <row r="8399" ht="44" customHeight="1">
      <c r="A8399" s="47" t="inlineStr">
        <is>
          <t>Step 2</t>
        </is>
      </c>
      <c r="B8399" s="56" t="inlineStr">
        <is>
          <t>Mở lại Đăng ký thành tích（成績登録）; xem trích xuất; SELECT dòng điểm của S01 (trường/năm/học sinh/lớp/kỳ/đơn vị) và dòng kết quả của hai ô.</t>
        </is>
      </c>
      <c r="C8399" s="57" t="n"/>
      <c r="D8399" s="57" t="n"/>
      <c r="E8399" s="57" t="n"/>
    </row>
    <row r="8400" ht="44" customHeight="1">
      <c r="A8400" s="47" t="inlineStr">
        <is>
          <t>Reset</t>
        </is>
      </c>
      <c r="B8400" s="56" t="inlineStr">
        <is>
          <t>Trước mỗi biến thể, dựng lại điều kiện/dữ liệu đầu của case bằng đường được phép; giữ các reset/fixture độc lập đã nêu trong thủ tục.</t>
        </is>
      </c>
      <c r="C8400" s="57" t="n"/>
      <c r="D8400" s="57" t="n"/>
      <c r="E8400" s="57" t="n"/>
    </row>
    <row r="8401" ht="30" customHeight="1">
      <c r="A8401" s="58" t="inlineStr">
        <is>
          <t>Kết quả mong đợi</t>
        </is>
      </c>
      <c r="B8401" s="59" t="n"/>
      <c r="C8401" s="59" t="n"/>
      <c r="D8401" s="59" t="n"/>
      <c r="E8401" s="59" t="n"/>
    </row>
    <row r="8402" ht="30" customHeight="1">
      <c r="A8402" s="47" t="inlineStr">
        <is>
          <t>•</t>
        </is>
      </c>
      <c r="B8402" s="56" t="inlineStr">
        <is>
          <t>Cả hai điểm được giữ: mục số nguyên (M=100) = 29 (Đỏ), mục thứ hai = 45 (Không đỏ).</t>
        </is>
      </c>
      <c r="C8402" s="57" t="n"/>
      <c r="D8402" s="57" t="n"/>
      <c r="E8402" s="57" t="n"/>
    </row>
    <row r="8403" ht="44" customHeight="1">
      <c r="A8403" s="47" t="inlineStr">
        <is>
          <t>•</t>
        </is>
      </c>
      <c r="B8403" s="56" t="inlineStr">
        <is>
          <t>Chỉ một dòng điểm vật lý cho S01/G-A/kỳ/điểm thường; không có dòng trùng; không mất điểm hoặc kết quả của mục nào.</t>
        </is>
      </c>
      <c r="C8403" s="57" t="n"/>
      <c r="D8403" s="57" t="n"/>
      <c r="E8403" s="57" t="n"/>
    </row>
    <row r="8404" ht="44" customHeight="1">
      <c r="A8404" s="47" t="inlineStr">
        <is>
          <t>Giữ nguyên</t>
        </is>
      </c>
      <c r="B8404" s="56" t="inlineStr">
        <is>
          <t>• Giữ điểm, cấu hình và đối tượng không đích theo expected;
• Chỉ thay phần thủ tục yêu cầu, không tự đổi oracle hoặc mở rộng phạm vi.</t>
        </is>
      </c>
      <c r="C8404" s="57" t="n"/>
      <c r="D8404" s="57" t="n"/>
      <c r="E8404" s="57" t="n"/>
    </row>
    <row r="8405" ht="61" customHeight="1">
      <c r="A8405" s="47" t="inlineStr">
        <is>
          <t>Quan sát tại</t>
        </is>
      </c>
      <c r="B8405" s="56" t="inlineStr">
        <is>
          <t>• Dùng trích xuất không lọc để thấy cả ô đối chứng. Trạng thái không có dấu đỏ cần đọc thêm trạng thái lưu;
• Output Excel/PDF dùng file thật.</t>
        </is>
      </c>
      <c r="C8405" s="57" t="n"/>
      <c r="D8405" s="57" t="n"/>
      <c r="E8405" s="57" t="n"/>
    </row>
    <row r="8406" ht="30" customHeight="1">
      <c r="A8406" s="58" t="inlineStr">
        <is>
          <t>Kết quả thực tế</t>
        </is>
      </c>
      <c r="B8406" s="59" t="n"/>
      <c r="C8406" s="59" t="n"/>
      <c r="D8406" s="59" t="n"/>
      <c r="E8406" s="59" t="n"/>
    </row>
    <row r="8407" ht="30" customHeight="1">
      <c r="A8407" s="47" t="inlineStr">
        <is>
          <t>Dữ liệu biến thể</t>
        </is>
      </c>
      <c r="B8407" s="56" t="inlineStr">
        <is>
          <t>Toàn bộ thủ tục theo đúng thứ tự; các đối chứng cùng fixture được kiểm trong cùng lượt, không bỏ bước</t>
        </is>
      </c>
      <c r="C8407" s="57" t="n"/>
      <c r="D8407" s="57" t="n"/>
      <c r="E8407" s="57" t="n"/>
    </row>
    <row r="8408" ht="30" customHeight="1">
      <c r="A8408" s="62" t="inlineStr">
        <is>
          <t>Kết quả thực tế</t>
        </is>
      </c>
    </row>
    <row r="8409" ht="64" customHeight="1">
      <c r="A8409" s="63" t="inlineStr"/>
      <c r="B8409" s="64" t="n"/>
      <c r="C8409" s="64" t="n"/>
      <c r="D8409" s="64" t="n"/>
      <c r="E8409" s="65" t="n"/>
    </row>
    <row r="8410" ht="30" customHeight="1">
      <c r="A8410" s="62" t="inlineStr">
        <is>
          <t>Ảnh minh chứng</t>
        </is>
      </c>
    </row>
    <row r="8411" ht="90" customHeight="1">
      <c r="A8411" s="63" t="inlineStr"/>
      <c r="B8411" s="64" t="n"/>
      <c r="C8411" s="64" t="n"/>
      <c r="D8411" s="64" t="n"/>
      <c r="E8411" s="65" t="n"/>
    </row>
    <row r="8412" ht="12" customHeight="1">
      <c r="A8412" s="66" t="inlineStr"/>
    </row>
    <row r="8413" ht="20" customHeight="1">
      <c r="A8413" s="66" t="inlineStr"/>
    </row>
    <row r="8414" ht="30" customHeight="1">
      <c r="A8414" s="46" t="inlineStr">
        <is>
          <t>TC-RS-UI-025 — Loại ngưỡng/điều kiện chưa thuộc phạm vi phát hành không hiện như đang hoạt động</t>
        </is>
      </c>
      <c r="B8414" s="23" t="n"/>
      <c r="C8414" s="23" t="n"/>
      <c r="D8414" s="23" t="n"/>
      <c r="E8414" s="23" t="n"/>
    </row>
    <row r="8415" ht="30" customHeight="1">
      <c r="A8415" s="47" t="inlineStr">
        <is>
          <t>Trạng thái</t>
        </is>
      </c>
      <c r="B8415" s="61" t="inlineStr">
        <is>
          <t>Chưa thực hiện</t>
        </is>
      </c>
      <c r="C8415" s="57" t="n"/>
      <c r="D8415" s="57" t="n"/>
      <c r="E8415" s="57" t="n"/>
    </row>
    <row r="8416" ht="30" customHeight="1">
      <c r="A8416" s="47" t="inlineStr">
        <is>
          <t>Màn hình / chức năng</t>
        </is>
      </c>
      <c r="B8416" s="47" t="inlineStr">
        <is>
          <t>Phạm vi triển khai</t>
        </is>
      </c>
      <c r="C8416" s="57" t="n"/>
      <c r="D8416" s="47" t="inlineStr">
        <is>
          <t>Đường dẫn</t>
        </is>
      </c>
      <c r="E8416" s="56" t="inlineStr">
        <is>
          <t>Chưa xác minh</t>
        </is>
      </c>
    </row>
    <row r="8417" ht="30" customHeight="1">
      <c r="A8417" s="58" t="inlineStr">
        <is>
          <t>Điều kiện kiểm thử</t>
        </is>
      </c>
      <c r="B8417" s="59" t="n"/>
      <c r="C8417" s="59" t="n"/>
      <c r="D8417" s="59" t="n"/>
      <c r="E8417" s="59" t="n"/>
    </row>
    <row r="8418" ht="30" customHeight="1">
      <c r="A8418" s="47" t="inlineStr">
        <is>
          <t>Cấu hình</t>
        </is>
      </c>
      <c r="B8418" s="56" t="inlineStr">
        <is>
          <t>• Có danh sách phạm vi phát hành (đặc tả v2 mục 1.4, mục 13.1).</t>
        </is>
      </c>
      <c r="C8418" s="57" t="n"/>
      <c r="D8418" s="57" t="n"/>
      <c r="E8418" s="57" t="n"/>
    </row>
    <row r="8419" ht="61" customHeight="1">
      <c r="A8419" s="47" t="inlineStr">
        <is>
          <t>Vai trò / quyền</t>
        </is>
      </c>
      <c r="B841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419" s="57" t="n"/>
      <c r="D8419" s="57" t="n"/>
      <c r="E8419" s="57" t="n"/>
    </row>
    <row r="8420" ht="30" customHeight="1">
      <c r="A8420" s="47" t="inlineStr">
        <is>
          <t>Dữ liệu test</t>
        </is>
      </c>
      <c r="B8420" s="56" t="inlineStr">
        <is>
          <t>• —</t>
        </is>
      </c>
      <c r="C8420" s="57" t="n"/>
      <c r="D8420" s="57" t="n"/>
      <c r="E8420" s="57" t="n"/>
    </row>
    <row r="8421" ht="30" customHeight="1">
      <c r="A8421" s="47" t="inlineStr">
        <is>
          <t>Trigger</t>
        </is>
      </c>
      <c r="B8421" s="56" t="inlineStr">
        <is>
          <t>• Chỉ xem/xuất không tự chạy xét.</t>
        </is>
      </c>
      <c r="C8421" s="57" t="n"/>
      <c r="D8421" s="57" t="n"/>
      <c r="E8421" s="57" t="n"/>
    </row>
    <row r="8422" ht="44" customHeight="1">
      <c r="A8422" s="47" t="inlineStr">
        <is>
          <t>Blocker</t>
        </is>
      </c>
      <c r="B8422" s="56" t="inlineStr">
        <is>
          <t>• G-PREP-UNASSESSED: Chưa có xác minh fixture, đường thực hiện và phép quan sát trên build của từng case chưa đánh giá.</t>
        </is>
      </c>
      <c r="C8422" s="57" t="n"/>
      <c r="D8422" s="57" t="n"/>
      <c r="E8422" s="57" t="n"/>
    </row>
    <row r="8423" ht="30" customHeight="1">
      <c r="A8423" s="58" t="inlineStr">
        <is>
          <t>Thao tác</t>
        </is>
      </c>
      <c r="B8423" s="59" t="n"/>
      <c r="C8423" s="59" t="n"/>
      <c r="D8423" s="59" t="n"/>
      <c r="E8423" s="59" t="n"/>
    </row>
    <row r="8424" ht="30" customHeight="1">
      <c r="A8424" s="47" t="inlineStr">
        <is>
          <t>Step 1</t>
        </is>
      </c>
      <c r="B8424" s="56" t="inlineStr">
        <is>
          <t>Mở màn Điều kiện áp dụng（適用条件設定）, xem các loại điều kiện.</t>
        </is>
      </c>
      <c r="C8424" s="57" t="n"/>
      <c r="D8424" s="57" t="n"/>
      <c r="E8424" s="57" t="n"/>
    </row>
    <row r="8425" ht="30" customHeight="1">
      <c r="A8425" s="47" t="inlineStr">
        <is>
          <t>Step 2</t>
        </is>
      </c>
      <c r="B8425" s="56" t="inlineStr">
        <is>
          <t>Mở màn Ngưỡng đỏ（赤点の基準）, xem các loại ngưỡng.</t>
        </is>
      </c>
      <c r="C8425" s="57" t="n"/>
      <c r="D8425" s="57" t="n"/>
      <c r="E8425" s="57" t="n"/>
    </row>
    <row r="8426" ht="44" customHeight="1">
      <c r="A8426" s="47" t="inlineStr">
        <is>
          <t>Step 3</t>
        </is>
      </c>
      <c r="B8426" s="56" t="inlineStr">
        <is>
          <t>Với loại không có trong danh sách phát hành (ví dụ Công thức（計算式）, điều kiện Trung bình（平均点））: nếu chọn được thì thử Lưu.</t>
        </is>
      </c>
      <c r="C8426" s="57" t="n"/>
      <c r="D8426" s="57" t="n"/>
      <c r="E8426" s="57" t="n"/>
    </row>
    <row r="8427" ht="44" customHeight="1">
      <c r="A8427" s="47" t="inlineStr">
        <is>
          <t>Reset</t>
        </is>
      </c>
      <c r="B8427" s="56" t="inlineStr">
        <is>
          <t>Trước mỗi biến thể, dựng lại điều kiện/dữ liệu đầu của case bằng đường được phép; giữ các reset/fixture độc lập đã nêu trong thủ tục.</t>
        </is>
      </c>
      <c r="C8427" s="57" t="n"/>
      <c r="D8427" s="57" t="n"/>
      <c r="E8427" s="57" t="n"/>
    </row>
    <row r="8428" ht="30" customHeight="1">
      <c r="A8428" s="58" t="inlineStr">
        <is>
          <t>Kết quả mong đợi</t>
        </is>
      </c>
      <c r="B8428" s="59" t="n"/>
      <c r="C8428" s="59" t="n"/>
      <c r="D8428" s="59" t="n"/>
      <c r="E8428" s="59" t="n"/>
    </row>
    <row r="8429" ht="30" customHeight="1">
      <c r="A8429" s="47" t="inlineStr">
        <is>
          <t>•</t>
        </is>
      </c>
      <c r="B8429" s="56" t="inlineStr">
        <is>
          <t>Loại ngoài phạm vi không hiện như lựa chọn dùng được; không lưu được cấu hình dùng loại đó.</t>
        </is>
      </c>
      <c r="C8429" s="57" t="n"/>
      <c r="D8429" s="57" t="n"/>
      <c r="E8429" s="57" t="n"/>
    </row>
    <row r="8430" ht="44" customHeight="1">
      <c r="A8430" s="47" t="inlineStr">
        <is>
          <t>Giữ nguyên</t>
        </is>
      </c>
      <c r="B8430" s="56" t="inlineStr">
        <is>
          <t>• Giữ điểm, cấu hình và đối tượng không đích theo expected;
• Chỉ thay phần thủ tục yêu cầu, không tự đổi oracle hoặc mở rộng phạm vi.</t>
        </is>
      </c>
      <c r="C8430" s="57" t="n"/>
      <c r="D8430" s="57" t="n"/>
      <c r="E8430" s="57" t="n"/>
    </row>
    <row r="8431" ht="61" customHeight="1">
      <c r="A8431" s="47" t="inlineStr">
        <is>
          <t>Quan sát tại</t>
        </is>
      </c>
      <c r="B8431" s="56" t="inlineStr">
        <is>
          <t>• Dùng trích xuất không lọc để thấy cả ô đối chứng. Trạng thái không có dấu đỏ cần đọc thêm trạng thái lưu;
• Output Excel/PDF dùng file thật.</t>
        </is>
      </c>
      <c r="C8431" s="57" t="n"/>
      <c r="D8431" s="57" t="n"/>
      <c r="E8431" s="57" t="n"/>
    </row>
    <row r="8432" ht="30" customHeight="1">
      <c r="A8432" s="58" t="inlineStr">
        <is>
          <t>Kết quả thực tế</t>
        </is>
      </c>
      <c r="B8432" s="59" t="n"/>
      <c r="C8432" s="59" t="n"/>
      <c r="D8432" s="59" t="n"/>
      <c r="E8432" s="59" t="n"/>
    </row>
    <row r="8433" ht="30" customHeight="1">
      <c r="A8433" s="47" t="inlineStr">
        <is>
          <t>Dữ liệu biến thể</t>
        </is>
      </c>
      <c r="B8433" s="56" t="inlineStr">
        <is>
          <t>Toàn bộ thủ tục theo đúng thứ tự; các đối chứng cùng fixture được kiểm trong cùng lượt, không bỏ bước</t>
        </is>
      </c>
      <c r="C8433" s="57" t="n"/>
      <c r="D8433" s="57" t="n"/>
      <c r="E8433" s="57" t="n"/>
    </row>
    <row r="8434" ht="30" customHeight="1">
      <c r="A8434" s="62" t="inlineStr">
        <is>
          <t>Kết quả thực tế</t>
        </is>
      </c>
    </row>
    <row r="8435" ht="64" customHeight="1">
      <c r="A8435" s="63" t="inlineStr"/>
      <c r="B8435" s="64" t="n"/>
      <c r="C8435" s="64" t="n"/>
      <c r="D8435" s="64" t="n"/>
      <c r="E8435" s="65" t="n"/>
    </row>
    <row r="8436" ht="30" customHeight="1">
      <c r="A8436" s="62" t="inlineStr">
        <is>
          <t>Ảnh minh chứng</t>
        </is>
      </c>
    </row>
    <row r="8437" ht="90" customHeight="1">
      <c r="A8437" s="63" t="inlineStr"/>
      <c r="B8437" s="64" t="n"/>
      <c r="C8437" s="64" t="n"/>
      <c r="D8437" s="64" t="n"/>
      <c r="E8437" s="65" t="n"/>
    </row>
    <row r="8438" ht="12" customHeight="1">
      <c r="A8438" s="66" t="inlineStr"/>
    </row>
    <row r="8439" ht="20" customHeight="1">
      <c r="A8439" s="66" t="inlineStr"/>
    </row>
    <row r="8440" ht="30" customHeight="1">
      <c r="A8440" s="46" t="inlineStr">
        <is>
          <t>TC-RS-REG-001 — Điểm do tính tự động（自動計算） tạo ra không đổi khi có quy tắc đỏ</t>
        </is>
      </c>
      <c r="B8440" s="23" t="n"/>
      <c r="C8440" s="23" t="n"/>
      <c r="D8440" s="23" t="n"/>
      <c r="E8440" s="23" t="n"/>
    </row>
    <row r="8441" ht="30" customHeight="1">
      <c r="A8441" s="47" t="inlineStr">
        <is>
          <t>Trạng thái</t>
        </is>
      </c>
      <c r="B8441" s="61" t="inlineStr">
        <is>
          <t>Chưa thực hiện</t>
        </is>
      </c>
      <c r="C8441" s="57" t="n"/>
      <c r="D8441" s="57" t="n"/>
      <c r="E8441" s="57" t="n"/>
    </row>
    <row r="8442" ht="30" customHeight="1">
      <c r="A8442" s="47" t="inlineStr">
        <is>
          <t>Màn hình / chức năng</t>
        </is>
      </c>
      <c r="B8442" s="47" t="inlineStr">
        <is>
          <t>Hồi quy luồng hiện có</t>
        </is>
      </c>
      <c r="C8442" s="57" t="n"/>
      <c r="D8442" s="47" t="inlineStr">
        <is>
          <t>Đường dẫn</t>
        </is>
      </c>
      <c r="E8442" s="56" t="inlineStr">
        <is>
          <t>Chưa xác minh</t>
        </is>
      </c>
    </row>
    <row r="8443" ht="30" customHeight="1">
      <c r="A8443" s="58" t="inlineStr">
        <is>
          <t>Điều kiện kiểm thử</t>
        </is>
      </c>
      <c r="B8443" s="59" t="n"/>
      <c r="C8443" s="59" t="n"/>
      <c r="D8443" s="59" t="n"/>
      <c r="E8443" s="59" t="n"/>
    </row>
    <row r="8444" ht="44" customHeight="1">
      <c r="A8444" s="47" t="inlineStr">
        <is>
          <t>Cấu hình</t>
        </is>
      </c>
      <c r="B8444" s="56" t="inlineStr">
        <is>
          <t>• Mục số nguyên có thêm tính tự động có quy tắc tính tự động;
• Baseline điểm tự động của khối 1. Thêm quy tắc “Cố định 30” (dưới 30).</t>
        </is>
      </c>
      <c r="C8444" s="57" t="n"/>
      <c r="D8444" s="57" t="n"/>
      <c r="E8444" s="57" t="n"/>
    </row>
    <row r="8445" ht="61" customHeight="1">
      <c r="A8445" s="47" t="inlineStr">
        <is>
          <t>Vai trò / quyền</t>
        </is>
      </c>
      <c r="B844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445" s="57" t="n"/>
      <c r="D8445" s="57" t="n"/>
      <c r="E8445" s="57" t="n"/>
    </row>
    <row r="8446" ht="30" customHeight="1">
      <c r="A8446" s="47" t="inlineStr">
        <is>
          <t>Dữ liệu test</t>
        </is>
      </c>
      <c r="B8446" s="56" t="inlineStr">
        <is>
          <t>• Mục số nguyên có thêm tính tự động, quy tắc “Cố định 30” (dưới 30)</t>
        </is>
      </c>
      <c r="C8446" s="57" t="n"/>
      <c r="D8446" s="57" t="n"/>
      <c r="E8446" s="57" t="n"/>
    </row>
    <row r="8447" ht="30" customHeight="1">
      <c r="A8447" s="47" t="inlineStr">
        <is>
          <t>Trigger</t>
        </is>
      </c>
      <c r="B8447" s="56" t="inlineStr">
        <is>
          <t>• Chỉ xem/xuất không tự chạy xét.</t>
        </is>
      </c>
      <c r="C8447" s="57" t="n"/>
      <c r="D8447" s="57" t="n"/>
      <c r="E8447" s="57" t="n"/>
    </row>
    <row r="8448" ht="44" customHeight="1">
      <c r="A8448" s="47" t="inlineStr">
        <is>
          <t>Blocker</t>
        </is>
      </c>
      <c r="B8448" s="56" t="inlineStr">
        <is>
          <t>• G-PREP-UNASSESSED: Chưa có xác minh fixture, đường thực hiện và phép quan sát trên build của từng case chưa đánh giá.</t>
        </is>
      </c>
      <c r="C8448" s="57" t="n"/>
      <c r="D8448" s="57" t="n"/>
      <c r="E8448" s="57" t="n"/>
    </row>
    <row r="8449" ht="30" customHeight="1">
      <c r="A8449" s="58" t="inlineStr">
        <is>
          <t>Thao tác</t>
        </is>
      </c>
      <c r="B8449" s="59" t="n"/>
      <c r="C8449" s="59" t="n"/>
      <c r="D8449" s="59" t="n"/>
      <c r="E8449" s="59" t="n"/>
    </row>
    <row r="8450" ht="30" customHeight="1">
      <c r="A8450" s="47" t="inlineStr">
        <is>
          <t>Step 1</t>
        </is>
      </c>
      <c r="B8450" s="56" t="inlineStr">
        <is>
          <t>Chạy nút cam cho khối 1.</t>
        </is>
      </c>
      <c r="C8450" s="57" t="n"/>
      <c r="D8450" s="57" t="n"/>
      <c r="E8450" s="57" t="n"/>
    </row>
    <row r="8451" ht="30" customHeight="1">
      <c r="A8451" s="47" t="inlineStr">
        <is>
          <t>Step 2</t>
        </is>
      </c>
      <c r="B8451" s="56" t="inlineStr">
        <is>
          <t>So điểm của mục số nguyên có thêm tính tự động với baseline.</t>
        </is>
      </c>
      <c r="C8451" s="57" t="n"/>
      <c r="D8451" s="57" t="n"/>
      <c r="E8451" s="57" t="n"/>
    </row>
    <row r="8452" ht="44" customHeight="1">
      <c r="A8452" s="47" t="inlineStr">
        <is>
          <t>Reset</t>
        </is>
      </c>
      <c r="B8452" s="56" t="inlineStr">
        <is>
          <t>Trước mỗi biến thể, dựng lại điều kiện/dữ liệu đầu của case bằng đường được phép; giữ các reset/fixture độc lập đã nêu trong thủ tục.</t>
        </is>
      </c>
      <c r="C8452" s="57" t="n"/>
      <c r="D8452" s="57" t="n"/>
      <c r="E8452" s="57" t="n"/>
    </row>
    <row r="8453" ht="30" customHeight="1">
      <c r="A8453" s="58" t="inlineStr">
        <is>
          <t>Kết quả mong đợi</t>
        </is>
      </c>
      <c r="B8453" s="59" t="n"/>
      <c r="C8453" s="59" t="n"/>
      <c r="D8453" s="59" t="n"/>
      <c r="E8453" s="59" t="n"/>
    </row>
    <row r="8454" ht="30" customHeight="1">
      <c r="A8454" s="47" t="inlineStr">
        <is>
          <t>•</t>
        </is>
      </c>
      <c r="B8454" s="56" t="inlineStr">
        <is>
          <t>Mọi điểm tự động bằng baseline; chỉ có thêm kết quả đỏ.</t>
        </is>
      </c>
      <c r="C8454" s="57" t="n"/>
      <c r="D8454" s="57" t="n"/>
      <c r="E8454" s="57" t="n"/>
    </row>
    <row r="8455" ht="44" customHeight="1">
      <c r="A8455" s="47" t="inlineStr">
        <is>
          <t>Giữ nguyên</t>
        </is>
      </c>
      <c r="B8455" s="56" t="inlineStr">
        <is>
          <t>• Giữ điểm, cấu hình và đối tượng không đích theo expected;
• Chỉ thay phần thủ tục yêu cầu, không tự đổi oracle hoặc mở rộng phạm vi.</t>
        </is>
      </c>
      <c r="C8455" s="57" t="n"/>
      <c r="D8455" s="57" t="n"/>
      <c r="E8455" s="57" t="n"/>
    </row>
    <row r="8456" ht="61" customHeight="1">
      <c r="A8456" s="47" t="inlineStr">
        <is>
          <t>Quan sát tại</t>
        </is>
      </c>
      <c r="B8456" s="56" t="inlineStr">
        <is>
          <t>• Dùng trích xuất không lọc để thấy cả ô đối chứng. Trạng thái không có dấu đỏ cần đọc thêm trạng thái lưu;
• Output Excel/PDF dùng file thật.</t>
        </is>
      </c>
      <c r="C8456" s="57" t="n"/>
      <c r="D8456" s="57" t="n"/>
      <c r="E8456" s="57" t="n"/>
    </row>
    <row r="8457" ht="30" customHeight="1">
      <c r="A8457" s="58" t="inlineStr">
        <is>
          <t>Kết quả thực tế</t>
        </is>
      </c>
      <c r="B8457" s="59" t="n"/>
      <c r="C8457" s="59" t="n"/>
      <c r="D8457" s="59" t="n"/>
      <c r="E8457" s="59" t="n"/>
    </row>
    <row r="8458" ht="30" customHeight="1">
      <c r="A8458" s="47" t="inlineStr">
        <is>
          <t>Dữ liệu biến thể</t>
        </is>
      </c>
      <c r="B8458" s="56" t="inlineStr">
        <is>
          <t>Toàn bộ thủ tục theo đúng thứ tự; các đối chứng cùng fixture được kiểm trong cùng lượt, không bỏ bước</t>
        </is>
      </c>
      <c r="C8458" s="57" t="n"/>
      <c r="D8458" s="57" t="n"/>
      <c r="E8458" s="57" t="n"/>
    </row>
    <row r="8459" ht="30" customHeight="1">
      <c r="A8459" s="62" t="inlineStr">
        <is>
          <t>Kết quả thực tế</t>
        </is>
      </c>
    </row>
    <row r="8460" ht="64" customHeight="1">
      <c r="A8460" s="63" t="inlineStr"/>
      <c r="B8460" s="64" t="n"/>
      <c r="C8460" s="64" t="n"/>
      <c r="D8460" s="64" t="n"/>
      <c r="E8460" s="65" t="n"/>
    </row>
    <row r="8461" ht="30" customHeight="1">
      <c r="A8461" s="62" t="inlineStr">
        <is>
          <t>Ảnh minh chứng</t>
        </is>
      </c>
    </row>
    <row r="8462" ht="90" customHeight="1">
      <c r="A8462" s="63" t="inlineStr"/>
      <c r="B8462" s="64" t="n"/>
      <c r="C8462" s="64" t="n"/>
      <c r="D8462" s="64" t="n"/>
      <c r="E8462" s="65" t="n"/>
    </row>
    <row r="8463" ht="12" customHeight="1">
      <c r="A8463" s="66" t="inlineStr"/>
    </row>
    <row r="8464" ht="20" customHeight="1">
      <c r="A8464" s="66" t="inlineStr"/>
    </row>
    <row r="8465" ht="30" customHeight="1">
      <c r="A8465" s="46" t="inlineStr">
        <is>
          <t>TC-RS-REG-002 — Quy tắc đỏ không kế thừa hành vi "không khớp thì ghi NULL" của AutoRating</t>
        </is>
      </c>
      <c r="B8465" s="23" t="n"/>
      <c r="C8465" s="23" t="n"/>
      <c r="D8465" s="23" t="n"/>
      <c r="E8465" s="23" t="n"/>
    </row>
    <row r="8466" ht="30" customHeight="1">
      <c r="A8466" s="47" t="inlineStr">
        <is>
          <t>Trạng thái</t>
        </is>
      </c>
      <c r="B8466" s="61" t="inlineStr">
        <is>
          <t>Chưa thực hiện</t>
        </is>
      </c>
      <c r="C8466" s="57" t="n"/>
      <c r="D8466" s="57" t="n"/>
      <c r="E8466" s="57" t="n"/>
    </row>
    <row r="8467" ht="30" customHeight="1">
      <c r="A8467" s="47" t="inlineStr">
        <is>
          <t>Màn hình / chức năng</t>
        </is>
      </c>
      <c r="B8467" s="47" t="inlineStr">
        <is>
          <t>Hồi quy luồng hiện có</t>
        </is>
      </c>
      <c r="C8467" s="57" t="n"/>
      <c r="D8467" s="47" t="inlineStr">
        <is>
          <t>Đường dẫn</t>
        </is>
      </c>
      <c r="E8467" s="56" t="inlineStr">
        <is>
          <t>Chưa xác minh</t>
        </is>
      </c>
    </row>
    <row r="8468" ht="30" customHeight="1">
      <c r="A8468" s="58" t="inlineStr">
        <is>
          <t>Điều kiện kiểm thử</t>
        </is>
      </c>
      <c r="B8468" s="59" t="n"/>
      <c r="C8468" s="59" t="n"/>
      <c r="D8468" s="59" t="n"/>
      <c r="E8468" s="59" t="n"/>
    </row>
    <row r="8469" ht="61" customHeight="1">
      <c r="A8469" s="47" t="inlineStr">
        <is>
          <t>Cấu hình</t>
        </is>
      </c>
      <c r="B8469" s="56" t="inlineStr">
        <is>
          <t>• Mục số nguyên (M=100) chỉ có quy tắc có bộ lọc kết hợp (khối 1 hoặc 2, nhóm Nâng cao);
• S07=20 không khớp (như case “Không quy tắc nào khớp khi đủ dữ liệu → Không áp dụng”). Mục không có quy tắc tính tự động.</t>
        </is>
      </c>
      <c r="C8469" s="57" t="n"/>
      <c r="D8469" s="57" t="n"/>
      <c r="E8469" s="57" t="n"/>
    </row>
    <row r="8470" ht="61" customHeight="1">
      <c r="A8470" s="47" t="inlineStr">
        <is>
          <t>Vai trò / quyền</t>
        </is>
      </c>
      <c r="B847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470" s="57" t="n"/>
      <c r="D8470" s="57" t="n"/>
      <c r="E8470" s="57" t="n"/>
    </row>
    <row r="8471" ht="61" customHeight="1">
      <c r="A8471" s="47" t="inlineStr">
        <is>
          <t>Dữ liệu test</t>
        </is>
      </c>
      <c r="B8471" s="56" t="inlineStr">
        <is>
          <t>• Mục số nguyên (M=100);
• Quy tắc có bộ lọc kết hợp (khối 1 hoặc 2, nhóm Nâng cao), học sinh S07 (điểm 35, cờ Chưa dự thi（未受験）)</t>
        </is>
      </c>
      <c r="C8471" s="57" t="n"/>
      <c r="D8471" s="57" t="n"/>
      <c r="E8471" s="57" t="n"/>
    </row>
    <row r="8472" ht="30" customHeight="1">
      <c r="A8472" s="47" t="inlineStr">
        <is>
          <t>Trigger</t>
        </is>
      </c>
      <c r="B8472" s="56" t="inlineStr">
        <is>
          <t>• Chỉ xem/xuất không tự chạy xét.</t>
        </is>
      </c>
      <c r="C8472" s="57" t="n"/>
      <c r="D8472" s="57" t="n"/>
      <c r="E8472" s="57" t="n"/>
    </row>
    <row r="8473" ht="44" customHeight="1">
      <c r="A8473" s="47" t="inlineStr">
        <is>
          <t>Blocker</t>
        </is>
      </c>
      <c r="B8473" s="56" t="inlineStr">
        <is>
          <t>• G-PREP-UNASSESSED: Chưa có xác minh fixture, đường thực hiện và phép quan sát trên build của từng case chưa đánh giá.</t>
        </is>
      </c>
      <c r="C8473" s="57" t="n"/>
      <c r="D8473" s="57" t="n"/>
      <c r="E8473" s="57" t="n"/>
    </row>
    <row r="8474" ht="30" customHeight="1">
      <c r="A8474" s="58" t="inlineStr">
        <is>
          <t>Thao tác</t>
        </is>
      </c>
      <c r="B8474" s="59" t="n"/>
      <c r="C8474" s="59" t="n"/>
      <c r="D8474" s="59" t="n"/>
      <c r="E8474" s="59" t="n"/>
    </row>
    <row r="8475" ht="30" customHeight="1">
      <c r="A8475" s="47" t="inlineStr">
        <is>
          <t>Step 1</t>
        </is>
      </c>
      <c r="B8475" s="56" t="inlineStr">
        <is>
          <t>Đăng ký S07=20; chạy nút cam.</t>
        </is>
      </c>
      <c r="C8475" s="57" t="n"/>
      <c r="D8475" s="57" t="n"/>
      <c r="E8475" s="57" t="n"/>
    </row>
    <row r="8476" ht="30" customHeight="1">
      <c r="A8476" s="47" t="inlineStr">
        <is>
          <t>Step 2</t>
        </is>
      </c>
      <c r="B8476" s="56" t="inlineStr">
        <is>
          <t>Xem điểm S07 trên màn nhập điểm và DB.</t>
        </is>
      </c>
      <c r="C8476" s="57" t="n"/>
      <c r="D8476" s="57" t="n"/>
      <c r="E8476" s="57" t="n"/>
    </row>
    <row r="8477" ht="44" customHeight="1">
      <c r="A8477" s="47" t="inlineStr">
        <is>
          <t>Reset</t>
        </is>
      </c>
      <c r="B8477" s="56" t="inlineStr">
        <is>
          <t>Trước mỗi biến thể, dựng lại điều kiện/dữ liệu đầu của case bằng đường được phép; giữ các reset/fixture độc lập đã nêu trong thủ tục.</t>
        </is>
      </c>
      <c r="C8477" s="57" t="n"/>
      <c r="D8477" s="57" t="n"/>
      <c r="E8477" s="57" t="n"/>
    </row>
    <row r="8478" ht="30" customHeight="1">
      <c r="A8478" s="58" t="inlineStr">
        <is>
          <t>Kết quả mong đợi</t>
        </is>
      </c>
      <c r="B8478" s="59" t="n"/>
      <c r="C8478" s="59" t="n"/>
      <c r="D8478" s="59" t="n"/>
      <c r="E8478" s="59" t="n"/>
    </row>
    <row r="8479" ht="30" customHeight="1">
      <c r="A8479" s="47" t="inlineStr">
        <is>
          <t>•</t>
        </is>
      </c>
      <c r="B8479" s="56" t="inlineStr">
        <is>
          <t>Điểm S07 vẫn 20 (không bị xóa/NULL); kết quả là Không áp dụng.</t>
        </is>
      </c>
      <c r="C8479" s="57" t="n"/>
      <c r="D8479" s="57" t="n"/>
      <c r="E8479" s="57" t="n"/>
    </row>
    <row r="8480" ht="44" customHeight="1">
      <c r="A8480" s="47" t="inlineStr">
        <is>
          <t>Giữ nguyên</t>
        </is>
      </c>
      <c r="B8480" s="56" t="inlineStr">
        <is>
          <t>• Giữ điểm, cấu hình và đối tượng không đích theo expected;
• Chỉ thay phần thủ tục yêu cầu, không tự đổi oracle hoặc mở rộng phạm vi.</t>
        </is>
      </c>
      <c r="C8480" s="57" t="n"/>
      <c r="D8480" s="57" t="n"/>
      <c r="E8480" s="57" t="n"/>
    </row>
    <row r="8481" ht="61" customHeight="1">
      <c r="A8481" s="47" t="inlineStr">
        <is>
          <t>Quan sát tại</t>
        </is>
      </c>
      <c r="B8481" s="56" t="inlineStr">
        <is>
          <t>• Dùng trích xuất không lọc để thấy cả ô đối chứng. Trạng thái không có dấu đỏ cần đọc thêm trạng thái lưu;
• Output Excel/PDF dùng file thật.</t>
        </is>
      </c>
      <c r="C8481" s="57" t="n"/>
      <c r="D8481" s="57" t="n"/>
      <c r="E8481" s="57" t="n"/>
    </row>
    <row r="8482" ht="30" customHeight="1">
      <c r="A8482" s="58" t="inlineStr">
        <is>
          <t>Kết quả thực tế</t>
        </is>
      </c>
      <c r="B8482" s="59" t="n"/>
      <c r="C8482" s="59" t="n"/>
      <c r="D8482" s="59" t="n"/>
      <c r="E8482" s="59" t="n"/>
    </row>
    <row r="8483" ht="30" customHeight="1">
      <c r="A8483" s="47" t="inlineStr">
        <is>
          <t>Dữ liệu biến thể</t>
        </is>
      </c>
      <c r="B8483" s="56" t="inlineStr">
        <is>
          <t>Toàn bộ thủ tục theo đúng thứ tự; các đối chứng cùng fixture được kiểm trong cùng lượt, không bỏ bước</t>
        </is>
      </c>
      <c r="C8483" s="57" t="n"/>
      <c r="D8483" s="57" t="n"/>
      <c r="E8483" s="57" t="n"/>
    </row>
    <row r="8484" ht="30" customHeight="1">
      <c r="A8484" s="62" t="inlineStr">
        <is>
          <t>Kết quả thực tế</t>
        </is>
      </c>
    </row>
    <row r="8485" ht="64" customHeight="1">
      <c r="A8485" s="63" t="inlineStr"/>
      <c r="B8485" s="64" t="n"/>
      <c r="C8485" s="64" t="n"/>
      <c r="D8485" s="64" t="n"/>
      <c r="E8485" s="65" t="n"/>
    </row>
    <row r="8486" ht="30" customHeight="1">
      <c r="A8486" s="62" t="inlineStr">
        <is>
          <t>Ảnh minh chứng</t>
        </is>
      </c>
    </row>
    <row r="8487" ht="90" customHeight="1">
      <c r="A8487" s="63" t="inlineStr"/>
      <c r="B8487" s="64" t="n"/>
      <c r="C8487" s="64" t="n"/>
      <c r="D8487" s="64" t="n"/>
      <c r="E8487" s="65" t="n"/>
    </row>
    <row r="8488" ht="12" customHeight="1">
      <c r="A8488" s="66" t="inlineStr"/>
    </row>
    <row r="8489" ht="20" customHeight="1">
      <c r="A8489" s="66" t="inlineStr"/>
    </row>
    <row r="8490" ht="30" customHeight="1">
      <c r="A8490" s="46" t="inlineStr">
        <is>
          <t>TC-RS-REG-004 — Nút cam/nút xanh của trường đang dùng AutoRating hoạt động như trước</t>
        </is>
      </c>
      <c r="B8490" s="23" t="n"/>
      <c r="C8490" s="23" t="n"/>
      <c r="D8490" s="23" t="n"/>
      <c r="E8490" s="23" t="n"/>
    </row>
    <row r="8491" ht="30" customHeight="1">
      <c r="A8491" s="47" t="inlineStr">
        <is>
          <t>Trạng thái</t>
        </is>
      </c>
      <c r="B8491" s="56">
        <f>IF(0&gt;0,"Không đạt",IF(0=2,"Đạt",IF(SUMPRODUCT(--EXACT('Testcases'!B8510:B8518,"Không thực hiện"))=2,"Không thực hiện",IF(SUMPRODUCT(--EXACT('Testcases'!B8510:B8518,"Bị chặn"))&gt;0,"Bị chặn",IF(SUMPRODUCT(--EXACT('Testcases'!B8510:B8518,"Chưa thực hiện"))=2,"Chưa thực hiện","Chưa đủ kết luận")))))</f>
        <v/>
      </c>
      <c r="C8491" s="57" t="n"/>
      <c r="D8491" s="57" t="n"/>
      <c r="E8491" s="57" t="n"/>
    </row>
    <row r="8492" ht="30" customHeight="1">
      <c r="A8492" s="47" t="inlineStr">
        <is>
          <t>Màn hình / chức năng</t>
        </is>
      </c>
      <c r="B8492" s="47" t="inlineStr">
        <is>
          <t>Hồi quy luồng hiện có</t>
        </is>
      </c>
      <c r="C8492" s="57" t="n"/>
      <c r="D8492" s="47" t="inlineStr">
        <is>
          <t>Đường dẫn</t>
        </is>
      </c>
      <c r="E8492" s="56" t="inlineStr">
        <is>
          <t>Chưa xác minh</t>
        </is>
      </c>
    </row>
    <row r="8493" ht="30" customHeight="1">
      <c r="A8493" s="58" t="inlineStr">
        <is>
          <t>Điều kiện kiểm thử</t>
        </is>
      </c>
      <c r="B8493" s="59" t="n"/>
      <c r="C8493" s="59" t="n"/>
      <c r="D8493" s="59" t="n"/>
      <c r="E8493" s="59" t="n"/>
    </row>
    <row r="8494" ht="44" customHeight="1">
      <c r="A8494" s="47" t="inlineStr">
        <is>
          <t>Cấu hình</t>
        </is>
      </c>
      <c r="B8494" s="56" t="inlineStr">
        <is>
          <t>• Trường có AutoRating active;
• Tài khoản có quyền chạy hàng loạt. Baseline: phạm vi chọn được và danh sách lớp được xếp hàng.</t>
        </is>
      </c>
      <c r="C8494" s="57" t="n"/>
      <c r="D8494" s="57" t="n"/>
      <c r="E8494" s="57" t="n"/>
    </row>
    <row r="8495" ht="61" customHeight="1">
      <c r="A8495" s="47" t="inlineStr">
        <is>
          <t>Vai trò / quyền</t>
        </is>
      </c>
      <c r="B849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495" s="57" t="n"/>
      <c r="D8495" s="57" t="n"/>
      <c r="E8495" s="57" t="n"/>
    </row>
    <row r="8496" ht="30" customHeight="1">
      <c r="A8496" s="47" t="inlineStr">
        <is>
          <t>Dữ liệu test</t>
        </is>
      </c>
      <c r="B8496" s="56" t="inlineStr">
        <is>
          <t>• Mục số nguyên có thêm tính tự động</t>
        </is>
      </c>
      <c r="C8496" s="57" t="n"/>
      <c r="D8496" s="57" t="n"/>
      <c r="E8496" s="57" t="n"/>
    </row>
    <row r="8497" ht="30" customHeight="1">
      <c r="A8497" s="47" t="inlineStr">
        <is>
          <t>Trigger</t>
        </is>
      </c>
      <c r="B8497" s="56" t="inlineStr">
        <is>
          <t>• Chỉ xem/xuất không tự chạy xét.</t>
        </is>
      </c>
      <c r="C8497" s="57" t="n"/>
      <c r="D8497" s="57" t="n"/>
      <c r="E8497" s="57" t="n"/>
    </row>
    <row r="8498" ht="44" customHeight="1">
      <c r="A8498" s="47" t="inlineStr">
        <is>
          <t>Blocker</t>
        </is>
      </c>
      <c r="B8498" s="56" t="inlineStr">
        <is>
          <t>• G-PREP-UNASSESSED: Chưa có xác minh fixture, đường thực hiện và phép quan sát trên build của từng case chưa đánh giá.</t>
        </is>
      </c>
      <c r="C8498" s="57" t="n"/>
      <c r="D8498" s="57" t="n"/>
      <c r="E8498" s="57" t="n"/>
    </row>
    <row r="8499" ht="30" customHeight="1">
      <c r="A8499" s="58" t="inlineStr">
        <is>
          <t>Thao tác</t>
        </is>
      </c>
      <c r="B8499" s="59" t="n"/>
      <c r="C8499" s="59" t="n"/>
      <c r="D8499" s="59" t="n"/>
      <c r="E8499" s="59" t="n"/>
    </row>
    <row r="8500" ht="30" customHeight="1">
      <c r="A8500" s="47" t="inlineStr">
        <is>
          <t>Step 1</t>
        </is>
      </c>
      <c r="B8500" s="56" t="inlineStr">
        <is>
          <t>Mở màn, chọn cùng phạm vi như baseline.</t>
        </is>
      </c>
      <c r="C8500" s="57" t="n"/>
      <c r="D8500" s="57" t="n"/>
      <c r="E8500" s="57" t="n"/>
    </row>
    <row r="8501" ht="30" customHeight="1">
      <c r="A8501" s="47" t="inlineStr">
        <is>
          <t>Step 2</t>
        </is>
      </c>
      <c r="B8501" s="56" t="inlineStr">
        <is>
          <t>Chạy nút cam rồi nút xanh.</t>
        </is>
      </c>
      <c r="C8501" s="57" t="n"/>
      <c r="D8501" s="57" t="n"/>
      <c r="E8501" s="57" t="n"/>
    </row>
    <row r="8502" ht="44" customHeight="1">
      <c r="A8502" s="47" t="inlineStr">
        <is>
          <t>Reset</t>
        </is>
      </c>
      <c r="B8502" s="56" t="inlineStr">
        <is>
          <t>Trước mỗi biến thể, dựng lại điều kiện/dữ liệu đầu của case bằng đường được phép; giữ các reset/fixture độc lập đã nêu trong thủ tục.</t>
        </is>
      </c>
      <c r="C8502" s="57" t="n"/>
      <c r="D8502" s="57" t="n"/>
      <c r="E8502" s="57" t="n"/>
    </row>
    <row r="8503" ht="30" customHeight="1">
      <c r="A8503" s="58" t="inlineStr">
        <is>
          <t>Kết quả mong đợi</t>
        </is>
      </c>
      <c r="B8503" s="59" t="n"/>
      <c r="C8503" s="59" t="n"/>
      <c r="D8503" s="59" t="n"/>
      <c r="E8503" s="59" t="n"/>
    </row>
    <row r="8504" ht="30" customHeight="1">
      <c r="A8504" s="47" t="inlineStr">
        <is>
          <t>•</t>
        </is>
      </c>
      <c r="B8504" s="56" t="inlineStr">
        <is>
          <t>Nút hiện, phạm vi chọn và danh sách lớp xếp hàng như baseline; AutoRating tính như baseline (REG-001).</t>
        </is>
      </c>
      <c r="C8504" s="57" t="n"/>
      <c r="D8504" s="57" t="n"/>
      <c r="E8504" s="57" t="n"/>
    </row>
    <row r="8505" ht="44" customHeight="1">
      <c r="A8505" s="47" t="inlineStr">
        <is>
          <t>Giữ nguyên</t>
        </is>
      </c>
      <c r="B8505" s="56" t="inlineStr">
        <is>
          <t>• Giữ điểm, cấu hình và đối tượng không đích theo expected;
• Chỉ thay phần thủ tục yêu cầu, không tự đổi oracle hoặc mở rộng phạm vi.</t>
        </is>
      </c>
      <c r="C8505" s="57" t="n"/>
      <c r="D8505" s="57" t="n"/>
      <c r="E8505" s="57" t="n"/>
    </row>
    <row r="8506" ht="61" customHeight="1">
      <c r="A8506" s="47" t="inlineStr">
        <is>
          <t>Quan sát tại</t>
        </is>
      </c>
      <c r="B8506" s="56" t="inlineStr">
        <is>
          <t>• Dùng trích xuất không lọc để thấy cả ô đối chứng. Trạng thái không có dấu đỏ cần đọc thêm trạng thái lưu;
• Output Excel/PDF dùng file thật.</t>
        </is>
      </c>
      <c r="C8506" s="57" t="n"/>
      <c r="D8506" s="57" t="n"/>
      <c r="E8506" s="57" t="n"/>
    </row>
    <row r="8507" ht="30" customHeight="1">
      <c r="A8507" s="58" t="inlineStr">
        <is>
          <t>Kết quả thực tế</t>
        </is>
      </c>
      <c r="B8507" s="59" t="n"/>
      <c r="C8507" s="59" t="n"/>
      <c r="D8507" s="59" t="n"/>
      <c r="E8507" s="59" t="n"/>
    </row>
    <row r="8508" ht="30" customHeight="1">
      <c r="A8508" s="60" t="inlineStr">
        <is>
          <t>TC-RS-REG-004 / orange</t>
        </is>
      </c>
      <c r="B8508" s="36" t="n"/>
      <c r="C8508" s="36" t="n"/>
      <c r="D8508" s="36" t="n"/>
      <c r="E8508" s="36" t="n"/>
    </row>
    <row r="8509" ht="30" customHeight="1">
      <c r="A8509" s="47" t="inlineStr">
        <is>
          <t>Dữ liệu biến thể</t>
        </is>
      </c>
      <c r="B8509" s="56" t="inlineStr">
        <is>
          <t>Nút cam</t>
        </is>
      </c>
      <c r="C8509" s="57" t="n"/>
      <c r="D8509" s="57" t="n"/>
      <c r="E8509" s="57" t="n"/>
    </row>
    <row r="8510" ht="30" customHeight="1">
      <c r="A8510" s="47" t="inlineStr">
        <is>
          <t>Trạng thái</t>
        </is>
      </c>
      <c r="B8510" s="61" t="inlineStr">
        <is>
          <t>Chưa thực hiện</t>
        </is>
      </c>
      <c r="C8510" s="57" t="n"/>
      <c r="D8510" s="57" t="n"/>
      <c r="E8510" s="57" t="n"/>
    </row>
    <row r="8511" ht="30" customHeight="1">
      <c r="A8511" s="62" t="inlineStr">
        <is>
          <t>Kết quả thực tế</t>
        </is>
      </c>
    </row>
    <row r="8512" ht="64" customHeight="1">
      <c r="A8512" s="63" t="inlineStr"/>
      <c r="B8512" s="64" t="n"/>
      <c r="C8512" s="64" t="n"/>
      <c r="D8512" s="64" t="n"/>
      <c r="E8512" s="65" t="n"/>
    </row>
    <row r="8513" ht="30" customHeight="1">
      <c r="A8513" s="62" t="inlineStr">
        <is>
          <t>Ảnh minh chứng</t>
        </is>
      </c>
    </row>
    <row r="8514" ht="90" customHeight="1">
      <c r="A8514" s="63" t="inlineStr"/>
      <c r="B8514" s="64" t="n"/>
      <c r="C8514" s="64" t="n"/>
      <c r="D8514" s="64" t="n"/>
      <c r="E8514" s="65" t="n"/>
    </row>
    <row r="8515" ht="12" customHeight="1">
      <c r="A8515" s="66" t="inlineStr"/>
    </row>
    <row r="8516" ht="30" customHeight="1">
      <c r="A8516" s="60" t="inlineStr">
        <is>
          <t>TC-RS-REG-004 / green</t>
        </is>
      </c>
      <c r="B8516" s="36" t="n"/>
      <c r="C8516" s="36" t="n"/>
      <c r="D8516" s="36" t="n"/>
      <c r="E8516" s="36" t="n"/>
    </row>
    <row r="8517" ht="30" customHeight="1">
      <c r="A8517" s="47" t="inlineStr">
        <is>
          <t>Dữ liệu biến thể</t>
        </is>
      </c>
      <c r="B8517" s="56" t="inlineStr">
        <is>
          <t>Nút xanh</t>
        </is>
      </c>
      <c r="C8517" s="57" t="n"/>
      <c r="D8517" s="57" t="n"/>
      <c r="E8517" s="57" t="n"/>
    </row>
    <row r="8518" ht="30" customHeight="1">
      <c r="A8518" s="47" t="inlineStr">
        <is>
          <t>Trạng thái</t>
        </is>
      </c>
      <c r="B8518" s="61" t="inlineStr">
        <is>
          <t>Chưa thực hiện</t>
        </is>
      </c>
      <c r="C8518" s="57" t="n"/>
      <c r="D8518" s="57" t="n"/>
      <c r="E8518" s="57" t="n"/>
    </row>
    <row r="8519" ht="30" customHeight="1">
      <c r="A8519" s="62" t="inlineStr">
        <is>
          <t>Kết quả thực tế</t>
        </is>
      </c>
    </row>
    <row r="8520" ht="64" customHeight="1">
      <c r="A8520" s="63" t="inlineStr"/>
      <c r="B8520" s="64" t="n"/>
      <c r="C8520" s="64" t="n"/>
      <c r="D8520" s="64" t="n"/>
      <c r="E8520" s="65" t="n"/>
    </row>
    <row r="8521" ht="30" customHeight="1">
      <c r="A8521" s="62" t="inlineStr">
        <is>
          <t>Ảnh minh chứng</t>
        </is>
      </c>
    </row>
    <row r="8522" ht="90" customHeight="1">
      <c r="A8522" s="63" t="inlineStr"/>
      <c r="B8522" s="64" t="n"/>
      <c r="C8522" s="64" t="n"/>
      <c r="D8522" s="64" t="n"/>
      <c r="E8522" s="65" t="n"/>
    </row>
    <row r="8523" ht="12" customHeight="1">
      <c r="A8523" s="66" t="inlineStr"/>
    </row>
    <row r="8524" ht="20" customHeight="1">
      <c r="A8524" s="66" t="inlineStr"/>
    </row>
    <row r="8525" ht="30" customHeight="1">
      <c r="A8525" s="46" t="inlineStr">
        <is>
          <t>TC-RS-REG-005 — Kết quả tổng hợp thứ hạng（順位集計） không đổi khi có quy tắc đỏ đọc nguồn</t>
        </is>
      </c>
      <c r="B8525" s="23" t="n"/>
      <c r="C8525" s="23" t="n"/>
      <c r="D8525" s="23" t="n"/>
      <c r="E8525" s="23" t="n"/>
    </row>
    <row r="8526" ht="30" customHeight="1">
      <c r="A8526" s="47" t="inlineStr">
        <is>
          <t>Trạng thái</t>
        </is>
      </c>
      <c r="B8526" s="61" t="inlineStr">
        <is>
          <t>Chưa thực hiện</t>
        </is>
      </c>
      <c r="C8526" s="57" t="n"/>
      <c r="D8526" s="57" t="n"/>
      <c r="E8526" s="57" t="n"/>
    </row>
    <row r="8527" ht="30" customHeight="1">
      <c r="A8527" s="47" t="inlineStr">
        <is>
          <t>Màn hình / chức năng</t>
        </is>
      </c>
      <c r="B8527" s="47" t="inlineStr">
        <is>
          <t>Hồi quy luồng hiện có</t>
        </is>
      </c>
      <c r="C8527" s="57" t="n"/>
      <c r="D8527" s="47" t="inlineStr">
        <is>
          <t>Đường dẫn</t>
        </is>
      </c>
      <c r="E8527" s="56" t="inlineStr">
        <is>
          <t>Chưa xác minh</t>
        </is>
      </c>
    </row>
    <row r="8528" ht="30" customHeight="1">
      <c r="A8528" s="58" t="inlineStr">
        <is>
          <t>Điều kiện kiểm thử</t>
        </is>
      </c>
      <c r="B8528" s="59" t="n"/>
      <c r="C8528" s="59" t="n"/>
      <c r="D8528" s="59" t="n"/>
      <c r="E8528" s="59" t="n"/>
    </row>
    <row r="8529" ht="61" customHeight="1">
      <c r="A8529" s="47" t="inlineStr">
        <is>
          <t>Cấu hình</t>
        </is>
      </c>
      <c r="B8529" s="56" t="inlineStr">
        <is>
          <t>• Cặp quy tắc phân nhánh theo trung bình 60 và quy tắc theo tỷ lệ điểm của nhóm từ 65% đang dùng nguồn của khối 1. Baseline: kết quả tổng hợp (trung bình, thứ hạng, số người) chạy trên build cũ với cùng dữ liệu.</t>
        </is>
      </c>
      <c r="C8529" s="57" t="n"/>
      <c r="D8529" s="57" t="n"/>
      <c r="E8529" s="57" t="n"/>
    </row>
    <row r="8530" ht="61" customHeight="1">
      <c r="A8530" s="47" t="inlineStr">
        <is>
          <t>Vai trò / quyền</t>
        </is>
      </c>
      <c r="B8530"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530" s="57" t="n"/>
      <c r="D8530" s="57" t="n"/>
      <c r="E8530" s="57" t="n"/>
    </row>
    <row r="8531" ht="30" customHeight="1">
      <c r="A8531" s="47" t="inlineStr">
        <is>
          <t>Dữ liệu test</t>
        </is>
      </c>
      <c r="B8531" s="56" t="inlineStr">
        <is>
          <t>• Cặp quy tắc phân nhánh theo trung bình 60, quy tắc theo tỷ lệ điểm của nhóm từ 65%</t>
        </is>
      </c>
      <c r="C8531" s="57" t="n"/>
      <c r="D8531" s="57" t="n"/>
      <c r="E8531" s="57" t="n"/>
    </row>
    <row r="8532" ht="30" customHeight="1">
      <c r="A8532" s="47" t="inlineStr">
        <is>
          <t>Trigger</t>
        </is>
      </c>
      <c r="B8532" s="56" t="inlineStr">
        <is>
          <t>• Chỉ xem/xuất không tự chạy xét.</t>
        </is>
      </c>
      <c r="C8532" s="57" t="n"/>
      <c r="D8532" s="57" t="n"/>
      <c r="E8532" s="57" t="n"/>
    </row>
    <row r="8533" ht="44" customHeight="1">
      <c r="A8533" s="47" t="inlineStr">
        <is>
          <t>Blocker</t>
        </is>
      </c>
      <c r="B8533" s="56" t="inlineStr">
        <is>
          <t>• G-PREP-UNASSESSED: Chưa có xác minh fixture, đường thực hiện và phép quan sát trên build của từng case chưa đánh giá.</t>
        </is>
      </c>
      <c r="C8533" s="57" t="n"/>
      <c r="D8533" s="57" t="n"/>
      <c r="E8533" s="57" t="n"/>
    </row>
    <row r="8534" ht="30" customHeight="1">
      <c r="A8534" s="58" t="inlineStr">
        <is>
          <t>Thao tác</t>
        </is>
      </c>
      <c r="B8534" s="59" t="n"/>
      <c r="C8534" s="59" t="n"/>
      <c r="D8534" s="59" t="n"/>
      <c r="E8534" s="59" t="n"/>
    </row>
    <row r="8535" ht="30" customHeight="1">
      <c r="A8535" s="47" t="inlineStr">
        <is>
          <t>Step 1</t>
        </is>
      </c>
      <c r="B8535" s="56" t="inlineStr">
        <is>
          <t>Chạy nút xanh rồi nút cam cho khối 1.</t>
        </is>
      </c>
      <c r="C8535" s="57" t="n"/>
      <c r="D8535" s="57" t="n"/>
      <c r="E8535" s="57" t="n"/>
    </row>
    <row r="8536" ht="30" customHeight="1">
      <c r="A8536" s="47" t="inlineStr">
        <is>
          <t>Step 2</t>
        </is>
      </c>
      <c r="B8536" s="56" t="inlineStr">
        <is>
          <t>So trung bình, thứ hạng, số người với baseline.</t>
        </is>
      </c>
      <c r="C8536" s="57" t="n"/>
      <c r="D8536" s="57" t="n"/>
      <c r="E8536" s="57" t="n"/>
    </row>
    <row r="8537" ht="44" customHeight="1">
      <c r="A8537" s="47" t="inlineStr">
        <is>
          <t>Reset</t>
        </is>
      </c>
      <c r="B8537" s="56" t="inlineStr">
        <is>
          <t>Trước mỗi biến thể, dựng lại điều kiện/dữ liệu đầu của case bằng đường được phép; giữ các reset/fixture độc lập đã nêu trong thủ tục.</t>
        </is>
      </c>
      <c r="C8537" s="57" t="n"/>
      <c r="D8537" s="57" t="n"/>
      <c r="E8537" s="57" t="n"/>
    </row>
    <row r="8538" ht="30" customHeight="1">
      <c r="A8538" s="58" t="inlineStr">
        <is>
          <t>Kết quả mong đợi</t>
        </is>
      </c>
      <c r="B8538" s="59" t="n"/>
      <c r="C8538" s="59" t="n"/>
      <c r="D8538" s="59" t="n"/>
      <c r="E8538" s="59" t="n"/>
    </row>
    <row r="8539" ht="30" customHeight="1">
      <c r="A8539" s="47" t="inlineStr">
        <is>
          <t>•</t>
        </is>
      </c>
      <c r="B8539" s="56" t="inlineStr">
        <is>
          <t>Trung bình, thứ hạng, số người bằng baseline; nút cam không ghi lại kết quả tổng hợp.</t>
        </is>
      </c>
      <c r="C8539" s="57" t="n"/>
      <c r="D8539" s="57" t="n"/>
      <c r="E8539" s="57" t="n"/>
    </row>
    <row r="8540" ht="44" customHeight="1">
      <c r="A8540" s="47" t="inlineStr">
        <is>
          <t>Giữ nguyên</t>
        </is>
      </c>
      <c r="B8540" s="56" t="inlineStr">
        <is>
          <t>• Giữ điểm, cấu hình và đối tượng không đích theo expected;
• Chỉ thay phần thủ tục yêu cầu, không tự đổi oracle hoặc mở rộng phạm vi.</t>
        </is>
      </c>
      <c r="C8540" s="57" t="n"/>
      <c r="D8540" s="57" t="n"/>
      <c r="E8540" s="57" t="n"/>
    </row>
    <row r="8541" ht="61" customHeight="1">
      <c r="A8541" s="47" t="inlineStr">
        <is>
          <t>Quan sát tại</t>
        </is>
      </c>
      <c r="B8541" s="56" t="inlineStr">
        <is>
          <t>• Dùng trích xuất không lọc để thấy cả ô đối chứng. Trạng thái không có dấu đỏ cần đọc thêm trạng thái lưu;
• Output Excel/PDF dùng file thật.</t>
        </is>
      </c>
      <c r="C8541" s="57" t="n"/>
      <c r="D8541" s="57" t="n"/>
      <c r="E8541" s="57" t="n"/>
    </row>
    <row r="8542" ht="30" customHeight="1">
      <c r="A8542" s="58" t="inlineStr">
        <is>
          <t>Kết quả thực tế</t>
        </is>
      </c>
      <c r="B8542" s="59" t="n"/>
      <c r="C8542" s="59" t="n"/>
      <c r="D8542" s="59" t="n"/>
      <c r="E8542" s="59" t="n"/>
    </row>
    <row r="8543" ht="30" customHeight="1">
      <c r="A8543" s="47" t="inlineStr">
        <is>
          <t>Dữ liệu biến thể</t>
        </is>
      </c>
      <c r="B8543" s="56" t="inlineStr">
        <is>
          <t>Toàn bộ thủ tục theo đúng thứ tự; các đối chứng cùng fixture được kiểm trong cùng lượt, không bỏ bước</t>
        </is>
      </c>
      <c r="C8543" s="57" t="n"/>
      <c r="D8543" s="57" t="n"/>
      <c r="E8543" s="57" t="n"/>
    </row>
    <row r="8544" ht="30" customHeight="1">
      <c r="A8544" s="62" t="inlineStr">
        <is>
          <t>Kết quả thực tế</t>
        </is>
      </c>
    </row>
    <row r="8545" ht="64" customHeight="1">
      <c r="A8545" s="63" t="inlineStr"/>
      <c r="B8545" s="64" t="n"/>
      <c r="C8545" s="64" t="n"/>
      <c r="D8545" s="64" t="n"/>
      <c r="E8545" s="65" t="n"/>
    </row>
    <row r="8546" ht="30" customHeight="1">
      <c r="A8546" s="62" t="inlineStr">
        <is>
          <t>Ảnh minh chứng</t>
        </is>
      </c>
    </row>
    <row r="8547" ht="90" customHeight="1">
      <c r="A8547" s="63" t="inlineStr"/>
      <c r="B8547" s="64" t="n"/>
      <c r="C8547" s="64" t="n"/>
      <c r="D8547" s="64" t="n"/>
      <c r="E8547" s="65" t="n"/>
    </row>
    <row r="8548" ht="12" customHeight="1">
      <c r="A8548" s="66" t="inlineStr"/>
    </row>
    <row r="8549" ht="20" customHeight="1">
      <c r="A8549" s="66" t="inlineStr"/>
    </row>
    <row r="8550" ht="30" customHeight="1">
      <c r="A8550" s="46" t="inlineStr">
        <is>
          <t>TC-RS-REG-013 — Các màn điểm tối đa lưu và xếp hàng như trước</t>
        </is>
      </c>
      <c r="B8550" s="23" t="n"/>
      <c r="C8550" s="23" t="n"/>
      <c r="D8550" s="23" t="n"/>
      <c r="E8550" s="23" t="n"/>
    </row>
    <row r="8551" ht="30" customHeight="1">
      <c r="A8551" s="47" t="inlineStr">
        <is>
          <t>Trạng thái</t>
        </is>
      </c>
      <c r="B8551" s="56">
        <f>IF(0&gt;0,"Không đạt",IF(0=3,"Đạt",IF(SUMPRODUCT(--EXACT('Testcases'!B8571:B8587,"Không thực hiện"))=3,"Không thực hiện",IF(SUMPRODUCT(--EXACT('Testcases'!B8571:B8587,"Bị chặn"))&gt;0,"Bị chặn",IF(SUMPRODUCT(--EXACT('Testcases'!B8571:B8587,"Chưa thực hiện"))=3,"Chưa thực hiện","Chưa đủ kết luận")))))</f>
        <v/>
      </c>
      <c r="C8551" s="57" t="n"/>
      <c r="D8551" s="57" t="n"/>
      <c r="E8551" s="57" t="n"/>
    </row>
    <row r="8552" ht="30" customHeight="1">
      <c r="A8552" s="47" t="inlineStr">
        <is>
          <t>Màn hình / chức năng</t>
        </is>
      </c>
      <c r="B8552" s="47" t="inlineStr">
        <is>
          <t>Hồi quy luồng hiện có</t>
        </is>
      </c>
      <c r="C8552" s="57" t="n"/>
      <c r="D8552" s="47" t="inlineStr">
        <is>
          <t>Đường dẫn</t>
        </is>
      </c>
      <c r="E8552" s="56" t="inlineStr">
        <is>
          <t>Chưa xác minh</t>
        </is>
      </c>
    </row>
    <row r="8553" ht="30" customHeight="1">
      <c r="A8553" s="58" t="inlineStr">
        <is>
          <t>Điều kiện kiểm thử</t>
        </is>
      </c>
      <c r="B8553" s="59" t="n"/>
      <c r="C8553" s="59" t="n"/>
      <c r="D8553" s="59" t="n"/>
      <c r="E8553" s="59" t="n"/>
    </row>
    <row r="8554" ht="44" customHeight="1">
      <c r="A8554" s="47" t="inlineStr">
        <is>
          <t>Cấu hình</t>
        </is>
      </c>
      <c r="B8554" s="56" t="inlineStr">
        <is>
          <t>• Baseline trên build cũ: giá trị lưu, thông báo và danh sách job khi thực hiện ba bước dưới với cùng dữ liệu. mục điểm đơn vị (đơn vị U1 có M riêng 40) có quy tắc tỷ lệ 30%.</t>
        </is>
      </c>
      <c r="C8554" s="57" t="n"/>
      <c r="D8554" s="57" t="n"/>
      <c r="E8554" s="57" t="n"/>
    </row>
    <row r="8555" ht="61" customHeight="1">
      <c r="A8555" s="47" t="inlineStr">
        <is>
          <t>Vai trò / quyền</t>
        </is>
      </c>
      <c r="B8555"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555" s="57" t="n"/>
      <c r="D8555" s="57" t="n"/>
      <c r="E8555" s="57" t="n"/>
    </row>
    <row r="8556" ht="44" customHeight="1">
      <c r="A8556" s="47" t="inlineStr">
        <is>
          <t>Dữ liệu test</t>
        </is>
      </c>
      <c r="B8556" s="56" t="inlineStr">
        <is>
          <t>• Quy tắc tỷ lệ 30%;
• Mục điểm đơn vị (đơn vị U1 có M riêng 40)</t>
        </is>
      </c>
      <c r="C8556" s="57" t="n"/>
      <c r="D8556" s="57" t="n"/>
      <c r="E8556" s="57" t="n"/>
    </row>
    <row r="8557" ht="30" customHeight="1">
      <c r="A8557" s="47" t="inlineStr">
        <is>
          <t>Trigger</t>
        </is>
      </c>
      <c r="B8557" s="56" t="inlineStr">
        <is>
          <t>• Chỉ xem/xuất không tự chạy xét.</t>
        </is>
      </c>
      <c r="C8557" s="57" t="n"/>
      <c r="D8557" s="57" t="n"/>
      <c r="E8557" s="57" t="n"/>
    </row>
    <row r="8558" ht="44" customHeight="1">
      <c r="A8558" s="47" t="inlineStr">
        <is>
          <t>Blocker</t>
        </is>
      </c>
      <c r="B8558" s="56" t="inlineStr">
        <is>
          <t>• G-PREP-UNASSESSED: Chưa có xác minh fixture, đường thực hiện và phép quan sát trên build của từng case chưa đánh giá.</t>
        </is>
      </c>
      <c r="C8558" s="57" t="n"/>
      <c r="D8558" s="57" t="n"/>
      <c r="E8558" s="57" t="n"/>
    </row>
    <row r="8559" ht="30" customHeight="1">
      <c r="A8559" s="58" t="inlineStr">
        <is>
          <t>Thao tác</t>
        </is>
      </c>
      <c r="B8559" s="59" t="n"/>
      <c r="C8559" s="59" t="n"/>
      <c r="D8559" s="59" t="n"/>
      <c r="E8559" s="59" t="n"/>
    </row>
    <row r="8560" ht="30" customHeight="1">
      <c r="A8560" s="47" t="inlineStr">
        <is>
          <t>Step 1</t>
        </is>
      </c>
      <c r="B8560" s="56" t="inlineStr">
        <is>
          <t>Đổi định nghĩa M ở Thiết lập điểm tối đa（満点設定）, lưu, mở lại.</t>
        </is>
      </c>
      <c r="C8560" s="57" t="n"/>
      <c r="D8560" s="57" t="n"/>
      <c r="E8560" s="57" t="n"/>
    </row>
    <row r="8561" ht="30" customHeight="1">
      <c r="A8561" s="47" t="inlineStr">
        <is>
          <t>Step 2</t>
        </is>
      </c>
      <c r="B8561" s="56" t="inlineStr">
        <is>
          <t>Đổi Giá trị tối đa（最大値）, lưu, mở lại.</t>
        </is>
      </c>
      <c r="C8561" s="57" t="n"/>
      <c r="D8561" s="57" t="n"/>
      <c r="E8561" s="57" t="n"/>
    </row>
    <row r="8562" ht="30" customHeight="1">
      <c r="A8562" s="47" t="inlineStr">
        <is>
          <t>Step 3</t>
        </is>
      </c>
      <c r="B8562" s="56" t="inlineStr">
        <is>
          <t>Lưu ở Thiết lập điểm tối đa hàng loạt（満点一括設定） lựa chọn M=50 cho G-B; xem danh sách job.</t>
        </is>
      </c>
      <c r="C8562" s="57" t="n"/>
      <c r="D8562" s="57" t="n"/>
      <c r="E8562" s="57" t="n"/>
    </row>
    <row r="8563" ht="44" customHeight="1">
      <c r="A8563" s="47" t="inlineStr">
        <is>
          <t>Reset</t>
        </is>
      </c>
      <c r="B8563" s="56" t="inlineStr">
        <is>
          <t>Trước mỗi biến thể, dựng lại điều kiện/dữ liệu đầu của case bằng đường được phép; giữ các reset/fixture độc lập đã nêu trong thủ tục.</t>
        </is>
      </c>
      <c r="C8563" s="57" t="n"/>
      <c r="D8563" s="57" t="n"/>
      <c r="E8563" s="57" t="n"/>
    </row>
    <row r="8564" ht="30" customHeight="1">
      <c r="A8564" s="58" t="inlineStr">
        <is>
          <t>Kết quả mong đợi</t>
        </is>
      </c>
      <c r="B8564" s="59" t="n"/>
      <c r="C8564" s="59" t="n"/>
      <c r="D8564" s="59" t="n"/>
      <c r="E8564" s="59" t="n"/>
    </row>
    <row r="8565" ht="30" customHeight="1">
      <c r="A8565" s="47" t="inlineStr">
        <is>
          <t>•</t>
        </is>
      </c>
      <c r="B8565" s="56" t="inlineStr">
        <is>
          <t>Giá trị lưu, thông báo và danh sách job (lớp/kỳ được xếp hàng) bằng baseline.</t>
        </is>
      </c>
      <c r="C8565" s="57" t="n"/>
      <c r="D8565" s="57" t="n"/>
      <c r="E8565" s="57" t="n"/>
    </row>
    <row r="8566" ht="44" customHeight="1">
      <c r="A8566" s="47" t="inlineStr">
        <is>
          <t>Giữ nguyên</t>
        </is>
      </c>
      <c r="B8566" s="56" t="inlineStr">
        <is>
          <t>• Giữ điểm, cấu hình và đối tượng không đích theo expected;
• Chỉ thay phần thủ tục yêu cầu, không tự đổi oracle hoặc mở rộng phạm vi.</t>
        </is>
      </c>
      <c r="C8566" s="57" t="n"/>
      <c r="D8566" s="57" t="n"/>
      <c r="E8566" s="57" t="n"/>
    </row>
    <row r="8567" ht="61" customHeight="1">
      <c r="A8567" s="47" t="inlineStr">
        <is>
          <t>Quan sát tại</t>
        </is>
      </c>
      <c r="B8567" s="56" t="inlineStr">
        <is>
          <t>• Dùng trích xuất không lọc để thấy cả ô đối chứng. Trạng thái không có dấu đỏ cần đọc thêm trạng thái lưu;
• Output Excel/PDF dùng file thật.</t>
        </is>
      </c>
      <c r="C8567" s="57" t="n"/>
      <c r="D8567" s="57" t="n"/>
      <c r="E8567" s="57" t="n"/>
    </row>
    <row r="8568" ht="30" customHeight="1">
      <c r="A8568" s="58" t="inlineStr">
        <is>
          <t>Kết quả thực tế</t>
        </is>
      </c>
      <c r="B8568" s="59" t="n"/>
      <c r="C8568" s="59" t="n"/>
      <c r="D8568" s="59" t="n"/>
      <c r="E8568" s="59" t="n"/>
    </row>
    <row r="8569" ht="30" customHeight="1">
      <c r="A8569" s="60" t="inlineStr">
        <is>
          <t>TC-RS-REG-013 / definition</t>
        </is>
      </c>
      <c r="B8569" s="36" t="n"/>
      <c r="C8569" s="36" t="n"/>
      <c r="D8569" s="36" t="n"/>
      <c r="E8569" s="36" t="n"/>
    </row>
    <row r="8570" ht="30" customHeight="1">
      <c r="A8570" s="47" t="inlineStr">
        <is>
          <t>Dữ liệu biến thể</t>
        </is>
      </c>
      <c r="B8570" s="56" t="inlineStr">
        <is>
          <t>Đổi định nghĩa M</t>
        </is>
      </c>
      <c r="C8570" s="57" t="n"/>
      <c r="D8570" s="57" t="n"/>
      <c r="E8570" s="57" t="n"/>
    </row>
    <row r="8571" ht="30" customHeight="1">
      <c r="A8571" s="47" t="inlineStr">
        <is>
          <t>Trạng thái</t>
        </is>
      </c>
      <c r="B8571" s="61" t="inlineStr">
        <is>
          <t>Chưa thực hiện</t>
        </is>
      </c>
      <c r="C8571" s="57" t="n"/>
      <c r="D8571" s="57" t="n"/>
      <c r="E8571" s="57" t="n"/>
    </row>
    <row r="8572" ht="30" customHeight="1">
      <c r="A8572" s="62" t="inlineStr">
        <is>
          <t>Kết quả thực tế</t>
        </is>
      </c>
    </row>
    <row r="8573" ht="64" customHeight="1">
      <c r="A8573" s="63" t="inlineStr"/>
      <c r="B8573" s="64" t="n"/>
      <c r="C8573" s="64" t="n"/>
      <c r="D8573" s="64" t="n"/>
      <c r="E8573" s="65" t="n"/>
    </row>
    <row r="8574" ht="30" customHeight="1">
      <c r="A8574" s="62" t="inlineStr">
        <is>
          <t>Ảnh minh chứng</t>
        </is>
      </c>
    </row>
    <row r="8575" ht="90" customHeight="1">
      <c r="A8575" s="63" t="inlineStr"/>
      <c r="B8575" s="64" t="n"/>
      <c r="C8575" s="64" t="n"/>
      <c r="D8575" s="64" t="n"/>
      <c r="E8575" s="65" t="n"/>
    </row>
    <row r="8576" ht="12" customHeight="1">
      <c r="A8576" s="66" t="inlineStr"/>
    </row>
    <row r="8577" ht="30" customHeight="1">
      <c r="A8577" s="60" t="inlineStr">
        <is>
          <t>TC-RS-REG-013 / maximum</t>
        </is>
      </c>
      <c r="B8577" s="36" t="n"/>
      <c r="C8577" s="36" t="n"/>
      <c r="D8577" s="36" t="n"/>
      <c r="E8577" s="36" t="n"/>
    </row>
    <row r="8578" ht="30" customHeight="1">
      <c r="A8578" s="47" t="inlineStr">
        <is>
          <t>Dữ liệu biến thể</t>
        </is>
      </c>
      <c r="B8578" s="56" t="inlineStr">
        <is>
          <t>Đổi Giá trị tối đa</t>
        </is>
      </c>
      <c r="C8578" s="57" t="n"/>
      <c r="D8578" s="57" t="n"/>
      <c r="E8578" s="57" t="n"/>
    </row>
    <row r="8579" ht="30" customHeight="1">
      <c r="A8579" s="47" t="inlineStr">
        <is>
          <t>Trạng thái</t>
        </is>
      </c>
      <c r="B8579" s="61" t="inlineStr">
        <is>
          <t>Chưa thực hiện</t>
        </is>
      </c>
      <c r="C8579" s="57" t="n"/>
      <c r="D8579" s="57" t="n"/>
      <c r="E8579" s="57" t="n"/>
    </row>
    <row r="8580" ht="30" customHeight="1">
      <c r="A8580" s="62" t="inlineStr">
        <is>
          <t>Kết quả thực tế</t>
        </is>
      </c>
    </row>
    <row r="8581" ht="64" customHeight="1">
      <c r="A8581" s="63" t="inlineStr"/>
      <c r="B8581" s="64" t="n"/>
      <c r="C8581" s="64" t="n"/>
      <c r="D8581" s="64" t="n"/>
      <c r="E8581" s="65" t="n"/>
    </row>
    <row r="8582" ht="30" customHeight="1">
      <c r="A8582" s="62" t="inlineStr">
        <is>
          <t>Ảnh minh chứng</t>
        </is>
      </c>
    </row>
    <row r="8583" ht="90" customHeight="1">
      <c r="A8583" s="63" t="inlineStr"/>
      <c r="B8583" s="64" t="n"/>
      <c r="C8583" s="64" t="n"/>
      <c r="D8583" s="64" t="n"/>
      <c r="E8583" s="65" t="n"/>
    </row>
    <row r="8584" ht="12" customHeight="1">
      <c r="A8584" s="66" t="inlineStr"/>
    </row>
    <row r="8585" ht="30" customHeight="1">
      <c r="A8585" s="60" t="inlineStr">
        <is>
          <t>TC-RS-REG-013 / batch</t>
        </is>
      </c>
      <c r="B8585" s="36" t="n"/>
      <c r="C8585" s="36" t="n"/>
      <c r="D8585" s="36" t="n"/>
      <c r="E8585" s="36" t="n"/>
    </row>
    <row r="8586" ht="30" customHeight="1">
      <c r="A8586" s="47" t="inlineStr">
        <is>
          <t>Dữ liệu biến thể</t>
        </is>
      </c>
      <c r="B8586" s="56" t="inlineStr">
        <is>
          <t>Lưu điểm tối đa hàng loạt</t>
        </is>
      </c>
      <c r="C8586" s="57" t="n"/>
      <c r="D8586" s="57" t="n"/>
      <c r="E8586" s="57" t="n"/>
    </row>
    <row r="8587" ht="30" customHeight="1">
      <c r="A8587" s="47" t="inlineStr">
        <is>
          <t>Trạng thái</t>
        </is>
      </c>
      <c r="B8587" s="61" t="inlineStr">
        <is>
          <t>Chưa thực hiện</t>
        </is>
      </c>
      <c r="C8587" s="57" t="n"/>
      <c r="D8587" s="57" t="n"/>
      <c r="E8587" s="57" t="n"/>
    </row>
    <row r="8588" ht="30" customHeight="1">
      <c r="A8588" s="62" t="inlineStr">
        <is>
          <t>Kết quả thực tế</t>
        </is>
      </c>
    </row>
    <row r="8589" ht="64" customHeight="1">
      <c r="A8589" s="63" t="inlineStr"/>
      <c r="B8589" s="64" t="n"/>
      <c r="C8589" s="64" t="n"/>
      <c r="D8589" s="64" t="n"/>
      <c r="E8589" s="65" t="n"/>
    </row>
    <row r="8590" ht="30" customHeight="1">
      <c r="A8590" s="62" t="inlineStr">
        <is>
          <t>Ảnh minh chứng</t>
        </is>
      </c>
    </row>
    <row r="8591" ht="90" customHeight="1">
      <c r="A8591" s="63" t="inlineStr"/>
      <c r="B8591" s="64" t="n"/>
      <c r="C8591" s="64" t="n"/>
      <c r="D8591" s="64" t="n"/>
      <c r="E8591" s="65" t="n"/>
    </row>
    <row r="8592" ht="12" customHeight="1">
      <c r="A8592" s="66" t="inlineStr"/>
    </row>
    <row r="8593" ht="20" customHeight="1">
      <c r="A8593" s="66" t="inlineStr"/>
    </row>
    <row r="8594" ht="30" customHeight="1">
      <c r="A8594" s="46" t="inlineStr">
        <is>
          <t>TC-RS-REG-014 — Batch không phát sinh truy vấn theo từng ô（N+1）</t>
        </is>
      </c>
      <c r="B8594" s="23" t="n"/>
      <c r="C8594" s="23" t="n"/>
      <c r="D8594" s="23" t="n"/>
      <c r="E8594" s="23" t="n"/>
    </row>
    <row r="8595" ht="30" customHeight="1">
      <c r="A8595" s="47" t="inlineStr">
        <is>
          <t>Trạng thái</t>
        </is>
      </c>
      <c r="B8595" s="56">
        <f>IF(0&gt;0,"Không đạt",IF(0=2,"Đạt",IF(SUMPRODUCT(--EXACT('Testcases'!B8613:B8621,"Không thực hiện"))=2,"Không thực hiện",IF(SUMPRODUCT(--EXACT('Testcases'!B8613:B8621,"Bị chặn"))&gt;0,"Bị chặn",IF(SUMPRODUCT(--EXACT('Testcases'!B8613:B8621,"Chưa thực hiện"))=2,"Chưa thực hiện","Chưa đủ kết luận")))))</f>
        <v/>
      </c>
      <c r="C8595" s="57" t="n"/>
      <c r="D8595" s="57" t="n"/>
      <c r="E8595" s="57" t="n"/>
    </row>
    <row r="8596" ht="30" customHeight="1">
      <c r="A8596" s="47" t="inlineStr">
        <is>
          <t>Màn hình / chức năng</t>
        </is>
      </c>
      <c r="B8596" s="47" t="inlineStr">
        <is>
          <t>Hồi quy luồng hiện có</t>
        </is>
      </c>
      <c r="C8596" s="57" t="n"/>
      <c r="D8596" s="47" t="inlineStr">
        <is>
          <t>Đường dẫn</t>
        </is>
      </c>
      <c r="E8596" s="56" t="inlineStr">
        <is>
          <t>Chưa xác minh</t>
        </is>
      </c>
    </row>
    <row r="8597" ht="30" customHeight="1">
      <c r="A8597" s="58" t="inlineStr">
        <is>
          <t>Điều kiện kiểm thử</t>
        </is>
      </c>
      <c r="B8597" s="59" t="n"/>
      <c r="C8597" s="59" t="n"/>
      <c r="D8597" s="59" t="n"/>
      <c r="E8597" s="59" t="n"/>
    </row>
    <row r="8598" ht="44" customHeight="1">
      <c r="A8598" s="47" t="inlineStr">
        <is>
          <t>Cấu hình</t>
        </is>
      </c>
      <c r="B8598" s="56" t="inlineStr">
        <is>
          <t>• Khối có ít nhất 2 cỡ dữ liệu khác nhau (ví dụ 10 và 100 học sinh) trên môi trường local;
• Bật log truy vấn.</t>
        </is>
      </c>
      <c r="C8598" s="57" t="n"/>
      <c r="D8598" s="57" t="n"/>
      <c r="E8598" s="57" t="n"/>
    </row>
    <row r="8599" ht="61" customHeight="1">
      <c r="A8599" s="47" t="inlineStr">
        <is>
          <t>Vai trò / quyền</t>
        </is>
      </c>
      <c r="B859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599" s="57" t="n"/>
      <c r="D8599" s="57" t="n"/>
      <c r="E8599" s="57" t="n"/>
    </row>
    <row r="8600" ht="30" customHeight="1">
      <c r="A8600" s="47" t="inlineStr">
        <is>
          <t>Dữ liệu test</t>
        </is>
      </c>
      <c r="B8600" s="56" t="inlineStr">
        <is>
          <t>• Môi trường test (trường A, năm học 2026)</t>
        </is>
      </c>
      <c r="C8600" s="57" t="n"/>
      <c r="D8600" s="57" t="n"/>
      <c r="E8600" s="57" t="n"/>
    </row>
    <row r="8601" ht="30" customHeight="1">
      <c r="A8601" s="47" t="inlineStr">
        <is>
          <t>Trigger</t>
        </is>
      </c>
      <c r="B8601" s="56" t="inlineStr">
        <is>
          <t>• Chỉ xem/xuất không tự chạy xét.</t>
        </is>
      </c>
      <c r="C8601" s="57" t="n"/>
      <c r="D8601" s="57" t="n"/>
      <c r="E8601" s="57" t="n"/>
    </row>
    <row r="8602" ht="44" customHeight="1">
      <c r="A8602" s="47" t="inlineStr">
        <is>
          <t>Blocker</t>
        </is>
      </c>
      <c r="B8602" s="56" t="inlineStr">
        <is>
          <t>• G-PREP-UNASSESSED: Chưa có xác minh fixture, đường thực hiện và phép quan sát trên build của từng case chưa đánh giá.</t>
        </is>
      </c>
      <c r="C8602" s="57" t="n"/>
      <c r="D8602" s="57" t="n"/>
      <c r="E8602" s="57" t="n"/>
    </row>
    <row r="8603" ht="30" customHeight="1">
      <c r="A8603" s="58" t="inlineStr">
        <is>
          <t>Thao tác</t>
        </is>
      </c>
      <c r="B8603" s="59" t="n"/>
      <c r="C8603" s="59" t="n"/>
      <c r="D8603" s="59" t="n"/>
      <c r="E8603" s="59" t="n"/>
    </row>
    <row r="8604" ht="30" customHeight="1">
      <c r="A8604" s="47" t="inlineStr">
        <is>
          <t>•</t>
        </is>
      </c>
      <c r="B8604" s="56" t="inlineStr">
        <is>
          <t>Chạy batch với từng cỡ dữ liệu; đếm truy vấn liên quan đến quy tắc/nguồn/kết quả đỏ.</t>
        </is>
      </c>
      <c r="C8604" s="57" t="n"/>
      <c r="D8604" s="57" t="n"/>
      <c r="E8604" s="57" t="n"/>
    </row>
    <row r="8605" ht="44" customHeight="1">
      <c r="A8605" s="47" t="inlineStr">
        <is>
          <t>Reset</t>
        </is>
      </c>
      <c r="B8605" s="56" t="inlineStr">
        <is>
          <t>Trước mỗi biến thể, dựng lại điều kiện/dữ liệu đầu của case bằng đường được phép; giữ các reset/fixture độc lập đã nêu trong thủ tục.</t>
        </is>
      </c>
      <c r="C8605" s="57" t="n"/>
      <c r="D8605" s="57" t="n"/>
      <c r="E8605" s="57" t="n"/>
    </row>
    <row r="8606" ht="30" customHeight="1">
      <c r="A8606" s="58" t="inlineStr">
        <is>
          <t>Kết quả mong đợi</t>
        </is>
      </c>
      <c r="B8606" s="59" t="n"/>
      <c r="C8606" s="59" t="n"/>
      <c r="D8606" s="59" t="n"/>
      <c r="E8606" s="59" t="n"/>
    </row>
    <row r="8607" ht="44" customHeight="1">
      <c r="A8607" s="47" t="inlineStr">
        <is>
          <t>•</t>
        </is>
      </c>
      <c r="B8607" s="56" t="inlineStr">
        <is>
          <t>Số truy vấn đọc quy tắc/nguồn/M không tăng tuyến tính theo số ô. Thời gian chạy chỉ ghi lại để so, không có ngưỡng pass/fail (tài liệu chưa đặt ngưỡng).</t>
        </is>
      </c>
      <c r="C8607" s="57" t="n"/>
      <c r="D8607" s="57" t="n"/>
      <c r="E8607" s="57" t="n"/>
    </row>
    <row r="8608" ht="44" customHeight="1">
      <c r="A8608" s="47" t="inlineStr">
        <is>
          <t>Giữ nguyên</t>
        </is>
      </c>
      <c r="B8608" s="56" t="inlineStr">
        <is>
          <t>• Giữ điểm, cấu hình và đối tượng không đích theo expected;
• Chỉ thay phần thủ tục yêu cầu, không tự đổi oracle hoặc mở rộng phạm vi.</t>
        </is>
      </c>
      <c r="C8608" s="57" t="n"/>
      <c r="D8608" s="57" t="n"/>
      <c r="E8608" s="57" t="n"/>
    </row>
    <row r="8609" ht="61" customHeight="1">
      <c r="A8609" s="47" t="inlineStr">
        <is>
          <t>Quan sát tại</t>
        </is>
      </c>
      <c r="B8609" s="56" t="inlineStr">
        <is>
          <t>• Dùng trích xuất không lọc để thấy cả ô đối chứng. Trạng thái không có dấu đỏ cần đọc thêm trạng thái lưu;
• Output Excel/PDF dùng file thật.</t>
        </is>
      </c>
      <c r="C8609" s="57" t="n"/>
      <c r="D8609" s="57" t="n"/>
      <c r="E8609" s="57" t="n"/>
    </row>
    <row r="8610" ht="30" customHeight="1">
      <c r="A8610" s="58" t="inlineStr">
        <is>
          <t>Kết quả thực tế</t>
        </is>
      </c>
      <c r="B8610" s="59" t="n"/>
      <c r="C8610" s="59" t="n"/>
      <c r="D8610" s="59" t="n"/>
      <c r="E8610" s="59" t="n"/>
    </row>
    <row r="8611" ht="30" customHeight="1">
      <c r="A8611" s="60" t="inlineStr">
        <is>
          <t>TC-RS-REG-014 / size10</t>
        </is>
      </c>
      <c r="B8611" s="36" t="n"/>
      <c r="C8611" s="36" t="n"/>
      <c r="D8611" s="36" t="n"/>
      <c r="E8611" s="36" t="n"/>
    </row>
    <row r="8612" ht="30" customHeight="1">
      <c r="A8612" s="47" t="inlineStr">
        <is>
          <t>Dữ liệu biến thể</t>
        </is>
      </c>
      <c r="B8612" s="56" t="inlineStr">
        <is>
          <t>Cỡ 10 học sinh</t>
        </is>
      </c>
      <c r="C8612" s="57" t="n"/>
      <c r="D8612" s="57" t="n"/>
      <c r="E8612" s="57" t="n"/>
    </row>
    <row r="8613" ht="30" customHeight="1">
      <c r="A8613" s="47" t="inlineStr">
        <is>
          <t>Trạng thái</t>
        </is>
      </c>
      <c r="B8613" s="61" t="inlineStr">
        <is>
          <t>Chưa thực hiện</t>
        </is>
      </c>
      <c r="C8613" s="57" t="n"/>
      <c r="D8613" s="57" t="n"/>
      <c r="E8613" s="57" t="n"/>
    </row>
    <row r="8614" ht="30" customHeight="1">
      <c r="A8614" s="62" t="inlineStr">
        <is>
          <t>Kết quả thực tế</t>
        </is>
      </c>
    </row>
    <row r="8615" ht="64" customHeight="1">
      <c r="A8615" s="63" t="inlineStr"/>
      <c r="B8615" s="64" t="n"/>
      <c r="C8615" s="64" t="n"/>
      <c r="D8615" s="64" t="n"/>
      <c r="E8615" s="65" t="n"/>
    </row>
    <row r="8616" ht="30" customHeight="1">
      <c r="A8616" s="62" t="inlineStr">
        <is>
          <t>Ảnh minh chứng</t>
        </is>
      </c>
    </row>
    <row r="8617" ht="90" customHeight="1">
      <c r="A8617" s="63" t="inlineStr"/>
      <c r="B8617" s="64" t="n"/>
      <c r="C8617" s="64" t="n"/>
      <c r="D8617" s="64" t="n"/>
      <c r="E8617" s="65" t="n"/>
    </row>
    <row r="8618" ht="12" customHeight="1">
      <c r="A8618" s="66" t="inlineStr"/>
    </row>
    <row r="8619" ht="30" customHeight="1">
      <c r="A8619" s="60" t="inlineStr">
        <is>
          <t>TC-RS-REG-014 / size100</t>
        </is>
      </c>
      <c r="B8619" s="36" t="n"/>
      <c r="C8619" s="36" t="n"/>
      <c r="D8619" s="36" t="n"/>
      <c r="E8619" s="36" t="n"/>
    </row>
    <row r="8620" ht="30" customHeight="1">
      <c r="A8620" s="47" t="inlineStr">
        <is>
          <t>Dữ liệu biến thể</t>
        </is>
      </c>
      <c r="B8620" s="56" t="inlineStr">
        <is>
          <t>Cỡ 100 học sinh, đối chiếu log cả hai cỡ</t>
        </is>
      </c>
      <c r="C8620" s="57" t="n"/>
      <c r="D8620" s="57" t="n"/>
      <c r="E8620" s="57" t="n"/>
    </row>
    <row r="8621" ht="30" customHeight="1">
      <c r="A8621" s="47" t="inlineStr">
        <is>
          <t>Trạng thái</t>
        </is>
      </c>
      <c r="B8621" s="61" t="inlineStr">
        <is>
          <t>Chưa thực hiện</t>
        </is>
      </c>
      <c r="C8621" s="57" t="n"/>
      <c r="D8621" s="57" t="n"/>
      <c r="E8621" s="57" t="n"/>
    </row>
    <row r="8622" ht="30" customHeight="1">
      <c r="A8622" s="62" t="inlineStr">
        <is>
          <t>Kết quả thực tế</t>
        </is>
      </c>
    </row>
    <row r="8623" ht="64" customHeight="1">
      <c r="A8623" s="63" t="inlineStr"/>
      <c r="B8623" s="64" t="n"/>
      <c r="C8623" s="64" t="n"/>
      <c r="D8623" s="64" t="n"/>
      <c r="E8623" s="65" t="n"/>
    </row>
    <row r="8624" ht="30" customHeight="1">
      <c r="A8624" s="62" t="inlineStr">
        <is>
          <t>Ảnh minh chứng</t>
        </is>
      </c>
    </row>
    <row r="8625" ht="90" customHeight="1">
      <c r="A8625" s="63" t="inlineStr"/>
      <c r="B8625" s="64" t="n"/>
      <c r="C8625" s="64" t="n"/>
      <c r="D8625" s="64" t="n"/>
      <c r="E8625" s="65" t="n"/>
    </row>
    <row r="8626" ht="12" customHeight="1">
      <c r="A8626" s="66" t="inlineStr"/>
    </row>
    <row r="8627" ht="20" customHeight="1">
      <c r="A8627" s="66" t="inlineStr"/>
    </row>
    <row r="8628" ht="30" customHeight="1">
      <c r="A8628" s="46" t="inlineStr">
        <is>
          <t>TC-RS-REG-016 — Đăng ký điểm: xử lý điểm liên quan và giao dịch giữ như trước</t>
        </is>
      </c>
      <c r="B8628" s="23" t="n"/>
      <c r="C8628" s="23" t="n"/>
      <c r="D8628" s="23" t="n"/>
      <c r="E8628" s="23" t="n"/>
    </row>
    <row r="8629" ht="30" customHeight="1">
      <c r="A8629" s="47" t="inlineStr">
        <is>
          <t>Trạng thái</t>
        </is>
      </c>
      <c r="B8629" s="56">
        <f>IF(0&gt;0,"Không đạt",IF(0=3,"Đạt",IF(SUMPRODUCT(--EXACT('Testcases'!B8650:B8666,"Không thực hiện"))=3,"Không thực hiện",IF(SUMPRODUCT(--EXACT('Testcases'!B8650:B8666,"Bị chặn"))&gt;0,"Bị chặn",IF(SUMPRODUCT(--EXACT('Testcases'!B8650:B8666,"Chưa thực hiện"))=3,"Chưa thực hiện","Chưa đủ kết luận")))))</f>
        <v/>
      </c>
      <c r="C8629" s="57" t="n"/>
      <c r="D8629" s="57" t="n"/>
      <c r="E8629" s="57" t="n"/>
    </row>
    <row r="8630" ht="30" customHeight="1">
      <c r="A8630" s="47" t="inlineStr">
        <is>
          <t>Màn hình / chức năng</t>
        </is>
      </c>
      <c r="B8630" s="47" t="inlineStr">
        <is>
          <t>Hồi quy luồng hiện có</t>
        </is>
      </c>
      <c r="C8630" s="57" t="n"/>
      <c r="D8630" s="47" t="inlineStr">
        <is>
          <t>Đường dẫn</t>
        </is>
      </c>
      <c r="E8630" s="56" t="inlineStr">
        <is>
          <t>Chưa xác minh</t>
        </is>
      </c>
    </row>
    <row r="8631" ht="30" customHeight="1">
      <c r="A8631" s="58" t="inlineStr">
        <is>
          <t>Điều kiện kiểm thử</t>
        </is>
      </c>
      <c r="B8631" s="59" t="n"/>
      <c r="C8631" s="59" t="n"/>
      <c r="D8631" s="59" t="n"/>
      <c r="E8631" s="59" t="n"/>
    </row>
    <row r="8632" ht="78" customHeight="1">
      <c r="A8632" s="47" t="inlineStr">
        <is>
          <t>Cấu hình</t>
        </is>
      </c>
      <c r="B8632" s="56" t="inlineStr">
        <is>
          <t>• Mục có môn chính/môn con và quan điểm, có quy tắc tính tự động（自動計算設定） (mục số nguyên có thêm tính tự động) để các bước sau tính tự động chạy;
• Baseline điểm môn chính, điểm quan điểm được sao chép và tín chỉ（単位） sau khi lưu điểm môn con. quy tắc “Cố định 30” (dưới 30) ở mục môn chính và ở mục nhận điểm sao chép theo quan điểm.</t>
        </is>
      </c>
      <c r="C8632" s="57" t="n"/>
      <c r="D8632" s="57" t="n"/>
      <c r="E8632" s="57" t="n"/>
    </row>
    <row r="8633" ht="61" customHeight="1">
      <c r="A8633" s="47" t="inlineStr">
        <is>
          <t>Vai trò / quyền</t>
        </is>
      </c>
      <c r="B8633"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633" s="57" t="n"/>
      <c r="D8633" s="57" t="n"/>
      <c r="E8633" s="57" t="n"/>
    </row>
    <row r="8634" ht="61" customHeight="1">
      <c r="A8634" s="47" t="inlineStr">
        <is>
          <t>Dữ liệu test</t>
        </is>
      </c>
      <c r="B8634" s="56" t="inlineStr">
        <is>
          <t>• Quy tắc “Cố định 30” (dưới 30);
• Mục số nguyên (M=100);
• Mục số nguyên có thêm tính tự động</t>
        </is>
      </c>
      <c r="C8634" s="57" t="n"/>
      <c r="D8634" s="57" t="n"/>
      <c r="E8634" s="57" t="n"/>
    </row>
    <row r="8635" ht="30" customHeight="1">
      <c r="A8635" s="47" t="inlineStr">
        <is>
          <t>Trigger</t>
        </is>
      </c>
      <c r="B8635" s="56" t="inlineStr">
        <is>
          <t>• Chỉ xem/xuất không tự chạy xét.</t>
        </is>
      </c>
      <c r="C8635" s="57" t="n"/>
      <c r="D8635" s="57" t="n"/>
      <c r="E8635" s="57" t="n"/>
    </row>
    <row r="8636" ht="44" customHeight="1">
      <c r="A8636" s="47" t="inlineStr">
        <is>
          <t>Blocker</t>
        </is>
      </c>
      <c r="B8636" s="56" t="inlineStr">
        <is>
          <t>• G-PREP-UNASSESSED: Chưa có xác minh fixture, đường thực hiện và phép quan sát trên build của từng case chưa đánh giá.</t>
        </is>
      </c>
      <c r="C8636" s="57" t="n"/>
      <c r="D8636" s="57" t="n"/>
      <c r="E8636" s="57" t="n"/>
    </row>
    <row r="8637" ht="30" customHeight="1">
      <c r="A8637" s="58" t="inlineStr">
        <is>
          <t>Thao tác</t>
        </is>
      </c>
      <c r="B8637" s="59" t="n"/>
      <c r="C8637" s="59" t="n"/>
      <c r="D8637" s="59" t="n"/>
      <c r="E8637" s="59" t="n"/>
    </row>
    <row r="8638" ht="44" customHeight="1">
      <c r="A8638" s="47" t="inlineStr">
        <is>
          <t>Step 1</t>
        </is>
      </c>
      <c r="B8638" s="56" t="inlineStr">
        <is>
          <t>Lưu điểm môn con qua đường ghi điểm “Màn lớp NB 成績登録 (đăng ký điểm)”, đường ghi điểm “CSV lớp NB”, đường ghi điểm “HR成績CSV一括登録 (đăng ký điểm hàng loạt bằng CSV)”.</t>
        </is>
      </c>
      <c r="C8638" s="57" t="n"/>
      <c r="D8638" s="57" t="n"/>
      <c r="E8638" s="57" t="n"/>
    </row>
    <row r="8639" ht="30" customHeight="1">
      <c r="A8639" s="47" t="inlineStr">
        <is>
          <t>Step 2</t>
        </is>
      </c>
      <c r="B8639" s="56" t="inlineStr">
        <is>
          <t>So điểm môn chính, điểm quan điểm được sao chép và tín chỉ với baseline.</t>
        </is>
      </c>
      <c r="C8639" s="57" t="n"/>
      <c r="D8639" s="57" t="n"/>
      <c r="E8639" s="57" t="n"/>
    </row>
    <row r="8640" ht="44" customHeight="1">
      <c r="A8640" s="47" t="inlineStr">
        <is>
          <t>Step 3</t>
        </is>
      </c>
      <c r="B8640" s="56" t="inlineStr">
        <is>
          <t>Xem kết quả đỏ của ô môn chính và ô nhận điểm sao chép; chọn dữ liệu sao cho giá trị trung gian (trước bước môn chính/phụ hoặc sao chép) và giá trị cuối nằm khác phía ngưỡng 30.</t>
        </is>
      </c>
      <c r="C8640" s="57" t="n"/>
      <c r="D8640" s="57" t="n"/>
      <c r="E8640" s="57" t="n"/>
    </row>
    <row r="8641" ht="44" customHeight="1">
      <c r="A8641" s="47" t="inlineStr">
        <is>
          <t>Reset</t>
        </is>
      </c>
      <c r="B8641" s="56" t="inlineStr">
        <is>
          <t>Trước mỗi biến thể, dựng lại điều kiện/dữ liệu đầu của case bằng đường được phép; giữ các reset/fixture độc lập đã nêu trong thủ tục.</t>
        </is>
      </c>
      <c r="C8641" s="57" t="n"/>
      <c r="D8641" s="57" t="n"/>
      <c r="E8641" s="57" t="n"/>
    </row>
    <row r="8642" ht="30" customHeight="1">
      <c r="A8642" s="58" t="inlineStr">
        <is>
          <t>Kết quả mong đợi</t>
        </is>
      </c>
      <c r="B8642" s="59" t="n"/>
      <c r="C8642" s="59" t="n"/>
      <c r="D8642" s="59" t="n"/>
      <c r="E8642" s="59" t="n"/>
    </row>
    <row r="8643" ht="44" customHeight="1">
      <c r="A8643" s="47" t="inlineStr">
        <is>
          <t>•</t>
        </is>
      </c>
      <c r="B8643" s="56" t="inlineStr">
        <is>
          <t>1–2. Điểm môn chính, điểm quan điểm được sao chép và tín chỉ bằng baseline; thông báo và hành vi lỗi của từng đường như baseline.</t>
        </is>
      </c>
      <c r="C8643" s="57" t="n"/>
      <c r="D8643" s="57" t="n"/>
      <c r="E8643" s="57" t="n"/>
    </row>
    <row r="8644" ht="44" customHeight="1">
      <c r="A8644" s="47" t="inlineStr">
        <is>
          <t>3.</t>
        </is>
      </c>
      <c r="B8644" s="56" t="inlineStr">
        <is>
          <t>Ô môn chính và ô nhận điểm sao chép được xét theo giá trị cuối sau các bước sau tính tự động, không theo giá trị trung gian (đặc tả v2 mục 7.5 “Phạm vi một lượt và thứ tự hoàn tất”).</t>
        </is>
      </c>
      <c r="C8644" s="57" t="n"/>
      <c r="D8644" s="57" t="n"/>
      <c r="E8644" s="57" t="n"/>
    </row>
    <row r="8645" ht="44" customHeight="1">
      <c r="A8645" s="47" t="inlineStr">
        <is>
          <t>Giữ nguyên</t>
        </is>
      </c>
      <c r="B8645" s="56" t="inlineStr">
        <is>
          <t>• Giữ điểm, cấu hình và đối tượng không đích theo expected;
• Chỉ thay phần thủ tục yêu cầu, không tự đổi oracle hoặc mở rộng phạm vi.</t>
        </is>
      </c>
      <c r="C8645" s="57" t="n"/>
      <c r="D8645" s="57" t="n"/>
      <c r="E8645" s="57" t="n"/>
    </row>
    <row r="8646" ht="61" customHeight="1">
      <c r="A8646" s="47" t="inlineStr">
        <is>
          <t>Quan sát tại</t>
        </is>
      </c>
      <c r="B8646" s="56" t="inlineStr">
        <is>
          <t>• Dùng trích xuất không lọc để thấy cả ô đối chứng. Trạng thái không có dấu đỏ cần đọc thêm trạng thái lưu;
• Output Excel/PDF dùng file thật.</t>
        </is>
      </c>
      <c r="C8646" s="57" t="n"/>
      <c r="D8646" s="57" t="n"/>
      <c r="E8646" s="57" t="n"/>
    </row>
    <row r="8647" ht="30" customHeight="1">
      <c r="A8647" s="58" t="inlineStr">
        <is>
          <t>Kết quả thực tế</t>
        </is>
      </c>
      <c r="B8647" s="59" t="n"/>
      <c r="C8647" s="59" t="n"/>
      <c r="D8647" s="59" t="n"/>
      <c r="E8647" s="59" t="n"/>
    </row>
    <row r="8648" ht="30" customHeight="1">
      <c r="A8648" s="60" t="inlineStr">
        <is>
          <t>TC-RS-REG-016 / direct</t>
        </is>
      </c>
      <c r="B8648" s="36" t="n"/>
      <c r="C8648" s="36" t="n"/>
      <c r="D8648" s="36" t="n"/>
      <c r="E8648" s="36" t="n"/>
    </row>
    <row r="8649" ht="30" customHeight="1">
      <c r="A8649" s="47" t="inlineStr">
        <is>
          <t>Dữ liệu biến thể</t>
        </is>
      </c>
      <c r="B8649" s="56" t="inlineStr">
        <is>
          <t>Màn đăng ký NB, đủ bước 1–3</t>
        </is>
      </c>
      <c r="C8649" s="57" t="n"/>
      <c r="D8649" s="57" t="n"/>
      <c r="E8649" s="57" t="n"/>
    </row>
    <row r="8650" ht="30" customHeight="1">
      <c r="A8650" s="47" t="inlineStr">
        <is>
          <t>Trạng thái</t>
        </is>
      </c>
      <c r="B8650" s="61" t="inlineStr">
        <is>
          <t>Chưa thực hiện</t>
        </is>
      </c>
      <c r="C8650" s="57" t="n"/>
      <c r="D8650" s="57" t="n"/>
      <c r="E8650" s="57" t="n"/>
    </row>
    <row r="8651" ht="30" customHeight="1">
      <c r="A8651" s="62" t="inlineStr">
        <is>
          <t>Kết quả thực tế</t>
        </is>
      </c>
    </row>
    <row r="8652" ht="64" customHeight="1">
      <c r="A8652" s="63" t="inlineStr"/>
      <c r="B8652" s="64" t="n"/>
      <c r="C8652" s="64" t="n"/>
      <c r="D8652" s="64" t="n"/>
      <c r="E8652" s="65" t="n"/>
    </row>
    <row r="8653" ht="30" customHeight="1">
      <c r="A8653" s="62" t="inlineStr">
        <is>
          <t>Ảnh minh chứng</t>
        </is>
      </c>
    </row>
    <row r="8654" ht="90" customHeight="1">
      <c r="A8654" s="63" t="inlineStr"/>
      <c r="B8654" s="64" t="n"/>
      <c r="C8654" s="64" t="n"/>
      <c r="D8654" s="64" t="n"/>
      <c r="E8654" s="65" t="n"/>
    </row>
    <row r="8655" ht="12" customHeight="1">
      <c r="A8655" s="66" t="inlineStr"/>
    </row>
    <row r="8656" ht="30" customHeight="1">
      <c r="A8656" s="60" t="inlineStr">
        <is>
          <t>TC-RS-REG-016 / csv</t>
        </is>
      </c>
      <c r="B8656" s="36" t="n"/>
      <c r="C8656" s="36" t="n"/>
      <c r="D8656" s="36" t="n"/>
      <c r="E8656" s="36" t="n"/>
    </row>
    <row r="8657" ht="30" customHeight="1">
      <c r="A8657" s="47" t="inlineStr">
        <is>
          <t>Dữ liệu biến thể</t>
        </is>
      </c>
      <c r="B8657" s="56" t="inlineStr">
        <is>
          <t>CSV lớp NB, đủ bước 1–3</t>
        </is>
      </c>
      <c r="C8657" s="57" t="n"/>
      <c r="D8657" s="57" t="n"/>
      <c r="E8657" s="57" t="n"/>
    </row>
    <row r="8658" ht="30" customHeight="1">
      <c r="A8658" s="47" t="inlineStr">
        <is>
          <t>Trạng thái</t>
        </is>
      </c>
      <c r="B8658" s="61" t="inlineStr">
        <is>
          <t>Chưa thực hiện</t>
        </is>
      </c>
      <c r="C8658" s="57" t="n"/>
      <c r="D8658" s="57" t="n"/>
      <c r="E8658" s="57" t="n"/>
    </row>
    <row r="8659" ht="30" customHeight="1">
      <c r="A8659" s="62" t="inlineStr">
        <is>
          <t>Kết quả thực tế</t>
        </is>
      </c>
    </row>
    <row r="8660" ht="64" customHeight="1">
      <c r="A8660" s="63" t="inlineStr"/>
      <c r="B8660" s="64" t="n"/>
      <c r="C8660" s="64" t="n"/>
      <c r="D8660" s="64" t="n"/>
      <c r="E8660" s="65" t="n"/>
    </row>
    <row r="8661" ht="30" customHeight="1">
      <c r="A8661" s="62" t="inlineStr">
        <is>
          <t>Ảnh minh chứng</t>
        </is>
      </c>
    </row>
    <row r="8662" ht="90" customHeight="1">
      <c r="A8662" s="63" t="inlineStr"/>
      <c r="B8662" s="64" t="n"/>
      <c r="C8662" s="64" t="n"/>
      <c r="D8662" s="64" t="n"/>
      <c r="E8662" s="65" t="n"/>
    </row>
    <row r="8663" ht="12" customHeight="1">
      <c r="A8663" s="66" t="inlineStr"/>
    </row>
    <row r="8664" ht="30" customHeight="1">
      <c r="A8664" s="60" t="inlineStr">
        <is>
          <t>TC-RS-REG-016 / hr-csv</t>
        </is>
      </c>
      <c r="B8664" s="36" t="n"/>
      <c r="C8664" s="36" t="n"/>
      <c r="D8664" s="36" t="n"/>
      <c r="E8664" s="36" t="n"/>
    </row>
    <row r="8665" ht="30" customHeight="1">
      <c r="A8665" s="47" t="inlineStr">
        <is>
          <t>Dữ liệu biến thể</t>
        </is>
      </c>
      <c r="B8665" s="56" t="inlineStr">
        <is>
          <t>CSV lớp chủ nhiệm hàng loạt, đủ bước 1–3</t>
        </is>
      </c>
      <c r="C8665" s="57" t="n"/>
      <c r="D8665" s="57" t="n"/>
      <c r="E8665" s="57" t="n"/>
    </row>
    <row r="8666" ht="30" customHeight="1">
      <c r="A8666" s="47" t="inlineStr">
        <is>
          <t>Trạng thái</t>
        </is>
      </c>
      <c r="B8666" s="61" t="inlineStr">
        <is>
          <t>Chưa thực hiện</t>
        </is>
      </c>
      <c r="C8666" s="57" t="n"/>
      <c r="D8666" s="57" t="n"/>
      <c r="E8666" s="57" t="n"/>
    </row>
    <row r="8667" ht="30" customHeight="1">
      <c r="A8667" s="62" t="inlineStr">
        <is>
          <t>Kết quả thực tế</t>
        </is>
      </c>
    </row>
    <row r="8668" ht="64" customHeight="1">
      <c r="A8668" s="63" t="inlineStr"/>
      <c r="B8668" s="64" t="n"/>
      <c r="C8668" s="64" t="n"/>
      <c r="D8668" s="64" t="n"/>
      <c r="E8668" s="65" t="n"/>
    </row>
    <row r="8669" ht="30" customHeight="1">
      <c r="A8669" s="62" t="inlineStr">
        <is>
          <t>Ảnh minh chứng</t>
        </is>
      </c>
    </row>
    <row r="8670" ht="90" customHeight="1">
      <c r="A8670" s="63" t="inlineStr"/>
      <c r="B8670" s="64" t="n"/>
      <c r="C8670" s="64" t="n"/>
      <c r="D8670" s="64" t="n"/>
      <c r="E8670" s="65" t="n"/>
    </row>
    <row r="8671" ht="12" customHeight="1">
      <c r="A8671" s="66" t="inlineStr"/>
    </row>
    <row r="8672" ht="20" customHeight="1">
      <c r="A8672" s="66" t="inlineStr"/>
    </row>
    <row r="8673" ht="30" customHeight="1">
      <c r="A8673" s="46" t="inlineStr">
        <is>
          <t>TC-RS-REG-017 — Thiết lập ô nhập（入力欄設定）: các hàng hiện có không bị ảnh hưởng</t>
        </is>
      </c>
      <c r="B8673" s="23" t="n"/>
      <c r="C8673" s="23" t="n"/>
      <c r="D8673" s="23" t="n"/>
      <c r="E8673" s="23" t="n"/>
    </row>
    <row r="8674" ht="30" customHeight="1">
      <c r="A8674" s="47" t="inlineStr">
        <is>
          <t>Trạng thái</t>
        </is>
      </c>
      <c r="B8674" s="61" t="inlineStr">
        <is>
          <t>Chưa thực hiện</t>
        </is>
      </c>
      <c r="C8674" s="57" t="n"/>
      <c r="D8674" s="57" t="n"/>
      <c r="E8674" s="57" t="n"/>
    </row>
    <row r="8675" ht="30" customHeight="1">
      <c r="A8675" s="47" t="inlineStr">
        <is>
          <t>Màn hình / chức năng</t>
        </is>
      </c>
      <c r="B8675" s="47" t="inlineStr">
        <is>
          <t>Hồi quy luồng hiện có</t>
        </is>
      </c>
      <c r="C8675" s="57" t="n"/>
      <c r="D8675" s="47" t="inlineStr">
        <is>
          <t>Đường dẫn</t>
        </is>
      </c>
      <c r="E8675" s="56" t="inlineStr">
        <is>
          <t>Chưa xác minh</t>
        </is>
      </c>
    </row>
    <row r="8676" ht="30" customHeight="1">
      <c r="A8676" s="58" t="inlineStr">
        <is>
          <t>Điều kiện kiểm thử</t>
        </is>
      </c>
      <c r="B8676" s="59" t="n"/>
      <c r="C8676" s="59" t="n"/>
      <c r="D8676" s="59" t="n"/>
      <c r="E8676" s="59" t="n"/>
    </row>
    <row r="8677" ht="44" customHeight="1">
      <c r="A8677" s="47" t="inlineStr">
        <is>
          <t>Cấu hình</t>
        </is>
      </c>
      <c r="B8677" s="56" t="inlineStr">
        <is>
          <t>• Baseline màn với nhiều mục;
• Có mục có tính tự động và mục bị ẩn.</t>
        </is>
      </c>
      <c r="C8677" s="57" t="n"/>
      <c r="D8677" s="57" t="n"/>
      <c r="E8677" s="57" t="n"/>
    </row>
    <row r="8678" ht="61" customHeight="1">
      <c r="A8678" s="47" t="inlineStr">
        <is>
          <t>Vai trò / quyền</t>
        </is>
      </c>
      <c r="B8678"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678" s="57" t="n"/>
      <c r="D8678" s="57" t="n"/>
      <c r="E8678" s="57" t="n"/>
    </row>
    <row r="8679" ht="30" customHeight="1">
      <c r="A8679" s="47" t="inlineStr">
        <is>
          <t>Dữ liệu test</t>
        </is>
      </c>
      <c r="B8679" s="56" t="inlineStr">
        <is>
          <t>• Mục số nguyên (M=100), mục số nguyên có thêm tính tự động</t>
        </is>
      </c>
      <c r="C8679" s="57" t="n"/>
      <c r="D8679" s="57" t="n"/>
      <c r="E8679" s="57" t="n"/>
    </row>
    <row r="8680" ht="30" customHeight="1">
      <c r="A8680" s="47" t="inlineStr">
        <is>
          <t>Trigger</t>
        </is>
      </c>
      <c r="B8680" s="56" t="inlineStr">
        <is>
          <t>• Chỉ xem/xuất không tự chạy xét.</t>
        </is>
      </c>
      <c r="C8680" s="57" t="n"/>
      <c r="D8680" s="57" t="n"/>
      <c r="E8680" s="57" t="n"/>
    </row>
    <row r="8681" ht="44" customHeight="1">
      <c r="A8681" s="47" t="inlineStr">
        <is>
          <t>Blocker</t>
        </is>
      </c>
      <c r="B8681" s="56" t="inlineStr">
        <is>
          <t>• G-PREP-UNASSESSED: Chưa có xác minh fixture, đường thực hiện và phép quan sát trên build của từng case chưa đánh giá.</t>
        </is>
      </c>
      <c r="C8681" s="57" t="n"/>
      <c r="D8681" s="57" t="n"/>
      <c r="E8681" s="57" t="n"/>
    </row>
    <row r="8682" ht="30" customHeight="1">
      <c r="A8682" s="58" t="inlineStr">
        <is>
          <t>Thao tác</t>
        </is>
      </c>
      <c r="B8682" s="59" t="n"/>
      <c r="C8682" s="59" t="n"/>
      <c r="D8682" s="59" t="n"/>
      <c r="E8682" s="59" t="n"/>
    </row>
    <row r="8683" ht="30" customHeight="1">
      <c r="A8683" s="47" t="inlineStr">
        <is>
          <t>Step 1</t>
        </is>
      </c>
      <c r="B8683" s="56" t="inlineStr">
        <is>
          <t>Mở màn, so bố cục với baseline.</t>
        </is>
      </c>
      <c r="C8683" s="57" t="n"/>
      <c r="D8683" s="57" t="n"/>
      <c r="E8683" s="57" t="n"/>
    </row>
    <row r="8684" ht="30" customHeight="1">
      <c r="A8684" s="47" t="inlineStr">
        <is>
          <t>Step 2</t>
        </is>
      </c>
      <c r="B8684" s="56" t="inlineStr">
        <is>
          <t>Bấm link ở hàng Tính tự động（自動計算） và Thiết lập ẩn mục nhập（入力項目の非表示設定）.</t>
        </is>
      </c>
      <c r="C8684" s="57" t="n"/>
      <c r="D8684" s="57" t="n"/>
      <c r="E8684" s="57" t="n"/>
    </row>
    <row r="8685" ht="30" customHeight="1">
      <c r="A8685" s="47" t="inlineStr">
        <is>
          <t>Step 3</t>
        </is>
      </c>
      <c r="B8685" s="56" t="inlineStr">
        <is>
          <t>Sửa một giá trị ở hàng khác, lưu.</t>
        </is>
      </c>
      <c r="C8685" s="57" t="n"/>
      <c r="D8685" s="57" t="n"/>
      <c r="E8685" s="57" t="n"/>
    </row>
    <row r="8686" ht="44" customHeight="1">
      <c r="A8686" s="47" t="inlineStr">
        <is>
          <t>Reset</t>
        </is>
      </c>
      <c r="B8686" s="56" t="inlineStr">
        <is>
          <t>Trước mỗi biến thể, dựng lại điều kiện/dữ liệu đầu của case bằng đường được phép; giữ các reset/fixture độc lập đã nêu trong thủ tục.</t>
        </is>
      </c>
      <c r="C8686" s="57" t="n"/>
      <c r="D8686" s="57" t="n"/>
      <c r="E8686" s="57" t="n"/>
    </row>
    <row r="8687" ht="30" customHeight="1">
      <c r="A8687" s="58" t="inlineStr">
        <is>
          <t>Kết quả mong đợi</t>
        </is>
      </c>
      <c r="B8687" s="59" t="n"/>
      <c r="C8687" s="59" t="n"/>
      <c r="D8687" s="59" t="n"/>
      <c r="E8687" s="59" t="n"/>
    </row>
    <row r="8688" ht="30" customHeight="1">
      <c r="A8688" s="47" t="inlineStr">
        <is>
          <t>•</t>
        </is>
      </c>
      <c r="B8688" s="56" t="inlineStr">
        <is>
          <t>Cột thẳng hàng, link mở đúng màn của đúng mục, lưu các hàng khác như baseline.</t>
        </is>
      </c>
      <c r="C8688" s="57" t="n"/>
      <c r="D8688" s="57" t="n"/>
      <c r="E8688" s="57" t="n"/>
    </row>
    <row r="8689" ht="44" customHeight="1">
      <c r="A8689" s="47" t="inlineStr">
        <is>
          <t>Giữ nguyên</t>
        </is>
      </c>
      <c r="B8689" s="56" t="inlineStr">
        <is>
          <t>• Giữ điểm, cấu hình và đối tượng không đích theo expected;
• Chỉ thay phần thủ tục yêu cầu, không tự đổi oracle hoặc mở rộng phạm vi.</t>
        </is>
      </c>
      <c r="C8689" s="57" t="n"/>
      <c r="D8689" s="57" t="n"/>
      <c r="E8689" s="57" t="n"/>
    </row>
    <row r="8690" ht="61" customHeight="1">
      <c r="A8690" s="47" t="inlineStr">
        <is>
          <t>Quan sát tại</t>
        </is>
      </c>
      <c r="B8690" s="56" t="inlineStr">
        <is>
          <t>• Dùng trích xuất không lọc để thấy cả ô đối chứng. Trạng thái không có dấu đỏ cần đọc thêm trạng thái lưu;
• Output Excel/PDF dùng file thật.</t>
        </is>
      </c>
      <c r="C8690" s="57" t="n"/>
      <c r="D8690" s="57" t="n"/>
      <c r="E8690" s="57" t="n"/>
    </row>
    <row r="8691" ht="30" customHeight="1">
      <c r="A8691" s="58" t="inlineStr">
        <is>
          <t>Kết quả thực tế</t>
        </is>
      </c>
      <c r="B8691" s="59" t="n"/>
      <c r="C8691" s="59" t="n"/>
      <c r="D8691" s="59" t="n"/>
      <c r="E8691" s="59" t="n"/>
    </row>
    <row r="8692" ht="30" customHeight="1">
      <c r="A8692" s="47" t="inlineStr">
        <is>
          <t>Dữ liệu biến thể</t>
        </is>
      </c>
      <c r="B8692" s="56" t="inlineStr">
        <is>
          <t>Toàn bộ thủ tục theo đúng thứ tự; các đối chứng cùng fixture được kiểm trong cùng lượt, không bỏ bước</t>
        </is>
      </c>
      <c r="C8692" s="57" t="n"/>
      <c r="D8692" s="57" t="n"/>
      <c r="E8692" s="57" t="n"/>
    </row>
    <row r="8693" ht="30" customHeight="1">
      <c r="A8693" s="62" t="inlineStr">
        <is>
          <t>Kết quả thực tế</t>
        </is>
      </c>
    </row>
    <row r="8694" ht="64" customHeight="1">
      <c r="A8694" s="63" t="inlineStr"/>
      <c r="B8694" s="64" t="n"/>
      <c r="C8694" s="64" t="n"/>
      <c r="D8694" s="64" t="n"/>
      <c r="E8694" s="65" t="n"/>
    </row>
    <row r="8695" ht="30" customHeight="1">
      <c r="A8695" s="62" t="inlineStr">
        <is>
          <t>Ảnh minh chứng</t>
        </is>
      </c>
    </row>
    <row r="8696" ht="90" customHeight="1">
      <c r="A8696" s="63" t="inlineStr"/>
      <c r="B8696" s="64" t="n"/>
      <c r="C8696" s="64" t="n"/>
      <c r="D8696" s="64" t="n"/>
      <c r="E8696" s="65" t="n"/>
    </row>
    <row r="8697" ht="12" customHeight="1">
      <c r="A8697" s="66" t="inlineStr"/>
    </row>
    <row r="8698" ht="20" customHeight="1">
      <c r="A8698" s="66" t="inlineStr"/>
    </row>
    <row r="8699" ht="30" customHeight="1">
      <c r="A8699" s="46" t="inlineStr">
        <is>
          <t>TC-RS-REG-011 — Consumer legacy giữ hành vi sau khi thêm rule đỏ</t>
        </is>
      </c>
      <c r="B8699" s="23" t="n"/>
      <c r="C8699" s="23" t="n"/>
      <c r="D8699" s="23" t="n"/>
      <c r="E8699" s="23" t="n"/>
    </row>
    <row r="8700" ht="30" customHeight="1">
      <c r="A8700" s="47" t="inlineStr">
        <is>
          <t>Trạng thái</t>
        </is>
      </c>
      <c r="B8700" s="61" t="inlineStr">
        <is>
          <t>Chưa thực hiện</t>
        </is>
      </c>
      <c r="C8700" s="57" t="n"/>
      <c r="D8700" s="57" t="n"/>
      <c r="E8700" s="57" t="n"/>
    </row>
    <row r="8701" ht="30" customHeight="1">
      <c r="A8701" s="47" t="inlineStr">
        <is>
          <t>Màn hình / chức năng</t>
        </is>
      </c>
      <c r="B8701" s="47" t="inlineStr">
        <is>
          <t>Hồi quy luồng hiện có</t>
        </is>
      </c>
      <c r="C8701" s="57" t="n"/>
      <c r="D8701" s="47" t="inlineStr">
        <is>
          <t>Đường dẫn</t>
        </is>
      </c>
      <c r="E8701" s="56" t="inlineStr">
        <is>
          <t>Chưa xác minh</t>
        </is>
      </c>
    </row>
    <row r="8702" ht="30" customHeight="1">
      <c r="A8702" s="58" t="inlineStr">
        <is>
          <t>Điều kiện kiểm thử</t>
        </is>
      </c>
      <c r="B8702" s="59" t="n"/>
      <c r="C8702" s="59" t="n"/>
      <c r="D8702" s="59" t="n"/>
      <c r="E8702" s="59" t="n"/>
    </row>
    <row r="8703" ht="30" customHeight="1">
      <c r="A8703" s="47" t="inlineStr">
        <is>
          <t>Cấu hình</t>
        </is>
      </c>
      <c r="B8703" s="56" t="inlineStr">
        <is>
          <t>• Consumer/báo cáo hiện có đang hiển thị giá trị legacy trước khi bật rule mới.</t>
        </is>
      </c>
      <c r="C8703" s="57" t="n"/>
      <c r="D8703" s="57" t="n"/>
      <c r="E8703" s="57" t="n"/>
    </row>
    <row r="8704" ht="61" customHeight="1">
      <c r="A8704" s="47" t="inlineStr">
        <is>
          <t>Vai trò / quyền</t>
        </is>
      </c>
      <c r="B8704"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704" s="57" t="n"/>
      <c r="D8704" s="57" t="n"/>
      <c r="E8704" s="57" t="n"/>
    </row>
    <row r="8705" ht="30" customHeight="1">
      <c r="A8705" s="47" t="inlineStr">
        <is>
          <t>Dữ liệu test</t>
        </is>
      </c>
      <c r="B8705" s="56" t="inlineStr">
        <is>
          <t>• Consumer/báo cáo hiện có đang hiển thị giá trị legacy trước khi bật rule mới.</t>
        </is>
      </c>
      <c r="C8705" s="57" t="n"/>
      <c r="D8705" s="57" t="n"/>
      <c r="E8705" s="57" t="n"/>
    </row>
    <row r="8706" ht="30" customHeight="1">
      <c r="A8706" s="47" t="inlineStr">
        <is>
          <t>Trigger</t>
        </is>
      </c>
      <c r="B8706" s="56" t="inlineStr">
        <is>
          <t>• Chỉ xem/xuất không tự chạy xét.</t>
        </is>
      </c>
      <c r="C8706" s="57" t="n"/>
      <c r="D8706" s="57" t="n"/>
      <c r="E8706" s="57" t="n"/>
    </row>
    <row r="8707" ht="44" customHeight="1">
      <c r="A8707" s="47" t="inlineStr">
        <is>
          <t>Blocker</t>
        </is>
      </c>
      <c r="B8707" s="56" t="inlineStr">
        <is>
          <t>• G-PREP-UNASSESSED: Chưa có xác minh fixture, đường thực hiện và phép quan sát trên build của từng case chưa đánh giá.</t>
        </is>
      </c>
      <c r="C8707" s="57" t="n"/>
      <c r="D8707" s="57" t="n"/>
      <c r="E8707" s="57" t="n"/>
    </row>
    <row r="8708" ht="30" customHeight="1">
      <c r="A8708" s="58" t="inlineStr">
        <is>
          <t>Thao tác</t>
        </is>
      </c>
      <c r="B8708" s="59" t="n"/>
      <c r="C8708" s="59" t="n"/>
      <c r="D8708" s="59" t="n"/>
      <c r="E8708" s="59" t="n"/>
    </row>
    <row r="8709" ht="30" customHeight="1">
      <c r="A8709" s="47" t="inlineStr">
        <is>
          <t>Step 1</t>
        </is>
      </c>
      <c r="B8709" s="56" t="inlineStr">
        <is>
          <t>Thêm và chạy rule đỏ mới.</t>
        </is>
      </c>
      <c r="C8709" s="57" t="n"/>
      <c r="D8709" s="57" t="n"/>
      <c r="E8709" s="57" t="n"/>
    </row>
    <row r="8710" ht="30" customHeight="1">
      <c r="A8710" s="47" t="inlineStr">
        <is>
          <t>Step 2</t>
        </is>
      </c>
      <c r="B8710" s="56" t="inlineStr">
        <is>
          <t>Mở consumer/báo cáo legacy cùng kỳ.</t>
        </is>
      </c>
      <c r="C8710" s="57" t="n"/>
      <c r="D8710" s="57" t="n"/>
      <c r="E8710" s="57" t="n"/>
    </row>
    <row r="8711" ht="44" customHeight="1">
      <c r="A8711" s="47" t="inlineStr">
        <is>
          <t>Reset</t>
        </is>
      </c>
      <c r="B8711" s="56" t="inlineStr">
        <is>
          <t>Trước mỗi biến thể, dựng lại điều kiện/dữ liệu đầu của case bằng đường được phép; giữ các reset/fixture độc lập đã nêu trong thủ tục.</t>
        </is>
      </c>
      <c r="C8711" s="57" t="n"/>
      <c r="D8711" s="57" t="n"/>
      <c r="E8711" s="57" t="n"/>
    </row>
    <row r="8712" ht="30" customHeight="1">
      <c r="A8712" s="58" t="inlineStr">
        <is>
          <t>Kết quả mong đợi</t>
        </is>
      </c>
      <c r="B8712" s="59" t="n"/>
      <c r="C8712" s="59" t="n"/>
      <c r="D8712" s="59" t="n"/>
      <c r="E8712" s="59" t="n"/>
    </row>
    <row r="8713" ht="44" customHeight="1">
      <c r="A8713" s="47" t="inlineStr">
        <is>
          <t>•</t>
        </is>
      </c>
      <c r="B8713" s="56" t="inlineStr">
        <is>
          <t>Consumer legacy giữ hành vi và giá trị trước đó, trừ phần tích hợp đỏ được xác nhận riêng; không đọc nhầm payload kết quả cá nhân mới.</t>
        </is>
      </c>
      <c r="C8713" s="57" t="n"/>
      <c r="D8713" s="57" t="n"/>
      <c r="E8713" s="57" t="n"/>
    </row>
    <row r="8714" ht="44" customHeight="1">
      <c r="A8714" s="47" t="inlineStr">
        <is>
          <t>Giữ nguyên</t>
        </is>
      </c>
      <c r="B8714" s="56" t="inlineStr">
        <is>
          <t>• Giữ điểm, cấu hình và đối tượng không đích theo expected;
• Chỉ thay phần thủ tục yêu cầu, không tự đổi oracle hoặc mở rộng phạm vi.</t>
        </is>
      </c>
      <c r="C8714" s="57" t="n"/>
      <c r="D8714" s="57" t="n"/>
      <c r="E8714" s="57" t="n"/>
    </row>
    <row r="8715" ht="61" customHeight="1">
      <c r="A8715" s="47" t="inlineStr">
        <is>
          <t>Quan sát tại</t>
        </is>
      </c>
      <c r="B8715" s="56" t="inlineStr">
        <is>
          <t>• Dùng trích xuất không lọc để thấy cả ô đối chứng. Trạng thái không có dấu đỏ cần đọc thêm trạng thái lưu;
• Output Excel/PDF dùng file thật.</t>
        </is>
      </c>
      <c r="C8715" s="57" t="n"/>
      <c r="D8715" s="57" t="n"/>
      <c r="E8715" s="57" t="n"/>
    </row>
    <row r="8716" ht="30" customHeight="1">
      <c r="A8716" s="58" t="inlineStr">
        <is>
          <t>Kết quả thực tế</t>
        </is>
      </c>
      <c r="B8716" s="59" t="n"/>
      <c r="C8716" s="59" t="n"/>
      <c r="D8716" s="59" t="n"/>
      <c r="E8716" s="59" t="n"/>
    </row>
    <row r="8717" ht="30" customHeight="1">
      <c r="A8717" s="47" t="inlineStr">
        <is>
          <t>Dữ liệu biến thể</t>
        </is>
      </c>
      <c r="B8717" s="56" t="inlineStr">
        <is>
          <t>Toàn bộ thủ tục theo đúng thứ tự; các đối chứng cùng fixture được kiểm trong cùng lượt, không bỏ bước</t>
        </is>
      </c>
      <c r="C8717" s="57" t="n"/>
      <c r="D8717" s="57" t="n"/>
      <c r="E8717" s="57" t="n"/>
    </row>
    <row r="8718" ht="30" customHeight="1">
      <c r="A8718" s="62" t="inlineStr">
        <is>
          <t>Kết quả thực tế</t>
        </is>
      </c>
    </row>
    <row r="8719" ht="64" customHeight="1">
      <c r="A8719" s="63" t="inlineStr"/>
      <c r="B8719" s="64" t="n"/>
      <c r="C8719" s="64" t="n"/>
      <c r="D8719" s="64" t="n"/>
      <c r="E8719" s="65" t="n"/>
    </row>
    <row r="8720" ht="30" customHeight="1">
      <c r="A8720" s="62" t="inlineStr">
        <is>
          <t>Ảnh minh chứng</t>
        </is>
      </c>
    </row>
    <row r="8721" ht="90" customHeight="1">
      <c r="A8721" s="63" t="inlineStr"/>
      <c r="B8721" s="64" t="n"/>
      <c r="C8721" s="64" t="n"/>
      <c r="D8721" s="64" t="n"/>
      <c r="E8721" s="65" t="n"/>
    </row>
    <row r="8722" ht="12" customHeight="1">
      <c r="A8722" s="66" t="inlineStr"/>
    </row>
    <row r="8723" ht="20" customHeight="1">
      <c r="A8723" s="66" t="inlineStr"/>
    </row>
    <row r="8724" ht="30" customHeight="1">
      <c r="A8724" s="46" t="inlineStr">
        <is>
          <t>TC-RS-REG-012 — Các luồng chuyển cấu hình không làm mất legacy</t>
        </is>
      </c>
      <c r="B8724" s="23" t="n"/>
      <c r="C8724" s="23" t="n"/>
      <c r="D8724" s="23" t="n"/>
      <c r="E8724" s="23" t="n"/>
    </row>
    <row r="8725" ht="30" customHeight="1">
      <c r="A8725" s="47" t="inlineStr">
        <is>
          <t>Trạng thái</t>
        </is>
      </c>
      <c r="B8725" s="56">
        <f>IF(0&gt;0,"Không đạt",IF(0=4,"Đạt",IF(SUMPRODUCT(--EXACT('Testcases'!B8744:B8768,"Không thực hiện"))=4,"Không thực hiện",IF(SUMPRODUCT(--EXACT('Testcases'!B8744:B8768,"Bị chặn"))&gt;0,"Bị chặn",IF(SUMPRODUCT(--EXACT('Testcases'!B8744:B8768,"Chưa thực hiện"))=4,"Chưa thực hiện","Chưa đủ kết luận")))))</f>
        <v/>
      </c>
      <c r="C8725" s="57" t="n"/>
      <c r="D8725" s="57" t="n"/>
      <c r="E8725" s="57" t="n"/>
    </row>
    <row r="8726" ht="30" customHeight="1">
      <c r="A8726" s="47" t="inlineStr">
        <is>
          <t>Màn hình / chức năng</t>
        </is>
      </c>
      <c r="B8726" s="47" t="inlineStr">
        <is>
          <t>Hồi quy luồng hiện có</t>
        </is>
      </c>
      <c r="C8726" s="57" t="n"/>
      <c r="D8726" s="47" t="inlineStr">
        <is>
          <t>Đường dẫn</t>
        </is>
      </c>
      <c r="E8726" s="56" t="inlineStr">
        <is>
          <t>Chưa xác minh</t>
        </is>
      </c>
    </row>
    <row r="8727" ht="30" customHeight="1">
      <c r="A8727" s="58" t="inlineStr">
        <is>
          <t>Điều kiện kiểm thử</t>
        </is>
      </c>
      <c r="B8727" s="59" t="n"/>
      <c r="C8727" s="59" t="n"/>
      <c r="D8727" s="59" t="n"/>
      <c r="E8727" s="59" t="n"/>
    </row>
    <row r="8728" ht="44" customHeight="1">
      <c r="A8728" s="47" t="inlineStr">
        <is>
          <t>Cấu hình</t>
        </is>
      </c>
      <c r="B8728" s="56" t="inlineStr">
        <is>
          <t>• Có dữ liệu legacy và kết quả cá nhân ở nguồn;
• Thực hiện một đường chuyển cấu hình được hỗ trợ.</t>
        </is>
      </c>
      <c r="C8728" s="57" t="n"/>
      <c r="D8728" s="57" t="n"/>
      <c r="E8728" s="57" t="n"/>
    </row>
    <row r="8729" ht="61" customHeight="1">
      <c r="A8729" s="47" t="inlineStr">
        <is>
          <t>Vai trò / quyền</t>
        </is>
      </c>
      <c r="B8729" s="56" t="inlineStr">
        <is>
          <t>• Dùng actor/quyền được nêu trong điều kiện;
• Cấu hình bởi người được sửa đúng mục, ghi điểm bởi người phụ trách lớp, batch bởi người có quyền chạy;
• Đầu ra và tài khoản học sinh giữ quyền riêng.</t>
        </is>
      </c>
      <c r="C8729" s="57" t="n"/>
      <c r="D8729" s="57" t="n"/>
      <c r="E8729" s="57" t="n"/>
    </row>
    <row r="8730" ht="44" customHeight="1">
      <c r="A8730" s="47" t="inlineStr">
        <is>
          <t>Dữ liệu test</t>
        </is>
      </c>
      <c r="B8730" s="56" t="inlineStr">
        <is>
          <t>• Có dữ liệu legacy và kết quả cá nhân ở nguồn;
• Thực hiện một đường chuyển cấu hình được hỗ trợ.</t>
        </is>
      </c>
      <c r="C8730" s="57" t="n"/>
      <c r="D8730" s="57" t="n"/>
      <c r="E8730" s="57" t="n"/>
    </row>
    <row r="8731" ht="30" customHeight="1">
      <c r="A8731" s="47" t="inlineStr">
        <is>
          <t>Trigger</t>
        </is>
      </c>
      <c r="B8731" s="56" t="inlineStr">
        <is>
          <t>• Chỉ xem/xuất không tự chạy xét.</t>
        </is>
      </c>
      <c r="C8731" s="57" t="n"/>
      <c r="D8731" s="57" t="n"/>
      <c r="E8731" s="57" t="n"/>
    </row>
    <row r="8732" ht="44" customHeight="1">
      <c r="A8732" s="47" t="inlineStr">
        <is>
          <t>Blocker</t>
        </is>
      </c>
      <c r="B8732" s="56" t="inlineStr">
        <is>
          <t>• G-PREP-UNASSESSED: Chưa có xác minh fixture, đường thực hiện và phép quan sát trên build của từng case chưa đánh giá.</t>
        </is>
      </c>
      <c r="C8732" s="57" t="n"/>
      <c r="D8732" s="57" t="n"/>
      <c r="E8732" s="57" t="n"/>
    </row>
    <row r="8733" ht="30" customHeight="1">
      <c r="A8733" s="58" t="inlineStr">
        <is>
          <t>Thao tác</t>
        </is>
      </c>
      <c r="B8733" s="59" t="n"/>
      <c r="C8733" s="59" t="n"/>
      <c r="D8733" s="59" t="n"/>
      <c r="E8733" s="59" t="n"/>
    </row>
    <row r="8734" ht="30" customHeight="1">
      <c r="A8734" s="47" t="inlineStr">
        <is>
          <t>Step 1</t>
        </is>
      </c>
      <c r="B8734" s="56" t="inlineStr">
        <is>
          <t>Chuyển cấu hình qua copy/năm mới/import hoặc sync.</t>
        </is>
      </c>
      <c r="C8734" s="57" t="n"/>
      <c r="D8734" s="57" t="n"/>
      <c r="E8734" s="57" t="n"/>
    </row>
    <row r="8735" ht="30" customHeight="1">
      <c r="A8735" s="47" t="inlineStr">
        <is>
          <t>Step 2</t>
        </is>
      </c>
      <c r="B8735" s="56" t="inlineStr">
        <is>
          <t>Đọc lại nguồn và đích trên consumer/báo cáo.</t>
        </is>
      </c>
      <c r="C8735" s="57" t="n"/>
      <c r="D8735" s="57" t="n"/>
      <c r="E8735" s="57" t="n"/>
    </row>
    <row r="8736" ht="44" customHeight="1">
      <c r="A8736" s="47" t="inlineStr">
        <is>
          <t>Reset</t>
        </is>
      </c>
      <c r="B8736" s="56" t="inlineStr">
        <is>
          <t>Trước mỗi biến thể, dựng lại điều kiện/dữ liệu đầu của case bằng đường được phép; giữ các reset/fixture độc lập đã nêu trong thủ tục.</t>
        </is>
      </c>
      <c r="C8736" s="57" t="n"/>
      <c r="D8736" s="57" t="n"/>
      <c r="E8736" s="57" t="n"/>
    </row>
    <row r="8737" ht="30" customHeight="1">
      <c r="A8737" s="58" t="inlineStr">
        <is>
          <t>Kết quả mong đợi</t>
        </is>
      </c>
      <c r="B8737" s="59" t="n"/>
      <c r="C8737" s="59" t="n"/>
      <c r="D8737" s="59" t="n"/>
      <c r="E8737" s="59" t="n"/>
    </row>
    <row r="8738" ht="44" customHeight="1">
      <c r="A8738" s="47" t="inlineStr">
        <is>
          <t>•</t>
        </is>
      </c>
      <c r="B8738" s="56" t="inlineStr">
        <is>
          <t>Legacy ở nguồn vẫn nguyên vẹn; đích không nhận kết quả cá nhân ngoài mapping hợp lệ và không dùng lại kết quả nguồn.</t>
        </is>
      </c>
      <c r="C8738" s="57" t="n"/>
      <c r="D8738" s="57" t="n"/>
      <c r="E8738" s="57" t="n"/>
    </row>
    <row r="8739" ht="44" customHeight="1">
      <c r="A8739" s="47" t="inlineStr">
        <is>
          <t>Giữ nguyên</t>
        </is>
      </c>
      <c r="B8739" s="56" t="inlineStr">
        <is>
          <t>• Giữ điểm, cấu hình và đối tượng không đích theo expected;
• Chỉ thay phần thủ tục yêu cầu, không tự đổi oracle hoặc mở rộng phạm vi.</t>
        </is>
      </c>
      <c r="C8739" s="57" t="n"/>
      <c r="D8739" s="57" t="n"/>
      <c r="E8739" s="57" t="n"/>
    </row>
    <row r="8740" ht="61" customHeight="1">
      <c r="A8740" s="47" t="inlineStr">
        <is>
          <t>Quan sát tại</t>
        </is>
      </c>
      <c r="B8740" s="56" t="inlineStr">
        <is>
          <t>• Dùng trích xuất không lọc để thấy cả ô đối chứng. Trạng thái không có dấu đỏ cần đọc thêm trạng thái lưu;
• Output Excel/PDF dùng file thật.</t>
        </is>
      </c>
      <c r="C8740" s="57" t="n"/>
      <c r="D8740" s="57" t="n"/>
      <c r="E8740" s="57" t="n"/>
    </row>
    <row r="8741" ht="30" customHeight="1">
      <c r="A8741" s="58" t="inlineStr">
        <is>
          <t>Kết quả thực tế</t>
        </is>
      </c>
      <c r="B8741" s="59" t="n"/>
      <c r="C8741" s="59" t="n"/>
      <c r="D8741" s="59" t="n"/>
      <c r="E8741" s="59" t="n"/>
    </row>
    <row r="8742" ht="30" customHeight="1">
      <c r="A8742" s="60" t="inlineStr">
        <is>
          <t>TC-RS-REG-012 / copy</t>
        </is>
      </c>
      <c r="B8742" s="36" t="n"/>
      <c r="C8742" s="36" t="n"/>
      <c r="D8742" s="36" t="n"/>
      <c r="E8742" s="36" t="n"/>
    </row>
    <row r="8743" ht="30" customHeight="1">
      <c r="A8743" s="47" t="inlineStr">
        <is>
          <t>Dữ liệu biến thể</t>
        </is>
      </c>
      <c r="B8743" s="56" t="inlineStr">
        <is>
          <t>Đường copy DATA-015</t>
        </is>
      </c>
      <c r="C8743" s="57" t="n"/>
      <c r="D8743" s="57" t="n"/>
      <c r="E8743" s="57" t="n"/>
    </row>
    <row r="8744" ht="30" customHeight="1">
      <c r="A8744" s="47" t="inlineStr">
        <is>
          <t>Trạng thái</t>
        </is>
      </c>
      <c r="B8744" s="61" t="inlineStr">
        <is>
          <t>Chưa thực hiện</t>
        </is>
      </c>
      <c r="C8744" s="57" t="n"/>
      <c r="D8744" s="57" t="n"/>
      <c r="E8744" s="57" t="n"/>
    </row>
    <row r="8745" ht="30" customHeight="1">
      <c r="A8745" s="62" t="inlineStr">
        <is>
          <t>Kết quả thực tế</t>
        </is>
      </c>
    </row>
    <row r="8746" ht="64" customHeight="1">
      <c r="A8746" s="63" t="inlineStr"/>
      <c r="B8746" s="64" t="n"/>
      <c r="C8746" s="64" t="n"/>
      <c r="D8746" s="64" t="n"/>
      <c r="E8746" s="65" t="n"/>
    </row>
    <row r="8747" ht="30" customHeight="1">
      <c r="A8747" s="62" t="inlineStr">
        <is>
          <t>Ảnh minh chứng</t>
        </is>
      </c>
    </row>
    <row r="8748" ht="90" customHeight="1">
      <c r="A8748" s="63" t="inlineStr"/>
      <c r="B8748" s="64" t="n"/>
      <c r="C8748" s="64" t="n"/>
      <c r="D8748" s="64" t="n"/>
      <c r="E8748" s="65" t="n"/>
    </row>
    <row r="8749" ht="12" customHeight="1">
      <c r="A8749" s="66" t="inlineStr"/>
    </row>
    <row r="8750" ht="30" customHeight="1">
      <c r="A8750" s="60" t="inlineStr">
        <is>
          <t>TC-RS-REG-012 / year</t>
        </is>
      </c>
      <c r="B8750" s="36" t="n"/>
      <c r="C8750" s="36" t="n"/>
      <c r="D8750" s="36" t="n"/>
      <c r="E8750" s="36" t="n"/>
    </row>
    <row r="8751" ht="30" customHeight="1">
      <c r="A8751" s="47" t="inlineStr">
        <is>
          <t>Dữ liệu biến thể</t>
        </is>
      </c>
      <c r="B8751" s="56" t="inlineStr">
        <is>
          <t>Đường năm mới DATA-016</t>
        </is>
      </c>
      <c r="C8751" s="57" t="n"/>
      <c r="D8751" s="57" t="n"/>
      <c r="E8751" s="57" t="n"/>
    </row>
    <row r="8752" ht="30" customHeight="1">
      <c r="A8752" s="47" t="inlineStr">
        <is>
          <t>Trạng thái</t>
        </is>
      </c>
      <c r="B8752" s="61" t="inlineStr">
        <is>
          <t>Chưa thực hiện</t>
        </is>
      </c>
      <c r="C8752" s="57" t="n"/>
      <c r="D8752" s="57" t="n"/>
      <c r="E8752" s="57" t="n"/>
    </row>
    <row r="8753" ht="30" customHeight="1">
      <c r="A8753" s="62" t="inlineStr">
        <is>
          <t>Kết quả thực tế</t>
        </is>
      </c>
    </row>
    <row r="8754" ht="64" customHeight="1">
      <c r="A8754" s="63" t="inlineStr"/>
      <c r="B8754" s="64" t="n"/>
      <c r="C8754" s="64" t="n"/>
      <c r="D8754" s="64" t="n"/>
      <c r="E8754" s="65" t="n"/>
    </row>
    <row r="8755" ht="30" customHeight="1">
      <c r="A8755" s="62" t="inlineStr">
        <is>
          <t>Ảnh minh chứng</t>
        </is>
      </c>
    </row>
    <row r="8756" ht="90" customHeight="1">
      <c r="A8756" s="63" t="inlineStr"/>
      <c r="B8756" s="64" t="n"/>
      <c r="C8756" s="64" t="n"/>
      <c r="D8756" s="64" t="n"/>
      <c r="E8756" s="65" t="n"/>
    </row>
    <row r="8757" ht="12" customHeight="1">
      <c r="A8757" s="66" t="inlineStr"/>
    </row>
    <row r="8758" ht="30" customHeight="1">
      <c r="A8758" s="60" t="inlineStr">
        <is>
          <t>TC-RS-REG-012 / import</t>
        </is>
      </c>
      <c r="B8758" s="36" t="n"/>
      <c r="C8758" s="36" t="n"/>
      <c r="D8758" s="36" t="n"/>
      <c r="E8758" s="36" t="n"/>
    </row>
    <row r="8759" ht="30" customHeight="1">
      <c r="A8759" s="47" t="inlineStr">
        <is>
          <t>Dữ liệu biến thể</t>
        </is>
      </c>
      <c r="B8759" s="56" t="inlineStr">
        <is>
          <t>Đường import DATA-017</t>
        </is>
      </c>
      <c r="C8759" s="57" t="n"/>
      <c r="D8759" s="57" t="n"/>
      <c r="E8759" s="57" t="n"/>
    </row>
    <row r="8760" ht="30" customHeight="1">
      <c r="A8760" s="47" t="inlineStr">
        <is>
          <t>Trạng thái</t>
        </is>
      </c>
      <c r="B8760" s="61" t="inlineStr">
        <is>
          <t>Chưa thực hiện</t>
        </is>
      </c>
      <c r="C8760" s="57" t="n"/>
      <c r="D8760" s="57" t="n"/>
      <c r="E8760" s="57" t="n"/>
    </row>
    <row r="8761" ht="30" customHeight="1">
      <c r="A8761" s="62" t="inlineStr">
        <is>
          <t>Kết quả thực tế</t>
        </is>
      </c>
    </row>
    <row r="8762" ht="64" customHeight="1">
      <c r="A8762" s="63" t="inlineStr"/>
      <c r="B8762" s="64" t="n"/>
      <c r="C8762" s="64" t="n"/>
      <c r="D8762" s="64" t="n"/>
      <c r="E8762" s="65" t="n"/>
    </row>
    <row r="8763" ht="30" customHeight="1">
      <c r="A8763" s="62" t="inlineStr">
        <is>
          <t>Ảnh minh chứng</t>
        </is>
      </c>
    </row>
    <row r="8764" ht="90" customHeight="1">
      <c r="A8764" s="63" t="inlineStr"/>
      <c r="B8764" s="64" t="n"/>
      <c r="C8764" s="64" t="n"/>
      <c r="D8764" s="64" t="n"/>
      <c r="E8764" s="65" t="n"/>
    </row>
    <row r="8765" ht="12" customHeight="1">
      <c r="A8765" s="66" t="inlineStr"/>
    </row>
    <row r="8766" ht="30" customHeight="1">
      <c r="A8766" s="60" t="inlineStr">
        <is>
          <t>TC-RS-REG-012 / sync</t>
        </is>
      </c>
      <c r="B8766" s="36" t="n"/>
      <c r="C8766" s="36" t="n"/>
      <c r="D8766" s="36" t="n"/>
      <c r="E8766" s="36" t="n"/>
    </row>
    <row r="8767" ht="30" customHeight="1">
      <c r="A8767" s="47" t="inlineStr">
        <is>
          <t>Dữ liệu biến thể</t>
        </is>
      </c>
      <c r="B8767" s="56" t="inlineStr">
        <is>
          <t>Đường sync DATA-019</t>
        </is>
      </c>
      <c r="C8767" s="57" t="n"/>
      <c r="D8767" s="57" t="n"/>
      <c r="E8767" s="57" t="n"/>
    </row>
    <row r="8768" ht="30" customHeight="1">
      <c r="A8768" s="47" t="inlineStr">
        <is>
          <t>Trạng thái</t>
        </is>
      </c>
      <c r="B8768" s="61" t="inlineStr">
        <is>
          <t>Chưa thực hiện</t>
        </is>
      </c>
      <c r="C8768" s="57" t="n"/>
      <c r="D8768" s="57" t="n"/>
      <c r="E8768" s="57" t="n"/>
    </row>
    <row r="8769" ht="30" customHeight="1">
      <c r="A8769" s="62" t="inlineStr">
        <is>
          <t>Kết quả thực tế</t>
        </is>
      </c>
    </row>
    <row r="8770" ht="64" customHeight="1">
      <c r="A8770" s="63" t="inlineStr"/>
      <c r="B8770" s="64" t="n"/>
      <c r="C8770" s="64" t="n"/>
      <c r="D8770" s="64" t="n"/>
      <c r="E8770" s="65" t="n"/>
    </row>
    <row r="8771" ht="30" customHeight="1">
      <c r="A8771" s="62" t="inlineStr">
        <is>
          <t>Ảnh minh chứng</t>
        </is>
      </c>
    </row>
    <row r="8772" ht="90" customHeight="1">
      <c r="A8772" s="63" t="inlineStr"/>
      <c r="B8772" s="64" t="n"/>
      <c r="C8772" s="64" t="n"/>
      <c r="D8772" s="64" t="n"/>
      <c r="E8772" s="65" t="n"/>
    </row>
    <row r="8773" ht="12" customHeight="1">
      <c r="A8773" s="66" t="inlineStr"/>
    </row>
    <row r="8774" ht="20" customHeight="1">
      <c r="A8774" s="66" t="inlineStr"/>
    </row>
  </sheetData>
  <mergeCells count="8083">
    <mergeCell ref="B1432:E1432"/>
    <mergeCell ref="A7829:E7829"/>
    <mergeCell ref="A2400:E2400"/>
    <mergeCell ref="A5675:E5675"/>
    <mergeCell ref="B2184:E2184"/>
    <mergeCell ref="A8434:E8434"/>
    <mergeCell ref="B1127:E1127"/>
    <mergeCell ref="B68:E68"/>
    <mergeCell ref="B2220:E2220"/>
    <mergeCell ref="A3127:E3127"/>
    <mergeCell ref="B4305:E4305"/>
    <mergeCell ref="B6133:E6133"/>
    <mergeCell ref="B6548:E6548"/>
    <mergeCell ref="A5248:E5248"/>
    <mergeCell ref="A3163:E3163"/>
    <mergeCell ref="A5370:E5370"/>
    <mergeCell ref="A6939:E6939"/>
    <mergeCell ref="A6945:E6945"/>
    <mergeCell ref="A8129:E8129"/>
    <mergeCell ref="B4000:E4000"/>
    <mergeCell ref="A2700:E2700"/>
    <mergeCell ref="B5190:E5190"/>
    <mergeCell ref="B4131:E4131"/>
    <mergeCell ref="B399:E399"/>
    <mergeCell ref="B374:E374"/>
    <mergeCell ref="A1670:E1670"/>
    <mergeCell ref="A6649:E6649"/>
    <mergeCell ref="B4727:E4727"/>
    <mergeCell ref="B2642:E2642"/>
    <mergeCell ref="B6433:E6433"/>
    <mergeCell ref="B7486:E7486"/>
    <mergeCell ref="B5401:E5401"/>
    <mergeCell ref="B2215:E2215"/>
    <mergeCell ref="B6128:E6128"/>
    <mergeCell ref="A1970:E1970"/>
    <mergeCell ref="A938:E938"/>
    <mergeCell ref="B2820:E2820"/>
    <mergeCell ref="B1274:E1274"/>
    <mergeCell ref="A4940:E4940"/>
    <mergeCell ref="B7944:E7944"/>
    <mergeCell ref="A7086:E7086"/>
    <mergeCell ref="A5001:E5001"/>
    <mergeCell ref="B5790:E5790"/>
    <mergeCell ref="B847:E847"/>
    <mergeCell ref="B4760:E4760"/>
    <mergeCell ref="A1790:E1790"/>
    <mergeCell ref="A5728:E5728"/>
    <mergeCell ref="B1574:E1574"/>
    <mergeCell ref="A7971:E7971"/>
    <mergeCell ref="B542:E542"/>
    <mergeCell ref="A3155:E3155"/>
    <mergeCell ref="A2123:E2123"/>
    <mergeCell ref="A5301:E5301"/>
    <mergeCell ref="A6360:E6360"/>
    <mergeCell ref="B1785:E1785"/>
    <mergeCell ref="B4034:E4034"/>
    <mergeCell ref="B2975:E2975"/>
    <mergeCell ref="A3812:E3812"/>
    <mergeCell ref="B4028:E4028"/>
    <mergeCell ref="B1943:E1943"/>
    <mergeCell ref="A6028:E6028"/>
    <mergeCell ref="A6055:E6055"/>
    <mergeCell ref="B2512:E2512"/>
    <mergeCell ref="A7081:E7081"/>
    <mergeCell ref="A3455:E3455"/>
    <mergeCell ref="B7545:E7545"/>
    <mergeCell ref="B1600:E1600"/>
    <mergeCell ref="A6791:E6791"/>
    <mergeCell ref="B4359:E4359"/>
    <mergeCell ref="A6355:E6355"/>
    <mergeCell ref="A1385:E1385"/>
    <mergeCell ref="A5296:E5296"/>
    <mergeCell ref="B7845:E7845"/>
    <mergeCell ref="B5122:E5122"/>
    <mergeCell ref="A1086:E1086"/>
    <mergeCell ref="B7365:E7365"/>
    <mergeCell ref="A4355:E4355"/>
    <mergeCell ref="A2270:E2270"/>
    <mergeCell ref="B5849:E5849"/>
    <mergeCell ref="B6902:E6902"/>
    <mergeCell ref="B5843:E5843"/>
    <mergeCell ref="B8608:E8608"/>
    <mergeCell ref="A659:E659"/>
    <mergeCell ref="A653:E653"/>
    <mergeCell ref="A1843:E1843"/>
    <mergeCell ref="B7629:E7629"/>
    <mergeCell ref="B8145:E8145"/>
    <mergeCell ref="A1386:E1386"/>
    <mergeCell ref="B7665:E7665"/>
    <mergeCell ref="A354:E354"/>
    <mergeCell ref="A1380:E1380"/>
    <mergeCell ref="A4145:E4145"/>
    <mergeCell ref="B4959:E4959"/>
    <mergeCell ref="B16:E16"/>
    <mergeCell ref="A6352:E6352"/>
    <mergeCell ref="B5117:E5117"/>
    <mergeCell ref="A6388:E6388"/>
    <mergeCell ref="B2259:E2259"/>
    <mergeCell ref="A3166:E3166"/>
    <mergeCell ref="A4259:E4259"/>
    <mergeCell ref="B743:E743"/>
    <mergeCell ref="A3840:E3840"/>
    <mergeCell ref="A2143:E2143"/>
    <mergeCell ref="B1933:E1933"/>
    <mergeCell ref="A7115:E7115"/>
    <mergeCell ref="A7140:E7140"/>
    <mergeCell ref="A654:E654"/>
    <mergeCell ref="B5745:E5745"/>
    <mergeCell ref="B3660:E3660"/>
    <mergeCell ref="A2870:E2870"/>
    <mergeCell ref="A4567:E4567"/>
    <mergeCell ref="B7988:E7988"/>
    <mergeCell ref="A4559:E4559"/>
    <mergeCell ref="B3749:E3749"/>
    <mergeCell ref="A4140:E4140"/>
    <mergeCell ref="B11:E11"/>
    <mergeCell ref="B3311:E3311"/>
    <mergeCell ref="B8319:E8319"/>
    <mergeCell ref="A8072:E8072"/>
    <mergeCell ref="B3021:E3021"/>
    <mergeCell ref="B5746:E5746"/>
    <mergeCell ref="A38:E38"/>
    <mergeCell ref="A4440:E4440"/>
    <mergeCell ref="B8014:E8014"/>
    <mergeCell ref="B1526:E1526"/>
    <mergeCell ref="A2797:E2797"/>
    <mergeCell ref="B5734:C5734"/>
    <mergeCell ref="B7560:E7560"/>
    <mergeCell ref="B6528:E6528"/>
    <mergeCell ref="A801:E801"/>
    <mergeCell ref="B6071:E6071"/>
    <mergeCell ref="A338:E338"/>
    <mergeCell ref="A7500:E7500"/>
    <mergeCell ref="A2581:E2581"/>
    <mergeCell ref="A1012:E1012"/>
    <mergeCell ref="B158:E158"/>
    <mergeCell ref="A3255:E3255"/>
    <mergeCell ref="B316:E316"/>
    <mergeCell ref="A1101:E1101"/>
    <mergeCell ref="A2792:E2792"/>
    <mergeCell ref="A3982:E3982"/>
    <mergeCell ref="A5551:E5551"/>
    <mergeCell ref="B7435:C7435"/>
    <mergeCell ref="B2618:E2618"/>
    <mergeCell ref="A6741:E6741"/>
    <mergeCell ref="A2371:E2371"/>
    <mergeCell ref="A1312:E1312"/>
    <mergeCell ref="A4587:E4587"/>
    <mergeCell ref="A3555:E3555"/>
    <mergeCell ref="B1123:E1123"/>
    <mergeCell ref="A7914:E7914"/>
    <mergeCell ref="B4398:E4398"/>
    <mergeCell ref="A6436:E6436"/>
    <mergeCell ref="B153:E153"/>
    <mergeCell ref="B1859:E1859"/>
    <mergeCell ref="B5161:E5161"/>
    <mergeCell ref="A7024:E7024"/>
    <mergeCell ref="B370:E370"/>
    <mergeCell ref="A8214:E8214"/>
    <mergeCell ref="A6742:E6742"/>
    <mergeCell ref="A723:E723"/>
    <mergeCell ref="B3633:C3633"/>
    <mergeCell ref="B3340:E3340"/>
    <mergeCell ref="B5486:E5486"/>
    <mergeCell ref="B5461:E5461"/>
    <mergeCell ref="A8514:E8514"/>
    <mergeCell ref="A3571:E3571"/>
    <mergeCell ref="B2913:E2913"/>
    <mergeCell ref="A7484:E7484"/>
    <mergeCell ref="B1270:E1270"/>
    <mergeCell ref="A2055:E2055"/>
    <mergeCell ref="B8456:E8456"/>
    <mergeCell ref="A2213:E2213"/>
    <mergeCell ref="A1154:E1154"/>
    <mergeCell ref="B5786:E5786"/>
    <mergeCell ref="B4756:E4756"/>
    <mergeCell ref="A3483:E3483"/>
    <mergeCell ref="A849:E849"/>
    <mergeCell ref="B4428:E4428"/>
    <mergeCell ref="A5699:E5699"/>
    <mergeCell ref="B1570:E1570"/>
    <mergeCell ref="A4667:E4667"/>
    <mergeCell ref="A1323:E1323"/>
    <mergeCell ref="A7942:E7942"/>
    <mergeCell ref="B3813:E3813"/>
    <mergeCell ref="A3151:E3151"/>
    <mergeCell ref="A1454:E1454"/>
    <mergeCell ref="A3566:E3566"/>
    <mergeCell ref="A1481:E1481"/>
    <mergeCell ref="B1265:E1265"/>
    <mergeCell ref="B4030:E4030"/>
    <mergeCell ref="A7515:E7515"/>
    <mergeCell ref="A2208:E2208"/>
    <mergeCell ref="B7299:E7299"/>
    <mergeCell ref="B5214:E5214"/>
    <mergeCell ref="A3914:E3914"/>
    <mergeCell ref="A5999:E5999"/>
    <mergeCell ref="A6157:E6157"/>
    <mergeCell ref="B2028:E2028"/>
    <mergeCell ref="A3451:E3451"/>
    <mergeCell ref="A7210:E7210"/>
    <mergeCell ref="A1781:E1781"/>
    <mergeCell ref="A6753:E6753"/>
    <mergeCell ref="A5694:E5694"/>
    <mergeCell ref="A751:E751"/>
    <mergeCell ref="B5514:E5514"/>
    <mergeCell ref="A1478:E1478"/>
    <mergeCell ref="B7294:E7294"/>
    <mergeCell ref="B686:C686"/>
    <mergeCell ref="B4788:E4788"/>
    <mergeCell ref="A752:E752"/>
    <mergeCell ref="A7841:E7841"/>
    <mergeCell ref="A746:E746"/>
    <mergeCell ref="A3924:E3924"/>
    <mergeCell ref="A1839:E1839"/>
    <mergeCell ref="A4082:E4082"/>
    <mergeCell ref="A2435:E2435"/>
    <mergeCell ref="A3625:E3625"/>
    <mergeCell ref="A2566:E2566"/>
    <mergeCell ref="A6384:E6384"/>
    <mergeCell ref="A8627:E8627"/>
    <mergeCell ref="A3171:E3171"/>
    <mergeCell ref="A3198:E3198"/>
    <mergeCell ref="A2139:E2139"/>
    <mergeCell ref="B2982:E2982"/>
    <mergeCell ref="A4382:E4382"/>
    <mergeCell ref="A2735:E2735"/>
    <mergeCell ref="A650:E650"/>
    <mergeCell ref="B4172:E4172"/>
    <mergeCell ref="A2866:E2866"/>
    <mergeCell ref="A4978:E4978"/>
    <mergeCell ref="A2893:E2893"/>
    <mergeCell ref="A3919:E3919"/>
    <mergeCell ref="A6806:E6806"/>
    <mergeCell ref="B2686:E2686"/>
    <mergeCell ref="B8711:E8711"/>
    <mergeCell ref="B5988:E5988"/>
    <mergeCell ref="B559:E559"/>
    <mergeCell ref="A893:E893"/>
    <mergeCell ref="B2250:E2250"/>
    <mergeCell ref="B4472:E4472"/>
    <mergeCell ref="B5525:E5525"/>
    <mergeCell ref="A8622:E8622"/>
    <mergeCell ref="B2381:E2381"/>
    <mergeCell ref="A6468:E6468"/>
    <mergeCell ref="A4383:E4383"/>
    <mergeCell ref="A5409:E5409"/>
    <mergeCell ref="A6984:E6984"/>
    <mergeCell ref="A466:E466"/>
    <mergeCell ref="B4167:E4167"/>
    <mergeCell ref="A7142:E7142"/>
    <mergeCell ref="B5736:E5736"/>
    <mergeCell ref="B6926:E6926"/>
    <mergeCell ref="B1497:E1497"/>
    <mergeCell ref="A1193:E1193"/>
    <mergeCell ref="A6679:E6679"/>
    <mergeCell ref="A3952:E3952"/>
    <mergeCell ref="A2882:E2882"/>
    <mergeCell ref="A797:E797"/>
    <mergeCell ref="A1404:E1404"/>
    <mergeCell ref="B556:E556"/>
    <mergeCell ref="A3040:E3040"/>
    <mergeCell ref="A3653:E3653"/>
    <mergeCell ref="B7645:E7645"/>
    <mergeCell ref="B8285:E8285"/>
    <mergeCell ref="A2577:E2577"/>
    <mergeCell ref="A3226:E3226"/>
    <mergeCell ref="A8611:E8611"/>
    <mergeCell ref="B5104:C5104"/>
    <mergeCell ref="B3457:C3457"/>
    <mergeCell ref="A2150:E2150"/>
    <mergeCell ref="A65:E65"/>
    <mergeCell ref="A678:E678"/>
    <mergeCell ref="A6063:E6063"/>
    <mergeCell ref="A3953:E3953"/>
    <mergeCell ref="A8306:E8306"/>
    <mergeCell ref="A6221:E6221"/>
    <mergeCell ref="A6826:E6826"/>
    <mergeCell ref="B612:E612"/>
    <mergeCell ref="B587:E587"/>
    <mergeCell ref="A5794:E5794"/>
    <mergeCell ref="B193:E193"/>
    <mergeCell ref="A978:E978"/>
    <mergeCell ref="A7580:E7580"/>
    <mergeCell ref="A6399:E6399"/>
    <mergeCell ref="B7699:E7699"/>
    <mergeCell ref="A2151:E2151"/>
    <mergeCell ref="A1092:E1092"/>
    <mergeCell ref="B2392:E2392"/>
    <mergeCell ref="B4098:E4098"/>
    <mergeCell ref="A8642:E8642"/>
    <mergeCell ref="A4910:E4910"/>
    <mergeCell ref="B7400:E7400"/>
    <mergeCell ref="B6341:E6341"/>
    <mergeCell ref="B4694:E4694"/>
    <mergeCell ref="A7126:E7126"/>
    <mergeCell ref="A6094:E6094"/>
    <mergeCell ref="B5884:E5884"/>
    <mergeCell ref="B4187:E4187"/>
    <mergeCell ref="B6937:E6937"/>
    <mergeCell ref="B4852:E4852"/>
    <mergeCell ref="B3793:E3793"/>
    <mergeCell ref="A4578:E4578"/>
    <mergeCell ref="A5637:E5637"/>
    <mergeCell ref="A7284:E7284"/>
    <mergeCell ref="A7880:E7880"/>
    <mergeCell ref="B5914:E5914"/>
    <mergeCell ref="A8337:E8337"/>
    <mergeCell ref="A389:E389"/>
    <mergeCell ref="B1212:E1212"/>
    <mergeCell ref="A2605:E2605"/>
    <mergeCell ref="B8452:E8452"/>
    <mergeCell ref="A8637:E8637"/>
    <mergeCell ref="A994:E994"/>
    <mergeCell ref="A1125:E1125"/>
    <mergeCell ref="A5478:E5478"/>
    <mergeCell ref="A3393:E3393"/>
    <mergeCell ref="A1721:E1721"/>
    <mergeCell ref="A6118:E6118"/>
    <mergeCell ref="B8000:E8000"/>
    <mergeCell ref="B5915:E5915"/>
    <mergeCell ref="A6110:E6110"/>
    <mergeCell ref="A2966:E2966"/>
    <mergeCell ref="A7938:E7938"/>
    <mergeCell ref="B3784:E3784"/>
    <mergeCell ref="B640:E640"/>
    <mergeCell ref="A4752:E4752"/>
    <mergeCell ref="A5805:E5805"/>
    <mergeCell ref="A8027:E8027"/>
    <mergeCell ref="A5359:E5359"/>
    <mergeCell ref="A7511:E7511"/>
    <mergeCell ref="A2204:E2204"/>
    <mergeCell ref="A2179:E2179"/>
    <mergeCell ref="B1963:E1963"/>
    <mergeCell ref="A4447:E4447"/>
    <mergeCell ref="A7600:E7600"/>
    <mergeCell ref="A8238:E8238"/>
    <mergeCell ref="B4109:E4109"/>
    <mergeCell ref="A6749:E6749"/>
    <mergeCell ref="B4267:E4267"/>
    <mergeCell ref="A3993:E3993"/>
    <mergeCell ref="A5052:E5052"/>
    <mergeCell ref="A7811:E7811"/>
    <mergeCell ref="B7079:E7079"/>
    <mergeCell ref="B4872:E4872"/>
    <mergeCell ref="B4994:E4994"/>
    <mergeCell ref="B7753:E7753"/>
    <mergeCell ref="A6453:E6453"/>
    <mergeCell ref="B3383:E3383"/>
    <mergeCell ref="B2324:E2324"/>
    <mergeCell ref="A2020:E2020"/>
    <mergeCell ref="B5599:E5599"/>
    <mergeCell ref="B7296:E7296"/>
    <mergeCell ref="A8538:E8538"/>
    <mergeCell ref="A8696:E8696"/>
    <mergeCell ref="B8358:E8358"/>
    <mergeCell ref="B3051:E3051"/>
    <mergeCell ref="A2237:E2237"/>
    <mergeCell ref="B815:C815"/>
    <mergeCell ref="B5172:E5172"/>
    <mergeCell ref="B3087:E3087"/>
    <mergeCell ref="A6565:E6565"/>
    <mergeCell ref="A1136:E1136"/>
    <mergeCell ref="B6863:E6863"/>
    <mergeCell ref="B3683:E3683"/>
    <mergeCell ref="A4017:E4017"/>
    <mergeCell ref="A1810:E1810"/>
    <mergeCell ref="B4867:E4867"/>
    <mergeCell ref="A321:E321"/>
    <mergeCell ref="A3596:E3596"/>
    <mergeCell ref="B1266:E1266"/>
    <mergeCell ref="A3590:E3590"/>
    <mergeCell ref="A1505:E1505"/>
    <mergeCell ref="A4780:E4780"/>
    <mergeCell ref="B651:E651"/>
    <mergeCell ref="B8353:E8353"/>
    <mergeCell ref="A4317:E4317"/>
    <mergeCell ref="A6469:E6469"/>
    <mergeCell ref="A621:E621"/>
    <mergeCell ref="B3111:E3111"/>
    <mergeCell ref="A2837:E2837"/>
    <mergeCell ref="B4137:E4137"/>
    <mergeCell ref="A1805:E1805"/>
    <mergeCell ref="A5105:E5105"/>
    <mergeCell ref="A5080:E5080"/>
    <mergeCell ref="A2995:E2995"/>
    <mergeCell ref="A6164:E6164"/>
    <mergeCell ref="A4048:E4048"/>
    <mergeCell ref="A7190:E7190"/>
    <mergeCell ref="A7348:E7348"/>
    <mergeCell ref="A6891:E6891"/>
    <mergeCell ref="B8227:E8227"/>
    <mergeCell ref="B526:C526"/>
    <mergeCell ref="B2771:E2771"/>
    <mergeCell ref="B5521:E5521"/>
    <mergeCell ref="B3411:E3411"/>
    <mergeCell ref="B2352:E2352"/>
    <mergeCell ref="A5868:E5868"/>
    <mergeCell ref="B6711:E6711"/>
    <mergeCell ref="A6464:E6464"/>
    <mergeCell ref="A6921:E6921"/>
    <mergeCell ref="A462:E462"/>
    <mergeCell ref="A7648:E7648"/>
    <mergeCell ref="B5225:E5225"/>
    <mergeCell ref="A1189:E1189"/>
    <mergeCell ref="B5821:E5821"/>
    <mergeCell ref="B3736:E3736"/>
    <mergeCell ref="A6764:E6764"/>
    <mergeCell ref="A1821:E1821"/>
    <mergeCell ref="A762:E762"/>
    <mergeCell ref="A7948:E7948"/>
    <mergeCell ref="A4833:E4833"/>
    <mergeCell ref="A463:E463"/>
    <mergeCell ref="A1516:E1516"/>
    <mergeCell ref="A3738:E3738"/>
    <mergeCell ref="A2706:E2706"/>
    <mergeCell ref="A1647:E1647"/>
    <mergeCell ref="B7311:E7311"/>
    <mergeCell ref="B2368:E2368"/>
    <mergeCell ref="A5465:E5465"/>
    <mergeCell ref="A7550:E7550"/>
    <mergeCell ref="B7469:E7469"/>
    <mergeCell ref="B7918:C7918"/>
    <mergeCell ref="B4121:C4121"/>
    <mergeCell ref="A5002:E5002"/>
    <mergeCell ref="A6192:E6192"/>
    <mergeCell ref="B2063:E2063"/>
    <mergeCell ref="A763:E763"/>
    <mergeCell ref="A5116:E5116"/>
    <mergeCell ref="B4822:E4822"/>
    <mergeCell ref="A3000:E3000"/>
    <mergeCell ref="B2790:E2790"/>
    <mergeCell ref="B583:E583"/>
    <mergeCell ref="A5765:E5765"/>
    <mergeCell ref="B5968:E5968"/>
    <mergeCell ref="B577:E577"/>
    <mergeCell ref="B2826:E2826"/>
    <mergeCell ref="B6126:E6126"/>
    <mergeCell ref="A6492:E6492"/>
    <mergeCell ref="B2363:E2363"/>
    <mergeCell ref="A5460:E5460"/>
    <mergeCell ref="B3037:E3037"/>
    <mergeCell ref="A6065:E6065"/>
    <mergeCell ref="A8333:E8333"/>
    <mergeCell ref="B7039:E7039"/>
    <mergeCell ref="A6792:E6792"/>
    <mergeCell ref="B578:E578"/>
    <mergeCell ref="B8728:E8728"/>
    <mergeCell ref="B7696:E7696"/>
    <mergeCell ref="A2601:E2601"/>
    <mergeCell ref="B2398:E2398"/>
    <mergeCell ref="B4064:E4064"/>
    <mergeCell ref="B7391:E7391"/>
    <mergeCell ref="A5449:E5449"/>
    <mergeCell ref="A2907:E2907"/>
    <mergeCell ref="A5607:E5607"/>
    <mergeCell ref="A2901:E2901"/>
    <mergeCell ref="A178:E178"/>
    <mergeCell ref="A816:E816"/>
    <mergeCell ref="B5838:C5838"/>
    <mergeCell ref="B3751:E3751"/>
    <mergeCell ref="A2937:E2937"/>
    <mergeCell ref="A3059:E3059"/>
    <mergeCell ref="A5144:E5144"/>
    <mergeCell ref="B2721:E2721"/>
    <mergeCell ref="B636:E636"/>
    <mergeCell ref="A905:E905"/>
    <mergeCell ref="A1958:E1958"/>
    <mergeCell ref="A6877:E6877"/>
    <mergeCell ref="A4723:E4723"/>
    <mergeCell ref="A3664:E3664"/>
    <mergeCell ref="A2632:E2632"/>
    <mergeCell ref="A5932:E5932"/>
    <mergeCell ref="A5907:E5907"/>
    <mergeCell ref="A4260:E4260"/>
    <mergeCell ref="A2175:E2175"/>
    <mergeCell ref="A1116:E1116"/>
    <mergeCell ref="B8454:E8454"/>
    <mergeCell ref="A4418:E4418"/>
    <mergeCell ref="B6812:C6812"/>
    <mergeCell ref="A7177:E7177"/>
    <mergeCell ref="A8323:E8323"/>
    <mergeCell ref="B2722:E2722"/>
    <mergeCell ref="B1025:E1025"/>
    <mergeCell ref="A7904:E7904"/>
    <mergeCell ref="B2716:E2716"/>
    <mergeCell ref="A4718:E4718"/>
    <mergeCell ref="B7111:E7111"/>
    <mergeCell ref="A8018:E8018"/>
    <mergeCell ref="A7477:E7477"/>
    <mergeCell ref="A7591:E7591"/>
    <mergeCell ref="B7419:E7419"/>
    <mergeCell ref="A6119:E6119"/>
    <mergeCell ref="A1589:E1589"/>
    <mergeCell ref="A6561:E6561"/>
    <mergeCell ref="A4445:E4445"/>
    <mergeCell ref="A2322:E2322"/>
    <mergeCell ref="B7411:E7411"/>
    <mergeCell ref="B7533:E7533"/>
    <mergeCell ref="A2316:E2316"/>
    <mergeCell ref="A4565:E4565"/>
    <mergeCell ref="A6134:E6134"/>
    <mergeCell ref="A2474:E2474"/>
    <mergeCell ref="A7891:E7891"/>
    <mergeCell ref="B7719:E7719"/>
    <mergeCell ref="A8377:E8377"/>
    <mergeCell ref="A3070:E3070"/>
    <mergeCell ref="A6861:E6861"/>
    <mergeCell ref="B5626:E5626"/>
    <mergeCell ref="A5960:E5960"/>
    <mergeCell ref="A7019:E7019"/>
    <mergeCell ref="A1590:E1590"/>
    <mergeCell ref="B1374:E1374"/>
    <mergeCell ref="A4349:E4349"/>
    <mergeCell ref="B6353:E6353"/>
    <mergeCell ref="B3617:E3617"/>
    <mergeCell ref="B5738:E5738"/>
    <mergeCell ref="A5076:E5076"/>
    <mergeCell ref="A6129:E6129"/>
    <mergeCell ref="A4044:E4044"/>
    <mergeCell ref="B4222:E4222"/>
    <mergeCell ref="B7623:E7623"/>
    <mergeCell ref="B1105:E1105"/>
    <mergeCell ref="A1890:E1890"/>
    <mergeCell ref="A5830:E5830"/>
    <mergeCell ref="A4771:E4771"/>
    <mergeCell ref="B3917:E3917"/>
    <mergeCell ref="B1710:E1710"/>
    <mergeCell ref="B1832:E1832"/>
    <mergeCell ref="A3103:E3103"/>
    <mergeCell ref="B4433:E4433"/>
    <mergeCell ref="A5376:E5376"/>
    <mergeCell ref="A4344:E4344"/>
    <mergeCell ref="A7644:E7644"/>
    <mergeCell ref="B2437:E2437"/>
    <mergeCell ref="B5196:E5196"/>
    <mergeCell ref="A547:E547"/>
    <mergeCell ref="B7439:E7439"/>
    <mergeCell ref="B3707:E3707"/>
    <mergeCell ref="A3403:E3403"/>
    <mergeCell ref="A1318:E1318"/>
    <mergeCell ref="B6081:E6081"/>
    <mergeCell ref="A891:E891"/>
    <mergeCell ref="A6276:E6276"/>
    <mergeCell ref="B7770:E7770"/>
    <mergeCell ref="B675:E675"/>
    <mergeCell ref="A428:E428"/>
    <mergeCell ref="B2306:C2306"/>
    <mergeCell ref="B4165:E4165"/>
    <mergeCell ref="A1155:E1155"/>
    <mergeCell ref="B3033:C3033"/>
    <mergeCell ref="A4491:E4491"/>
    <mergeCell ref="A5544:E5544"/>
    <mergeCell ref="B975:E975"/>
    <mergeCell ref="B7038:E7038"/>
    <mergeCell ref="A6734:E6734"/>
    <mergeCell ref="A1918:E1918"/>
    <mergeCell ref="A6277:E6277"/>
    <mergeCell ref="A886:E886"/>
    <mergeCell ref="A7977:E7977"/>
    <mergeCell ref="B670:E670"/>
    <mergeCell ref="B2822:E2822"/>
    <mergeCell ref="B1763:E1763"/>
    <mergeCell ref="B3848:E3848"/>
    <mergeCell ref="B7150:E7150"/>
    <mergeCell ref="A6488:E6488"/>
    <mergeCell ref="B4006:E4006"/>
    <mergeCell ref="B2359:E2359"/>
    <mergeCell ref="A5456:E5456"/>
    <mergeCell ref="B5634:E5634"/>
    <mergeCell ref="A8573:E8573"/>
    <mergeCell ref="B4602:E4602"/>
    <mergeCell ref="A6602:E6602"/>
    <mergeCell ref="B5792:E5792"/>
    <mergeCell ref="B4733:E4733"/>
    <mergeCell ref="A5545:E5545"/>
    <mergeCell ref="A4486:E4486"/>
    <mergeCell ref="A7251:E7251"/>
    <mergeCell ref="B3122:E3122"/>
    <mergeCell ref="B6003:E6003"/>
    <mergeCell ref="A6788:E6788"/>
    <mergeCell ref="B3849:E3849"/>
    <mergeCell ref="B2817:E2817"/>
    <mergeCell ref="A4088:E4088"/>
    <mergeCell ref="B5033:E5033"/>
    <mergeCell ref="B6539:C6539"/>
    <mergeCell ref="A3760:E3760"/>
    <mergeCell ref="B1337:E1337"/>
    <mergeCell ref="A3756:E3756"/>
    <mergeCell ref="B7362:E7362"/>
    <mergeCell ref="B5665:E5665"/>
    <mergeCell ref="A576:E576"/>
    <mergeCell ref="A1629:E1629"/>
    <mergeCell ref="A570:E570"/>
    <mergeCell ref="A2303:E2303"/>
    <mergeCell ref="B2506:E2506"/>
    <mergeCell ref="A3449:E3449"/>
    <mergeCell ref="A4502:E4502"/>
    <mergeCell ref="A2417:E2417"/>
    <mergeCell ref="A3030:E3030"/>
    <mergeCell ref="A3443:E3443"/>
    <mergeCell ref="A4083:E4083"/>
    <mergeCell ref="A7261:E7261"/>
    <mergeCell ref="A5176:E5176"/>
    <mergeCell ref="A1954:E1954"/>
    <mergeCell ref="A5229:E5229"/>
    <mergeCell ref="A6962:E6962"/>
    <mergeCell ref="A5903:E5903"/>
    <mergeCell ref="B1774:E1774"/>
    <mergeCell ref="B5049:E5049"/>
    <mergeCell ref="A5440:E5440"/>
    <mergeCell ref="A2298:E2298"/>
    <mergeCell ref="A7683:E7683"/>
    <mergeCell ref="B5266:E5266"/>
    <mergeCell ref="B2537:E2537"/>
    <mergeCell ref="A3444:E3444"/>
    <mergeCell ref="B7509:E7509"/>
    <mergeCell ref="A7262:E7262"/>
    <mergeCell ref="B1021:E1021"/>
    <mergeCell ref="A7393:E7393"/>
    <mergeCell ref="B8230:E8230"/>
    <mergeCell ref="B6619:E6619"/>
    <mergeCell ref="A4230:E4230"/>
    <mergeCell ref="B7809:E7809"/>
    <mergeCell ref="B6777:E6777"/>
    <mergeCell ref="A6503:E6503"/>
    <mergeCell ref="B289:E289"/>
    <mergeCell ref="A1560:E1560"/>
    <mergeCell ref="A8746:E8746"/>
    <mergeCell ref="B7382:E7382"/>
    <mergeCell ref="A2287:E2287"/>
    <mergeCell ref="A202:E202"/>
    <mergeCell ref="B8566:E8566"/>
    <mergeCell ref="A1255:E1255"/>
    <mergeCell ref="A2445:E2445"/>
    <mergeCell ref="A1988:E1988"/>
    <mergeCell ref="B2676:C2676"/>
    <mergeCell ref="B5561:E5561"/>
    <mergeCell ref="A7403:E7403"/>
    <mergeCell ref="A5931:E5931"/>
    <mergeCell ref="B2861:E2861"/>
    <mergeCell ref="A4855:E4855"/>
    <mergeCell ref="A2745:E2745"/>
    <mergeCell ref="B313:E313"/>
    <mergeCell ref="B7379:C7379"/>
    <mergeCell ref="A1256:E1256"/>
    <mergeCell ref="B3134:C3134"/>
    <mergeCell ref="A6677:E6677"/>
    <mergeCell ref="B2108:E2108"/>
    <mergeCell ref="A5618:E5618"/>
    <mergeCell ref="B3161:E3161"/>
    <mergeCell ref="B1076:E1076"/>
    <mergeCell ref="A7315:E7315"/>
    <mergeCell ref="A7404:E7404"/>
    <mergeCell ref="B3913:E3913"/>
    <mergeCell ref="B1803:E1803"/>
    <mergeCell ref="B744:E744"/>
    <mergeCell ref="B1797:E1797"/>
    <mergeCell ref="B3949:E3949"/>
    <mergeCell ref="A4856:E4856"/>
    <mergeCell ref="B8277:E8277"/>
    <mergeCell ref="A6977:E6977"/>
    <mergeCell ref="A2672:E2672"/>
    <mergeCell ref="A6583:E6583"/>
    <mergeCell ref="B3644:E3644"/>
    <mergeCell ref="A8378:E8378"/>
    <mergeCell ref="A5642:E5642"/>
    <mergeCell ref="A7915:E7915"/>
    <mergeCell ref="A1403:E1403"/>
    <mergeCell ref="B1701:E1701"/>
    <mergeCell ref="A1397:E1397"/>
    <mergeCell ref="A2456:E2456"/>
    <mergeCell ref="B6035:E6035"/>
    <mergeCell ref="A8073:E8073"/>
    <mergeCell ref="A940:E940"/>
    <mergeCell ref="B3944:E3944"/>
    <mergeCell ref="A5215:E5215"/>
    <mergeCell ref="B7857:E7857"/>
    <mergeCell ref="A8119:E8119"/>
    <mergeCell ref="A1614:E1614"/>
    <mergeCell ref="A4889:E4889"/>
    <mergeCell ref="A5942:E5942"/>
    <mergeCell ref="A4883:E4883"/>
    <mergeCell ref="A3394:E3394"/>
    <mergeCell ref="A1187:E1187"/>
    <mergeCell ref="B455:E455"/>
    <mergeCell ref="A6730:E6730"/>
    <mergeCell ref="B7519:E7519"/>
    <mergeCell ref="A2973:E2973"/>
    <mergeCell ref="A6273:E6273"/>
    <mergeCell ref="B6489:E6489"/>
    <mergeCell ref="A2967:E2967"/>
    <mergeCell ref="A882:E882"/>
    <mergeCell ref="A4157:E4157"/>
    <mergeCell ref="A971:E971"/>
    <mergeCell ref="B755:E755"/>
    <mergeCell ref="A8089:E8089"/>
    <mergeCell ref="B1848:E1848"/>
    <mergeCell ref="B239:E239"/>
    <mergeCell ref="B2488:E2488"/>
    <mergeCell ref="B1429:E1429"/>
    <mergeCell ref="A6573:E6573"/>
    <mergeCell ref="B4704:E4704"/>
    <mergeCell ref="A6567:E6567"/>
    <mergeCell ref="A4482:E4482"/>
    <mergeCell ref="B3672:E3672"/>
    <mergeCell ref="A4457:E4457"/>
    <mergeCell ref="A7784:E7784"/>
    <mergeCell ref="A6725:E6725"/>
    <mergeCell ref="B7446:E7446"/>
    <mergeCell ref="B4277:E4277"/>
    <mergeCell ref="B8636:E8636"/>
    <mergeCell ref="B3207:E3207"/>
    <mergeCell ref="A7330:E7330"/>
    <mergeCell ref="A8520:E8520"/>
    <mergeCell ref="B6088:E6088"/>
    <mergeCell ref="A355:E355"/>
    <mergeCell ref="B6693:E6693"/>
    <mergeCell ref="B5661:E5661"/>
    <mergeCell ref="A572:E572"/>
    <mergeCell ref="A1625:E1625"/>
    <mergeCell ref="A2815:E2815"/>
    <mergeCell ref="B3088:E3088"/>
    <mergeCell ref="A6600:E6600"/>
    <mergeCell ref="B7578:E7578"/>
    <mergeCell ref="A145:E145"/>
    <mergeCell ref="B7572:E7572"/>
    <mergeCell ref="A1329:E1329"/>
    <mergeCell ref="A7354:E7354"/>
    <mergeCell ref="A3572:E3572"/>
    <mergeCell ref="A1925:E1925"/>
    <mergeCell ref="A866:E866"/>
    <mergeCell ref="A2083:E2083"/>
    <mergeCell ref="A1024:E1024"/>
    <mergeCell ref="B5509:C5509"/>
    <mergeCell ref="B1261:C1261"/>
    <mergeCell ref="B1745:E1745"/>
    <mergeCell ref="A5874:E5874"/>
    <mergeCell ref="A5996:E5996"/>
    <mergeCell ref="B6688:E6688"/>
    <mergeCell ref="A8081:E8081"/>
    <mergeCell ref="B8496:E8496"/>
    <mergeCell ref="B1903:E1903"/>
    <mergeCell ref="B5816:E5816"/>
    <mergeCell ref="A140:E140"/>
    <mergeCell ref="B4715:E4715"/>
    <mergeCell ref="B1571:E1571"/>
    <mergeCell ref="B6990:C6990"/>
    <mergeCell ref="B7474:E7474"/>
    <mergeCell ref="A6296:E6296"/>
    <mergeCell ref="B8689:E8689"/>
    <mergeCell ref="B7026:C7026"/>
    <mergeCell ref="B3235:E3235"/>
    <mergeCell ref="A6332:E6332"/>
    <mergeCell ref="A8417:E8417"/>
    <mergeCell ref="A7985:E7985"/>
    <mergeCell ref="A6288:E6288"/>
    <mergeCell ref="A5869:E5869"/>
    <mergeCell ref="B5040:E5040"/>
    <mergeCell ref="B5689:E5689"/>
    <mergeCell ref="A1040:E1040"/>
    <mergeCell ref="A8742:E8742"/>
    <mergeCell ref="A3799:E3799"/>
    <mergeCell ref="B2503:E2503"/>
    <mergeCell ref="B5803:E5803"/>
    <mergeCell ref="B6441:E6441"/>
    <mergeCell ref="B7475:E7475"/>
    <mergeCell ref="B5384:E5384"/>
    <mergeCell ref="B8562:E8562"/>
    <mergeCell ref="B8684:E8684"/>
    <mergeCell ref="A921:E921"/>
    <mergeCell ref="B7162:E7162"/>
    <mergeCell ref="B7800:E7800"/>
    <mergeCell ref="B2857:E2857"/>
    <mergeCell ref="A2067:E2067"/>
    <mergeCell ref="A8170:E8170"/>
    <mergeCell ref="A3800:E3800"/>
    <mergeCell ref="A2103:E2103"/>
    <mergeCell ref="A2741:E2741"/>
    <mergeCell ref="A4826:E4826"/>
    <mergeCell ref="A2284:E2284"/>
    <mergeCell ref="A7069:E7069"/>
    <mergeCell ref="A8284:E8284"/>
    <mergeCell ref="A2830:E2830"/>
    <mergeCell ref="A7280:E7280"/>
    <mergeCell ref="B3288:E3288"/>
    <mergeCell ref="B5400:E5400"/>
    <mergeCell ref="B2256:E2256"/>
    <mergeCell ref="B8701:C8701"/>
    <mergeCell ref="B3884:E3884"/>
    <mergeCell ref="A5309:E5309"/>
    <mergeCell ref="B102:E102"/>
    <mergeCell ref="A5284:E5284"/>
    <mergeCell ref="B2983:E2983"/>
    <mergeCell ref="B698:E698"/>
    <mergeCell ref="B8273:E8273"/>
    <mergeCell ref="B1372:E1372"/>
    <mergeCell ref="A1068:E1068"/>
    <mergeCell ref="B1882:E1882"/>
    <mergeCell ref="B5700:E5700"/>
    <mergeCell ref="A7700:E7700"/>
    <mergeCell ref="B5856:E5856"/>
    <mergeCell ref="A8753:E8753"/>
    <mergeCell ref="B402:E402"/>
    <mergeCell ref="B4799:E4799"/>
    <mergeCell ref="A641:E641"/>
    <mergeCell ref="B8704:E8704"/>
    <mergeCell ref="B1672:E1672"/>
    <mergeCell ref="B8291:E8291"/>
    <mergeCell ref="A336:E336"/>
    <mergeCell ref="B6183:E6183"/>
    <mergeCell ref="A5300:E5300"/>
    <mergeCell ref="A3215:E3215"/>
    <mergeCell ref="A2156:E2156"/>
    <mergeCell ref="B7820:E7820"/>
    <mergeCell ref="A1699:E1699"/>
    <mergeCell ref="A2752:E2752"/>
    <mergeCell ref="A1693:E1693"/>
    <mergeCell ref="A6701:E6701"/>
    <mergeCell ref="A3479:E3479"/>
    <mergeCell ref="B8705:E8705"/>
    <mergeCell ref="B4815:E4815"/>
    <mergeCell ref="A3515:E3515"/>
    <mergeCell ref="A4153:E4153"/>
    <mergeCell ref="A5179:E5179"/>
    <mergeCell ref="A7428:E7428"/>
    <mergeCell ref="A6396:E6396"/>
    <mergeCell ref="B6058:E6058"/>
    <mergeCell ref="B3973:E3973"/>
    <mergeCell ref="A5295:E5295"/>
    <mergeCell ref="B6216:E6216"/>
    <mergeCell ref="A7123:E7123"/>
    <mergeCell ref="B2994:E2994"/>
    <mergeCell ref="B4700:E4700"/>
    <mergeCell ref="B5115:E5115"/>
    <mergeCell ref="A4453:E4453"/>
    <mergeCell ref="B324:E324"/>
    <mergeCell ref="A5643:E5643"/>
    <mergeCell ref="B4789:E4789"/>
    <mergeCell ref="B482:E482"/>
    <mergeCell ref="B3757:E3757"/>
    <mergeCell ref="B4273:E4273"/>
    <mergeCell ref="A3510:E3510"/>
    <mergeCell ref="A8516:E8516"/>
    <mergeCell ref="B4362:E4362"/>
    <mergeCell ref="B5000:E5000"/>
    <mergeCell ref="A351:E351"/>
    <mergeCell ref="A326:E326"/>
    <mergeCell ref="B3968:E3968"/>
    <mergeCell ref="B7243:E7243"/>
    <mergeCell ref="B119:C119"/>
    <mergeCell ref="B6786:E6786"/>
    <mergeCell ref="A3199:E3199"/>
    <mergeCell ref="B6816:E6816"/>
    <mergeCell ref="A1727:E1727"/>
    <mergeCell ref="A2780:E2780"/>
    <mergeCell ref="B7568:E7568"/>
    <mergeCell ref="B6517:E6517"/>
    <mergeCell ref="B7543:E7543"/>
    <mergeCell ref="B8602:E8602"/>
    <mergeCell ref="B471:E471"/>
    <mergeCell ref="A4627:E4627"/>
    <mergeCell ref="A5653:E5653"/>
    <mergeCell ref="A1414:E1414"/>
    <mergeCell ref="B1242:E1242"/>
    <mergeCell ref="A3105:E3105"/>
    <mergeCell ref="A2054:E2054"/>
    <mergeCell ref="A995:E995"/>
    <mergeCell ref="A4295:E4295"/>
    <mergeCell ref="A5354:E5354"/>
    <mergeCell ref="A5811:E5811"/>
    <mergeCell ref="A8113:E8113"/>
    <mergeCell ref="A7054:E7054"/>
    <mergeCell ref="A3868:E3868"/>
    <mergeCell ref="A8202:E8202"/>
    <mergeCell ref="A7143:E7143"/>
    <mergeCell ref="A5058:E5058"/>
    <mergeCell ref="A6111:E6111"/>
    <mergeCell ref="B1542:E1542"/>
    <mergeCell ref="B472:E472"/>
    <mergeCell ref="A5654:E5654"/>
    <mergeCell ref="A4622:E4622"/>
    <mergeCell ref="A3563:E3563"/>
    <mergeCell ref="B2715:E2715"/>
    <mergeCell ref="B3231:E3231"/>
    <mergeCell ref="A8413:E8413"/>
    <mergeCell ref="B5474:E5474"/>
    <mergeCell ref="B4415:E4415"/>
    <mergeCell ref="B4862:C4862"/>
    <mergeCell ref="B8355:E8355"/>
    <mergeCell ref="B5011:E5011"/>
    <mergeCell ref="B2288:E2288"/>
    <mergeCell ref="A6411:E6411"/>
    <mergeCell ref="B5169:E5169"/>
    <mergeCell ref="B4110:E4110"/>
    <mergeCell ref="A1011:E1011"/>
    <mergeCell ref="B7928:E7928"/>
    <mergeCell ref="B8533:E8533"/>
    <mergeCell ref="A706:E706"/>
    <mergeCell ref="A6740:E6740"/>
    <mergeCell ref="A4655:E4655"/>
    <mergeCell ref="A4611:E4611"/>
    <mergeCell ref="A3579:E3579"/>
    <mergeCell ref="B200:E200"/>
    <mergeCell ref="B7289:E7289"/>
    <mergeCell ref="B194:E194"/>
    <mergeCell ref="A1006:E1006"/>
    <mergeCell ref="A4955:E4955"/>
    <mergeCell ref="A8255:E8255"/>
    <mergeCell ref="B826:E826"/>
    <mergeCell ref="B4126:E4126"/>
    <mergeCell ref="A3879:E3879"/>
    <mergeCell ref="A5707:E5707"/>
    <mergeCell ref="B500:E500"/>
    <mergeCell ref="A278:E278"/>
    <mergeCell ref="A7950:E7950"/>
    <mergeCell ref="B3699:E3699"/>
    <mergeCell ref="A2521:E2521"/>
    <mergeCell ref="B7612:E7612"/>
    <mergeCell ref="A5280:E5280"/>
    <mergeCell ref="B4426:E4426"/>
    <mergeCell ref="A7523:E7523"/>
    <mergeCell ref="A2094:E2094"/>
    <mergeCell ref="B1884:E1884"/>
    <mergeCell ref="A2707:E2707"/>
    <mergeCell ref="B4007:E4007"/>
    <mergeCell ref="A1064:E1064"/>
    <mergeCell ref="B2946:E2946"/>
    <mergeCell ref="A8128:E8128"/>
    <mergeCell ref="B6886:E6886"/>
    <mergeCell ref="B5827:E5827"/>
    <mergeCell ref="A6639:E6639"/>
    <mergeCell ref="A1153:E1153"/>
    <mergeCell ref="A5580:E5580"/>
    <mergeCell ref="B3279:E3279"/>
    <mergeCell ref="B7613:E7613"/>
    <mergeCell ref="B7607:E7607"/>
    <mergeCell ref="B5522:E5522"/>
    <mergeCell ref="A1364:E1364"/>
    <mergeCell ref="B4427:E4427"/>
    <mergeCell ref="A8040:E8040"/>
    <mergeCell ref="A8550:E8550"/>
    <mergeCell ref="B2214:E2214"/>
    <mergeCell ref="A3607:E3607"/>
    <mergeCell ref="B6127:E6127"/>
    <mergeCell ref="B7186:E7186"/>
    <mergeCell ref="A421:E421"/>
    <mergeCell ref="A937:E937"/>
    <mergeCell ref="A1059:E1059"/>
    <mergeCell ref="B2941:E2941"/>
    <mergeCell ref="B7338:E7338"/>
    <mergeCell ref="A2723:E2723"/>
    <mergeCell ref="B241:E241"/>
    <mergeCell ref="A1664:E1664"/>
    <mergeCell ref="A7207:E7207"/>
    <mergeCell ref="A3450:E3450"/>
    <mergeCell ref="A7839:E7839"/>
    <mergeCell ref="A5754:E5754"/>
    <mergeCell ref="A4670:E4670"/>
    <mergeCell ref="A6323:E6323"/>
    <mergeCell ref="A5291:E5291"/>
    <mergeCell ref="A4232:E4232"/>
    <mergeCell ref="B1299:E1299"/>
    <mergeCell ref="B1906:E1906"/>
    <mergeCell ref="B7969:E7969"/>
    <mergeCell ref="A6027:E6027"/>
    <mergeCell ref="A6054:E6054"/>
    <mergeCell ref="A6692:E6692"/>
    <mergeCell ref="A4582:E4582"/>
    <mergeCell ref="B3753:E3753"/>
    <mergeCell ref="A4538:E4538"/>
    <mergeCell ref="B7028:E7028"/>
    <mergeCell ref="A5722:E5722"/>
    <mergeCell ref="A1838:E1838"/>
    <mergeCell ref="B4358:E4358"/>
    <mergeCell ref="A7455:E7455"/>
    <mergeCell ref="A322:E322"/>
    <mergeCell ref="B7239:E7239"/>
    <mergeCell ref="A8051:E8051"/>
    <mergeCell ref="A6354:E6354"/>
    <mergeCell ref="A1533:E1533"/>
    <mergeCell ref="B5112:E5112"/>
    <mergeCell ref="B4053:E4053"/>
    <mergeCell ref="A8182:E8182"/>
    <mergeCell ref="A2138:E2138"/>
    <mergeCell ref="A1079:E1079"/>
    <mergeCell ref="A2776:E2776"/>
    <mergeCell ref="B8002:E8002"/>
    <mergeCell ref="A3322:E3322"/>
    <mergeCell ref="A1237:E1237"/>
    <mergeCell ref="B4816:E4816"/>
    <mergeCell ref="B7539:E7539"/>
    <mergeCell ref="B8598:E8598"/>
    <mergeCell ref="A780:E780"/>
    <mergeCell ref="B4353:E4353"/>
    <mergeCell ref="A3076:E3076"/>
    <mergeCell ref="A353:E353"/>
    <mergeCell ref="A5325:E5325"/>
    <mergeCell ref="B137:E137"/>
    <mergeCell ref="A5319:E5319"/>
    <mergeCell ref="B3412:E3412"/>
    <mergeCell ref="A3190:E3190"/>
    <mergeCell ref="B2380:E2380"/>
    <mergeCell ref="B1321:E1321"/>
    <mergeCell ref="A1718:E1718"/>
    <mergeCell ref="A2133:E2133"/>
    <mergeCell ref="A48:E48"/>
    <mergeCell ref="B3054:E3054"/>
    <mergeCell ref="A3839:E3839"/>
    <mergeCell ref="A3961:E3961"/>
    <mergeCell ref="A7139:E7139"/>
    <mergeCell ref="A6107:E6107"/>
    <mergeCell ref="A4566:E4566"/>
    <mergeCell ref="A6834:E6834"/>
    <mergeCell ref="B1627:E1627"/>
    <mergeCell ref="A2464:E2464"/>
    <mergeCell ref="B8739:E8739"/>
    <mergeCell ref="B2891:E2891"/>
    <mergeCell ref="A5950:E5950"/>
    <mergeCell ref="A7597:E7597"/>
    <mergeCell ref="B3011:E3011"/>
    <mergeCell ref="A7134:E7134"/>
    <mergeCell ref="B1979:E1979"/>
    <mergeCell ref="B895:E895"/>
    <mergeCell ref="B8470:E8470"/>
    <mergeCell ref="A37:E37"/>
    <mergeCell ref="B8013:E8013"/>
    <mergeCell ref="B6497:E6497"/>
    <mergeCell ref="B8740:E8740"/>
    <mergeCell ref="A2497:E2497"/>
    <mergeCell ref="A1438:E1438"/>
    <mergeCell ref="A3550:E3550"/>
    <mergeCell ref="B1249:E1249"/>
    <mergeCell ref="A2649:E2649"/>
    <mergeCell ref="A1002:E1002"/>
    <mergeCell ref="B2886:C2886"/>
    <mergeCell ref="A2192:E2192"/>
    <mergeCell ref="A1133:E1133"/>
    <mergeCell ref="B8471:E8471"/>
    <mergeCell ref="B1854:E1854"/>
    <mergeCell ref="B4097:E4097"/>
    <mergeCell ref="B3038:E3038"/>
    <mergeCell ref="A5065:E5065"/>
    <mergeCell ref="B5281:E5281"/>
    <mergeCell ref="A3981:E3981"/>
    <mergeCell ref="B911:E911"/>
    <mergeCell ref="A5672:E5672"/>
    <mergeCell ref="A6731:E6731"/>
    <mergeCell ref="B2739:E2739"/>
    <mergeCell ref="B7556:C7556"/>
    <mergeCell ref="B3792:E3792"/>
    <mergeCell ref="A2492:E2492"/>
    <mergeCell ref="A8340:E8340"/>
    <mergeCell ref="B6551:E6551"/>
    <mergeCell ref="B69:E69"/>
    <mergeCell ref="B1122:E1122"/>
    <mergeCell ref="B2312:E2312"/>
    <mergeCell ref="B5193:E5193"/>
    <mergeCell ref="B7855:E7855"/>
    <mergeCell ref="B823:E823"/>
    <mergeCell ref="B1849:E1849"/>
    <mergeCell ref="A4946:E4946"/>
    <mergeCell ref="B3039:E3039"/>
    <mergeCell ref="A8246:E8246"/>
    <mergeCell ref="B6238:E6238"/>
    <mergeCell ref="A1149:E1149"/>
    <mergeCell ref="A7819:E7819"/>
    <mergeCell ref="B5912:E5912"/>
    <mergeCell ref="B4880:E4880"/>
    <mergeCell ref="A844:E844"/>
    <mergeCell ref="B64:E64"/>
    <mergeCell ref="B4423:E4423"/>
    <mergeCell ref="B4461:E4461"/>
    <mergeCell ref="A2965:E2965"/>
    <mergeCell ref="A1449:E1449"/>
    <mergeCell ref="A4330:E4330"/>
    <mergeCell ref="A1607:E1607"/>
    <mergeCell ref="A548:E548"/>
    <mergeCell ref="A2633:E2633"/>
    <mergeCell ref="B4127:E4127"/>
    <mergeCell ref="B6212:E6212"/>
    <mergeCell ref="B6239:E6239"/>
    <mergeCell ref="A6451:E6451"/>
    <mergeCell ref="B237:E237"/>
    <mergeCell ref="A1144:E1144"/>
    <mergeCell ref="B7909:E7909"/>
    <mergeCell ref="A2850:E2850"/>
    <mergeCell ref="A3903:E3903"/>
    <mergeCell ref="A1180:E1180"/>
    <mergeCell ref="A1793:E1793"/>
    <mergeCell ref="A5093:E5093"/>
    <mergeCell ref="A7178:E7178"/>
    <mergeCell ref="A6146:E6146"/>
    <mergeCell ref="A717:E717"/>
    <mergeCell ref="B3723:E3723"/>
    <mergeCell ref="A1907:E1907"/>
    <mergeCell ref="B5480:E5480"/>
    <mergeCell ref="A6873:E6873"/>
    <mergeCell ref="B53:C53"/>
    <mergeCell ref="B537:E537"/>
    <mergeCell ref="B3328:C3328"/>
    <mergeCell ref="A8606:E8606"/>
    <mergeCell ref="B2365:E2365"/>
    <mergeCell ref="A5262:E5262"/>
    <mergeCell ref="A6909:E6909"/>
    <mergeCell ref="A1480:E1480"/>
    <mergeCell ref="A2118:E2118"/>
    <mergeCell ref="B4608:E4608"/>
    <mergeCell ref="A6452:E6452"/>
    <mergeCell ref="B238:E238"/>
    <mergeCell ref="B1264:E1264"/>
    <mergeCell ref="B1902:E1902"/>
    <mergeCell ref="A4361:E4361"/>
    <mergeCell ref="A7661:E7661"/>
    <mergeCell ref="A3904:E3904"/>
    <mergeCell ref="B1422:E1422"/>
    <mergeCell ref="A2207:E2207"/>
    <mergeCell ref="A2845:E2845"/>
    <mergeCell ref="A4966:E4966"/>
    <mergeCell ref="A5088:E5088"/>
    <mergeCell ref="A8266:E8266"/>
    <mergeCell ref="B3724:E3724"/>
    <mergeCell ref="B2027:E2027"/>
    <mergeCell ref="B6999:E6999"/>
    <mergeCell ref="A3477:E3477"/>
    <mergeCell ref="A7209:E7209"/>
    <mergeCell ref="B5967:E5967"/>
    <mergeCell ref="B4908:E4908"/>
    <mergeCell ref="B8052:E8052"/>
    <mergeCell ref="B538:E538"/>
    <mergeCell ref="B8630:C8630"/>
    <mergeCell ref="A7961:E7961"/>
    <mergeCell ref="B532:E532"/>
    <mergeCell ref="B669:E669"/>
    <mergeCell ref="B3419:E3419"/>
    <mergeCell ref="B7781:E7781"/>
    <mergeCell ref="A7121:E7121"/>
    <mergeCell ref="B6267:E6267"/>
    <mergeCell ref="A3318:E3318"/>
    <mergeCell ref="B7956:E7956"/>
    <mergeCell ref="A4051:E4051"/>
    <mergeCell ref="A4045:E4045"/>
    <mergeCell ref="A1960:E1960"/>
    <mergeCell ref="B7624:E7624"/>
    <mergeCell ref="B2681:E2681"/>
    <mergeCell ref="A6804:E6804"/>
    <mergeCell ref="A4203:E4203"/>
    <mergeCell ref="A7863:E7863"/>
    <mergeCell ref="A2565:E2565"/>
    <mergeCell ref="A4677:E4677"/>
    <mergeCell ref="A5315:E5315"/>
    <mergeCell ref="A8590:E8590"/>
    <mergeCell ref="A5867:E5867"/>
    <mergeCell ref="A4808:E4808"/>
    <mergeCell ref="B7355:E7355"/>
    <mergeCell ref="A7689:E7689"/>
    <mergeCell ref="A5404:E5404"/>
    <mergeCell ref="A8748:E8748"/>
    <mergeCell ref="A4372:E4372"/>
    <mergeCell ref="A7110:E7110"/>
    <mergeCell ref="B1955:E1955"/>
    <mergeCell ref="B2981:E2981"/>
    <mergeCell ref="A4503:E4503"/>
    <mergeCell ref="B5224:E5224"/>
    <mergeCell ref="B3139:E3139"/>
    <mergeCell ref="A4046:E4046"/>
    <mergeCell ref="A5615:E5615"/>
    <mergeCell ref="A3530:E3530"/>
    <mergeCell ref="A7864:E7864"/>
    <mergeCell ref="B1623:E1623"/>
    <mergeCell ref="A6805:E6805"/>
    <mergeCell ref="A7858:E7858"/>
    <mergeCell ref="A5773:E5773"/>
    <mergeCell ref="A7995:E7995"/>
    <mergeCell ref="B8552:C8552"/>
    <mergeCell ref="B2834:E2834"/>
    <mergeCell ref="A3619:E3619"/>
    <mergeCell ref="B3439:E3439"/>
    <mergeCell ref="B4077:E4077"/>
    <mergeCell ref="B8405:E8405"/>
    <mergeCell ref="B6320:E6320"/>
    <mergeCell ref="A7105:E7105"/>
    <mergeCell ref="A7263:E7263"/>
    <mergeCell ref="A4405:E4405"/>
    <mergeCell ref="B6925:E6925"/>
    <mergeCell ref="A2276:E2276"/>
    <mergeCell ref="A1857:E1857"/>
    <mergeCell ref="B8736:E8736"/>
    <mergeCell ref="B7679:E7679"/>
    <mergeCell ref="A2584:E2584"/>
    <mergeCell ref="A377:E377"/>
    <mergeCell ref="A3677:E3677"/>
    <mergeCell ref="A5762:E5762"/>
    <mergeCell ref="A2620:E2620"/>
    <mergeCell ref="A5920:E5920"/>
    <mergeCell ref="A8005:E8005"/>
    <mergeCell ref="A2576:E2576"/>
    <mergeCell ref="A491:E491"/>
    <mergeCell ref="A1104:E1104"/>
    <mergeCell ref="A3241:E3241"/>
    <mergeCell ref="A2157:E2157"/>
    <mergeCell ref="A5457:E5457"/>
    <mergeCell ref="B5894:E5894"/>
    <mergeCell ref="B1977:E1977"/>
    <mergeCell ref="A5036:E5036"/>
    <mergeCell ref="A5030:E5030"/>
    <mergeCell ref="A7279:E7279"/>
    <mergeCell ref="A4573:E4573"/>
    <mergeCell ref="A791:E791"/>
    <mergeCell ref="A5763:E5763"/>
    <mergeCell ref="B8767:E8767"/>
    <mergeCell ref="A5757:E5757"/>
    <mergeCell ref="B602:E602"/>
    <mergeCell ref="A6974:E6974"/>
    <mergeCell ref="B733:E733"/>
    <mergeCell ref="A5793:E5793"/>
    <mergeCell ref="A7490:E7490"/>
    <mergeCell ref="B3035:E3035"/>
    <mergeCell ref="B6794:E6794"/>
    <mergeCell ref="B1978:E1978"/>
    <mergeCell ref="B5278:E5278"/>
    <mergeCell ref="B7363:E7363"/>
    <mergeCell ref="A88:E88"/>
    <mergeCell ref="B2092:E2092"/>
    <mergeCell ref="B1033:E1033"/>
    <mergeCell ref="A6215:E6215"/>
    <mergeCell ref="A7790:E7790"/>
    <mergeCell ref="B8151:E8151"/>
    <mergeCell ref="B6041:E6041"/>
    <mergeCell ref="B1665:E1665"/>
    <mergeCell ref="B5578:E5578"/>
    <mergeCell ref="A388:E388"/>
    <mergeCell ref="A3688:E3688"/>
    <mergeCell ref="A8090:E8090"/>
    <mergeCell ref="B1333:E1333"/>
    <mergeCell ref="A519:E519"/>
    <mergeCell ref="A1578:E1578"/>
    <mergeCell ref="B8451:E8451"/>
    <mergeCell ref="A1115:E1115"/>
    <mergeCell ref="B7394:E7394"/>
    <mergeCell ref="A214:E214"/>
    <mergeCell ref="B935:E935"/>
    <mergeCell ref="A4032:E4032"/>
    <mergeCell ref="A6117:E6117"/>
    <mergeCell ref="A3988:E3988"/>
    <mergeCell ref="B4263:C4263"/>
    <mergeCell ref="A2956:E2956"/>
    <mergeCell ref="B3204:C3204"/>
    <mergeCell ref="A5178:E5178"/>
    <mergeCell ref="B1662:E1662"/>
    <mergeCell ref="A4146:E4146"/>
    <mergeCell ref="A6869:E6869"/>
    <mergeCell ref="B8751:E8751"/>
    <mergeCell ref="A6905:E6905"/>
    <mergeCell ref="B1208:C1208"/>
    <mergeCell ref="A6448:E6448"/>
    <mergeCell ref="B2450:E2450"/>
    <mergeCell ref="A7632:E7632"/>
    <mergeCell ref="B6778:E6778"/>
    <mergeCell ref="B4693:E4693"/>
    <mergeCell ref="A1171:E1171"/>
    <mergeCell ref="A7175:E7175"/>
    <mergeCell ref="A5084:E5084"/>
    <mergeCell ref="A8237:E8237"/>
    <mergeCell ref="A7327:E7327"/>
    <mergeCell ref="B6995:E6995"/>
    <mergeCell ref="B4266:E4266"/>
    <mergeCell ref="B3809:E3809"/>
    <mergeCell ref="A6900:E6900"/>
    <mergeCell ref="B6690:E6690"/>
    <mergeCell ref="B4993:E4993"/>
    <mergeCell ref="A441:E441"/>
    <mergeCell ref="B4530:E4530"/>
    <mergeCell ref="A3716:E3716"/>
    <mergeCell ref="B8348:E8348"/>
    <mergeCell ref="B6263:E6263"/>
    <mergeCell ref="B8479:E8479"/>
    <mergeCell ref="A1168:E1168"/>
    <mergeCell ref="B8506:E8506"/>
    <mergeCell ref="A8232:E8232"/>
    <mergeCell ref="A1204:E1204"/>
    <mergeCell ref="B3208:E3208"/>
    <mergeCell ref="A5532:E5532"/>
    <mergeCell ref="B6563:E6563"/>
    <mergeCell ref="B1077:E1077"/>
    <mergeCell ref="A2527:E2527"/>
    <mergeCell ref="A3717:E3717"/>
    <mergeCell ref="A3711:E3711"/>
    <mergeCell ref="A5863:E5863"/>
    <mergeCell ref="A4804:E4804"/>
    <mergeCell ref="A6889:E6889"/>
    <mergeCell ref="B1288:E1288"/>
    <mergeCell ref="A8106:E8106"/>
    <mergeCell ref="A2100:E2100"/>
    <mergeCell ref="A7047:E7047"/>
    <mergeCell ref="A7660:E7660"/>
    <mergeCell ref="B3531:E3531"/>
    <mergeCell ref="A6590:E6590"/>
    <mergeCell ref="A6584:E6584"/>
    <mergeCell ref="A4499:E4499"/>
    <mergeCell ref="B2042:E2042"/>
    <mergeCell ref="A8317:E8317"/>
    <mergeCell ref="B7463:E7463"/>
    <mergeCell ref="A1926:E1926"/>
    <mergeCell ref="A6163:E6163"/>
    <mergeCell ref="B2034:E2034"/>
    <mergeCell ref="B562:E562"/>
    <mergeCell ref="A8406:E8406"/>
    <mergeCell ref="A7347:E7347"/>
    <mergeCell ref="A6890:E6890"/>
    <mergeCell ref="B2761:E2761"/>
    <mergeCell ref="A5858:E5858"/>
    <mergeCell ref="B1289:E1289"/>
    <mergeCell ref="A7943:E7943"/>
    <mergeCell ref="A8617:E8617"/>
    <mergeCell ref="B4162:E4162"/>
    <mergeCell ref="A6621:E6621"/>
    <mergeCell ref="A7647:E7647"/>
    <mergeCell ref="A4401:E4401"/>
    <mergeCell ref="B7921:E7921"/>
    <mergeCell ref="A1188:E1188"/>
    <mergeCell ref="A5128:E5128"/>
    <mergeCell ref="B7675:E7675"/>
    <mergeCell ref="A7371:E7371"/>
    <mergeCell ref="A889:E889"/>
    <mergeCell ref="A883:E883"/>
    <mergeCell ref="B4462:E4462"/>
    <mergeCell ref="B8221:E8221"/>
    <mergeCell ref="A4701:E4701"/>
    <mergeCell ref="A2616:E2616"/>
    <mergeCell ref="A3126:E3126"/>
    <mergeCell ref="B1762:E1762"/>
    <mergeCell ref="B703:E703"/>
    <mergeCell ref="A6944:E6944"/>
    <mergeCell ref="A1515:E1515"/>
    <mergeCell ref="B6122:C6122"/>
    <mergeCell ref="A5428:E5428"/>
    <mergeCell ref="A2705:E2705"/>
    <mergeCell ref="B2489:E2489"/>
    <mergeCell ref="B2936:C2936"/>
    <mergeCell ref="B6278:E6278"/>
    <mergeCell ref="A2242:E2242"/>
    <mergeCell ref="A7275:E7275"/>
    <mergeCell ref="A6191:E6191"/>
    <mergeCell ref="B2062:E2062"/>
    <mergeCell ref="A884:E884"/>
    <mergeCell ref="A8459:E8459"/>
    <mergeCell ref="A3643:E3643"/>
    <mergeCell ref="B704:E704"/>
    <mergeCell ref="A8032:E8032"/>
    <mergeCell ref="B3463:E3463"/>
    <mergeCell ref="B4516:E4516"/>
    <mergeCell ref="A7569:E7569"/>
    <mergeCell ref="A1057:E1057"/>
    <mergeCell ref="B277:E277"/>
    <mergeCell ref="B4636:E4636"/>
    <mergeCell ref="A5459:E5459"/>
    <mergeCell ref="B6302:E6302"/>
    <mergeCell ref="B4217:E4217"/>
    <mergeCell ref="A8302:E8302"/>
    <mergeCell ref="A7270:E7270"/>
    <mergeCell ref="A2300:E2300"/>
    <mergeCell ref="A6211:E6211"/>
    <mergeCell ref="A1243:E1243"/>
    <mergeCell ref="A4543:E4543"/>
    <mergeCell ref="B3885:E3885"/>
    <mergeCell ref="A8332:E8332"/>
    <mergeCell ref="B8116:E8116"/>
    <mergeCell ref="B6006:E6006"/>
    <mergeCell ref="B5574:E5574"/>
    <mergeCell ref="B2388:E2388"/>
    <mergeCell ref="A2600:E2600"/>
    <mergeCell ref="A4843:E4843"/>
    <mergeCell ref="A2758:E2758"/>
    <mergeCell ref="B8422:E8422"/>
    <mergeCell ref="B7390:E7390"/>
    <mergeCell ref="A2301:E2301"/>
    <mergeCell ref="A2295:E2295"/>
    <mergeCell ref="A2331:E2331"/>
    <mergeCell ref="A6244:E6244"/>
    <mergeCell ref="A1874:E1874"/>
    <mergeCell ref="A1868:E1868"/>
    <mergeCell ref="B1658:E1658"/>
    <mergeCell ref="A4117:E4117"/>
    <mergeCell ref="A8487:E8487"/>
    <mergeCell ref="B626:E626"/>
    <mergeCell ref="A1411:E1411"/>
    <mergeCell ref="A4111:E4111"/>
    <mergeCell ref="B5605:E5605"/>
    <mergeCell ref="A5939:E5939"/>
    <mergeCell ref="A3654:E3654"/>
    <mergeCell ref="A1569:E1569"/>
    <mergeCell ref="B1688:E1688"/>
    <mergeCell ref="B7690:E7690"/>
    <mergeCell ref="A8024:E8024"/>
    <mergeCell ref="A4838:E4838"/>
    <mergeCell ref="A2753:E2753"/>
    <mergeCell ref="A8656:E8656"/>
    <mergeCell ref="B6774:E6774"/>
    <mergeCell ref="B2116:E2116"/>
    <mergeCell ref="B3169:E3169"/>
    <mergeCell ref="A7290:E7290"/>
    <mergeCell ref="B7074:E7074"/>
    <mergeCell ref="B4989:E4989"/>
    <mergeCell ref="A5801:E5801"/>
    <mergeCell ref="A7598:E7598"/>
    <mergeCell ref="A8691:E8691"/>
    <mergeCell ref="B773:E773"/>
    <mergeCell ref="B7443:E7443"/>
    <mergeCell ref="B7418:E7418"/>
    <mergeCell ref="B5289:E5289"/>
    <mergeCell ref="B6342:E6342"/>
    <mergeCell ref="A5528:E5528"/>
    <mergeCell ref="B4870:E4870"/>
    <mergeCell ref="B7532:E7532"/>
    <mergeCell ref="A1283:E1283"/>
    <mergeCell ref="B1073:E1073"/>
    <mergeCell ref="A6255:E6255"/>
    <mergeCell ref="B3316:E3316"/>
    <mergeCell ref="A2016:E2016"/>
    <mergeCell ref="B7718:E7718"/>
    <mergeCell ref="A3069:E3069"/>
    <mergeCell ref="A2010:E2010"/>
    <mergeCell ref="B768:E768"/>
    <mergeCell ref="A3743:E3743"/>
    <mergeCell ref="A5828:E5828"/>
    <mergeCell ref="A5371:E5371"/>
    <mergeCell ref="B2889:E2889"/>
    <mergeCell ref="B6802:E6802"/>
    <mergeCell ref="A5529:E5529"/>
    <mergeCell ref="A3832:E3832"/>
    <mergeCell ref="B2038:E2038"/>
    <mergeCell ref="A5523:E5523"/>
    <mergeCell ref="A3438:E3438"/>
    <mergeCell ref="A6713:E6713"/>
    <mergeCell ref="B6375:E6375"/>
    <mergeCell ref="A7318:E7318"/>
    <mergeCell ref="A2011:E2011"/>
    <mergeCell ref="B6076:E6076"/>
    <mergeCell ref="B3985:E3985"/>
    <mergeCell ref="B1700:E1700"/>
    <mergeCell ref="A4770:E4770"/>
    <mergeCell ref="B5613:E5613"/>
    <mergeCell ref="B2890:E2890"/>
    <mergeCell ref="B1831:E1831"/>
    <mergeCell ref="B3528:E3528"/>
    <mergeCell ref="A7013:E7013"/>
    <mergeCell ref="B799:E799"/>
    <mergeCell ref="B8345:C8345"/>
    <mergeCell ref="A8702:E8702"/>
    <mergeCell ref="B6833:E6833"/>
    <mergeCell ref="B5186:E5186"/>
    <mergeCell ref="B5344:E5344"/>
    <mergeCell ref="B8644:E8644"/>
    <mergeCell ref="A249:E249"/>
    <mergeCell ref="A8397:E8397"/>
    <mergeCell ref="A7313:E7313"/>
    <mergeCell ref="B1099:E1099"/>
    <mergeCell ref="A2370:E2370"/>
    <mergeCell ref="A5670:E5670"/>
    <mergeCell ref="A854:E854"/>
    <mergeCell ref="A549:E549"/>
    <mergeCell ref="A2701:E2701"/>
    <mergeCell ref="A1642:E1642"/>
    <mergeCell ref="B2485:E2485"/>
    <mergeCell ref="A5970:E5970"/>
    <mergeCell ref="B369:E369"/>
    <mergeCell ref="B8517:E8517"/>
    <mergeCell ref="A3422:E3422"/>
    <mergeCell ref="B7001:E7001"/>
    <mergeCell ref="A6724:E6724"/>
    <mergeCell ref="A3580:E3580"/>
    <mergeCell ref="A3001:E3001"/>
    <mergeCell ref="B6544:E6544"/>
    <mergeCell ref="B62:E62"/>
    <mergeCell ref="B700:E700"/>
    <mergeCell ref="A4781:E4781"/>
    <mergeCell ref="A6487:E6487"/>
    <mergeCell ref="A4939:E4939"/>
    <mergeCell ref="A5455:E5455"/>
    <mergeCell ref="A6645:E6645"/>
    <mergeCell ref="B5791:E5791"/>
    <mergeCell ref="B6844:E6844"/>
    <mergeCell ref="A7372:E7372"/>
    <mergeCell ref="B3243:E3243"/>
    <mergeCell ref="B8209:E8209"/>
    <mergeCell ref="B6002:E6002"/>
    <mergeCell ref="A1353:E1353"/>
    <mergeCell ref="A1328:E1328"/>
    <mergeCell ref="A269:E269"/>
    <mergeCell ref="A3156:E3156"/>
    <mergeCell ref="B4513:E4513"/>
    <mergeCell ref="B2816:E2816"/>
    <mergeCell ref="A4209:E4209"/>
    <mergeCell ref="B5697:E5697"/>
    <mergeCell ref="A1661:E1661"/>
    <mergeCell ref="B3543:E3543"/>
    <mergeCell ref="B1900:E1900"/>
    <mergeCell ref="A1234:E1234"/>
    <mergeCell ref="B7029:E7029"/>
    <mergeCell ref="A6655:E6655"/>
    <mergeCell ref="A4570:E4570"/>
    <mergeCell ref="A4113:E4113"/>
    <mergeCell ref="B4329:E4329"/>
    <mergeCell ref="A3029:E3029"/>
    <mergeCell ref="A6356:E6356"/>
    <mergeCell ref="A1953:E1953"/>
    <mergeCell ref="A4840:E4840"/>
    <mergeCell ref="A8321:E8321"/>
    <mergeCell ref="A5893:E5893"/>
    <mergeCell ref="A4834:E4834"/>
    <mergeCell ref="A7083:E7083"/>
    <mergeCell ref="A595:E595"/>
    <mergeCell ref="B2544:E2544"/>
    <mergeCell ref="A4407:E4407"/>
    <mergeCell ref="B4197:E4197"/>
    <mergeCell ref="B1474:E1474"/>
    <mergeCell ref="A5597:E5597"/>
    <mergeCell ref="B5844:E5844"/>
    <mergeCell ref="B1468:E1468"/>
    <mergeCell ref="A6650:E6650"/>
    <mergeCell ref="A5140:E5140"/>
    <mergeCell ref="A6656:E6656"/>
    <mergeCell ref="A7840:E7840"/>
    <mergeCell ref="B8144:E8144"/>
    <mergeCell ref="B110:E110"/>
    <mergeCell ref="A1381:E1381"/>
    <mergeCell ref="B715:E715"/>
    <mergeCell ref="A954:E954"/>
    <mergeCell ref="A8140:E8140"/>
    <mergeCell ref="B7930:E7930"/>
    <mergeCell ref="A7167:E7167"/>
    <mergeCell ref="A655:E655"/>
    <mergeCell ref="A8122:E8122"/>
    <mergeCell ref="A8357:E8357"/>
    <mergeCell ref="A192:E192"/>
    <mergeCell ref="B1017:C1017"/>
    <mergeCell ref="A1376:E1376"/>
    <mergeCell ref="A4554:E4554"/>
    <mergeCell ref="B12:E12"/>
    <mergeCell ref="B2255:E2255"/>
    <mergeCell ref="A955:E955"/>
    <mergeCell ref="A4255:E4255"/>
    <mergeCell ref="A949:E949"/>
    <mergeCell ref="B4528:E4528"/>
    <mergeCell ref="A5308:E5308"/>
    <mergeCell ref="A1682:E1682"/>
    <mergeCell ref="A1676:E1676"/>
    <mergeCell ref="A3828:E3828"/>
    <mergeCell ref="B312:E312"/>
    <mergeCell ref="B3612:E3612"/>
    <mergeCell ref="B1502:E1502"/>
    <mergeCell ref="A2339:E2339"/>
    <mergeCell ref="B470:E470"/>
    <mergeCell ref="A4555:E4555"/>
    <mergeCell ref="B13:E13"/>
    <mergeCell ref="A4549:E4549"/>
    <mergeCell ref="A7314:E7314"/>
    <mergeCell ref="A8367:E8367"/>
    <mergeCell ref="B1075:E1075"/>
    <mergeCell ref="B3343:E3343"/>
    <mergeCell ref="A4128:E4128"/>
    <mergeCell ref="B3912:E3912"/>
    <mergeCell ref="B770:E770"/>
    <mergeCell ref="A34:E34"/>
    <mergeCell ref="A3823:E3823"/>
    <mergeCell ref="B6829:E6829"/>
    <mergeCell ref="A2793:E2793"/>
    <mergeCell ref="B6366:E6366"/>
    <mergeCell ref="A8368:E8368"/>
    <mergeCell ref="A7309:E7309"/>
    <mergeCell ref="A8499:E8499"/>
    <mergeCell ref="B1070:E1070"/>
    <mergeCell ref="B5429:E5429"/>
    <mergeCell ref="B8161:E8161"/>
    <mergeCell ref="A334:E334"/>
    <mergeCell ref="A3099:E3099"/>
    <mergeCell ref="B7062:C7062"/>
    <mergeCell ref="A4283:E4283"/>
    <mergeCell ref="B154:E154"/>
    <mergeCell ref="B3943:E3943"/>
    <mergeCell ref="B7856:E7856"/>
    <mergeCell ref="A1613:E1613"/>
    <mergeCell ref="A2788:E2788"/>
    <mergeCell ref="A1091:E1091"/>
    <mergeCell ref="A4452:E4452"/>
    <mergeCell ref="A2367:E2367"/>
    <mergeCell ref="A1308:E1308"/>
    <mergeCell ref="A2361:E2361"/>
    <mergeCell ref="A4583:E4583"/>
    <mergeCell ref="A6851:E6851"/>
    <mergeCell ref="B4272:E4272"/>
    <mergeCell ref="A7782:E7782"/>
    <mergeCell ref="A7325:E7325"/>
    <mergeCell ref="A4156:E4156"/>
    <mergeCell ref="A7456:E7456"/>
    <mergeCell ref="B665:E665"/>
    <mergeCell ref="B4999:E4999"/>
    <mergeCell ref="B2914:E2914"/>
    <mergeCell ref="B1855:E1855"/>
    <mergeCell ref="A6424:E6424"/>
    <mergeCell ref="A7483:E7483"/>
    <mergeCell ref="A8515:E8515"/>
    <mergeCell ref="A7020:E7020"/>
    <mergeCell ref="A5961:E5961"/>
    <mergeCell ref="A8210:E8210"/>
    <mergeCell ref="B3641:E3641"/>
    <mergeCell ref="B3635:E3635"/>
    <mergeCell ref="B1550:E1550"/>
    <mergeCell ref="B4728:E4728"/>
    <mergeCell ref="B5787:E5787"/>
    <mergeCell ref="A5540:E5540"/>
    <mergeCell ref="B3214:E3214"/>
    <mergeCell ref="B7567:E7567"/>
    <mergeCell ref="B5482:E5482"/>
    <mergeCell ref="A1324:E1324"/>
    <mergeCell ref="A265:E265"/>
    <mergeCell ref="B7725:E7725"/>
    <mergeCell ref="A7451:E7451"/>
    <mergeCell ref="B4598:E4598"/>
    <mergeCell ref="A8083:E8083"/>
    <mergeCell ref="A3262:E3262"/>
    <mergeCell ref="A2081:E2081"/>
    <mergeCell ref="A3778:E3778"/>
    <mergeCell ref="B5782:E5782"/>
    <mergeCell ref="A5994:E5994"/>
    <mergeCell ref="B839:E839"/>
    <mergeCell ref="A565:E565"/>
    <mergeCell ref="B8541:E8541"/>
    <mergeCell ref="A3867:E3867"/>
    <mergeCell ref="A1782:E1782"/>
    <mergeCell ref="A3446:E3446"/>
    <mergeCell ref="B3083:C3083"/>
    <mergeCell ref="A4505:E4505"/>
    <mergeCell ref="A2351:E2351"/>
    <mergeCell ref="A266:E266"/>
    <mergeCell ref="A6748:E6748"/>
    <mergeCell ref="A1319:E1319"/>
    <mergeCell ref="A260:E260"/>
    <mergeCell ref="A4619:E4619"/>
    <mergeCell ref="B6545:E6545"/>
    <mergeCell ref="A3562:E3562"/>
    <mergeCell ref="A1993:E1993"/>
    <mergeCell ref="B6082:E6082"/>
    <mergeCell ref="A8568:E8568"/>
    <mergeCell ref="B80:E80"/>
    <mergeCell ref="B4414:E4414"/>
    <mergeCell ref="A4805:E4805"/>
    <mergeCell ref="A2082:E2082"/>
    <mergeCell ref="A2720:E2720"/>
    <mergeCell ref="A5995:E5995"/>
    <mergeCell ref="A7048:E7048"/>
    <mergeCell ref="A4963:E4963"/>
    <mergeCell ref="A4919:E4919"/>
    <mergeCell ref="B2540:E2540"/>
    <mergeCell ref="A2809:E2809"/>
    <mergeCell ref="B3050:E3050"/>
    <mergeCell ref="B4739:E4739"/>
    <mergeCell ref="A7836:E7836"/>
    <mergeCell ref="A4079:E4079"/>
    <mergeCell ref="B4013:E4013"/>
    <mergeCell ref="B2954:E2954"/>
    <mergeCell ref="A8136:E8136"/>
    <mergeCell ref="A1161:E1161"/>
    <mergeCell ref="B4740:E4740"/>
    <mergeCell ref="A1766:E1766"/>
    <mergeCell ref="A2431:E2431"/>
    <mergeCell ref="B8683:E8683"/>
    <mergeCell ref="A1347:E1347"/>
    <mergeCell ref="B4313:E4313"/>
    <mergeCell ref="A3493:E3493"/>
    <mergeCell ref="B3283:E3283"/>
    <mergeCell ref="B7194:E7194"/>
    <mergeCell ref="A5279:E5279"/>
    <mergeCell ref="A3194:E3194"/>
    <mergeCell ref="A2135:E2135"/>
    <mergeCell ref="A5410:E5410"/>
    <mergeCell ref="B2978:E2978"/>
    <mergeCell ref="A1678:E1678"/>
    <mergeCell ref="A4378:E4378"/>
    <mergeCell ref="A6463:E6463"/>
    <mergeCell ref="A1034:E1034"/>
    <mergeCell ref="A6979:E6979"/>
    <mergeCell ref="B7957:E7957"/>
    <mergeCell ref="B3583:E3583"/>
    <mergeCell ref="B1498:E1498"/>
    <mergeCell ref="B2551:E2551"/>
    <mergeCell ref="A1251:E1251"/>
    <mergeCell ref="B1492:E1492"/>
    <mergeCell ref="B5826:E5826"/>
    <mergeCell ref="B2682:E2682"/>
    <mergeCell ref="B397:E397"/>
    <mergeCell ref="A3494:E3494"/>
    <mergeCell ref="B6404:C6404"/>
    <mergeCell ref="A3488:E3488"/>
    <mergeCell ref="B3278:E3278"/>
    <mergeCell ref="B555:E555"/>
    <mergeCell ref="A4678:E4678"/>
    <mergeCell ref="B4468:E4468"/>
    <mergeCell ref="A5710:E5710"/>
    <mergeCell ref="B1124:E1124"/>
    <mergeCell ref="A7401:E7401"/>
    <mergeCell ref="A8460:E8460"/>
    <mergeCell ref="B92:E92"/>
    <mergeCell ref="B8280:E8280"/>
    <mergeCell ref="B1798:E1798"/>
    <mergeCell ref="B4041:E4041"/>
    <mergeCell ref="B1335:E1335"/>
    <mergeCell ref="B4035:E4035"/>
    <mergeCell ref="A7094:E7094"/>
    <mergeCell ref="B6922:E6922"/>
    <mergeCell ref="B855:E855"/>
    <mergeCell ref="B4768:E4768"/>
    <mergeCell ref="B7967:E7967"/>
    <mergeCell ref="A330:E330"/>
    <mergeCell ref="A305:E305"/>
    <mergeCell ref="A2573:E2573"/>
    <mergeCell ref="A1392:E1392"/>
    <mergeCell ref="B150:E150"/>
    <mergeCell ref="A2609:E2609"/>
    <mergeCell ref="B125:E125"/>
    <mergeCell ref="A2146:E2146"/>
    <mergeCell ref="A1087:E1087"/>
    <mergeCell ref="A4911:E4911"/>
    <mergeCell ref="A2277:E2277"/>
    <mergeCell ref="A630:E630"/>
    <mergeCell ref="A4905:E4905"/>
    <mergeCell ref="B7968:E7968"/>
    <mergeCell ref="A6095:E6095"/>
    <mergeCell ref="A6476:E6476"/>
    <mergeCell ref="A2873:E2873"/>
    <mergeCell ref="A4579:E4579"/>
    <mergeCell ref="A5632:E5632"/>
    <mergeCell ref="A2909:E2909"/>
    <mergeCell ref="A7875:E7875"/>
    <mergeCell ref="A1393:E1393"/>
    <mergeCell ref="A2446:E2446"/>
    <mergeCell ref="A361:E361"/>
    <mergeCell ref="B539:E539"/>
    <mergeCell ref="A4152:E4152"/>
    <mergeCell ref="A5205:E5205"/>
    <mergeCell ref="B2272:E2272"/>
    <mergeCell ref="B3963:E3963"/>
    <mergeCell ref="A6991:E6991"/>
    <mergeCell ref="A4906:E4906"/>
    <mergeCell ref="A7122:E7122"/>
    <mergeCell ref="A6090:E6090"/>
    <mergeCell ref="B451:E451"/>
    <mergeCell ref="A4574:E4574"/>
    <mergeCell ref="A2906:E2906"/>
    <mergeCell ref="B5872:E5872"/>
    <mergeCell ref="B481:E481"/>
    <mergeCell ref="B5453:E5453"/>
    <mergeCell ref="B4394:E4394"/>
    <mergeCell ref="B7538:E7538"/>
    <mergeCell ref="A5206:E5206"/>
    <mergeCell ref="A6390:E6390"/>
    <mergeCell ref="B6180:E6180"/>
    <mergeCell ref="A990:E990"/>
    <mergeCell ref="B2478:E2478"/>
    <mergeCell ref="A2174:E2174"/>
    <mergeCell ref="A45:E45"/>
    <mergeCell ref="A3863:E3863"/>
    <mergeCell ref="A6106:E6106"/>
    <mergeCell ref="A4590:E4590"/>
    <mergeCell ref="A3558:E3558"/>
    <mergeCell ref="A3689:E3689"/>
    <mergeCell ref="A345:E345"/>
    <mergeCell ref="A2078:E2078"/>
    <mergeCell ref="A5353:E5353"/>
    <mergeCell ref="A4294:E4294"/>
    <mergeCell ref="B1224:E1224"/>
    <mergeCell ref="A46:E46"/>
    <mergeCell ref="A4321:E4321"/>
    <mergeCell ref="A7596:E7596"/>
    <mergeCell ref="A6537:E6537"/>
    <mergeCell ref="B4105:E4105"/>
    <mergeCell ref="A2805:E2805"/>
    <mergeCell ref="A4890:E4890"/>
    <mergeCell ref="A6623:E6623"/>
    <mergeCell ref="A7133:E7133"/>
    <mergeCell ref="A3989:E3989"/>
    <mergeCell ref="B919:E919"/>
    <mergeCell ref="B473:E473"/>
    <mergeCell ref="A2378:E2378"/>
    <mergeCell ref="B4868:E4868"/>
    <mergeCell ref="A6291:E6291"/>
    <mergeCell ref="A5259:E5259"/>
    <mergeCell ref="A8534:E8534"/>
    <mergeCell ref="B2320:E2320"/>
    <mergeCell ref="B3346:E3346"/>
    <mergeCell ref="A7502:E7502"/>
    <mergeCell ref="B8354:E8354"/>
    <mergeCell ref="B2925:E2925"/>
    <mergeCell ref="A8107:E8107"/>
    <mergeCell ref="B6865:E6865"/>
    <mergeCell ref="A1132:E1132"/>
    <mergeCell ref="B7927:E7927"/>
    <mergeCell ref="B5895:E5895"/>
    <mergeCell ref="A5075:E5075"/>
    <mergeCell ref="A705:E705"/>
    <mergeCell ref="B7622:E7622"/>
    <mergeCell ref="A3586:E3586"/>
    <mergeCell ref="B6552:E6552"/>
    <mergeCell ref="B4411:C4411"/>
    <mergeCell ref="A1457:E1457"/>
    <mergeCell ref="B8349:E8349"/>
    <mergeCell ref="A3578:E3578"/>
    <mergeCell ref="A1493:E1493"/>
    <mergeCell ref="A7491:E7491"/>
    <mergeCell ref="B226:E226"/>
    <mergeCell ref="B1252:E1252"/>
    <mergeCell ref="A7649:E7649"/>
    <mergeCell ref="B4133:E4133"/>
    <mergeCell ref="A2833:E2833"/>
    <mergeCell ref="A8123:E8123"/>
    <mergeCell ref="B5822:E5822"/>
    <mergeCell ref="B3706:E3706"/>
    <mergeCell ref="B1621:E1621"/>
    <mergeCell ref="A5706:E5706"/>
    <mergeCell ref="A6765:E6765"/>
    <mergeCell ref="B1577:E1577"/>
    <mergeCell ref="A7949:E7949"/>
    <mergeCell ref="B3820:E3820"/>
    <mergeCell ref="A2520:E2520"/>
    <mergeCell ref="A6917:E6917"/>
    <mergeCell ref="B63:E63"/>
    <mergeCell ref="A6460:E6460"/>
    <mergeCell ref="B6579:E6579"/>
    <mergeCell ref="B3399:E3399"/>
    <mergeCell ref="B2340:E2340"/>
    <mergeCell ref="B4037:E4037"/>
    <mergeCell ref="A7522:E7522"/>
    <mergeCell ref="B5221:E5221"/>
    <mergeCell ref="B4764:E4764"/>
    <mergeCell ref="B7464:E7464"/>
    <mergeCell ref="B5817:E5817"/>
    <mergeCell ref="B3094:E3094"/>
    <mergeCell ref="A7217:E7217"/>
    <mergeCell ref="A8249:E8249"/>
    <mergeCell ref="B8060:E8060"/>
    <mergeCell ref="A1817:E1817"/>
    <mergeCell ref="A120:E120"/>
    <mergeCell ref="A758:E758"/>
    <mergeCell ref="B3821:E3821"/>
    <mergeCell ref="B4337:E4337"/>
    <mergeCell ref="B5390:E5390"/>
    <mergeCell ref="A2422:E2422"/>
    <mergeCell ref="A6333:E6333"/>
    <mergeCell ref="A1512:E1512"/>
    <mergeCell ref="A331:E331"/>
    <mergeCell ref="A8603:E8603"/>
    <mergeCell ref="B2364:E2364"/>
    <mergeCell ref="B1305:E1305"/>
    <mergeCell ref="A5:E5"/>
    <mergeCell ref="A7546:E7546"/>
    <mergeCell ref="A32:E32"/>
    <mergeCell ref="B3995:C3995"/>
    <mergeCell ref="A6607:E6607"/>
    <mergeCell ref="B4795:E4795"/>
    <mergeCell ref="A2844:E2844"/>
    <mergeCell ref="A759:E759"/>
    <mergeCell ref="A2905:E2905"/>
    <mergeCell ref="B579:E579"/>
    <mergeCell ref="A5761:E5761"/>
    <mergeCell ref="B7668:E7668"/>
    <mergeCell ref="B535:E535"/>
    <mergeCell ref="A4685:E4685"/>
    <mergeCell ref="A6907:E6907"/>
    <mergeCell ref="B3391:E3391"/>
    <mergeCell ref="A5875:E5875"/>
    <mergeCell ref="A6901:E6901"/>
    <mergeCell ref="B8395:E8395"/>
    <mergeCell ref="B1300:E1300"/>
    <mergeCell ref="B4478:E4478"/>
    <mergeCell ref="B230:E230"/>
    <mergeCell ref="A3205:E3205"/>
    <mergeCell ref="B7780:E7780"/>
    <mergeCell ref="A6480:E6480"/>
    <mergeCell ref="A7118:E7118"/>
    <mergeCell ref="A8171:E8171"/>
    <mergeCell ref="A6086:E6086"/>
    <mergeCell ref="B879:E879"/>
    <mergeCell ref="A6061:E6061"/>
    <mergeCell ref="A8177:E8177"/>
    <mergeCell ref="A3932:E3932"/>
    <mergeCell ref="B6422:E6422"/>
    <mergeCell ref="A1232:E1232"/>
    <mergeCell ref="A7881:E7881"/>
    <mergeCell ref="A5145:E5145"/>
    <mergeCell ref="A1959:E1959"/>
    <mergeCell ref="A900:E900"/>
    <mergeCell ref="B4479:E4479"/>
    <mergeCell ref="B6176:E6176"/>
    <mergeCell ref="B3447:E3447"/>
    <mergeCell ref="B8419:E8419"/>
    <mergeCell ref="A1532:E1532"/>
    <mergeCell ref="A2170:E2170"/>
    <mergeCell ref="B4052:E4052"/>
    <mergeCell ref="B6933:E6933"/>
    <mergeCell ref="A1749:E1749"/>
    <mergeCell ref="A174:E174"/>
    <mergeCell ref="B3747:E3747"/>
    <mergeCell ref="A2933:E2933"/>
    <mergeCell ref="A5018:E5018"/>
    <mergeCell ref="A8318:E8318"/>
    <mergeCell ref="A3502:E3502"/>
    <mergeCell ref="A1417:E1417"/>
    <mergeCell ref="A2470:E2470"/>
    <mergeCell ref="A4719:E4719"/>
    <mergeCell ref="B4348:C4348"/>
    <mergeCell ref="A4713:E4713"/>
    <mergeCell ref="B8292:E8292"/>
    <mergeCell ref="A4256:E4256"/>
    <mergeCell ref="A3197:E3197"/>
    <mergeCell ref="A1112:E1112"/>
    <mergeCell ref="A8662:E8662"/>
    <mergeCell ref="A7592:E7592"/>
    <mergeCell ref="A6533:E6533"/>
    <mergeCell ref="A8618:E8618"/>
    <mergeCell ref="B3017:E3017"/>
    <mergeCell ref="A3829:E3829"/>
    <mergeCell ref="A1744:E1744"/>
    <mergeCell ref="A47:E47"/>
    <mergeCell ref="A7129:E7129"/>
    <mergeCell ref="A8313:E8313"/>
    <mergeCell ref="A7892:E7892"/>
    <mergeCell ref="B4376:E4376"/>
    <mergeCell ref="B7676:E7676"/>
    <mergeCell ref="A7429:E7429"/>
    <mergeCell ref="A8619:E8619"/>
    <mergeCell ref="B3018:E3018"/>
    <mergeCell ref="A2644:E2644"/>
    <mergeCell ref="B7249:E7249"/>
    <mergeCell ref="B5164:E5164"/>
    <mergeCell ref="A1128:E1128"/>
    <mergeCell ref="B5891:E5891"/>
    <mergeCell ref="B5885:E5885"/>
    <mergeCell ref="A3976:E3976"/>
    <mergeCell ref="A1891:E1891"/>
    <mergeCell ref="A4134:E4134"/>
    <mergeCell ref="A1428:E1428"/>
    <mergeCell ref="A2612:E2612"/>
    <mergeCell ref="A527:E527"/>
    <mergeCell ref="A2639:E2639"/>
    <mergeCell ref="B1248:E1248"/>
    <mergeCell ref="B189:E189"/>
    <mergeCell ref="A4345:E4345"/>
    <mergeCell ref="A1001:E1001"/>
    <mergeCell ref="A6430:E6430"/>
    <mergeCell ref="A8673:E8673"/>
    <mergeCell ref="B2432:E2432"/>
    <mergeCell ref="A5072:E5072"/>
    <mergeCell ref="B943:E943"/>
    <mergeCell ref="A1728:E1728"/>
    <mergeCell ref="B8007:E8007"/>
    <mergeCell ref="A3971:E3971"/>
    <mergeCell ref="B4892:E4892"/>
    <mergeCell ref="B1706:E1706"/>
    <mergeCell ref="B59:E59"/>
    <mergeCell ref="A6888:E6888"/>
    <mergeCell ref="A6431:E6431"/>
    <mergeCell ref="B190:E190"/>
    <mergeCell ref="A4340:E4340"/>
    <mergeCell ref="B2433:E2433"/>
    <mergeCell ref="A7493:E7493"/>
    <mergeCell ref="B2427:E2427"/>
    <mergeCell ref="B5192:E5192"/>
    <mergeCell ref="A543:E543"/>
    <mergeCell ref="B6245:E6245"/>
    <mergeCell ref="A8245:E8245"/>
    <mergeCell ref="A2786:E2786"/>
    <mergeCell ref="B2006:E2006"/>
    <mergeCell ref="B6972:E6972"/>
    <mergeCell ref="A116:E116"/>
    <mergeCell ref="B517:E517"/>
    <mergeCell ref="B4879:E4879"/>
    <mergeCell ref="A6272:E6272"/>
    <mergeCell ref="A843:E843"/>
    <mergeCell ref="B1118:C1118"/>
    <mergeCell ref="B5475:E5475"/>
    <mergeCell ref="A424:E424"/>
    <mergeCell ref="A4661:E4661"/>
    <mergeCell ref="B7303:E7303"/>
    <mergeCell ref="B5606:E5606"/>
    <mergeCell ref="A8545:E8545"/>
    <mergeCell ref="B2360:E2360"/>
    <mergeCell ref="A5845:E5845"/>
    <mergeCell ref="B1845:C1845"/>
    <mergeCell ref="A416:E416"/>
    <mergeCell ref="A3303:E3303"/>
    <mergeCell ref="A3297:E3297"/>
    <mergeCell ref="A5546:E5546"/>
    <mergeCell ref="A4487:E4487"/>
    <mergeCell ref="A2840:E2840"/>
    <mergeCell ref="A117:E117"/>
    <mergeCell ref="A111:E111"/>
    <mergeCell ref="B4776:E4776"/>
    <mergeCell ref="A4961:E4961"/>
    <mergeCell ref="A3603:E3603"/>
    <mergeCell ref="A4656:E4656"/>
    <mergeCell ref="A3597:E3597"/>
    <mergeCell ref="B664:E664"/>
    <mergeCell ref="A4787:E4787"/>
    <mergeCell ref="B2355:E2355"/>
    <mergeCell ref="B7334:E7334"/>
    <mergeCell ref="B201:E201"/>
    <mergeCell ref="A3298:E3298"/>
    <mergeCell ref="B3417:E3417"/>
    <mergeCell ref="B7776:E7776"/>
    <mergeCell ref="B1934:E1934"/>
    <mergeCell ref="A8719:E8719"/>
    <mergeCell ref="B3118:E3118"/>
    <mergeCell ref="B1421:E1421"/>
    <mergeCell ref="A8300:E8300"/>
    <mergeCell ref="A8256:E8256"/>
    <mergeCell ref="B3845:E3845"/>
    <mergeCell ref="B8076:E8076"/>
    <mergeCell ref="B5966:E5966"/>
    <mergeCell ref="A6357:E6357"/>
    <mergeCell ref="A8625:E8625"/>
    <mergeCell ref="B3418:E3418"/>
    <mergeCell ref="A6471:E6471"/>
    <mergeCell ref="A1528:E1528"/>
    <mergeCell ref="B232:E232"/>
    <mergeCell ref="A5441:E5441"/>
    <mergeCell ref="B2502:E2502"/>
    <mergeCell ref="A3445:E3445"/>
    <mergeCell ref="A4498:E4498"/>
    <mergeCell ref="A5741:E5741"/>
    <mergeCell ref="A7984:E7984"/>
    <mergeCell ref="A5261:E5261"/>
    <mergeCell ref="B5045:E5045"/>
    <mergeCell ref="A1523:E1523"/>
    <mergeCell ref="A3739:E3739"/>
    <mergeCell ref="A7563:E7563"/>
    <mergeCell ref="A6504:E6504"/>
    <mergeCell ref="A7557:E7557"/>
    <mergeCell ref="A5472:E5472"/>
    <mergeCell ref="A5015:E5015"/>
    <mergeCell ref="B3559:E3559"/>
    <mergeCell ref="A3956:E3956"/>
    <mergeCell ref="A5009:E5009"/>
    <mergeCell ref="B2076:E2076"/>
    <mergeCell ref="A6199:E6199"/>
    <mergeCell ref="A7252:E7252"/>
    <mergeCell ref="B5345:E5345"/>
    <mergeCell ref="A4072:E4072"/>
    <mergeCell ref="B1618:C1618"/>
    <mergeCell ref="B590:E590"/>
    <mergeCell ref="A1983:E1983"/>
    <mergeCell ref="A5772:E5772"/>
    <mergeCell ref="B7805:E7805"/>
    <mergeCell ref="A6499:E6499"/>
    <mergeCell ref="B1344:E1344"/>
    <mergeCell ref="B285:E285"/>
    <mergeCell ref="A1556:E1556"/>
    <mergeCell ref="B7342:E7342"/>
    <mergeCell ref="B2528:E2528"/>
    <mergeCell ref="A3313:E3313"/>
    <mergeCell ref="A2283:E2283"/>
    <mergeCell ref="B5249:E5249"/>
    <mergeCell ref="B7073:E7073"/>
    <mergeCell ref="B3860:E3860"/>
    <mergeCell ref="A7399:E7399"/>
    <mergeCell ref="A367:E367"/>
    <mergeCell ref="A3667:E3667"/>
    <mergeCell ref="A1557:E1557"/>
    <mergeCell ref="A2583:E2583"/>
    <mergeCell ref="B5130:E5130"/>
    <mergeCell ref="B8430:E8430"/>
    <mergeCell ref="A1671:E1671"/>
    <mergeCell ref="B2972:C2972"/>
    <mergeCell ref="B765:C765"/>
    <mergeCell ref="B1371:E1371"/>
    <mergeCell ref="B301:E301"/>
    <mergeCell ref="B4214:E4214"/>
    <mergeCell ref="B1491:E1491"/>
    <mergeCell ref="B2517:E2517"/>
    <mergeCell ref="A3967:E3967"/>
    <mergeCell ref="A5614:E5614"/>
    <mergeCell ref="A6673:E6673"/>
    <mergeCell ref="A5157:E5157"/>
    <mergeCell ref="A5151:E5151"/>
    <mergeCell ref="B4819:E4819"/>
    <mergeCell ref="B2218:E2218"/>
    <mergeCell ref="A7916:E7916"/>
    <mergeCell ref="A6884:E6884"/>
    <mergeCell ref="A8030:E8030"/>
    <mergeCell ref="B601:E601"/>
    <mergeCell ref="B4514:E4514"/>
    <mergeCell ref="B2429:E2429"/>
    <mergeCell ref="A7611:E7611"/>
    <mergeCell ref="A8670:E8670"/>
    <mergeCell ref="A4425:E4425"/>
    <mergeCell ref="A8216:E8216"/>
    <mergeCell ref="B5277:E5277"/>
    <mergeCell ref="A8374:E8374"/>
    <mergeCell ref="A8330:E8330"/>
    <mergeCell ref="B8158:E8158"/>
    <mergeCell ref="A209:E209"/>
    <mergeCell ref="B3788:E3788"/>
    <mergeCell ref="A7911:E7911"/>
    <mergeCell ref="B6541:E6541"/>
    <mergeCell ref="B3940:E3940"/>
    <mergeCell ref="B7731:E7731"/>
    <mergeCell ref="A972:E972"/>
    <mergeCell ref="A966:E966"/>
    <mergeCell ref="B6242:E6242"/>
    <mergeCell ref="B8458:E8458"/>
    <mergeCell ref="B7426:E7426"/>
    <mergeCell ref="A6568:E6568"/>
    <mergeCell ref="B5272:E5272"/>
    <mergeCell ref="A82:E82"/>
    <mergeCell ref="A3382:E3382"/>
    <mergeCell ref="A2323:E2323"/>
    <mergeCell ref="B3657:C3657"/>
    <mergeCell ref="A4572:E4572"/>
    <mergeCell ref="A6657:E6657"/>
    <mergeCell ref="B1056:E1056"/>
    <mergeCell ref="B24:E24"/>
    <mergeCell ref="A809:E809"/>
    <mergeCell ref="A6299:E6299"/>
    <mergeCell ref="A8384:E8384"/>
    <mergeCell ref="A6868:E6868"/>
    <mergeCell ref="A4783:E4783"/>
    <mergeCell ref="A4758:E4758"/>
    <mergeCell ref="B629:E629"/>
    <mergeCell ref="A3726:E3726"/>
    <mergeCell ref="A2656:E2656"/>
    <mergeCell ref="A1597:E1597"/>
    <mergeCell ref="A3682:E3682"/>
    <mergeCell ref="B6172:E6172"/>
    <mergeCell ref="A6569:E6569"/>
    <mergeCell ref="A567:E567"/>
    <mergeCell ref="A7631:E7631"/>
    <mergeCell ref="B3624:E3624"/>
    <mergeCell ref="A6599:E6599"/>
    <mergeCell ref="A1170:E1170"/>
    <mergeCell ref="A5083:E5083"/>
    <mergeCell ref="B8632:E8632"/>
    <mergeCell ref="B7573:E7573"/>
    <mergeCell ref="B5926:E5926"/>
    <mergeCell ref="A8385:E8385"/>
    <mergeCell ref="B2144:E2144"/>
    <mergeCell ref="A7326:E7326"/>
    <mergeCell ref="A8379:E8379"/>
    <mergeCell ref="B3810:E3810"/>
    <mergeCell ref="A867:E867"/>
    <mergeCell ref="B8205:E8205"/>
    <mergeCell ref="A3110:E3110"/>
    <mergeCell ref="B6689:E6689"/>
    <mergeCell ref="B7742:E7742"/>
    <mergeCell ref="B228:E228"/>
    <mergeCell ref="A440:E440"/>
    <mergeCell ref="B4141:E4141"/>
    <mergeCell ref="A2683:E2683"/>
    <mergeCell ref="B6262:E6262"/>
    <mergeCell ref="B8469:E8469"/>
    <mergeCell ref="A2226:E2226"/>
    <mergeCell ref="A141:E141"/>
    <mergeCell ref="B8505:E8505"/>
    <mergeCell ref="A4494:E4494"/>
    <mergeCell ref="A2384:E2384"/>
    <mergeCell ref="A1325:E1325"/>
    <mergeCell ref="A3410:E3410"/>
    <mergeCell ref="B2168:E2168"/>
    <mergeCell ref="A868:E868"/>
    <mergeCell ref="A2953:E2953"/>
    <mergeCell ref="B7147:E7147"/>
    <mergeCell ref="A862:E862"/>
    <mergeCell ref="B3805:C3805"/>
    <mergeCell ref="B8200:E8200"/>
    <mergeCell ref="A8412:E8412"/>
    <mergeCell ref="A5257:E5257"/>
    <mergeCell ref="B688:E688"/>
    <mergeCell ref="A6283:E6283"/>
    <mergeCell ref="B1741:E1741"/>
    <mergeCell ref="A3741:E3741"/>
    <mergeCell ref="A435:E435"/>
    <mergeCell ref="A5984:E5984"/>
    <mergeCell ref="B6257:E6257"/>
    <mergeCell ref="A6591:E6591"/>
    <mergeCell ref="B1436:E1436"/>
    <mergeCell ref="B8500:E8500"/>
    <mergeCell ref="B375:E375"/>
    <mergeCell ref="A5557:E5557"/>
    <mergeCell ref="A7223:E7223"/>
    <mergeCell ref="B5341:E5341"/>
    <mergeCell ref="A4068:E4068"/>
    <mergeCell ref="A6284:E6284"/>
    <mergeCell ref="B1742:E1742"/>
    <mergeCell ref="B2768:E2768"/>
    <mergeCell ref="A8011:E8011"/>
    <mergeCell ref="B7157:E7157"/>
    <mergeCell ref="A6495:E6495"/>
    <mergeCell ref="A7554:E7554"/>
    <mergeCell ref="A1036:E1036"/>
    <mergeCell ref="B4609:E4609"/>
    <mergeCell ref="B7884:E7884"/>
    <mergeCell ref="A1641:E1641"/>
    <mergeCell ref="A582:E582"/>
    <mergeCell ref="B983:E983"/>
    <mergeCell ref="A5552:E5552"/>
    <mergeCell ref="B8558:E8558"/>
    <mergeCell ref="B5372:E5372"/>
    <mergeCell ref="A283:E283"/>
    <mergeCell ref="B6010:E6010"/>
    <mergeCell ref="B7158:E7158"/>
    <mergeCell ref="A1547:E1547"/>
    <mergeCell ref="A2099:E2099"/>
    <mergeCell ref="A7695:E7695"/>
    <mergeCell ref="A5585:E5585"/>
    <mergeCell ref="A6638:E6638"/>
    <mergeCell ref="B3284:E3284"/>
    <mergeCell ref="B5396:E5396"/>
    <mergeCell ref="A4096:E4096"/>
    <mergeCell ref="A4090:E4090"/>
    <mergeCell ref="A1967:E1967"/>
    <mergeCell ref="B2183:E2183"/>
    <mergeCell ref="B98:E98"/>
    <mergeCell ref="B1667:E1667"/>
    <mergeCell ref="B6001:E6001"/>
    <mergeCell ref="B3916:E3916"/>
    <mergeCell ref="A6969:E6969"/>
    <mergeCell ref="A5910:E5910"/>
    <mergeCell ref="B2394:E2394"/>
    <mergeCell ref="B4643:E4643"/>
    <mergeCell ref="B5696:E5696"/>
    <mergeCell ref="B8390:C8390"/>
    <mergeCell ref="A1694:E1694"/>
    <mergeCell ref="B4757:E4757"/>
    <mergeCell ref="A8758:E8758"/>
    <mergeCell ref="B4216:E4216"/>
    <mergeCell ref="B7516:E7516"/>
    <mergeCell ref="A7269:E7269"/>
    <mergeCell ref="B3140:E3140"/>
    <mergeCell ref="B1055:E1055"/>
    <mergeCell ref="B1668:E1668"/>
    <mergeCell ref="B4943:E4943"/>
    <mergeCell ref="A8453:E8453"/>
    <mergeCell ref="B3911:E3911"/>
    <mergeCell ref="A7996:E7996"/>
    <mergeCell ref="A1994:E1994"/>
    <mergeCell ref="B5268:E5268"/>
    <mergeCell ref="A5507:E5507"/>
    <mergeCell ref="B7389:E7389"/>
    <mergeCell ref="A6697:E6697"/>
    <mergeCell ref="A3353:E3353"/>
    <mergeCell ref="A1268:E1268"/>
    <mergeCell ref="A6653:E6653"/>
    <mergeCell ref="A1262:E1262"/>
    <mergeCell ref="B1052:E1052"/>
    <mergeCell ref="A3511:E3511"/>
    <mergeCell ref="A2452:E2452"/>
    <mergeCell ref="A805:E805"/>
    <mergeCell ref="A4080:E4080"/>
    <mergeCell ref="A1995:E1995"/>
    <mergeCell ref="B8274:E8274"/>
    <mergeCell ref="A1989:E1989"/>
    <mergeCell ref="B1657:E1657"/>
    <mergeCell ref="A6348:E6348"/>
    <mergeCell ref="B625:E625"/>
    <mergeCell ref="A5807:E5807"/>
    <mergeCell ref="A8056:E8056"/>
    <mergeCell ref="A6997:E6997"/>
    <mergeCell ref="B2868:E2868"/>
    <mergeCell ref="B1809:E1809"/>
    <mergeCell ref="B4058:E4058"/>
    <mergeCell ref="A6534:E6534"/>
    <mergeCell ref="B7384:E7384"/>
    <mergeCell ref="B1510:E1510"/>
    <mergeCell ref="A4563:E4563"/>
    <mergeCell ref="B4269:E4269"/>
    <mergeCell ref="B409:E409"/>
    <mergeCell ref="B2115:E2115"/>
    <mergeCell ref="B1083:E1083"/>
    <mergeCell ref="A5168:E5168"/>
    <mergeCell ref="A5808:E5808"/>
    <mergeCell ref="A4749:E4749"/>
    <mergeCell ref="A1278:E1278"/>
    <mergeCell ref="B8201:E8201"/>
    <mergeCell ref="A2049:E2049"/>
    <mergeCell ref="B8290:E8290"/>
    <mergeCell ref="A2163:E2163"/>
    <mergeCell ref="B5742:E5742"/>
    <mergeCell ref="B8501:E8501"/>
    <mergeCell ref="A3406:E3406"/>
    <mergeCell ref="B2110:E2110"/>
    <mergeCell ref="A5649:E5649"/>
    <mergeCell ref="A1917:E1917"/>
    <mergeCell ref="A220:E220"/>
    <mergeCell ref="B8196:E8196"/>
    <mergeCell ref="A3495:E3495"/>
    <mergeCell ref="A1410:E1410"/>
    <mergeCell ref="A2463:E2463"/>
    <mergeCell ref="B6042:E6042"/>
    <mergeCell ref="A7050:E7050"/>
    <mergeCell ref="A5955:E5955"/>
    <mergeCell ref="A2674:E2674"/>
    <mergeCell ref="B767:E767"/>
    <mergeCell ref="A5949:E5949"/>
    <mergeCell ref="A520:E520"/>
    <mergeCell ref="B4707:E4707"/>
    <mergeCell ref="A3407:E3407"/>
    <mergeCell ref="B3526:E3526"/>
    <mergeCell ref="A8708:E8708"/>
    <mergeCell ref="B6828:E6828"/>
    <mergeCell ref="A5650:E5650"/>
    <mergeCell ref="B340:E340"/>
    <mergeCell ref="A6737:E6737"/>
    <mergeCell ref="B498:E498"/>
    <mergeCell ref="A1405:E1405"/>
    <mergeCell ref="B6523:E6523"/>
    <mergeCell ref="A8523:E8523"/>
    <mergeCell ref="B35:E35"/>
    <mergeCell ref="A8104:E8104"/>
    <mergeCell ref="B1225:E1225"/>
    <mergeCell ref="A8096:E8096"/>
    <mergeCell ref="B3527:E3527"/>
    <mergeCell ref="B7924:E7924"/>
    <mergeCell ref="B6823:E6823"/>
    <mergeCell ref="A3880:E3880"/>
    <mergeCell ref="B4281:E4281"/>
    <mergeCell ref="B8643:E8643"/>
    <mergeCell ref="A1332:E1332"/>
    <mergeCell ref="A1307:E1307"/>
    <mergeCell ref="A248:E248"/>
    <mergeCell ref="B8224:E8224"/>
    <mergeCell ref="B7154:E7154"/>
    <mergeCell ref="B8180:E8180"/>
    <mergeCell ref="B6070:E6070"/>
    <mergeCell ref="A6307:E6307"/>
    <mergeCell ref="A4180:E4180"/>
    <mergeCell ref="A2095:E2095"/>
    <mergeCell ref="B1879:E1879"/>
    <mergeCell ref="A4338:E4338"/>
    <mergeCell ref="A6423:E6423"/>
    <mergeCell ref="B6858:E6858"/>
    <mergeCell ref="A573:E573"/>
    <mergeCell ref="A4907:E4907"/>
    <mergeCell ref="A3875:E3875"/>
    <mergeCell ref="A6640:E6640"/>
    <mergeCell ref="A5581:E5581"/>
    <mergeCell ref="B1452:E1452"/>
    <mergeCell ref="A6634:E6634"/>
    <mergeCell ref="B8638:E8638"/>
    <mergeCell ref="B3695:E3695"/>
    <mergeCell ref="A906:E906"/>
    <mergeCell ref="A1932:E1932"/>
    <mergeCell ref="B4422:E4422"/>
    <mergeCell ref="A2090:E2090"/>
    <mergeCell ref="A3116:E3116"/>
    <mergeCell ref="B4001:E4001"/>
    <mergeCell ref="B2942:E2942"/>
    <mergeCell ref="B5692:E5692"/>
    <mergeCell ref="A6477:E6477"/>
    <mergeCell ref="B1910:E1910"/>
    <mergeCell ref="B5823:E5823"/>
    <mergeCell ref="A8720:E8720"/>
    <mergeCell ref="B2479:E2479"/>
    <mergeCell ref="B394:E394"/>
    <mergeCell ref="A4938:E4938"/>
    <mergeCell ref="A5576:E5576"/>
    <mergeCell ref="B3696:E3696"/>
    <mergeCell ref="B2515:E2515"/>
    <mergeCell ref="A1779:E1779"/>
    <mergeCell ref="B2180:E2180"/>
    <mergeCell ref="B1416:C1416"/>
    <mergeCell ref="A722:E722"/>
    <mergeCell ref="A1360:E1360"/>
    <mergeCell ref="B3242:E3242"/>
    <mergeCell ref="B7182:E7182"/>
    <mergeCell ref="B5485:E5485"/>
    <mergeCell ref="B694:E694"/>
    <mergeCell ref="A933:E933"/>
    <mergeCell ref="B4512:E4512"/>
    <mergeCell ref="A4208:E4208"/>
    <mergeCell ref="A2079:E2079"/>
    <mergeCell ref="A2744:E2744"/>
    <mergeCell ref="B7507:E7507"/>
    <mergeCell ref="A4539:E4539"/>
    <mergeCell ref="A1233:E1233"/>
    <mergeCell ref="A5592:E5592"/>
    <mergeCell ref="A5723:E5723"/>
    <mergeCell ref="B3291:E3291"/>
    <mergeCell ref="B5998:C5998"/>
    <mergeCell ref="A294:E294"/>
    <mergeCell ref="B122:E122"/>
    <mergeCell ref="A6776:E6776"/>
    <mergeCell ref="A934:E934"/>
    <mergeCell ref="A6319:E6319"/>
    <mergeCell ref="B105:E105"/>
    <mergeCell ref="A890:E890"/>
    <mergeCell ref="A5287:E5287"/>
    <mergeCell ref="A5418:E5418"/>
    <mergeCell ref="A2074:E2074"/>
    <mergeCell ref="B6139:E6139"/>
    <mergeCell ref="A7082:E7082"/>
    <mergeCell ref="A3801:E3801"/>
    <mergeCell ref="B3591:E3591"/>
    <mergeCell ref="B5238:E5238"/>
    <mergeCell ref="A8135:E8135"/>
    <mergeCell ref="A8773:E8773"/>
    <mergeCell ref="B2534:E2534"/>
    <mergeCell ref="B1475:E1475"/>
    <mergeCell ref="A4534:E4534"/>
    <mergeCell ref="B405:E405"/>
    <mergeCell ref="A8352:E8352"/>
    <mergeCell ref="A5718:E5718"/>
    <mergeCell ref="A8346:E8346"/>
    <mergeCell ref="B4354:E4354"/>
    <mergeCell ref="A318:E318"/>
    <mergeCell ref="B3891:E3891"/>
    <mergeCell ref="B1806:E1806"/>
    <mergeCell ref="A923:E923"/>
    <mergeCell ref="A7077:E7077"/>
    <mergeCell ref="A7593:E7593"/>
    <mergeCell ref="A2134:E2134"/>
    <mergeCell ref="A618:E618"/>
    <mergeCell ref="B3622:E3622"/>
    <mergeCell ref="B7535:E7535"/>
    <mergeCell ref="A648:E648"/>
    <mergeCell ref="A5007:E5007"/>
    <mergeCell ref="A3491:E3491"/>
    <mergeCell ref="B133:E133"/>
    <mergeCell ref="A918:E918"/>
    <mergeCell ref="B3922:E3922"/>
    <mergeCell ref="B7197:E7197"/>
    <mergeCell ref="A3186:E3186"/>
    <mergeCell ref="B8281:E8281"/>
    <mergeCell ref="A5951:E5951"/>
    <mergeCell ref="A8493:E8493"/>
    <mergeCell ref="A5307:E5307"/>
    <mergeCell ref="B738:E738"/>
    <mergeCell ref="A3222:E3222"/>
    <mergeCell ref="A3835:E3835"/>
    <mergeCell ref="B3006:E3006"/>
    <mergeCell ref="A3791:E3791"/>
    <mergeCell ref="B6824:E6824"/>
    <mergeCell ref="A649:E649"/>
    <mergeCell ref="A6034:E6034"/>
    <mergeCell ref="A4562:E4562"/>
    <mergeCell ref="B433:E433"/>
    <mergeCell ref="A7767:E7767"/>
    <mergeCell ref="A6708:E6708"/>
    <mergeCell ref="B3312:E3312"/>
    <mergeCell ref="B5003:E5003"/>
    <mergeCell ref="B3306:E3306"/>
    <mergeCell ref="B1221:E1221"/>
    <mergeCell ref="A7462:E7462"/>
    <mergeCell ref="A8488:E8488"/>
    <mergeCell ref="A974:E974"/>
    <mergeCell ref="B5039:E5039"/>
    <mergeCell ref="A4249:E4249"/>
    <mergeCell ref="B5549:E5549"/>
    <mergeCell ref="B7246:E7246"/>
    <mergeCell ref="A8067:E8067"/>
    <mergeCell ref="A7130:E7130"/>
    <mergeCell ref="B7851:E7851"/>
    <mergeCell ref="B5766:E5766"/>
    <mergeCell ref="B4069:E4069"/>
    <mergeCell ref="A5519:E5519"/>
    <mergeCell ref="A33:E33"/>
    <mergeCell ref="B8009:E8009"/>
    <mergeCell ref="A7735:E7735"/>
    <mergeCell ref="B4665:E4665"/>
    <mergeCell ref="A7762:E7762"/>
    <mergeCell ref="B4823:E4823"/>
    <mergeCell ref="B5339:E5339"/>
    <mergeCell ref="A1303:E1303"/>
    <mergeCell ref="A244:E244"/>
    <mergeCell ref="B3307:E3307"/>
    <mergeCell ref="A3546:E3546"/>
    <mergeCell ref="B7119:E7119"/>
    <mergeCell ref="B5034:E5034"/>
    <mergeCell ref="A4151:E4151"/>
    <mergeCell ref="B8303:E8303"/>
    <mergeCell ref="B818:E818"/>
    <mergeCell ref="A544:E544"/>
    <mergeCell ref="A1603:E1603"/>
    <mergeCell ref="A2787:E2787"/>
    <mergeCell ref="A1717:E1717"/>
    <mergeCell ref="A2330:E2330"/>
    <mergeCell ref="B8634:E8634"/>
    <mergeCell ref="B8609:E8609"/>
    <mergeCell ref="B6524:E6524"/>
    <mergeCell ref="A7789:E7789"/>
    <mergeCell ref="A5666:E5666"/>
    <mergeCell ref="A6850:E6850"/>
    <mergeCell ref="B2308:E2308"/>
    <mergeCell ref="B3334:E3334"/>
    <mergeCell ref="A2061:E2061"/>
    <mergeCell ref="A5361:E5361"/>
    <mergeCell ref="A2017:E2017"/>
    <mergeCell ref="A8120:E8120"/>
    <mergeCell ref="B6207:E6207"/>
    <mergeCell ref="A8716:E8716"/>
    <mergeCell ref="A4934:E4934"/>
    <mergeCell ref="B7424:E7424"/>
    <mergeCell ref="B1418:E1418"/>
    <mergeCell ref="B6365:E6365"/>
    <mergeCell ref="A7815:E7815"/>
    <mergeCell ref="A718:E718"/>
    <mergeCell ref="A4018:E4018"/>
    <mergeCell ref="A2961:E2961"/>
    <mergeCell ref="B8204:E8204"/>
    <mergeCell ref="A255:E255"/>
    <mergeCell ref="B5481:E5481"/>
    <mergeCell ref="A6874:E6874"/>
    <mergeCell ref="A5234:E5234"/>
    <mergeCell ref="B8231:E8231"/>
    <mergeCell ref="B7724:E7724"/>
    <mergeCell ref="A413:E413"/>
    <mergeCell ref="A4204:E4204"/>
    <mergeCell ref="B7905:E7905"/>
    <mergeCell ref="B6235:E6235"/>
    <mergeCell ref="B5054:E5054"/>
    <mergeCell ref="A6447:E6447"/>
    <mergeCell ref="A1018:E1018"/>
    <mergeCell ref="A1140:E1140"/>
    <mergeCell ref="A4318:E4318"/>
    <mergeCell ref="B802:E802"/>
    <mergeCell ref="A3261:E3261"/>
    <mergeCell ref="A1176:E1176"/>
    <mergeCell ref="A3899:E3899"/>
    <mergeCell ref="B5781:E5781"/>
    <mergeCell ref="A7174:E7174"/>
    <mergeCell ref="B7478:E7478"/>
    <mergeCell ref="A713:E713"/>
    <mergeCell ref="A3478:E3478"/>
    <mergeCell ref="A2419:E2419"/>
    <mergeCell ref="A4504:E4504"/>
    <mergeCell ref="A3472:E3472"/>
    <mergeCell ref="B5476:E5476"/>
    <mergeCell ref="A4662:E4662"/>
    <mergeCell ref="A6747:E6747"/>
    <mergeCell ref="A4618:E4618"/>
    <mergeCell ref="A2533:E2533"/>
    <mergeCell ref="A3146:E3146"/>
    <mergeCell ref="B3808:E3808"/>
    <mergeCell ref="A5258:E5258"/>
    <mergeCell ref="A1476:E1476"/>
    <mergeCell ref="A5389:E5389"/>
    <mergeCell ref="A2841:E2841"/>
    <mergeCell ref="A7078:E7078"/>
    <mergeCell ref="A3772:E3772"/>
    <mergeCell ref="B5656:C5656"/>
    <mergeCell ref="A8131:E8131"/>
    <mergeCell ref="A4962:E4962"/>
    <mergeCell ref="A8262:E8262"/>
    <mergeCell ref="B833:E833"/>
    <mergeCell ref="B1471:E1471"/>
    <mergeCell ref="B376:E376"/>
    <mergeCell ref="A1776:E1776"/>
    <mergeCell ref="B534:E534"/>
    <mergeCell ref="A7835:E7835"/>
    <mergeCell ref="B7625:E7625"/>
    <mergeCell ref="B8678:E8678"/>
    <mergeCell ref="B7619:E7619"/>
    <mergeCell ref="A860:E860"/>
    <mergeCell ref="B6130:E6130"/>
    <mergeCell ref="A2130:E2130"/>
    <mergeCell ref="B834:E834"/>
    <mergeCell ref="A8257:E8257"/>
    <mergeCell ref="A6646:E6646"/>
    <mergeCell ref="A1160:E1160"/>
    <mergeCell ref="B7620:E7620"/>
    <mergeCell ref="A7859:E7859"/>
    <mergeCell ref="B4920:E4920"/>
    <mergeCell ref="A5705:E5705"/>
    <mergeCell ref="A2561:E2561"/>
    <mergeCell ref="B129:E129"/>
    <mergeCell ref="B551:C551"/>
    <mergeCell ref="B7193:E7193"/>
    <mergeCell ref="A3157:E3157"/>
    <mergeCell ref="B7920:E7920"/>
    <mergeCell ref="B2977:E2977"/>
    <mergeCell ref="A7100:E7100"/>
    <mergeCell ref="A2730:E2730"/>
    <mergeCell ref="A645:E645"/>
    <mergeCell ref="B4161:E4161"/>
    <mergeCell ref="A4973:E4973"/>
    <mergeCell ref="A6801:E6801"/>
    <mergeCell ref="B2550:E2550"/>
    <mergeCell ref="A7854:E7854"/>
    <mergeCell ref="A6793:E6793"/>
    <mergeCell ref="B3277:E3277"/>
    <mergeCell ref="B4467:E4467"/>
    <mergeCell ref="A5304:E5304"/>
    <mergeCell ref="B5520:E5520"/>
    <mergeCell ref="B6735:E6735"/>
    <mergeCell ref="B729:E729"/>
    <mergeCell ref="B6194:E6194"/>
    <mergeCell ref="A7101:E7101"/>
    <mergeCell ref="B887:E887"/>
    <mergeCell ref="A29:E29"/>
    <mergeCell ref="B7367:E7367"/>
    <mergeCell ref="B8393:E8393"/>
    <mergeCell ref="B5851:E5851"/>
    <mergeCell ref="A6674:E6674"/>
    <mergeCell ref="B7035:E7035"/>
    <mergeCell ref="B1067:C1067"/>
    <mergeCell ref="A786:E786"/>
    <mergeCell ref="A329:E329"/>
    <mergeCell ref="B7667:E7667"/>
    <mergeCell ref="A2572:E2572"/>
    <mergeCell ref="A1540:E1540"/>
    <mergeCell ref="B5119:E5119"/>
    <mergeCell ref="B4060:E4060"/>
    <mergeCell ref="B8394:E8394"/>
    <mergeCell ref="B7335:E7335"/>
    <mergeCell ref="B8268:C8268"/>
    <mergeCell ref="A2789:E2789"/>
    <mergeCell ref="A5489:E5489"/>
    <mergeCell ref="A2267:E2267"/>
    <mergeCell ref="A60:E60"/>
    <mergeCell ref="A5026:E5026"/>
    <mergeCell ref="B8605:E8605"/>
    <mergeCell ref="A8301:E8301"/>
    <mergeCell ref="B3662:E3662"/>
    <mergeCell ref="A1846:E1846"/>
    <mergeCell ref="A787:E787"/>
    <mergeCell ref="A2872:E2872"/>
    <mergeCell ref="A1840:E1840"/>
    <mergeCell ref="A5753:E5753"/>
    <mergeCell ref="B4389:E4389"/>
    <mergeCell ref="B1666:E1666"/>
    <mergeCell ref="B607:E607"/>
    <mergeCell ref="B2692:E2692"/>
    <mergeCell ref="B1660:E1660"/>
    <mergeCell ref="A360:E360"/>
    <mergeCell ref="A2057:E2057"/>
    <mergeCell ref="B3330:E3330"/>
    <mergeCell ref="B4935:E4935"/>
    <mergeCell ref="A5326:E5326"/>
    <mergeCell ref="A5332:E5332"/>
    <mergeCell ref="B2393:E2393"/>
    <mergeCell ref="B5573:E5573"/>
    <mergeCell ref="B3962:E3962"/>
    <mergeCell ref="B2387:E2387"/>
    <mergeCell ref="B302:E302"/>
    <mergeCell ref="A6385:E6385"/>
    <mergeCell ref="A6516:E6516"/>
    <mergeCell ref="A1529:E1529"/>
    <mergeCell ref="B5146:E5146"/>
    <mergeCell ref="A84:E84"/>
    <mergeCell ref="B3663:E3663"/>
    <mergeCell ref="A7173:E7173"/>
    <mergeCell ref="A2357:E2357"/>
    <mergeCell ref="B3150:E3150"/>
    <mergeCell ref="B3331:E3331"/>
    <mergeCell ref="B631:E631"/>
    <mergeCell ref="B7720:E7720"/>
    <mergeCell ref="A384:E384"/>
    <mergeCell ref="A8086:E8086"/>
    <mergeCell ref="B7257:E7257"/>
    <mergeCell ref="B8447:E8447"/>
    <mergeCell ref="A989:E989"/>
    <mergeCell ref="A1111:E1111"/>
    <mergeCell ref="A2198:E2198"/>
    <mergeCell ref="B8020:E8020"/>
    <mergeCell ref="A684:E684"/>
    <mergeCell ref="A3984:E3984"/>
    <mergeCell ref="A7773:E7773"/>
    <mergeCell ref="A5174:E5174"/>
    <mergeCell ref="A6227:E6227"/>
    <mergeCell ref="A3557:E3557"/>
    <mergeCell ref="A1472:E1472"/>
    <mergeCell ref="A2498:E2498"/>
    <mergeCell ref="A4747:E4747"/>
    <mergeCell ref="B3341:E3341"/>
    <mergeCell ref="A5800:E5800"/>
    <mergeCell ref="A4741:E4741"/>
    <mergeCell ref="B6047:E6047"/>
    <mergeCell ref="A4284:E4284"/>
    <mergeCell ref="A2199:E2199"/>
    <mergeCell ref="B6168:C6168"/>
    <mergeCell ref="A5990:E5990"/>
    <mergeCell ref="A8102:E8102"/>
    <mergeCell ref="B1345:E1345"/>
    <mergeCell ref="A4958:E4958"/>
    <mergeCell ref="A5468:E5468"/>
    <mergeCell ref="A7043:E7043"/>
    <mergeCell ref="A8233:E8233"/>
    <mergeCell ref="B4104:E4104"/>
    <mergeCell ref="B3045:E3045"/>
    <mergeCell ref="A7201:E7201"/>
    <mergeCell ref="B6347:E6347"/>
    <mergeCell ref="A4653:E4653"/>
    <mergeCell ref="A6896:E6896"/>
    <mergeCell ref="B7748:E7748"/>
    <mergeCell ref="B2319:E2319"/>
    <mergeCell ref="A3712:E3712"/>
    <mergeCell ref="B3372:E3372"/>
    <mergeCell ref="A7501:E7501"/>
    <mergeCell ref="B7285:E7285"/>
    <mergeCell ref="A5985:E5985"/>
    <mergeCell ref="B830:E830"/>
    <mergeCell ref="B3046:E3046"/>
    <mergeCell ref="B5158:E5158"/>
    <mergeCell ref="B3073:E3073"/>
    <mergeCell ref="B2014:E2014"/>
    <mergeCell ref="B4099:E4099"/>
    <mergeCell ref="A8228:E8228"/>
    <mergeCell ref="A1156:E1156"/>
    <mergeCell ref="A851:E851"/>
    <mergeCell ref="A4669:E4669"/>
    <mergeCell ref="A3585:E3585"/>
    <mergeCell ref="A1500:E1500"/>
    <mergeCell ref="A6885:E6885"/>
    <mergeCell ref="A1456:E1456"/>
    <mergeCell ref="A2096:E2096"/>
    <mergeCell ref="A1037:E1037"/>
    <mergeCell ref="A1157:E1157"/>
    <mergeCell ref="A1195:E1195"/>
    <mergeCell ref="A4373:E4373"/>
    <mergeCell ref="B5216:E5216"/>
    <mergeCell ref="B4132:E4132"/>
    <mergeCell ref="A4969:E4969"/>
    <mergeCell ref="A6616:E6616"/>
    <mergeCell ref="B3100:E3100"/>
    <mergeCell ref="A8244:E8244"/>
    <mergeCell ref="A5100:E5100"/>
    <mergeCell ref="B2030:E2030"/>
    <mergeCell ref="A6153:E6153"/>
    <mergeCell ref="B3220:E3220"/>
    <mergeCell ref="A7343:E7343"/>
    <mergeCell ref="B514:E514"/>
    <mergeCell ref="A7939:E7939"/>
    <mergeCell ref="A6880:E6880"/>
    <mergeCell ref="B4463:E4463"/>
    <mergeCell ref="A6459:E6459"/>
    <mergeCell ref="B6700:E6700"/>
    <mergeCell ref="B245:E245"/>
    <mergeCell ref="B6243:E6243"/>
    <mergeCell ref="A7643:E7643"/>
    <mergeCell ref="B5211:E5211"/>
    <mergeCell ref="A1053:E1053"/>
    <mergeCell ref="B3057:E3057"/>
    <mergeCell ref="A1184:E1184"/>
    <mergeCell ref="B4790:E4790"/>
    <mergeCell ref="B3731:E3731"/>
    <mergeCell ref="A3484:E3484"/>
    <mergeCell ref="B5974:E5974"/>
    <mergeCell ref="A1816:E1816"/>
    <mergeCell ref="A757:E757"/>
    <mergeCell ref="A1938:E1938"/>
    <mergeCell ref="B5517:E5517"/>
    <mergeCell ref="B2178:C2178"/>
    <mergeCell ref="B8270:E8270"/>
    <mergeCell ref="A458:E458"/>
    <mergeCell ref="A1484:E1484"/>
    <mergeCell ref="A4811:E4811"/>
    <mergeCell ref="B4031:E4031"/>
    <mergeCell ref="B1873:C1873"/>
    <mergeCell ref="A2238:E2238"/>
    <mergeCell ref="A1179:E1179"/>
    <mergeCell ref="A5416:E5416"/>
    <mergeCell ref="A4384:E4384"/>
    <mergeCell ref="A3325:E3325"/>
    <mergeCell ref="A2912:E2912"/>
    <mergeCell ref="A7659:E7659"/>
    <mergeCell ref="A8297:E8297"/>
    <mergeCell ref="B999:E999"/>
    <mergeCell ref="B8734:E8734"/>
    <mergeCell ref="A5111:E5111"/>
    <mergeCell ref="A8386:E8386"/>
    <mergeCell ref="A6301:E6301"/>
    <mergeCell ref="A7870:E7870"/>
    <mergeCell ref="A5760:E5760"/>
    <mergeCell ref="A2538:E2538"/>
    <mergeCell ref="B4931:E4931"/>
    <mergeCell ref="A3631:E3631"/>
    <mergeCell ref="B3872:E3872"/>
    <mergeCell ref="B1174:E1174"/>
    <mergeCell ref="A2599:E2599"/>
    <mergeCell ref="A4684:E4684"/>
    <mergeCell ref="A6512:E6512"/>
    <mergeCell ref="A8597:E8597"/>
    <mergeCell ref="B2383:E2383"/>
    <mergeCell ref="B2358:E2358"/>
    <mergeCell ref="B273:E273"/>
    <mergeCell ref="B5658:E5658"/>
    <mergeCell ref="A8755:E8755"/>
    <mergeCell ref="A26:E26"/>
    <mergeCell ref="A3326:E3326"/>
    <mergeCell ref="A5411:E5411"/>
    <mergeCell ref="A6601:E6601"/>
    <mergeCell ref="A7117:E7117"/>
    <mergeCell ref="A8298:E8298"/>
    <mergeCell ref="B6928:E6928"/>
    <mergeCell ref="B4812:E4812"/>
    <mergeCell ref="B2689:E2689"/>
    <mergeCell ref="A7871:E7871"/>
    <mergeCell ref="A2928:E2928"/>
    <mergeCell ref="A1869:E1869"/>
    <mergeCell ref="B4932:E4932"/>
    <mergeCell ref="B4926:E4926"/>
    <mergeCell ref="A3626:E3626"/>
    <mergeCell ref="B7691:E7691"/>
    <mergeCell ref="A8023:E8023"/>
    <mergeCell ref="A2596:E2596"/>
    <mergeCell ref="A926:E926"/>
    <mergeCell ref="A4839:E4839"/>
    <mergeCell ref="B8418:E8418"/>
    <mergeCell ref="A600:E600"/>
    <mergeCell ref="A2291:E2291"/>
    <mergeCell ref="A594:E594"/>
    <mergeCell ref="B4173:E4173"/>
    <mergeCell ref="A8329:E8329"/>
    <mergeCell ref="B8570:E8570"/>
    <mergeCell ref="A4412:E4412"/>
    <mergeCell ref="A2327:E2327"/>
    <mergeCell ref="A680:E680"/>
    <mergeCell ref="A3955:E3955"/>
    <mergeCell ref="A1870:E1870"/>
    <mergeCell ref="A173:E173"/>
    <mergeCell ref="A811:E811"/>
    <mergeCell ref="A1226:E1226"/>
    <mergeCell ref="A2896:E2896"/>
    <mergeCell ref="A2597:E2597"/>
    <mergeCell ref="A3650:E3650"/>
    <mergeCell ref="A2591:E2591"/>
    <mergeCell ref="B2280:E2280"/>
    <mergeCell ref="A980:E980"/>
    <mergeCell ref="A5927:E5927"/>
    <mergeCell ref="B3470:E3470"/>
    <mergeCell ref="B1773:E1773"/>
    <mergeCell ref="A6986:E6986"/>
    <mergeCell ref="A3223:E3223"/>
    <mergeCell ref="B1341:E1341"/>
    <mergeCell ref="A2164:E2164"/>
    <mergeCell ref="A8652:E8652"/>
    <mergeCell ref="B284:E284"/>
    <mergeCell ref="B800:E800"/>
    <mergeCell ref="A8766:E8766"/>
    <mergeCell ref="B1990:E1990"/>
    <mergeCell ref="B6343:E6343"/>
    <mergeCell ref="B4189:E4189"/>
    <mergeCell ref="B2104:E2104"/>
    <mergeCell ref="B2717:E2717"/>
    <mergeCell ref="B4227:E4227"/>
    <mergeCell ref="B3770:E3770"/>
    <mergeCell ref="B7070:E7070"/>
    <mergeCell ref="B584:E584"/>
    <mergeCell ref="B6643:E6643"/>
    <mergeCell ref="B4533:E4533"/>
    <mergeCell ref="A522:E522"/>
    <mergeCell ref="B4101:E4101"/>
    <mergeCell ref="A4311:E4311"/>
    <mergeCell ref="A5501:E5501"/>
    <mergeCell ref="B1985:E1985"/>
    <mergeCell ref="B7370:E7370"/>
    <mergeCell ref="B8044:E8044"/>
    <mergeCell ref="B1973:C1973"/>
    <mergeCell ref="B8640:E8640"/>
    <mergeCell ref="B1069:E1069"/>
    <mergeCell ref="A6251:E6251"/>
    <mergeCell ref="A822:E822"/>
    <mergeCell ref="A2012:E2012"/>
    <mergeCell ref="A3581:E3581"/>
    <mergeCell ref="A5824:E5824"/>
    <mergeCell ref="B7828:E7828"/>
    <mergeCell ref="A6557:E6557"/>
    <mergeCell ref="A3276:E3276"/>
    <mergeCell ref="B731:E731"/>
    <mergeCell ref="B1369:E1369"/>
    <mergeCell ref="A1280:E1280"/>
    <mergeCell ref="B6371:E6371"/>
    <mergeCell ref="A2969:E2969"/>
    <mergeCell ref="B3185:E3185"/>
    <mergeCell ref="B1100:E1100"/>
    <mergeCell ref="A2523:E2523"/>
    <mergeCell ref="A7935:E7935"/>
    <mergeCell ref="A6876:E6876"/>
    <mergeCell ref="B643:E643"/>
    <mergeCell ref="B1669:E1669"/>
    <mergeCell ref="A4766:E4766"/>
    <mergeCell ref="B637:E637"/>
    <mergeCell ref="A7910:E7910"/>
    <mergeCell ref="B7755:E7755"/>
    <mergeCell ref="B185:C185"/>
    <mergeCell ref="A8698:E8698"/>
    <mergeCell ref="A7639:E7639"/>
    <mergeCell ref="B4123:E4123"/>
    <mergeCell ref="B5313:E5313"/>
    <mergeCell ref="A2239:E2239"/>
    <mergeCell ref="B7002:E7002"/>
    <mergeCell ref="B5945:E5945"/>
    <mergeCell ref="B3816:E3816"/>
    <mergeCell ref="A3512:E3512"/>
    <mergeCell ref="B468:C468"/>
    <mergeCell ref="A2996:E2996"/>
    <mergeCell ref="A1507:E1507"/>
    <mergeCell ref="A423:E423"/>
    <mergeCell ref="A4782:E4782"/>
    <mergeCell ref="B2481:E2481"/>
    <mergeCell ref="B6270:E6270"/>
    <mergeCell ref="A2234:E2234"/>
    <mergeCell ref="A3296:E3296"/>
    <mergeCell ref="B3086:E3086"/>
    <mergeCell ref="A2839:E2839"/>
    <mergeCell ref="A754:E754"/>
    <mergeCell ref="A5539:E5539"/>
    <mergeCell ref="B5776:C5776"/>
    <mergeCell ref="B4297:E4297"/>
    <mergeCell ref="A2997:E2997"/>
    <mergeCell ref="A5082:E5082"/>
    <mergeCell ref="B7604:C7604"/>
    <mergeCell ref="A7350:E7350"/>
    <mergeCell ref="B58:E58"/>
    <mergeCell ref="A4181:E4181"/>
    <mergeCell ref="A5809:E5809"/>
    <mergeCell ref="B5471:C5471"/>
    <mergeCell ref="A7955:E7955"/>
    <mergeCell ref="A8039:E8039"/>
    <mergeCell ref="B1301:E1301"/>
    <mergeCell ref="B2354:E2354"/>
    <mergeCell ref="B779:E779"/>
    <mergeCell ref="A5451:E5451"/>
    <mergeCell ref="B4597:E4597"/>
    <mergeCell ref="B3538:E3538"/>
    <mergeCell ref="A6597:E6597"/>
    <mergeCell ref="A7650:E7650"/>
    <mergeCell ref="A8263:E8263"/>
    <mergeCell ref="A6056:E6056"/>
    <mergeCell ref="B3117:E3117"/>
    <mergeCell ref="B3239:E3239"/>
    <mergeCell ref="B8502:E8502"/>
    <mergeCell ref="B7470:E7470"/>
    <mergeCell ref="B2812:E2812"/>
    <mergeCell ref="B6112:E6112"/>
    <mergeCell ref="A8594:E8594"/>
    <mergeCell ref="B1296:E1296"/>
    <mergeCell ref="A922:E922"/>
    <mergeCell ref="B3539:E3539"/>
    <mergeCell ref="B5685:E5685"/>
    <mergeCell ref="B5660:E5660"/>
    <mergeCell ref="A1649:E1649"/>
    <mergeCell ref="A4408:E4408"/>
    <mergeCell ref="B3112:E3112"/>
    <mergeCell ref="B6412:E6412"/>
    <mergeCell ref="B7471:E7471"/>
    <mergeCell ref="A1228:E1228"/>
    <mergeCell ref="A169:E169"/>
    <mergeCell ref="A2254:E2254"/>
    <mergeCell ref="B3719:C3719"/>
    <mergeCell ref="A2412:E2412"/>
    <mergeCell ref="A4497:E4497"/>
    <mergeCell ref="A5135:E5135"/>
    <mergeCell ref="B8198:E8198"/>
    <mergeCell ref="A1949:E1949"/>
    <mergeCell ref="A6799:E6799"/>
    <mergeCell ref="A4714:E4714"/>
    <mergeCell ref="A917:E917"/>
    <mergeCell ref="B7771:E7771"/>
    <mergeCell ref="B1285:C1285"/>
    <mergeCell ref="B1769:E1769"/>
    <mergeCell ref="B3466:E3466"/>
    <mergeCell ref="A6951:E6951"/>
    <mergeCell ref="A1522:E1522"/>
    <mergeCell ref="A6494:E6494"/>
    <mergeCell ref="B4012:E4012"/>
    <mergeCell ref="A3350:E3350"/>
    <mergeCell ref="B280:E280"/>
    <mergeCell ref="A4403:E4403"/>
    <mergeCell ref="A4409:E4409"/>
    <mergeCell ref="A5435:E5435"/>
    <mergeCell ref="A5593:E5593"/>
    <mergeCell ref="A7678:E7678"/>
    <mergeCell ref="B1464:E1464"/>
    <mergeCell ref="B6314:E6314"/>
    <mergeCell ref="B4229:E4229"/>
    <mergeCell ref="A5136:E5136"/>
    <mergeCell ref="B5255:E5255"/>
    <mergeCell ref="B8557:E8557"/>
    <mergeCell ref="B5413:E5413"/>
    <mergeCell ref="A6198:E6198"/>
    <mergeCell ref="B2191:E2191"/>
    <mergeCell ref="B7041:E7041"/>
    <mergeCell ref="B6009:E6009"/>
    <mergeCell ref="A4709:E4709"/>
    <mergeCell ref="B2227:E2227"/>
    <mergeCell ref="B580:E580"/>
    <mergeCell ref="B3855:E3855"/>
    <mergeCell ref="A6952:E6952"/>
    <mergeCell ref="B2823:E2823"/>
    <mergeCell ref="B1764:E1764"/>
    <mergeCell ref="A950:E950"/>
    <mergeCell ref="B4529:E4529"/>
    <mergeCell ref="B6772:E6772"/>
    <mergeCell ref="B4066:E4066"/>
    <mergeCell ref="B1981:E1981"/>
    <mergeCell ref="A1677:E1677"/>
    <mergeCell ref="B4224:E4224"/>
    <mergeCell ref="B5250:E5250"/>
    <mergeCell ref="A8309:E8309"/>
    <mergeCell ref="A4550:E4550"/>
    <mergeCell ref="A180:E180"/>
    <mergeCell ref="A3061:E3061"/>
    <mergeCell ref="A945:E945"/>
    <mergeCell ref="B4524:E4524"/>
    <mergeCell ref="B7824:E7824"/>
    <mergeCell ref="B7860:E7860"/>
    <mergeCell ref="B727:E727"/>
    <mergeCell ref="A3824:E3824"/>
    <mergeCell ref="A4850:E4850"/>
    <mergeCell ref="B308:E308"/>
    <mergeCell ref="B7397:E7397"/>
    <mergeCell ref="A7093:E7093"/>
    <mergeCell ref="A5008:E5008"/>
    <mergeCell ref="A8668:E8668"/>
    <mergeCell ref="A2302:E2302"/>
    <mergeCell ref="A4551:E4551"/>
    <mergeCell ref="B300:E300"/>
    <mergeCell ref="B4213:E4213"/>
    <mergeCell ref="B2128:E2128"/>
    <mergeCell ref="A7310:E7310"/>
    <mergeCell ref="B3181:E3181"/>
    <mergeCell ref="A8363:E8363"/>
    <mergeCell ref="B1071:E1071"/>
    <mergeCell ref="A2934:E2934"/>
    <mergeCell ref="A8369:E8369"/>
    <mergeCell ref="B1027:E1027"/>
    <mergeCell ref="A6847:E6847"/>
    <mergeCell ref="B633:E633"/>
    <mergeCell ref="B608:E608"/>
    <mergeCell ref="A6883:E6883"/>
    <mergeCell ref="A8439:E8439"/>
    <mergeCell ref="B6667:E6667"/>
    <mergeCell ref="A4851:E4851"/>
    <mergeCell ref="A8669:E8669"/>
    <mergeCell ref="B2428:E2428"/>
    <mergeCell ref="B6825:E6825"/>
    <mergeCell ref="B3481:E3481"/>
    <mergeCell ref="A6578:E6578"/>
    <mergeCell ref="A8663:E8663"/>
    <mergeCell ref="B3024:E3024"/>
    <mergeCell ref="B5724:E5724"/>
    <mergeCell ref="A635:E635"/>
    <mergeCell ref="B3639:E3639"/>
    <mergeCell ref="B7421:E7421"/>
    <mergeCell ref="B3182:E3182"/>
    <mergeCell ref="A7305:E7305"/>
    <mergeCell ref="B4244:E4244"/>
    <mergeCell ref="B8157:E8157"/>
    <mergeCell ref="A208:E208"/>
    <mergeCell ref="B3909:E3909"/>
    <mergeCell ref="B3939:E3939"/>
    <mergeCell ref="B7852:E7852"/>
    <mergeCell ref="B4510:C4510"/>
    <mergeCell ref="A3081:E3081"/>
    <mergeCell ref="A2662:E2662"/>
    <mergeCell ref="B6241:E6241"/>
    <mergeCell ref="A4473:E4473"/>
    <mergeCell ref="A4448:E4448"/>
    <mergeCell ref="A3389:E3389"/>
    <mergeCell ref="A5535:E5535"/>
    <mergeCell ref="A203:E203"/>
    <mergeCell ref="B3209:E3209"/>
    <mergeCell ref="A6268:E6268"/>
    <mergeCell ref="A7321:E7321"/>
    <mergeCell ref="B1107:E1107"/>
    <mergeCell ref="A1892:E1892"/>
    <mergeCell ref="B23:E23"/>
    <mergeCell ref="A8511:E8511"/>
    <mergeCell ref="B1851:E1851"/>
    <mergeCell ref="A4748:E4748"/>
    <mergeCell ref="A2663:E2663"/>
    <mergeCell ref="A5835:E5835"/>
    <mergeCell ref="B5625:E5625"/>
    <mergeCell ref="A8722:E8722"/>
    <mergeCell ref="A2777:E2777"/>
    <mergeCell ref="B7868:E7868"/>
    <mergeCell ref="A8078:E8078"/>
    <mergeCell ref="B2439:E2439"/>
    <mergeCell ref="A5536:E5536"/>
    <mergeCell ref="B348:E348"/>
    <mergeCell ref="A5530:E5530"/>
    <mergeCell ref="B7441:E7441"/>
    <mergeCell ref="B5356:E5356"/>
    <mergeCell ref="A1320:E1320"/>
    <mergeCell ref="B5925:E5925"/>
    <mergeCell ref="A7990:E7990"/>
    <mergeCell ref="B6083:E6083"/>
    <mergeCell ref="A5836:E5836"/>
    <mergeCell ref="A350:E350"/>
    <mergeCell ref="B1707:E1707"/>
    <mergeCell ref="A1015:E1015"/>
    <mergeCell ref="B6077:E6077"/>
    <mergeCell ref="B2897:E2897"/>
    <mergeCell ref="B3535:E3535"/>
    <mergeCell ref="B7714:C7714"/>
    <mergeCell ref="A8079:E8079"/>
    <mergeCell ref="A430:E430"/>
    <mergeCell ref="A2652:E2652"/>
    <mergeCell ref="B5778:E5778"/>
    <mergeCell ref="A982:E982"/>
    <mergeCell ref="A561:E561"/>
    <mergeCell ref="B8537:E8537"/>
    <mergeCell ref="A2804:E2804"/>
    <mergeCell ref="A2347:E2347"/>
    <mergeCell ref="A1315:E1315"/>
    <mergeCell ref="A256:E256"/>
    <mergeCell ref="A4615:E4615"/>
    <mergeCell ref="B8194:E8194"/>
    <mergeCell ref="A5677:E5677"/>
    <mergeCell ref="A6290:E6290"/>
    <mergeCell ref="A1920:E1920"/>
    <mergeCell ref="B6685:C6685"/>
    <mergeCell ref="B1862:E1862"/>
    <mergeCell ref="A2647:E2647"/>
    <mergeCell ref="A8137:E8137"/>
    <mergeCell ref="A3767:E3767"/>
    <mergeCell ref="A4793:E4793"/>
    <mergeCell ref="A4915:E4915"/>
    <mergeCell ref="A7680:E7680"/>
    <mergeCell ref="A7036:E7036"/>
    <mergeCell ref="A7674:E7674"/>
    <mergeCell ref="B382:E382"/>
    <mergeCell ref="B4735:E4735"/>
    <mergeCell ref="A3435:E3435"/>
    <mergeCell ref="A4488:E4488"/>
    <mergeCell ref="A7763:E7763"/>
    <mergeCell ref="A5678:E5678"/>
    <mergeCell ref="B5340:E5340"/>
    <mergeCell ref="A8437:E8437"/>
    <mergeCell ref="A7974:E7974"/>
    <mergeCell ref="A5889:E5889"/>
    <mergeCell ref="B5041:E5041"/>
    <mergeCell ref="B5035:E5035"/>
    <mergeCell ref="B2950:E2950"/>
    <mergeCell ref="B7794:E7794"/>
    <mergeCell ref="A5978:E5978"/>
    <mergeCell ref="A1035:E1035"/>
    <mergeCell ref="A8737:E8737"/>
    <mergeCell ref="A2219:E2219"/>
    <mergeCell ref="B6857:E6857"/>
    <mergeCell ref="A7248:E7248"/>
    <mergeCell ref="B8679:E8679"/>
    <mergeCell ref="A1246:E1246"/>
    <mergeCell ref="B6394:E6394"/>
    <mergeCell ref="B7068:E7068"/>
    <mergeCell ref="B7795:E7795"/>
    <mergeCell ref="A1546:E1546"/>
    <mergeCell ref="A5880:E5880"/>
    <mergeCell ref="A3795:E3795"/>
    <mergeCell ref="A2736:E2736"/>
    <mergeCell ref="B7368:E7368"/>
    <mergeCell ref="A4979:E4979"/>
    <mergeCell ref="B366:C366"/>
    <mergeCell ref="B2547:E2547"/>
    <mergeCell ref="A6632:E6632"/>
    <mergeCell ref="B4763:E4763"/>
    <mergeCell ref="B393:E393"/>
    <mergeCell ref="A146:E146"/>
    <mergeCell ref="A6662:E6662"/>
    <mergeCell ref="A1974:E1974"/>
    <mergeCell ref="B5395:E5395"/>
    <mergeCell ref="B4336:E4336"/>
    <mergeCell ref="A6363:E6363"/>
    <mergeCell ref="A6932:E6932"/>
    <mergeCell ref="A4847:E4847"/>
    <mergeCell ref="A6968:E6968"/>
    <mergeCell ref="A7090:E7090"/>
    <mergeCell ref="A2147:E2147"/>
    <mergeCell ref="B6910:E6910"/>
    <mergeCell ref="A6663:E6663"/>
    <mergeCell ref="A7301:E7301"/>
    <mergeCell ref="B3147:E3147"/>
    <mergeCell ref="B4211:C4211"/>
    <mergeCell ref="B8690:E8690"/>
    <mergeCell ref="A1257:E1257"/>
    <mergeCell ref="A2447:E2447"/>
    <mergeCell ref="A1388:E1388"/>
    <mergeCell ref="B4967:E4967"/>
    <mergeCell ref="B7848:E7848"/>
    <mergeCell ref="A3174:E3174"/>
    <mergeCell ref="B6178:E6178"/>
    <mergeCell ref="A6963:E6963"/>
    <mergeCell ref="A2142:E2142"/>
    <mergeCell ref="A5933:E5933"/>
    <mergeCell ref="B7964:E7964"/>
    <mergeCell ref="B6783:E6783"/>
    <mergeCell ref="A8176:E8176"/>
    <mergeCell ref="B8480:E8480"/>
    <mergeCell ref="A662:E662"/>
    <mergeCell ref="B2531:E2531"/>
    <mergeCell ref="B446:E446"/>
    <mergeCell ref="A3931:E3931"/>
    <mergeCell ref="A5506:E5506"/>
    <mergeCell ref="B7510:E7510"/>
    <mergeCell ref="A1389:E1389"/>
    <mergeCell ref="B1051:E1051"/>
    <mergeCell ref="A4148:E4148"/>
    <mergeCell ref="A288:E288"/>
    <mergeCell ref="A5201:E5201"/>
    <mergeCell ref="A6391:E6391"/>
    <mergeCell ref="A962:E962"/>
    <mergeCell ref="A6987:E6987"/>
    <mergeCell ref="B108:E108"/>
    <mergeCell ref="A5928:E5928"/>
    <mergeCell ref="B2989:E2989"/>
    <mergeCell ref="B5264:C5264"/>
    <mergeCell ref="A6716:E6716"/>
    <mergeCell ref="B2562:E2562"/>
    <mergeCell ref="B477:E477"/>
    <mergeCell ref="B7534:E7534"/>
    <mergeCell ref="B4390:E4390"/>
    <mergeCell ref="B2105:E2105"/>
    <mergeCell ref="B20:E20"/>
    <mergeCell ref="B1046:E1046"/>
    <mergeCell ref="A5202:E5202"/>
    <mergeCell ref="B3289:E3289"/>
    <mergeCell ref="A346:E346"/>
    <mergeCell ref="A8075:E8075"/>
    <mergeCell ref="A2589:E2589"/>
    <mergeCell ref="B7221:E7221"/>
    <mergeCell ref="B7834:E7834"/>
    <mergeCell ref="A41:E41"/>
    <mergeCell ref="B3620:E3620"/>
    <mergeCell ref="A2162:E2162"/>
    <mergeCell ref="A2800:E2800"/>
    <mergeCell ref="B6769:C6769"/>
    <mergeCell ref="B7438:E7438"/>
    <mergeCell ref="A2343:E2343"/>
    <mergeCell ref="A1311:E1311"/>
    <mergeCell ref="A8375:E8375"/>
    <mergeCell ref="A2373:E2373"/>
    <mergeCell ref="A6707:E6707"/>
    <mergeCell ref="A5648:E5648"/>
    <mergeCell ref="A5191:E5191"/>
    <mergeCell ref="A3106:E3106"/>
    <mergeCell ref="B8195:E8195"/>
    <mergeCell ref="A7459:E7459"/>
    <mergeCell ref="B167:E167"/>
    <mergeCell ref="B1858:E1858"/>
    <mergeCell ref="B161:E161"/>
    <mergeCell ref="A6402:E6402"/>
    <mergeCell ref="A973:E973"/>
    <mergeCell ref="A4886:E4886"/>
    <mergeCell ref="B2920:E2920"/>
    <mergeCell ref="B6254:C6254"/>
    <mergeCell ref="B1431:E1431"/>
    <mergeCell ref="A4916:E4916"/>
    <mergeCell ref="A6613:E6613"/>
    <mergeCell ref="B8495:E8495"/>
    <mergeCell ref="A2374:E2374"/>
    <mergeCell ref="A7759:E7759"/>
    <mergeCell ref="B5890:E5890"/>
    <mergeCell ref="A6702:E6702"/>
    <mergeCell ref="A4617:E4617"/>
    <mergeCell ref="A8408:E8408"/>
    <mergeCell ref="B2194:E2194"/>
    <mergeCell ref="A3101:E3101"/>
    <mergeCell ref="B2247:E2247"/>
    <mergeCell ref="B162:E162"/>
    <mergeCell ref="B2763:E2763"/>
    <mergeCell ref="B8350:E8350"/>
    <mergeCell ref="A8522:E8522"/>
    <mergeCell ref="B2921:E2921"/>
    <mergeCell ref="A8103:E8103"/>
    <mergeCell ref="B3974:E3974"/>
    <mergeCell ref="A7033:E7033"/>
    <mergeCell ref="A8095:E8095"/>
    <mergeCell ref="B7923:E7923"/>
    <mergeCell ref="B4762:E4762"/>
    <mergeCell ref="A8428:E8428"/>
    <mergeCell ref="B485:E485"/>
    <mergeCell ref="B2189:E2189"/>
    <mergeCell ref="B7574:E7574"/>
    <mergeCell ref="A3574:E3574"/>
    <mergeCell ref="A2058:E2058"/>
    <mergeCell ref="B3523:C3523"/>
    <mergeCell ref="A4301:E4301"/>
    <mergeCell ref="A3269:E3269"/>
    <mergeCell ref="B1878:E1878"/>
    <mergeCell ref="B5789:E5789"/>
    <mergeCell ref="A7060:E7060"/>
    <mergeCell ref="B821:E821"/>
    <mergeCell ref="A7218:E7218"/>
    <mergeCell ref="A5571:E5571"/>
    <mergeCell ref="A3874:E3874"/>
    <mergeCell ref="A1789:E1789"/>
    <mergeCell ref="A6761:E6761"/>
    <mergeCell ref="A5064:E5064"/>
    <mergeCell ref="A5702:E5702"/>
    <mergeCell ref="B1573:E1573"/>
    <mergeCell ref="A6755:E6755"/>
    <mergeCell ref="A7814:E7814"/>
    <mergeCell ref="A1326:E1326"/>
    <mergeCell ref="B5391:E5391"/>
    <mergeCell ref="B4332:E4332"/>
    <mergeCell ref="A2516:E2516"/>
    <mergeCell ref="A4601:E4601"/>
    <mergeCell ref="A3569:E3569"/>
    <mergeCell ref="B3237:E3237"/>
    <mergeCell ref="A6334:E6334"/>
    <mergeCell ref="B93:E93"/>
    <mergeCell ref="B4421:E4421"/>
    <mergeCell ref="B689:E689"/>
    <mergeCell ref="A5871:E5871"/>
    <mergeCell ref="A2089:E2089"/>
    <mergeCell ref="B8361:E8361"/>
    <mergeCell ref="A8114:E8114"/>
    <mergeCell ref="A6029:E6029"/>
    <mergeCell ref="A7055:E7055"/>
    <mergeCell ref="B5691:E5691"/>
    <mergeCell ref="B4632:E4632"/>
    <mergeCell ref="A1173:E1173"/>
    <mergeCell ref="A1813:E1813"/>
    <mergeCell ref="B6418:E6418"/>
    <mergeCell ref="B4333:E4333"/>
    <mergeCell ref="B5386:E5386"/>
    <mergeCell ref="B7608:E7608"/>
    <mergeCell ref="B3232:E3232"/>
    <mergeCell ref="A2418:E2418"/>
    <mergeCell ref="A1359:E1359"/>
    <mergeCell ref="A327:E327"/>
    <mergeCell ref="A3602:E3602"/>
    <mergeCell ref="A1060:E1060"/>
    <mergeCell ref="B4633:E4633"/>
    <mergeCell ref="B2990:E2990"/>
    <mergeCell ref="A6018:E6018"/>
    <mergeCell ref="B5680:C5680"/>
    <mergeCell ref="A4986:E4986"/>
    <mergeCell ref="A3927:E3927"/>
    <mergeCell ref="B8565:E8565"/>
    <mergeCell ref="A2832:E2832"/>
    <mergeCell ref="A7229:E7229"/>
    <mergeCell ref="A2413:E2413"/>
    <mergeCell ref="A328:E328"/>
    <mergeCell ref="A1354:E1354"/>
    <mergeCell ref="A5713:E5713"/>
    <mergeCell ref="B3290:E3290"/>
    <mergeCell ref="A6897:E6897"/>
    <mergeCell ref="B5533:E5533"/>
    <mergeCell ref="A4233:E4233"/>
    <mergeCell ref="B4474:E4474"/>
    <mergeCell ref="B104:E104"/>
    <mergeCell ref="A3201:E3201"/>
    <mergeCell ref="A5286:E5286"/>
    <mergeCell ref="B1294:E1294"/>
    <mergeCell ref="B5070:E5070"/>
    <mergeCell ref="B2985:E2985"/>
    <mergeCell ref="A1685:E1685"/>
    <mergeCell ref="B1901:E1901"/>
    <mergeCell ref="A5417:E5417"/>
    <mergeCell ref="A5444:E5444"/>
    <mergeCell ref="B5106:E5106"/>
    <mergeCell ref="A3928:E3928"/>
    <mergeCell ref="A6013:E6013"/>
    <mergeCell ref="A6470:E6470"/>
    <mergeCell ref="B8036:E8036"/>
    <mergeCell ref="A8772:E8772"/>
    <mergeCell ref="A6049:E6049"/>
    <mergeCell ref="B3748:E3748"/>
    <mergeCell ref="B404:E404"/>
    <mergeCell ref="A3501:E3501"/>
    <mergeCell ref="B4801:E4801"/>
    <mergeCell ref="B3285:E3285"/>
    <mergeCell ref="A5744:E5744"/>
    <mergeCell ref="A4228:E4228"/>
    <mergeCell ref="B7234:E7234"/>
    <mergeCell ref="A2585:E2585"/>
    <mergeCell ref="A8046:E8046"/>
    <mergeCell ref="B8287:E8287"/>
    <mergeCell ref="B2858:E2858"/>
    <mergeCell ref="A469:E469"/>
    <mergeCell ref="B5107:E5107"/>
    <mergeCell ref="B8407:E8407"/>
    <mergeCell ref="A1065:E1065"/>
    <mergeCell ref="B6929:E6929"/>
    <mergeCell ref="A5014:E5014"/>
    <mergeCell ref="B7980:E7980"/>
    <mergeCell ref="B8707:E8707"/>
    <mergeCell ref="A7887:E7887"/>
    <mergeCell ref="B8288:E8288"/>
    <mergeCell ref="A2580:E2580"/>
    <mergeCell ref="A4261:E4261"/>
    <mergeCell ref="A6398:E6398"/>
    <mergeCell ref="A8614:E8614"/>
    <mergeCell ref="A4882:E4882"/>
    <mergeCell ref="A2159:E2159"/>
    <mergeCell ref="B3005:E3005"/>
    <mergeCell ref="A6102:E6102"/>
    <mergeCell ref="A8187:E8187"/>
    <mergeCell ref="A7730:E7730"/>
    <mergeCell ref="A5645:E5645"/>
    <mergeCell ref="A7888:E7888"/>
    <mergeCell ref="B3759:E3759"/>
    <mergeCell ref="A7882:E7882"/>
    <mergeCell ref="A1400:E1400"/>
    <mergeCell ref="A5797:E5797"/>
    <mergeCell ref="B3890:E3890"/>
    <mergeCell ref="B6518:E6518"/>
    <mergeCell ref="B7:C7"/>
    <mergeCell ref="B127:E127"/>
    <mergeCell ref="A8099:E8099"/>
    <mergeCell ref="B7245:E7245"/>
    <mergeCell ref="B4522:E4522"/>
    <mergeCell ref="B6186:E6186"/>
    <mergeCell ref="A4913:E4913"/>
    <mergeCell ref="A8188:E8188"/>
    <mergeCell ref="B8429:E8429"/>
    <mergeCell ref="B4059:E4059"/>
    <mergeCell ref="B5887:E5887"/>
    <mergeCell ref="B6818:E6818"/>
    <mergeCell ref="A1729:E1729"/>
    <mergeCell ref="B8008:E8008"/>
    <mergeCell ref="B6519:E6519"/>
    <mergeCell ref="B2602:E2602"/>
    <mergeCell ref="B8735:E8735"/>
    <mergeCell ref="B7703:E7703"/>
    <mergeCell ref="B3302:C3302"/>
    <mergeCell ref="A3545:E3545"/>
    <mergeCell ref="A1460:E1460"/>
    <mergeCell ref="A2486:E2486"/>
    <mergeCell ref="B1244:E1244"/>
    <mergeCell ref="A997:E997"/>
    <mergeCell ref="B3907:C3907"/>
    <mergeCell ref="B790:C790"/>
    <mergeCell ref="A6540:E6540"/>
    <mergeCell ref="B817:E817"/>
    <mergeCell ref="B8028:E8028"/>
    <mergeCell ref="B8003:E8003"/>
    <mergeCell ref="A1760:E1760"/>
    <mergeCell ref="A5060:E5060"/>
    <mergeCell ref="B512:E512"/>
    <mergeCell ref="A1297:E1297"/>
    <mergeCell ref="B2728:E2728"/>
    <mergeCell ref="A1455:E1455"/>
    <mergeCell ref="A6840:E6840"/>
    <mergeCell ref="A8546:E8546"/>
    <mergeCell ref="B1239:E1239"/>
    <mergeCell ref="B4417:E4417"/>
    <mergeCell ref="A7489:E7489"/>
    <mergeCell ref="A7057:E7057"/>
    <mergeCell ref="A5360:E5360"/>
    <mergeCell ref="B5601:E5601"/>
    <mergeCell ref="A7051:E7051"/>
    <mergeCell ref="A8110:E8110"/>
    <mergeCell ref="A4941:E4941"/>
    <mergeCell ref="A8241:E8241"/>
    <mergeCell ref="B4112:E4112"/>
    <mergeCell ref="A1755:E1755"/>
    <mergeCell ref="A6114:E6114"/>
    <mergeCell ref="B6233:E6233"/>
    <mergeCell ref="A2197:E2197"/>
    <mergeCell ref="A112:E112"/>
    <mergeCell ref="B6362:C6362"/>
    <mergeCell ref="B8657:E8657"/>
    <mergeCell ref="B4875:E4875"/>
    <mergeCell ref="A4628:E4628"/>
    <mergeCell ref="A3598:E3598"/>
    <mergeCell ref="B5602:E5602"/>
    <mergeCell ref="A5355:E5355"/>
    <mergeCell ref="A2109:E2109"/>
    <mergeCell ref="A412:E412"/>
    <mergeCell ref="A3135:E3135"/>
    <mergeCell ref="A3687:E3687"/>
    <mergeCell ref="A2655:E2655"/>
    <mergeCell ref="A1596:E1596"/>
    <mergeCell ref="B5175:E5175"/>
    <mergeCell ref="B6234:E6234"/>
    <mergeCell ref="B7898:E7898"/>
    <mergeCell ref="A1139:E1139"/>
    <mergeCell ref="B8450:E8450"/>
    <mergeCell ref="A4957:E4957"/>
    <mergeCell ref="A4020:E4020"/>
    <mergeCell ref="B959:E959"/>
    <mergeCell ref="A6141:E6141"/>
    <mergeCell ref="A2409:E2409"/>
    <mergeCell ref="A712:E712"/>
    <mergeCell ref="A1350:E1350"/>
    <mergeCell ref="A4625:E4625"/>
    <mergeCell ref="A4652:E4652"/>
    <mergeCell ref="A3593:E3593"/>
    <mergeCell ref="A870:E870"/>
    <mergeCell ref="A1439:E1439"/>
    <mergeCell ref="A3172:E3172"/>
    <mergeCell ref="A6472:E6472"/>
    <mergeCell ref="A7525:E7525"/>
    <mergeCell ref="B2318:E2318"/>
    <mergeCell ref="B233:E233"/>
    <mergeCell ref="A7656:E7656"/>
    <mergeCell ref="B227:E227"/>
    <mergeCell ref="A624:E624"/>
    <mergeCell ref="B5199:E5199"/>
    <mergeCell ref="A3893:E3893"/>
    <mergeCell ref="A8252:E8252"/>
    <mergeCell ref="B2529:E2529"/>
    <mergeCell ref="A7825:E7825"/>
    <mergeCell ref="A6766:E6766"/>
    <mergeCell ref="B5918:E5918"/>
    <mergeCell ref="B3833:E3833"/>
    <mergeCell ref="B5499:E5499"/>
    <mergeCell ref="B3414:E3414"/>
    <mergeCell ref="B3370:E3370"/>
    <mergeCell ref="A2556:E2556"/>
    <mergeCell ref="A6467:E6467"/>
    <mergeCell ref="A1524:E1524"/>
    <mergeCell ref="A3740:E3740"/>
    <mergeCell ref="B7319:E7319"/>
    <mergeCell ref="A8:E8"/>
    <mergeCell ref="B8372:E8372"/>
    <mergeCell ref="A2251:E2251"/>
    <mergeCell ref="A6040:E6040"/>
    <mergeCell ref="B8530:E8530"/>
    <mergeCell ref="B1913:E1913"/>
    <mergeCell ref="A5010:E5010"/>
    <mergeCell ref="B2071:E2071"/>
    <mergeCell ref="A5124:E5124"/>
    <mergeCell ref="A5099:E5099"/>
    <mergeCell ref="A4040:E4040"/>
    <mergeCell ref="A4067:E4067"/>
    <mergeCell ref="B6587:E6587"/>
    <mergeCell ref="B1644:E1644"/>
    <mergeCell ref="A344:E344"/>
    <mergeCell ref="B7777:E7777"/>
    <mergeCell ref="B128:E128"/>
    <mergeCell ref="A3735:E3735"/>
    <mergeCell ref="A5310:E5310"/>
    <mergeCell ref="A6500:E6500"/>
    <mergeCell ref="A8585:E8585"/>
    <mergeCell ref="A7553:E7553"/>
    <mergeCell ref="B1759:C1759"/>
    <mergeCell ref="A2124:E2124"/>
    <mergeCell ref="A39:E39"/>
    <mergeCell ref="A5424:E5424"/>
    <mergeCell ref="B1908:E1908"/>
    <mergeCell ref="A4367:E4367"/>
    <mergeCell ref="B1944:E1944"/>
    <mergeCell ref="A766:E766"/>
    <mergeCell ref="B2066:E2066"/>
    <mergeCell ref="B8100:E8100"/>
    <mergeCell ref="A6800:E6800"/>
    <mergeCell ref="B586:E586"/>
    <mergeCell ref="A5768:E5768"/>
    <mergeCell ref="B3861:E3861"/>
    <mergeCell ref="A339:E339"/>
    <mergeCell ref="A4698:E4698"/>
    <mergeCell ref="B123:E123"/>
    <mergeCell ref="B7673:E7673"/>
    <mergeCell ref="B1313:E1313"/>
    <mergeCell ref="B3425:E3425"/>
    <mergeCell ref="B2366:E2366"/>
    <mergeCell ref="A1552:E1552"/>
    <mergeCell ref="B4518:E4518"/>
    <mergeCell ref="A5425:E5425"/>
    <mergeCell ref="A1508:E1508"/>
    <mergeCell ref="A8616:E8616"/>
    <mergeCell ref="A8184:E8184"/>
    <mergeCell ref="B6315:E6315"/>
    <mergeCell ref="A8178:E8178"/>
    <mergeCell ref="B5245:E5245"/>
    <mergeCell ref="B1939:E1939"/>
    <mergeCell ref="B5239:E5239"/>
    <mergeCell ref="B5852:E5852"/>
    <mergeCell ref="A1852:E1852"/>
    <mergeCell ref="B4818:E4818"/>
    <mergeCell ref="A5152:E5152"/>
    <mergeCell ref="B7034:E7034"/>
    <mergeCell ref="B8731:E8731"/>
    <mergeCell ref="A776:E776"/>
    <mergeCell ref="A1966:E1966"/>
    <mergeCell ref="B8426:E8426"/>
    <mergeCell ref="A3236:E3236"/>
    <mergeCell ref="A1539:E1539"/>
    <mergeCell ref="A5458:E5458"/>
    <mergeCell ref="A5452:E5452"/>
    <mergeCell ref="A6511:E6511"/>
    <mergeCell ref="A1720:E1720"/>
    <mergeCell ref="B298:C298"/>
    <mergeCell ref="A2266:E2266"/>
    <mergeCell ref="A181:E181"/>
    <mergeCell ref="A5025:E5025"/>
    <mergeCell ref="A8325:E8325"/>
    <mergeCell ref="B3145:E3145"/>
    <mergeCell ref="A2483:E2483"/>
    <mergeCell ref="B2724:E2724"/>
    <mergeCell ref="B3783:E3783"/>
    <mergeCell ref="A7268:E7268"/>
    <mergeCell ref="A4726:E4726"/>
    <mergeCell ref="A4720:E4720"/>
    <mergeCell ref="B4388:E4388"/>
    <mergeCell ref="B7663:C7663"/>
    <mergeCell ref="B728:E728"/>
    <mergeCell ref="A7599:E7599"/>
    <mergeCell ref="B7358:E7358"/>
    <mergeCell ref="B5273:E5273"/>
    <mergeCell ref="A1751:E1751"/>
    <mergeCell ref="B6326:E6326"/>
    <mergeCell ref="B5267:E5267"/>
    <mergeCell ref="A83:E83"/>
    <mergeCell ref="B2725:E2725"/>
    <mergeCell ref="A7785:E7785"/>
    <mergeCell ref="B8146:E8146"/>
    <mergeCell ref="A810:E810"/>
    <mergeCell ref="A1863:E1863"/>
    <mergeCell ref="B7727:E7727"/>
    <mergeCell ref="B3357:E3357"/>
    <mergeCell ref="A7480:E7480"/>
    <mergeCell ref="B6651:E6651"/>
    <mergeCell ref="A383:E383"/>
    <mergeCell ref="A4736:E4736"/>
    <mergeCell ref="B8446:E8446"/>
    <mergeCell ref="A1110:E1110"/>
    <mergeCell ref="B7414:E7414"/>
    <mergeCell ref="A78:E78"/>
    <mergeCell ref="A3256:E3256"/>
    <mergeCell ref="A3378:E3378"/>
    <mergeCell ref="A7169:E7169"/>
    <mergeCell ref="A2957:E2957"/>
    <mergeCell ref="A1898:E1898"/>
    <mergeCell ref="A3983:E3983"/>
    <mergeCell ref="A4648:E4648"/>
    <mergeCell ref="B6920:C6920"/>
    <mergeCell ref="B1044:E1044"/>
    <mergeCell ref="A6226:E6226"/>
    <mergeCell ref="A6864:E6864"/>
    <mergeCell ref="A1435:E1435"/>
    <mergeCell ref="B3925:E3925"/>
    <mergeCell ref="A3678:E3678"/>
    <mergeCell ref="B7743:E7743"/>
    <mergeCell ref="A6443:E6443"/>
    <mergeCell ref="A8528:E8528"/>
    <mergeCell ref="B2314:E2314"/>
    <mergeCell ref="A6437:E6437"/>
    <mergeCell ref="A7627:E7627"/>
    <mergeCell ref="B5195:E5195"/>
    <mergeCell ref="A3251:E3251"/>
    <mergeCell ref="A7164:E7164"/>
    <mergeCell ref="B4225:E4225"/>
    <mergeCell ref="A7322:E7322"/>
    <mergeCell ref="A2952:E2952"/>
    <mergeCell ref="A1893:E1893"/>
    <mergeCell ref="B3193:E3193"/>
    <mergeCell ref="B529:E529"/>
    <mergeCell ref="B1094:C1094"/>
    <mergeCell ref="B4988:E4988"/>
    <mergeCell ref="A6438:E6438"/>
    <mergeCell ref="B5609:E5609"/>
    <mergeCell ref="A436:E436"/>
    <mergeCell ref="B4552:E4552"/>
    <mergeCell ref="B6258:E6258"/>
    <mergeCell ref="A1163:E1163"/>
    <mergeCell ref="B5795:E5795"/>
    <mergeCell ref="B3710:E3710"/>
    <mergeCell ref="B5953:E5953"/>
    <mergeCell ref="A858:E858"/>
    <mergeCell ref="A2979:E2979"/>
    <mergeCell ref="A850:E850"/>
    <mergeCell ref="A437:E437"/>
    <mergeCell ref="A1463:E1463"/>
    <mergeCell ref="B1737:E1737"/>
    <mergeCell ref="A431:E431"/>
    <mergeCell ref="A7549:E7549"/>
    <mergeCell ref="A6585:E6585"/>
    <mergeCell ref="A5553:E5553"/>
    <mergeCell ref="B1424:E1424"/>
    <mergeCell ref="B2037:E2037"/>
    <mergeCell ref="A2209:E2209"/>
    <mergeCell ref="B5337:E5337"/>
    <mergeCell ref="B4725:C4725"/>
    <mergeCell ref="A5090:E5090"/>
    <mergeCell ref="B6854:C6854"/>
    <mergeCell ref="A6280:E6280"/>
    <mergeCell ref="B2029:E2029"/>
    <mergeCell ref="A6274:E6274"/>
    <mergeCell ref="B3857:E3857"/>
    <mergeCell ref="A3610:E3610"/>
    <mergeCell ref="B3851:E3851"/>
    <mergeCell ref="A4663:E4663"/>
    <mergeCell ref="B7153:E7153"/>
    <mergeCell ref="B671:E671"/>
    <mergeCell ref="A6491:E6491"/>
    <mergeCell ref="B7669:E7669"/>
    <mergeCell ref="A8576:E8576"/>
    <mergeCell ref="B8396:E8396"/>
    <mergeCell ref="B8554:E8554"/>
    <mergeCell ref="B5210:E5210"/>
    <mergeCell ref="B3125:E3125"/>
    <mergeCell ref="A8307:E8307"/>
    <mergeCell ref="A2878:E2878"/>
    <mergeCell ref="B5937:E5937"/>
    <mergeCell ref="B3852:E3852"/>
    <mergeCell ref="A4047:E4047"/>
    <mergeCell ref="A1962:E1962"/>
    <mergeCell ref="A878:E878"/>
    <mergeCell ref="B5668:E5668"/>
    <mergeCell ref="B2484:E2484"/>
    <mergeCell ref="A2262:E2262"/>
    <mergeCell ref="A1205:E1205"/>
    <mergeCell ref="A6202:E6202"/>
    <mergeCell ref="B8084:E8084"/>
    <mergeCell ref="A7264:E7264"/>
    <mergeCell ref="A5154:E5154"/>
    <mergeCell ref="A6807:E6807"/>
    <mergeCell ref="A4084:E4084"/>
    <mergeCell ref="A3025:E3025"/>
    <mergeCell ref="B4325:E4325"/>
    <mergeCell ref="A7991:E7991"/>
    <mergeCell ref="A5906:E5906"/>
    <mergeCell ref="A1536:E1536"/>
    <mergeCell ref="A8149:E8149"/>
    <mergeCell ref="B1295:E1295"/>
    <mergeCell ref="B1356:E1356"/>
    <mergeCell ref="A8754:E8754"/>
    <mergeCell ref="B6322:E6322"/>
    <mergeCell ref="A4506:E4506"/>
    <mergeCell ref="A5022:E5022"/>
    <mergeCell ref="A7107:E7107"/>
    <mergeCell ref="A589:E589"/>
    <mergeCell ref="B4168:E4168"/>
    <mergeCell ref="B3136:E3136"/>
    <mergeCell ref="B4326:E4326"/>
    <mergeCell ref="A8449:E8449"/>
    <mergeCell ref="A7992:E7992"/>
    <mergeCell ref="B1656:E1656"/>
    <mergeCell ref="A7476:E7476"/>
    <mergeCell ref="B5569:E5569"/>
    <mergeCell ref="A501:E501"/>
    <mergeCell ref="B7806:E7806"/>
    <mergeCell ref="A1563:E1563"/>
    <mergeCell ref="B3567:E3567"/>
    <mergeCell ref="A3806:E3806"/>
    <mergeCell ref="A4381:E4381"/>
    <mergeCell ref="A74:E74"/>
    <mergeCell ref="B7385:E7385"/>
    <mergeCell ref="A3349:E3349"/>
    <mergeCell ref="A2290:E2290"/>
    <mergeCell ref="A1220:E1220"/>
    <mergeCell ref="B1048:E1048"/>
    <mergeCell ref="A4076:E4076"/>
    <mergeCell ref="A6222:E6222"/>
    <mergeCell ref="A5163:E5163"/>
    <mergeCell ref="A4106:E4106"/>
    <mergeCell ref="B3896:E3896"/>
    <mergeCell ref="A7406:E7406"/>
    <mergeCell ref="A8019:E8019"/>
    <mergeCell ref="B2864:E2864"/>
    <mergeCell ref="A1564:E1564"/>
    <mergeCell ref="A3649:E3649"/>
    <mergeCell ref="A8465:E8465"/>
    <mergeCell ref="B735:E735"/>
    <mergeCell ref="B1348:E1348"/>
    <mergeCell ref="A1520:E1520"/>
    <mergeCell ref="A8676:E8676"/>
    <mergeCell ref="B3469:E3469"/>
    <mergeCell ref="A5496:E5496"/>
    <mergeCell ref="A4437:E4437"/>
    <mergeCell ref="A6522:E6522"/>
    <mergeCell ref="A5490:E5490"/>
    <mergeCell ref="A7712:E7712"/>
    <mergeCell ref="A8765:E8765"/>
    <mergeCell ref="A6680:E6680"/>
    <mergeCell ref="B2111:E2111"/>
    <mergeCell ref="A7407:E7407"/>
    <mergeCell ref="B6037:E6037"/>
    <mergeCell ref="B2436:E2436"/>
    <mergeCell ref="A7618:E7618"/>
    <mergeCell ref="B1379:E1379"/>
    <mergeCell ref="A521:E521"/>
    <mergeCell ref="B8497:E8497"/>
    <mergeCell ref="A7707:E7707"/>
    <mergeCell ref="A2764:E2764"/>
    <mergeCell ref="A1705:E1705"/>
    <mergeCell ref="A3402:E3402"/>
    <mergeCell ref="B4252:E4252"/>
    <mergeCell ref="B8586:E8586"/>
    <mergeCell ref="A216:E216"/>
    <mergeCell ref="B6038:E6038"/>
    <mergeCell ref="A6250:E6250"/>
    <mergeCell ref="A427:E427"/>
    <mergeCell ref="A4761:E4761"/>
    <mergeCell ref="A3064:E3064"/>
    <mergeCell ref="A979:E979"/>
    <mergeCell ref="A1575:E1575"/>
    <mergeCell ref="A516:E516"/>
    <mergeCell ref="B7827:E7827"/>
    <mergeCell ref="A7634:E7634"/>
    <mergeCell ref="B1368:E1368"/>
    <mergeCell ref="A5524:E5524"/>
    <mergeCell ref="B3611:E3611"/>
    <mergeCell ref="B4276:E4276"/>
    <mergeCell ref="A4002:E4002"/>
    <mergeCell ref="A1279:E1279"/>
    <mergeCell ref="A5061:E5061"/>
    <mergeCell ref="A4160:E4160"/>
    <mergeCell ref="B4268:E4268"/>
    <mergeCell ref="B4881:E4881"/>
    <mergeCell ref="B3822:E3822"/>
    <mergeCell ref="A8391:E8391"/>
    <mergeCell ref="A7934:E7934"/>
    <mergeCell ref="B4995:E4995"/>
    <mergeCell ref="B1826:E1826"/>
    <mergeCell ref="B4576:E4576"/>
    <mergeCell ref="B7876:E7876"/>
    <mergeCell ref="A6576:E6576"/>
    <mergeCell ref="A8697:E8697"/>
    <mergeCell ref="B4568:E4568"/>
    <mergeCell ref="A3876:E3876"/>
    <mergeCell ref="B3096:E3096"/>
    <mergeCell ref="B8481:E8481"/>
    <mergeCell ref="B7449:E7449"/>
    <mergeCell ref="A6149:E6149"/>
    <mergeCell ref="B8639:E8639"/>
    <mergeCell ref="B3210:E3210"/>
    <mergeCell ref="A874:E874"/>
    <mergeCell ref="A2986:E2986"/>
    <mergeCell ref="A901:E901"/>
    <mergeCell ref="A4176:E4176"/>
    <mergeCell ref="B6696:E6696"/>
    <mergeCell ref="B7749:E7749"/>
    <mergeCell ref="B5664:E5664"/>
    <mergeCell ref="A3713:E3713"/>
    <mergeCell ref="A569:E569"/>
    <mergeCell ref="A4903:E4903"/>
    <mergeCell ref="B7907:E7907"/>
    <mergeCell ref="A3871:E3871"/>
    <mergeCell ref="A7049:E7049"/>
    <mergeCell ref="B2480:E2480"/>
    <mergeCell ref="A4933:E4933"/>
    <mergeCell ref="A1201:E1201"/>
    <mergeCell ref="B478:E478"/>
    <mergeCell ref="A5150:E5150"/>
    <mergeCell ref="A5203:E5203"/>
    <mergeCell ref="B8207:E8207"/>
    <mergeCell ref="B564:E564"/>
    <mergeCell ref="A4687:E4687"/>
    <mergeCell ref="A7349:E7349"/>
    <mergeCell ref="B695:E695"/>
    <mergeCell ref="A5877:E5877"/>
    <mergeCell ref="B1748:E1748"/>
    <mergeCell ref="A4807:E4807"/>
    <mergeCell ref="B5048:E5048"/>
    <mergeCell ref="A1501:E1501"/>
    <mergeCell ref="B1291:E1291"/>
    <mergeCell ref="B2938:E2938"/>
    <mergeCell ref="A3329:E3329"/>
    <mergeCell ref="A5991:E5991"/>
    <mergeCell ref="A7657:E7657"/>
    <mergeCell ref="A8750:E8750"/>
    <mergeCell ref="B7896:E7896"/>
    <mergeCell ref="B8536:E8536"/>
    <mergeCell ref="B5392:E5392"/>
    <mergeCell ref="B5348:E5348"/>
    <mergeCell ref="B3238:E3238"/>
    <mergeCell ref="A4075:E4075"/>
    <mergeCell ref="B690:E690"/>
    <mergeCell ref="B7170:E7170"/>
    <mergeCell ref="A885:E885"/>
    <mergeCell ref="B2350:C2350"/>
    <mergeCell ref="A1043:E1043"/>
    <mergeCell ref="B7897:E7897"/>
    <mergeCell ref="A3777:E3777"/>
    <mergeCell ref="A3345:E3345"/>
    <mergeCell ref="A1648:E1648"/>
    <mergeCell ref="A616:E616"/>
    <mergeCell ref="A1229:E1229"/>
    <mergeCell ref="A5588:E5588"/>
    <mergeCell ref="B8108:E8108"/>
    <mergeCell ref="A159:E159"/>
    <mergeCell ref="B7076:E7076"/>
    <mergeCell ref="A290:E290"/>
    <mergeCell ref="A6193:E6193"/>
    <mergeCell ref="A5134:E5134"/>
    <mergeCell ref="A4102:E4102"/>
    <mergeCell ref="A8436:E8436"/>
    <mergeCell ref="A7377:E7377"/>
    <mergeCell ref="A5292:E5292"/>
    <mergeCell ref="A8461:E8461"/>
    <mergeCell ref="B6135:E6135"/>
    <mergeCell ref="A2613:E2613"/>
    <mergeCell ref="A916:E916"/>
    <mergeCell ref="A4835:E4835"/>
    <mergeCell ref="B7766:C7766"/>
    <mergeCell ref="A7072:E7072"/>
    <mergeCell ref="A2702:E2702"/>
    <mergeCell ref="A617:E617"/>
    <mergeCell ref="A1643:E1643"/>
    <mergeCell ref="B4649:E4649"/>
    <mergeCell ref="B5708:E5708"/>
    <mergeCell ref="B279:E279"/>
    <mergeCell ref="A6615:E6615"/>
    <mergeCell ref="B4192:E4192"/>
    <mergeCell ref="A8761:E8761"/>
    <mergeCell ref="A8342:E8342"/>
    <mergeCell ref="A6188:E6188"/>
    <mergeCell ref="B3249:E3249"/>
    <mergeCell ref="B2190:E2190"/>
    <mergeCell ref="B3887:E3887"/>
    <mergeCell ref="B1158:E1158"/>
    <mergeCell ref="B3923:E3923"/>
    <mergeCell ref="A6976:E6976"/>
    <mergeCell ref="B3460:E3460"/>
    <mergeCell ref="B1375:E1375"/>
    <mergeCell ref="A7684:E7684"/>
    <mergeCell ref="A492:E492"/>
    <mergeCell ref="B3618:E3618"/>
    <mergeCell ref="A606:E606"/>
    <mergeCell ref="A3487:E3487"/>
    <mergeCell ref="A7276:E7276"/>
    <mergeCell ref="A5730:E5730"/>
    <mergeCell ref="A6246:E6246"/>
    <mergeCell ref="A914:E914"/>
    <mergeCell ref="B3918:E3918"/>
    <mergeCell ref="A8489:E8489"/>
    <mergeCell ref="A3060:E3060"/>
    <mergeCell ref="A2001:E2001"/>
    <mergeCell ref="A6335:E6335"/>
    <mergeCell ref="B121:E121"/>
    <mergeCell ref="B734:E734"/>
    <mergeCell ref="A5303:E5303"/>
    <mergeCell ref="B7823:E7823"/>
    <mergeCell ref="A487:E487"/>
    <mergeCell ref="A8062:E8062"/>
    <mergeCell ref="A2755:E2755"/>
    <mergeCell ref="A7605:E7605"/>
    <mergeCell ref="A6030:E6030"/>
    <mergeCell ref="A6546:E6546"/>
    <mergeCell ref="B307:E307"/>
    <mergeCell ref="A2334:E2334"/>
    <mergeCell ref="A1275:E1275"/>
    <mergeCell ref="B5850:E5850"/>
    <mergeCell ref="B5882:C5882"/>
    <mergeCell ref="A6247:E6247"/>
    <mergeCell ref="A5603:E5603"/>
    <mergeCell ref="A3518:E3518"/>
    <mergeCell ref="A8490:E8490"/>
    <mergeCell ref="A8484:E8484"/>
    <mergeCell ref="A2002:E2002"/>
    <mergeCell ref="A970:E970"/>
    <mergeCell ref="A6330:E6330"/>
    <mergeCell ref="A4245:E4245"/>
    <mergeCell ref="A1387:E1387"/>
    <mergeCell ref="A5814:E5814"/>
    <mergeCell ref="A8063:E8063"/>
    <mergeCell ref="B1822:E1822"/>
    <mergeCell ref="A8057:E8057"/>
    <mergeCell ref="A5934:E5934"/>
    <mergeCell ref="B6150:E6150"/>
    <mergeCell ref="B4065:E4065"/>
    <mergeCell ref="B7847:E7847"/>
    <mergeCell ref="B5118:E5118"/>
    <mergeCell ref="A7758:E7758"/>
    <mergeCell ref="B5335:E5335"/>
    <mergeCell ref="B3638:E3638"/>
    <mergeCell ref="B7998:C7998"/>
    <mergeCell ref="B8604:E8604"/>
    <mergeCell ref="B6481:E6481"/>
    <mergeCell ref="B8147:E8147"/>
    <mergeCell ref="B4365:E4365"/>
    <mergeCell ref="B2876:E2876"/>
    <mergeCell ref="A4147:E4147"/>
    <mergeCell ref="A1003:E1003"/>
    <mergeCell ref="A2056:E2056"/>
    <mergeCell ref="B5635:E5635"/>
    <mergeCell ref="A986:E986"/>
    <mergeCell ref="A4899:E4899"/>
    <mergeCell ref="B2424:C2424"/>
    <mergeCell ref="A3202:E3202"/>
    <mergeCell ref="B806:E806"/>
    <mergeCell ref="A5504:E5504"/>
    <mergeCell ref="A7747:E7747"/>
    <mergeCell ref="A6715:E6715"/>
    <mergeCell ref="B474:E474"/>
    <mergeCell ref="B449:E449"/>
    <mergeCell ref="A1286:E1286"/>
    <mergeCell ref="A6846:E6846"/>
    <mergeCell ref="B8203:E8203"/>
    <mergeCell ref="A7442:E7442"/>
    <mergeCell ref="B1106:E1106"/>
    <mergeCell ref="B5019:E5019"/>
    <mergeCell ref="A4772:E4772"/>
    <mergeCell ref="A2687:E2687"/>
    <mergeCell ref="B1833:E1833"/>
    <mergeCell ref="B774:E774"/>
    <mergeCell ref="A5956:E5956"/>
    <mergeCell ref="A1586:E1586"/>
    <mergeCell ref="A7015:E7015"/>
    <mergeCell ref="A7146:E7146"/>
    <mergeCell ref="A8721:E8721"/>
    <mergeCell ref="A5657:E5657"/>
    <mergeCell ref="B1406:E1406"/>
    <mergeCell ref="A714:E714"/>
    <mergeCell ref="A7226:E7226"/>
    <mergeCell ref="B3234:E3234"/>
    <mergeCell ref="A7778:E7778"/>
    <mergeCell ref="B7562:E7562"/>
    <mergeCell ref="A251:E251"/>
    <mergeCell ref="B5477:E5477"/>
    <mergeCell ref="B6530:E6530"/>
    <mergeCell ref="A1441:E1441"/>
    <mergeCell ref="A5230:E5230"/>
    <mergeCell ref="A2046:E2046"/>
    <mergeCell ref="B5050:E5050"/>
    <mergeCell ref="A1014:E1014"/>
    <mergeCell ref="B3534:E3534"/>
    <mergeCell ref="B7931:E7931"/>
    <mergeCell ref="B6836:E6836"/>
    <mergeCell ref="B6830:E6830"/>
    <mergeCell ref="A1619:E1619"/>
    <mergeCell ref="B222:C222"/>
    <mergeCell ref="A709:E709"/>
    <mergeCell ref="A2828:E2828"/>
    <mergeCell ref="A3862:E3862"/>
    <mergeCell ref="B371:E371"/>
    <mergeCell ref="A4614:E4614"/>
    <mergeCell ref="B1098:E1098"/>
    <mergeCell ref="A8432:E8432"/>
    <mergeCell ref="A7373:E7373"/>
    <mergeCell ref="A2041:E2041"/>
    <mergeCell ref="B1134:E1134"/>
    <mergeCell ref="B6131:E6131"/>
    <mergeCell ref="B677:E677"/>
    <mergeCell ref="B3409:C3409"/>
    <mergeCell ref="A4309:E4309"/>
    <mergeCell ref="A3768:E3768"/>
    <mergeCell ref="B1886:E1886"/>
    <mergeCell ref="B835:E835"/>
    <mergeCell ref="B1861:E1861"/>
    <mergeCell ref="A2698:E2698"/>
    <mergeCell ref="A8127:E8127"/>
    <mergeCell ref="A4914:E4914"/>
    <mergeCell ref="A2829:E2829"/>
    <mergeCell ref="B372:E372"/>
    <mergeCell ref="A6647:E6647"/>
    <mergeCell ref="A6641:E6641"/>
    <mergeCell ref="B3708:E3708"/>
    <mergeCell ref="B4734:E4734"/>
    <mergeCell ref="B3702:E3702"/>
    <mergeCell ref="A2402:E2402"/>
    <mergeCell ref="A7374:E7374"/>
    <mergeCell ref="B3245:E3245"/>
    <mergeCell ref="B2186:E2186"/>
    <mergeCell ref="B1129:E1129"/>
    <mergeCell ref="B4429:E4429"/>
    <mergeCell ref="A3129:E3129"/>
    <mergeCell ref="A7526:E7526"/>
    <mergeCell ref="A6947:E6947"/>
    <mergeCell ref="B7188:E7188"/>
    <mergeCell ref="A429:E429"/>
    <mergeCell ref="B4008:E4008"/>
    <mergeCell ref="B2949:E2949"/>
    <mergeCell ref="A6642:E6642"/>
    <mergeCell ref="B3703:E3703"/>
    <mergeCell ref="B4729:E4729"/>
    <mergeCell ref="A4974:E4974"/>
    <mergeCell ref="B7494:E7494"/>
    <mergeCell ref="A3458:E3458"/>
    <mergeCell ref="A1367:E1367"/>
    <mergeCell ref="A5726:E5726"/>
    <mergeCell ref="A272:E272"/>
    <mergeCell ref="B513:E513"/>
    <mergeCell ref="B7189:E7189"/>
    <mergeCell ref="B4331:E4331"/>
    <mergeCell ref="B2246:E2246"/>
    <mergeCell ref="A946:E946"/>
    <mergeCell ref="A3031:E3031"/>
    <mergeCell ref="A5299:E5299"/>
    <mergeCell ref="B4003:E4003"/>
    <mergeCell ref="A5274:E5274"/>
    <mergeCell ref="A8574:E8574"/>
    <mergeCell ref="A6026:E6026"/>
    <mergeCell ref="B819:E819"/>
    <mergeCell ref="B425:E425"/>
    <mergeCell ref="A8269:E8269"/>
    <mergeCell ref="B2546:E2546"/>
    <mergeCell ref="A3453:E3453"/>
    <mergeCell ref="B5846:E5846"/>
    <mergeCell ref="B5331:C5331"/>
    <mergeCell ref="A6789:E6789"/>
    <mergeCell ref="A3026:E3026"/>
    <mergeCell ref="A941:E941"/>
    <mergeCell ref="A8059:E8059"/>
    <mergeCell ref="A8569:E8569"/>
    <mergeCell ref="A5899:E5899"/>
    <mergeCell ref="A7089:E7089"/>
    <mergeCell ref="A6057:E6057"/>
    <mergeCell ref="B1488:E1488"/>
    <mergeCell ref="A6670:E6670"/>
    <mergeCell ref="B2541:E2541"/>
    <mergeCell ref="B456:E456"/>
    <mergeCell ref="A4541:E4541"/>
    <mergeCell ref="B5841:E5841"/>
    <mergeCell ref="A1683:E1683"/>
    <mergeCell ref="B7547:E7547"/>
    <mergeCell ref="B7962:E7962"/>
    <mergeCell ref="A6784:E6784"/>
    <mergeCell ref="A3926:E3926"/>
    <mergeCell ref="A1841:E1841"/>
    <mergeCell ref="A2568:E2568"/>
    <mergeCell ref="B4056:E4056"/>
    <mergeCell ref="A5327:E5327"/>
    <mergeCell ref="A3173:E3173"/>
    <mergeCell ref="A1088:E1088"/>
    <mergeCell ref="A3838:E3838"/>
    <mergeCell ref="A2141:E2141"/>
    <mergeCell ref="A2779:E2779"/>
    <mergeCell ref="B7963:E7963"/>
    <mergeCell ref="B8601:E8601"/>
    <mergeCell ref="A6686:E6686"/>
    <mergeCell ref="B445:E445"/>
    <mergeCell ref="A3542:E3542"/>
    <mergeCell ref="A198:E198"/>
    <mergeCell ref="A4595:E4595"/>
    <mergeCell ref="B2688:E2688"/>
    <mergeCell ref="A2441:E2441"/>
    <mergeCell ref="A3079:E3079"/>
    <mergeCell ref="A5328:E5328"/>
    <mergeCell ref="A6381:E6381"/>
    <mergeCell ref="B18:E18"/>
    <mergeCell ref="B2261:E2261"/>
    <mergeCell ref="B2899:E2899"/>
    <mergeCell ref="B6174:E6174"/>
    <mergeCell ref="B7233:E7233"/>
    <mergeCell ref="B1804:E1804"/>
    <mergeCell ref="A4857:E4857"/>
    <mergeCell ref="B3013:E3013"/>
    <mergeCell ref="B2988:E2988"/>
    <mergeCell ref="B903:E903"/>
    <mergeCell ref="A4895:E4895"/>
    <mergeCell ref="B1499:E1499"/>
    <mergeCell ref="B7558:E7558"/>
    <mergeCell ref="B2900:E2900"/>
    <mergeCell ref="B5562:E5562"/>
    <mergeCell ref="A3095:E3095"/>
    <mergeCell ref="A1010:E1010"/>
    <mergeCell ref="B3014:E3014"/>
    <mergeCell ref="A4285:E4285"/>
    <mergeCell ref="A8074:E8074"/>
    <mergeCell ref="A3253:E3253"/>
    <mergeCell ref="B6832:E6832"/>
    <mergeCell ref="A5469:E5469"/>
    <mergeCell ref="A40:E40"/>
    <mergeCell ref="B8016:E8016"/>
    <mergeCell ref="A3980:E3980"/>
    <mergeCell ref="B7559:E7559"/>
    <mergeCell ref="B3642:E3642"/>
    <mergeCell ref="A2342:E2342"/>
    <mergeCell ref="A6101:E6101"/>
    <mergeCell ref="A6739:E6739"/>
    <mergeCell ref="A672:E672"/>
    <mergeCell ref="B1042:C1042"/>
    <mergeCell ref="A1310:E1310"/>
    <mergeCell ref="B8743:E8743"/>
    <mergeCell ref="A3553:E3553"/>
    <mergeCell ref="A2494:E2494"/>
    <mergeCell ref="B6073:E6073"/>
    <mergeCell ref="A4743:E4743"/>
    <mergeCell ref="B614:E614"/>
    <mergeCell ref="A4280:E4280"/>
    <mergeCell ref="B1219:E1219"/>
    <mergeCell ref="B160:E160"/>
    <mergeCell ref="A2669:E2669"/>
    <mergeCell ref="B825:E825"/>
    <mergeCell ref="A1610:E1610"/>
    <mergeCell ref="B4100:E4100"/>
    <mergeCell ref="B3041:E3041"/>
    <mergeCell ref="B368:E368"/>
    <mergeCell ref="A4316:E4316"/>
    <mergeCell ref="A5681:E5681"/>
    <mergeCell ref="B3637:E3637"/>
    <mergeCell ref="A252:E252"/>
    <mergeCell ref="A3554:E3554"/>
    <mergeCell ref="A2495:E2495"/>
    <mergeCell ref="B3216:E3216"/>
    <mergeCell ref="B1131:E1131"/>
    <mergeCell ref="B72:E72"/>
    <mergeCell ref="A4616:E4616"/>
    <mergeCell ref="A6313:E6313"/>
    <mergeCell ref="A6726:E6726"/>
    <mergeCell ref="B4400:E4400"/>
    <mergeCell ref="B2315:E2315"/>
    <mergeCell ref="A7339:E7339"/>
    <mergeCell ref="B3368:E3368"/>
    <mergeCell ref="A6427:E6427"/>
    <mergeCell ref="A5368:E5368"/>
    <mergeCell ref="A7453:E7453"/>
    <mergeCell ref="A7497:E7497"/>
    <mergeCell ref="B1214:E1214"/>
    <mergeCell ref="B7273:E7273"/>
    <mergeCell ref="B5188:E5188"/>
    <mergeCell ref="A1152:E1152"/>
    <mergeCell ref="B4731:E4731"/>
    <mergeCell ref="B5784:E5784"/>
    <mergeCell ref="A4970:E4970"/>
    <mergeCell ref="A3395:E3395"/>
    <mergeCell ref="B3668:E3668"/>
    <mergeCell ref="A1757:E1757"/>
    <mergeCell ref="A2968:E2968"/>
    <mergeCell ref="B6547:E6547"/>
    <mergeCell ref="B5488:E5488"/>
    <mergeCell ref="A6881:E6881"/>
    <mergeCell ref="A420:E420"/>
    <mergeCell ref="B3999:E3999"/>
    <mergeCell ref="A5270:E5270"/>
    <mergeCell ref="B1272:E1272"/>
    <mergeCell ref="A6454:E6454"/>
    <mergeCell ref="A4965:E4965"/>
    <mergeCell ref="A3268:E3268"/>
    <mergeCell ref="A7181:E7181"/>
    <mergeCell ref="B2026:E2026"/>
    <mergeCell ref="A726:E726"/>
    <mergeCell ref="B967:E967"/>
    <mergeCell ref="A1752:E1752"/>
    <mergeCell ref="A7208:E7208"/>
    <mergeCell ref="B510:E510"/>
    <mergeCell ref="A3485:E3485"/>
    <mergeCell ref="A4511:E4511"/>
    <mergeCell ref="A7813:E7813"/>
    <mergeCell ref="B1572:E1572"/>
    <mergeCell ref="A6754:E6754"/>
    <mergeCell ref="B540:E540"/>
    <mergeCell ref="B4874:E4874"/>
    <mergeCell ref="B3815:E3815"/>
    <mergeCell ref="A4212:E4212"/>
    <mergeCell ref="A5265:E5265"/>
    <mergeCell ref="A4206:E4206"/>
    <mergeCell ref="B3358:E3358"/>
    <mergeCell ref="B1273:E1273"/>
    <mergeCell ref="B5512:E5512"/>
    <mergeCell ref="A6297:E6297"/>
    <mergeCell ref="B1267:E1267"/>
    <mergeCell ref="A6455:E6455"/>
    <mergeCell ref="A2210:E2210"/>
    <mergeCell ref="B8360:E8360"/>
    <mergeCell ref="A8583:E8583"/>
    <mergeCell ref="B3053:E3053"/>
    <mergeCell ref="B6231:E6231"/>
    <mergeCell ref="B4759:E4759"/>
    <mergeCell ref="B3089:E3089"/>
    <mergeCell ref="B4753:E4753"/>
    <mergeCell ref="A6780:E6780"/>
    <mergeCell ref="B6996:E6996"/>
    <mergeCell ref="B2626:E2626"/>
    <mergeCell ref="A1812:E1812"/>
    <mergeCell ref="A753:E753"/>
    <mergeCell ref="B8729:E8729"/>
    <mergeCell ref="B5385:E5385"/>
    <mergeCell ref="B8685:E8685"/>
    <mergeCell ref="A2564:E2564"/>
    <mergeCell ref="B5086:E5086"/>
    <mergeCell ref="B4027:E4027"/>
    <mergeCell ref="A2112:E2112"/>
    <mergeCell ref="A5412:E5412"/>
    <mergeCell ref="A4380:E4380"/>
    <mergeCell ref="B7959:E7959"/>
    <mergeCell ref="A7655:E7655"/>
    <mergeCell ref="B2526:C2526"/>
    <mergeCell ref="A6682:E6682"/>
    <mergeCell ref="B8686:E8686"/>
    <mergeCell ref="A6813:E6813"/>
    <mergeCell ref="B2684:E2684"/>
    <mergeCell ref="A6169:E6169"/>
    <mergeCell ref="A7228:E7228"/>
    <mergeCell ref="A7866:E7866"/>
    <mergeCell ref="B530:E530"/>
    <mergeCell ref="A3627:E3627"/>
    <mergeCell ref="A4686:E4686"/>
    <mergeCell ref="A4680:E4680"/>
    <mergeCell ref="B4927:E4927"/>
    <mergeCell ref="A5712:E5712"/>
    <mergeCell ref="A5870:E5870"/>
    <mergeCell ref="A6377:E6377"/>
    <mergeCell ref="A3164:E3164"/>
    <mergeCell ref="A8593:E8593"/>
    <mergeCell ref="A6982:E6982"/>
    <mergeCell ref="B225:E225"/>
    <mergeCell ref="A3200:E3200"/>
    <mergeCell ref="B4500:E4500"/>
    <mergeCell ref="A4897:E4897"/>
    <mergeCell ref="A5407:E5407"/>
    <mergeCell ref="B2984:E2984"/>
    <mergeCell ref="A7113:E7113"/>
    <mergeCell ref="A8166:E8166"/>
    <mergeCell ref="A2737:E2737"/>
    <mergeCell ref="B6924:E6924"/>
    <mergeCell ref="B5227:E5227"/>
    <mergeCell ref="A8324:E8324"/>
    <mergeCell ref="B1495:E1495"/>
    <mergeCell ref="A4980:E4980"/>
    <mergeCell ref="A7867:E7867"/>
    <mergeCell ref="A6808:E6808"/>
    <mergeCell ref="B2679:E2679"/>
    <mergeCell ref="A1865:E1865"/>
    <mergeCell ref="B4922:E4922"/>
    <mergeCell ref="B8713:E8713"/>
    <mergeCell ref="B2258:E2258"/>
    <mergeCell ref="A2592:E2592"/>
    <mergeCell ref="B2252:E2252"/>
    <mergeCell ref="B6611:E6611"/>
    <mergeCell ref="A8167:E8167"/>
    <mergeCell ref="A3224:E3224"/>
    <mergeCell ref="A2165:E2165"/>
    <mergeCell ref="B4169:E4169"/>
    <mergeCell ref="B3137:E3137"/>
    <mergeCell ref="A2279:E2279"/>
    <mergeCell ref="B8714:E8714"/>
    <mergeCell ref="A2884:E2884"/>
    <mergeCell ref="A3524:E3524"/>
    <mergeCell ref="A2465:E2465"/>
    <mergeCell ref="A1395:E1395"/>
    <mergeCell ref="A3655:E3655"/>
    <mergeCell ref="A363:E363"/>
    <mergeCell ref="A2166:E2166"/>
    <mergeCell ref="A3219:E3219"/>
    <mergeCell ref="A6397:E6397"/>
    <mergeCell ref="A4312:E4312"/>
    <mergeCell ref="A5338:E5338"/>
    <mergeCell ref="B6181:E6181"/>
    <mergeCell ref="A7581:E7581"/>
    <mergeCell ref="B7818:C7818"/>
    <mergeCell ref="B1942:E1942"/>
    <mergeCell ref="A7124:E7124"/>
    <mergeCell ref="A6092:E6092"/>
    <mergeCell ref="A8314:E8314"/>
    <mergeCell ref="A8308:E8308"/>
    <mergeCell ref="A6223:E6223"/>
    <mergeCell ref="B3153:E3153"/>
    <mergeCell ref="B7066:E7066"/>
    <mergeCell ref="A179:E179"/>
    <mergeCell ref="B3758:E3758"/>
    <mergeCell ref="B4396:E4396"/>
    <mergeCell ref="B7671:E7671"/>
    <mergeCell ref="B5586:E5586"/>
    <mergeCell ref="B1210:E1210"/>
    <mergeCell ref="B151:E151"/>
    <mergeCell ref="A4307:E4307"/>
    <mergeCell ref="A6392:E6392"/>
    <mergeCell ref="A7582:E7582"/>
    <mergeCell ref="A7576:E7576"/>
    <mergeCell ref="B6218:E6218"/>
    <mergeCell ref="B5159:E5159"/>
    <mergeCell ref="B7366:E7366"/>
    <mergeCell ref="A2176:E2176"/>
    <mergeCell ref="A91:E91"/>
    <mergeCell ref="B3670:E3670"/>
    <mergeCell ref="B4696:E4696"/>
    <mergeCell ref="A2307:E2307"/>
    <mergeCell ref="B5886:E5886"/>
    <mergeCell ref="B5913:E5913"/>
    <mergeCell ref="A2903:E2903"/>
    <mergeCell ref="A1880:E1880"/>
    <mergeCell ref="B7666:E7666"/>
    <mergeCell ref="B638:E638"/>
    <mergeCell ref="A1423:E1423"/>
    <mergeCell ref="A5820:E5820"/>
    <mergeCell ref="B7702:E7702"/>
    <mergeCell ref="A3691:E3691"/>
    <mergeCell ref="A2607:E2607"/>
    <mergeCell ref="B6213:E6213"/>
    <mergeCell ref="A3264:E3264"/>
    <mergeCell ref="A4454:E4454"/>
    <mergeCell ref="A6120:E6120"/>
    <mergeCell ref="A3991:E3991"/>
    <mergeCell ref="A7940:E7940"/>
    <mergeCell ref="B511:E511"/>
    <mergeCell ref="B3811:E3811"/>
    <mergeCell ref="A3564:E3564"/>
    <mergeCell ref="A1479:E1479"/>
    <mergeCell ref="A5367:E5367"/>
    <mergeCell ref="B5029:C5029"/>
    <mergeCell ref="B212:E212"/>
    <mergeCell ref="B1238:E1238"/>
    <mergeCell ref="B4985:C4985"/>
    <mergeCell ref="A5350:E5350"/>
    <mergeCell ref="A4291:E4291"/>
    <mergeCell ref="A2206:E2206"/>
    <mergeCell ref="B6781:E6781"/>
    <mergeCell ref="B7297:E7297"/>
    <mergeCell ref="A7635:E7635"/>
    <mergeCell ref="B8356:E8356"/>
    <mergeCell ref="A8240:E8240"/>
    <mergeCell ref="B5170:E5170"/>
    <mergeCell ref="B3085:E3085"/>
    <mergeCell ref="A75:E75"/>
    <mergeCell ref="B7413:E7413"/>
    <mergeCell ref="A749:E749"/>
    <mergeCell ref="B5897:E5897"/>
    <mergeCell ref="B4865:E4865"/>
    <mergeCell ref="B6571:E6571"/>
    <mergeCell ref="B4996:E4996"/>
    <mergeCell ref="A838:E838"/>
    <mergeCell ref="A4778:E4778"/>
    <mergeCell ref="A2022:E2022"/>
    <mergeCell ref="B7298:E7298"/>
    <mergeCell ref="B8351:E8351"/>
    <mergeCell ref="B6266:E6266"/>
    <mergeCell ref="A533:E533"/>
    <mergeCell ref="A1049:E1049"/>
    <mergeCell ref="A4324:E4324"/>
    <mergeCell ref="A5383:E5383"/>
    <mergeCell ref="B8509:E8509"/>
    <mergeCell ref="A3292:E3292"/>
    <mergeCell ref="A7651:E7651"/>
    <mergeCell ref="B6229:C6229"/>
    <mergeCell ref="B2050:E2050"/>
    <mergeCell ref="A4019:E4019"/>
    <mergeCell ref="A7224:E7224"/>
    <mergeCell ref="A2408:E2408"/>
    <mergeCell ref="A323:E323"/>
    <mergeCell ref="A4651:E4651"/>
    <mergeCell ref="B2769:E2769"/>
    <mergeCell ref="A6892:E6892"/>
    <mergeCell ref="A7951:E7951"/>
    <mergeCell ref="A8589:E8589"/>
    <mergeCell ref="B1712:E1712"/>
    <mergeCell ref="A5403:E5403"/>
    <mergeCell ref="B196:E196"/>
    <mergeCell ref="A5378:E5378"/>
    <mergeCell ref="A7524:E7524"/>
    <mergeCell ref="A5439:E5439"/>
    <mergeCell ref="B7894:C7894"/>
    <mergeCell ref="B5223:E5223"/>
    <mergeCell ref="B3113:E3113"/>
    <mergeCell ref="B8498:E8498"/>
    <mergeCell ref="A7225:E7225"/>
    <mergeCell ref="A6166:E6166"/>
    <mergeCell ref="A7219:E7219"/>
    <mergeCell ref="B2650:E2650"/>
    <mergeCell ref="A8409:E8409"/>
    <mergeCell ref="B8193:E8193"/>
    <mergeCell ref="A760:E760"/>
    <mergeCell ref="A1950:E1950"/>
    <mergeCell ref="A5861:E5861"/>
    <mergeCell ref="B2223:E2223"/>
    <mergeCell ref="B3413:E3413"/>
    <mergeCell ref="A1487:E1487"/>
    <mergeCell ref="B7772:E7772"/>
    <mergeCell ref="A8163:E8163"/>
    <mergeCell ref="A5434:E5434"/>
    <mergeCell ref="B6286:E6286"/>
    <mergeCell ref="B6408:E6408"/>
    <mergeCell ref="B8529:E8529"/>
    <mergeCell ref="B4797:E4797"/>
    <mergeCell ref="A7216:E7216"/>
    <mergeCell ref="A3434:E3434"/>
    <mergeCell ref="B8710:E8710"/>
    <mergeCell ref="A1945:E1945"/>
    <mergeCell ref="A3651:E3651"/>
    <mergeCell ref="B581:E581"/>
    <mergeCell ref="B8283:E8283"/>
    <mergeCell ref="A7979:E7979"/>
    <mergeCell ref="B1765:E1765"/>
    <mergeCell ref="A465:E465"/>
    <mergeCell ref="A5431:E5431"/>
    <mergeCell ref="A2708:E2708"/>
    <mergeCell ref="B276:E276"/>
    <mergeCell ref="A2:E2"/>
    <mergeCell ref="A1061:E1061"/>
    <mergeCell ref="A2245:E2245"/>
    <mergeCell ref="A4397:E4397"/>
    <mergeCell ref="B5251:E5251"/>
    <mergeCell ref="A8310:E8310"/>
    <mergeCell ref="B3097:E3097"/>
    <mergeCell ref="B3149:E3149"/>
    <mergeCell ref="A7253:E7253"/>
    <mergeCell ref="B2065:E2065"/>
    <mergeCell ref="A7247:E7247"/>
    <mergeCell ref="A1818:E1818"/>
    <mergeCell ref="B1608:E1608"/>
    <mergeCell ref="A4705:E4705"/>
    <mergeCell ref="B4824:E4824"/>
    <mergeCell ref="A5731:E5731"/>
    <mergeCell ref="A6790:E6790"/>
    <mergeCell ref="B7067:E7067"/>
    <mergeCell ref="B707:E707"/>
    <mergeCell ref="B4481:E4481"/>
    <mergeCell ref="B3424:E3424"/>
    <mergeCell ref="B1339:E1339"/>
    <mergeCell ref="B5252:E5252"/>
    <mergeCell ref="A8762:E8762"/>
    <mergeCell ref="B5246:E5246"/>
    <mergeCell ref="B7398:E7398"/>
    <mergeCell ref="A475:E475"/>
    <mergeCell ref="A8305:E8305"/>
    <mergeCell ref="A3362:E3362"/>
    <mergeCell ref="B8424:E8424"/>
    <mergeCell ref="B4825:E4825"/>
    <mergeCell ref="A7878:E7878"/>
    <mergeCell ref="A783:E783"/>
    <mergeCell ref="B7698:E7698"/>
    <mergeCell ref="A939:E939"/>
    <mergeCell ref="A1965:E1965"/>
    <mergeCell ref="A2630:E2630"/>
    <mergeCell ref="B6209:E6209"/>
    <mergeCell ref="A5905:E5905"/>
    <mergeCell ref="A4846:E4846"/>
    <mergeCell ref="B8425:E8425"/>
    <mergeCell ref="A1114:E1114"/>
    <mergeCell ref="A8664:E8664"/>
    <mergeCell ref="A6510:E6510"/>
    <mergeCell ref="B3019:E3019"/>
    <mergeCell ref="A1203:E1203"/>
    <mergeCell ref="B2539:E2539"/>
    <mergeCell ref="A2930:E2930"/>
    <mergeCell ref="A6230:E6230"/>
    <mergeCell ref="B1023:E1023"/>
    <mergeCell ref="A6205:E6205"/>
    <mergeCell ref="A8315:E8315"/>
    <mergeCell ref="B3782:E3782"/>
    <mergeCell ref="A1450:E1450"/>
    <mergeCell ref="A8025:E8025"/>
    <mergeCell ref="A6416:E6416"/>
    <mergeCell ref="A930:E930"/>
    <mergeCell ref="A8659:E8659"/>
    <mergeCell ref="A6536:E6536"/>
    <mergeCell ref="A1145:E1145"/>
    <mergeCell ref="B6350:E6350"/>
    <mergeCell ref="B4240:E4240"/>
    <mergeCell ref="B7540:E7540"/>
    <mergeCell ref="B508:E508"/>
    <mergeCell ref="B1534:E1534"/>
    <mergeCell ref="B8599:E8599"/>
    <mergeCell ref="B4836:E4836"/>
    <mergeCell ref="A1887:E1887"/>
    <mergeCell ref="A3077:E3077"/>
    <mergeCell ref="A2018:E2018"/>
    <mergeCell ref="B5624:E5624"/>
    <mergeCell ref="A5320:E5320"/>
    <mergeCell ref="A2614:E2614"/>
    <mergeCell ref="A2772:E2772"/>
    <mergeCell ref="B6351:E6351"/>
    <mergeCell ref="A2193:E2193"/>
    <mergeCell ref="A5074:E5074"/>
    <mergeCell ref="A3377:E3377"/>
    <mergeCell ref="A1292:E1292"/>
    <mergeCell ref="A4015:E4015"/>
    <mergeCell ref="A2345:E2345"/>
    <mergeCell ref="A2958:E2958"/>
    <mergeCell ref="A5620:E5620"/>
    <mergeCell ref="B5924:E5924"/>
    <mergeCell ref="A7317:E7317"/>
    <mergeCell ref="A829:E829"/>
    <mergeCell ref="B2713:C2713"/>
    <mergeCell ref="A3078:E3078"/>
    <mergeCell ref="B3319:E3319"/>
    <mergeCell ref="A4647:E4647"/>
    <mergeCell ref="A3072:E3072"/>
    <mergeCell ref="A5831:E5831"/>
    <mergeCell ref="B6068:C6068"/>
    <mergeCell ref="A7021:E7021"/>
    <mergeCell ref="A5374:E5374"/>
    <mergeCell ref="B2892:E2892"/>
    <mergeCell ref="B1245:E1245"/>
    <mergeCell ref="A4315:E4315"/>
    <mergeCell ref="A2645:E2645"/>
    <mergeCell ref="A8080:E8080"/>
    <mergeCell ref="A6558:E6558"/>
    <mergeCell ref="B8442:C8442"/>
    <mergeCell ref="A103:E103"/>
    <mergeCell ref="B4135:E4135"/>
    <mergeCell ref="A4431:E4431"/>
    <mergeCell ref="A2346:E2346"/>
    <mergeCell ref="A2862:E2862"/>
    <mergeCell ref="A4947:E4947"/>
    <mergeCell ref="B6378:E6378"/>
    <mergeCell ref="B7437:E7437"/>
    <mergeCell ref="B5921:E5921"/>
    <mergeCell ref="B4251:E4251"/>
    <mergeCell ref="B3192:E3192"/>
    <mergeCell ref="A3589:E3589"/>
    <mergeCell ref="A5674:E5674"/>
    <mergeCell ref="B8164:E8164"/>
    <mergeCell ref="A5832:E5832"/>
    <mergeCell ref="B1834:E1834"/>
    <mergeCell ref="A1616:E1616"/>
    <mergeCell ref="B5608:E5608"/>
    <mergeCell ref="B4136:E4136"/>
    <mergeCell ref="B5189:E5189"/>
    <mergeCell ref="A1162:E1162"/>
    <mergeCell ref="A4489:E4489"/>
    <mergeCell ref="A3430:E3430"/>
    <mergeCell ref="A3405:E3405"/>
    <mergeCell ref="A113:E113"/>
    <mergeCell ref="A2335:E2335"/>
    <mergeCell ref="A4026:E4026"/>
    <mergeCell ref="A1941:E1941"/>
    <mergeCell ref="A1916:E1916"/>
    <mergeCell ref="A857:E857"/>
    <mergeCell ref="A6732:E6732"/>
    <mergeCell ref="B8220:E8220"/>
    <mergeCell ref="A7975:E7975"/>
    <mergeCell ref="B6515:C6515"/>
    <mergeCell ref="B1736:E1736"/>
    <mergeCell ref="A3730:E3730"/>
    <mergeCell ref="A8064:E8064"/>
    <mergeCell ref="A5979:E5979"/>
    <mergeCell ref="B1850:E1850"/>
    <mergeCell ref="A5973:E5973"/>
    <mergeCell ref="A7706:E7706"/>
    <mergeCell ref="A8275:E8275"/>
    <mergeCell ref="A6190:E6190"/>
    <mergeCell ref="B2036:E2036"/>
    <mergeCell ref="B5336:E5336"/>
    <mergeCell ref="A4063:E4063"/>
    <mergeCell ref="A3004:E3004"/>
    <mergeCell ref="A5089:E5089"/>
    <mergeCell ref="A4057:E4057"/>
    <mergeCell ref="A5727:E5727"/>
    <mergeCell ref="A7970:E7970"/>
    <mergeCell ref="A7976:E7976"/>
    <mergeCell ref="B5031:E5031"/>
    <mergeCell ref="A873:E873"/>
    <mergeCell ref="B3420:E3420"/>
    <mergeCell ref="B3551:E3551"/>
    <mergeCell ref="A8733:E8733"/>
    <mergeCell ref="B4604:E4604"/>
    <mergeCell ref="A568:E568"/>
    <mergeCell ref="A5547:E5547"/>
    <mergeCell ref="B3246:E3246"/>
    <mergeCell ref="A4517:E4517"/>
    <mergeCell ref="B7064:E7064"/>
    <mergeCell ref="B661:C661"/>
    <mergeCell ref="A5901:E5901"/>
    <mergeCell ref="A5876:E5876"/>
    <mergeCell ref="A4817:E4817"/>
    <mergeCell ref="A2269:E2269"/>
    <mergeCell ref="A8749:E8749"/>
    <mergeCell ref="B2535:E2535"/>
    <mergeCell ref="A3320:E3320"/>
    <mergeCell ref="A5148:E5148"/>
    <mergeCell ref="B1019:E1019"/>
    <mergeCell ref="A5142:E5142"/>
    <mergeCell ref="A4091:E4091"/>
    <mergeCell ref="A6201:E6201"/>
    <mergeCell ref="A2569:E2569"/>
    <mergeCell ref="A4205:E4205"/>
    <mergeCell ref="A5774:E5774"/>
    <mergeCell ref="A8655:E8655"/>
    <mergeCell ref="A6958:E6958"/>
    <mergeCell ref="B5051:E5051"/>
    <mergeCell ref="A6501:E6501"/>
    <mergeCell ref="B287:E287"/>
    <mergeCell ref="B7353:C7353"/>
    <mergeCell ref="B4200:E4200"/>
    <mergeCell ref="A7685:E7685"/>
    <mergeCell ref="B2530:E2530"/>
    <mergeCell ref="A1230:E1230"/>
    <mergeCell ref="B6321:E6321"/>
    <mergeCell ref="A5143:E5143"/>
    <mergeCell ref="A3475:E3475"/>
    <mergeCell ref="A7386:E7386"/>
    <mergeCell ref="B1050:E1050"/>
    <mergeCell ref="A1980:E1980"/>
    <mergeCell ref="B1777:E1777"/>
    <mergeCell ref="A6959:E6959"/>
    <mergeCell ref="A957:E957"/>
    <mergeCell ref="B747:E747"/>
    <mergeCell ref="B4536:E4536"/>
    <mergeCell ref="A1553:E1553"/>
    <mergeCell ref="A1690:E1690"/>
    <mergeCell ref="A3775:E3775"/>
    <mergeCell ref="A2743:E2743"/>
    <mergeCell ref="A1684:E1684"/>
    <mergeCell ref="A6043:E6043"/>
    <mergeCell ref="B6779:E6779"/>
    <mergeCell ref="B6316:E6316"/>
    <mergeCell ref="B7506:E7506"/>
    <mergeCell ref="A6648:E6648"/>
    <mergeCell ref="A5616:E5616"/>
    <mergeCell ref="B1047:E1047"/>
    <mergeCell ref="A4557:E4557"/>
    <mergeCell ref="B15:E15"/>
    <mergeCell ref="A5153:E5153"/>
    <mergeCell ref="A3068:E3068"/>
    <mergeCell ref="A958:E958"/>
    <mergeCell ref="B5559:C5559"/>
    <mergeCell ref="B742:E742"/>
    <mergeCell ref="B7831:E7831"/>
    <mergeCell ref="B3947:E3947"/>
    <mergeCell ref="B2863:E2863"/>
    <mergeCell ref="B778:E778"/>
    <mergeCell ref="A4863:E4863"/>
    <mergeCell ref="B2406:E2406"/>
    <mergeCell ref="A3831:E3831"/>
    <mergeCell ref="A5916:E5916"/>
    <mergeCell ref="A7106:E7106"/>
    <mergeCell ref="A5497:E5497"/>
    <mergeCell ref="B3615:E3615"/>
    <mergeCell ref="A1258:E1258"/>
    <mergeCell ref="A4558:E4558"/>
    <mergeCell ref="A5617:E5617"/>
    <mergeCell ref="A8376:E8376"/>
    <mergeCell ref="B4247:E4247"/>
    <mergeCell ref="B3188:E3188"/>
    <mergeCell ref="B8160:E8160"/>
    <mergeCell ref="B5437:E5437"/>
    <mergeCell ref="A8370:E8370"/>
    <mergeCell ref="A7913:E7913"/>
    <mergeCell ref="B8706:E8706"/>
    <mergeCell ref="B3915:E3915"/>
    <mergeCell ref="B6158:E6158"/>
    <mergeCell ref="A4858:E4858"/>
    <mergeCell ref="B2852:C2852"/>
    <mergeCell ref="A2158:E2158"/>
    <mergeCell ref="B5737:E5737"/>
    <mergeCell ref="A3270:E3270"/>
    <mergeCell ref="A1185:E1185"/>
    <mergeCell ref="A1695:E1695"/>
    <mergeCell ref="B3189:E3189"/>
    <mergeCell ref="A3401:E3401"/>
    <mergeCell ref="B4095:C4095"/>
    <mergeCell ref="B4215:E4215"/>
    <mergeCell ref="A2369:E2369"/>
    <mergeCell ref="A4460:E4460"/>
    <mergeCell ref="A5644:E5644"/>
    <mergeCell ref="B7517:E7517"/>
    <mergeCell ref="A215:E215"/>
    <mergeCell ref="A853:E853"/>
    <mergeCell ref="B4402:E4402"/>
    <mergeCell ref="B2762:E2762"/>
    <mergeCell ref="A4155:E4155"/>
    <mergeCell ref="A373:E373"/>
    <mergeCell ref="B6675:E6675"/>
    <mergeCell ref="B6033:C6033"/>
    <mergeCell ref="B157:E157"/>
    <mergeCell ref="A969:E969"/>
    <mergeCell ref="A5944:E5944"/>
    <mergeCell ref="B1427:E1427"/>
    <mergeCell ref="A4912:E4912"/>
    <mergeCell ref="B4702:E4702"/>
    <mergeCell ref="A4455:E4455"/>
    <mergeCell ref="A3396:E3396"/>
    <mergeCell ref="B2548:E2548"/>
    <mergeCell ref="A2326:E2326"/>
    <mergeCell ref="B457:E457"/>
    <mergeCell ref="B7575:E7575"/>
    <mergeCell ref="A6275:E6275"/>
    <mergeCell ref="A6269:E6269"/>
    <mergeCell ref="B3336:E3336"/>
    <mergeCell ref="A8512:E8512"/>
    <mergeCell ref="B3970:E3970"/>
    <mergeCell ref="A2670:E2670"/>
    <mergeCell ref="B7148:E7148"/>
    <mergeCell ref="A8055:E8055"/>
    <mergeCell ref="A8091:E8091"/>
    <mergeCell ref="B5659:E5659"/>
    <mergeCell ref="A7628:E7628"/>
    <mergeCell ref="A5543:E5543"/>
    <mergeCell ref="A7786:E7786"/>
    <mergeCell ref="B3217:E3217"/>
    <mergeCell ref="B7448:E7448"/>
    <mergeCell ref="B7570:E7570"/>
    <mergeCell ref="A1327:E1327"/>
    <mergeCell ref="A268:E268"/>
    <mergeCell ref="A243:E243"/>
    <mergeCell ref="B7606:E7606"/>
    <mergeCell ref="A8513:E8513"/>
    <mergeCell ref="A3570:E3570"/>
    <mergeCell ref="B7149:E7149"/>
    <mergeCell ref="A6329:E6329"/>
    <mergeCell ref="A3107:E3107"/>
    <mergeCell ref="A7056:E7056"/>
    <mergeCell ref="B5596:C5596"/>
    <mergeCell ref="A4902:E4902"/>
    <mergeCell ref="B7906:E7906"/>
    <mergeCell ref="A6593:E6593"/>
    <mergeCell ref="A3870:E3870"/>
    <mergeCell ref="A4508:E4508"/>
    <mergeCell ref="A6629:E6629"/>
    <mergeCell ref="B8633:E8633"/>
    <mergeCell ref="A1200:E1200"/>
    <mergeCell ref="A4081:E4081"/>
    <mergeCell ref="A8440:E8440"/>
    <mergeCell ref="B1142:E1142"/>
    <mergeCell ref="A1927:E1927"/>
    <mergeCell ref="A5254:E5254"/>
    <mergeCell ref="A4170:E4170"/>
    <mergeCell ref="B1747:E1747"/>
    <mergeCell ref="B1905:E1905"/>
    <mergeCell ref="B7903:E7903"/>
    <mergeCell ref="B5818:E5818"/>
    <mergeCell ref="B2476:C2476"/>
    <mergeCell ref="B3533:E3533"/>
    <mergeCell ref="A6630:E6630"/>
    <mergeCell ref="A6624:E6624"/>
    <mergeCell ref="B4742:E4742"/>
    <mergeCell ref="B8560:E8560"/>
    <mergeCell ref="B6406:E6406"/>
    <mergeCell ref="B8649:E8649"/>
    <mergeCell ref="A6955:E6955"/>
    <mergeCell ref="A1469:E1469"/>
    <mergeCell ref="B5042:E5042"/>
    <mergeCell ref="B7291:E7291"/>
    <mergeCell ref="B6775:E6775"/>
    <mergeCell ref="A3765:E3765"/>
    <mergeCell ref="A1164:E1164"/>
    <mergeCell ref="A6014:E6014"/>
    <mergeCell ref="A585:E585"/>
    <mergeCell ref="B4202:E4202"/>
    <mergeCell ref="A4982:E4982"/>
    <mergeCell ref="B8561:E8561"/>
    <mergeCell ref="B4644:E4644"/>
    <mergeCell ref="A1796:E1796"/>
    <mergeCell ref="A3496:E3496"/>
    <mergeCell ref="B3286:E3286"/>
    <mergeCell ref="A4071:E4071"/>
    <mergeCell ref="B7075:E7075"/>
    <mergeCell ref="A2401:E2401"/>
    <mergeCell ref="A1342:E1342"/>
    <mergeCell ref="A8468:E8468"/>
    <mergeCell ref="B100:E100"/>
    <mergeCell ref="A4223:E4223"/>
    <mergeCell ref="B7802:E7802"/>
    <mergeCell ref="A8582:E8582"/>
    <mergeCell ref="A3128:E3128"/>
    <mergeCell ref="A3766:E3766"/>
    <mergeCell ref="A8041:E8041"/>
    <mergeCell ref="A3802:E3802"/>
    <mergeCell ref="B1370:E1370"/>
    <mergeCell ref="A7102:E7102"/>
    <mergeCell ref="B2948:E2948"/>
    <mergeCell ref="B863:E863"/>
    <mergeCell ref="B4639:E4639"/>
    <mergeCell ref="B2554:E2554"/>
    <mergeCell ref="A1254:E1254"/>
    <mergeCell ref="A3339:E3339"/>
    <mergeCell ref="B5829:E5829"/>
    <mergeCell ref="B400:E400"/>
    <mergeCell ref="A5582:E5582"/>
    <mergeCell ref="B3675:E3675"/>
    <mergeCell ref="A7410:E7410"/>
    <mergeCell ref="B3281:E3281"/>
    <mergeCell ref="B1584:E1584"/>
    <mergeCell ref="A8341:E8341"/>
    <mergeCell ref="B4918:C4918"/>
    <mergeCell ref="B5402:E5402"/>
    <mergeCell ref="B3317:E3317"/>
    <mergeCell ref="A7402:E7402"/>
    <mergeCell ref="B2860:E2860"/>
    <mergeCell ref="B1801:E1801"/>
    <mergeCell ref="B3886:E3886"/>
    <mergeCell ref="B2854:E2854"/>
    <mergeCell ref="A6983:E6983"/>
    <mergeCell ref="A8042:E8042"/>
    <mergeCell ref="A3797:E3797"/>
    <mergeCell ref="A7097:E7097"/>
    <mergeCell ref="A7710:E7710"/>
    <mergeCell ref="A4239:E4239"/>
    <mergeCell ref="A2154:E2154"/>
    <mergeCell ref="A8156:E8156"/>
    <mergeCell ref="A613:E613"/>
    <mergeCell ref="A2881:E2881"/>
    <mergeCell ref="B7513:E7513"/>
    <mergeCell ref="A5640:E5640"/>
    <mergeCell ref="B8703:E8703"/>
    <mergeCell ref="A3486:E3486"/>
    <mergeCell ref="A1401:E1401"/>
    <mergeCell ref="A2454:E2454"/>
    <mergeCell ref="A5729:E5729"/>
    <mergeCell ref="B8276:E8276"/>
    <mergeCell ref="B575:C575"/>
    <mergeCell ref="A965:E965"/>
    <mergeCell ref="A8031:E8031"/>
    <mergeCell ref="A4234:E4234"/>
    <mergeCell ref="A2149:E2149"/>
    <mergeCell ref="A5940:E5940"/>
    <mergeCell ref="B1811:E1811"/>
    <mergeCell ref="A8183:E8183"/>
    <mergeCell ref="A4451:E4451"/>
    <mergeCell ref="A2754:E2754"/>
    <mergeCell ref="A7726:E7726"/>
    <mergeCell ref="B5244:E5244"/>
    <mergeCell ref="B453:E453"/>
    <mergeCell ref="A4997:E4997"/>
    <mergeCell ref="B4271:E4271"/>
    <mergeCell ref="A2455:E2455"/>
    <mergeCell ref="A1396:E1396"/>
    <mergeCell ref="A4540:E4540"/>
    <mergeCell ref="A7756:E7756"/>
    <mergeCell ref="B2117:E2117"/>
    <mergeCell ref="A6240:E6240"/>
    <mergeCell ref="A3517:E3517"/>
    <mergeCell ref="B1085:E1085"/>
    <mergeCell ref="A7430:E7430"/>
    <mergeCell ref="B4360:E4360"/>
    <mergeCell ref="A7457:E7457"/>
    <mergeCell ref="B1216:E1216"/>
    <mergeCell ref="B8730:E8730"/>
    <mergeCell ref="B7241:E7241"/>
    <mergeCell ref="A5941:E5941"/>
    <mergeCell ref="B3459:E3459"/>
    <mergeCell ref="B6182:E6182"/>
    <mergeCell ref="B7688:C7688"/>
    <mergeCell ref="A8026:E8026"/>
    <mergeCell ref="A7125:E7125"/>
    <mergeCell ref="B4055:E4055"/>
    <mergeCell ref="B6820:E6820"/>
    <mergeCell ref="B7846:E7846"/>
    <mergeCell ref="B6814:E6814"/>
    <mergeCell ref="B8004:E8004"/>
    <mergeCell ref="B3213:E3213"/>
    <mergeCell ref="B7960:E7960"/>
    <mergeCell ref="B5334:E5334"/>
    <mergeCell ref="B27:E27"/>
    <mergeCell ref="B4871:E4871"/>
    <mergeCell ref="A3541:E3541"/>
    <mergeCell ref="A6841:E6841"/>
    <mergeCell ref="A1412:E1412"/>
    <mergeCell ref="A993:E993"/>
    <mergeCell ref="A4293:E4293"/>
    <mergeCell ref="B3513:E3513"/>
    <mergeCell ref="A8082:E8082"/>
    <mergeCell ref="B6815:E6815"/>
    <mergeCell ref="A985:E985"/>
    <mergeCell ref="A4898:E4898"/>
    <mergeCell ref="B769:E769"/>
    <mergeCell ref="A3866:E3866"/>
    <mergeCell ref="A3841:E3841"/>
    <mergeCell ref="A1756:E1756"/>
    <mergeCell ref="A7141:E7141"/>
    <mergeCell ref="B927:E927"/>
    <mergeCell ref="A6109:E6109"/>
    <mergeCell ref="B7530:C7530"/>
    <mergeCell ref="A8411:E8411"/>
    <mergeCell ref="A6714:E6714"/>
    <mergeCell ref="A8542:E8542"/>
    <mergeCell ref="B4413:E4413"/>
    <mergeCell ref="A5198:E5198"/>
    <mergeCell ref="A6872:E6872"/>
    <mergeCell ref="A4166:E4166"/>
    <mergeCell ref="B1227:E1227"/>
    <mergeCell ref="A8115:E8115"/>
    <mergeCell ref="B3529:E3529"/>
    <mergeCell ref="A6626:E6626"/>
    <mergeCell ref="A4929:E4929"/>
    <mergeCell ref="A7652:E7652"/>
    <mergeCell ref="B7926:E7926"/>
    <mergeCell ref="A7172:E7172"/>
    <mergeCell ref="A7810:E7810"/>
    <mergeCell ref="A4466:E4466"/>
    <mergeCell ref="B6956:E6956"/>
    <mergeCell ref="A6709:E6709"/>
    <mergeCell ref="A4624:E4624"/>
    <mergeCell ref="B55:E55"/>
    <mergeCell ref="B497:E497"/>
    <mergeCell ref="A3594:E3594"/>
    <mergeCell ref="A250:E250"/>
    <mergeCell ref="B8226:E8226"/>
    <mergeCell ref="A1440:E1440"/>
    <mergeCell ref="A2493:E2493"/>
    <mergeCell ref="A408:E408"/>
    <mergeCell ref="B6072:E6072"/>
    <mergeCell ref="A7472:E7472"/>
    <mergeCell ref="A3167:E3167"/>
    <mergeCell ref="B5171:E5171"/>
    <mergeCell ref="A1013:E1013"/>
    <mergeCell ref="A619:E619"/>
    <mergeCell ref="A4953:E4953"/>
    <mergeCell ref="A5366:E5366"/>
    <mergeCell ref="A1740:E1740"/>
    <mergeCell ref="A3467:E3467"/>
    <mergeCell ref="A6767:E6767"/>
    <mergeCell ref="B528:E528"/>
    <mergeCell ref="A3587:E3587"/>
    <mergeCell ref="A6310:E6310"/>
    <mergeCell ref="A3168:E3168"/>
    <mergeCell ref="A8553:E8553"/>
    <mergeCell ref="A3124:E3124"/>
    <mergeCell ref="A6005:E6005"/>
    <mergeCell ref="B798:E798"/>
    <mergeCell ref="B4014:E4014"/>
    <mergeCell ref="A4308:E4308"/>
    <mergeCell ref="B2944:E2944"/>
    <mergeCell ref="A8126:E8126"/>
    <mergeCell ref="B3997:E3997"/>
    <mergeCell ref="A8248:E8248"/>
    <mergeCell ref="B828:E828"/>
    <mergeCell ref="A4525:E4525"/>
    <mergeCell ref="B5187:E5187"/>
    <mergeCell ref="B5825:E5825"/>
    <mergeCell ref="A6610:E6610"/>
    <mergeCell ref="B3671:E3671"/>
    <mergeCell ref="B1580:E1580"/>
    <mergeCell ref="A6762:E6762"/>
    <mergeCell ref="A7952:E7952"/>
    <mergeCell ref="B5398:E5398"/>
    <mergeCell ref="A3582:E3582"/>
    <mergeCell ref="B3701:E3701"/>
    <mergeCell ref="A1362:E1362"/>
    <mergeCell ref="B7614:E7614"/>
    <mergeCell ref="B3244:E3244"/>
    <mergeCell ref="A2552:E2552"/>
    <mergeCell ref="B3366:E3366"/>
    <mergeCell ref="B5487:E5487"/>
    <mergeCell ref="B6125:E6125"/>
    <mergeCell ref="B2939:E2939"/>
    <mergeCell ref="A2125:E2125"/>
    <mergeCell ref="B6214:E6214"/>
    <mergeCell ref="B4129:E4129"/>
    <mergeCell ref="B3613:E3613"/>
    <mergeCell ref="A3309:E3309"/>
    <mergeCell ref="A3905:E3905"/>
    <mergeCell ref="B6425:E6425"/>
    <mergeCell ref="A2389:E2389"/>
    <mergeCell ref="B7615:E7615"/>
    <mergeCell ref="B2060:C2060"/>
    <mergeCell ref="A2425:E2425"/>
    <mergeCell ref="B124:E124"/>
    <mergeCell ref="A4668:E4668"/>
    <mergeCell ref="A3152:E3152"/>
    <mergeCell ref="A7505:E7505"/>
    <mergeCell ref="A5420:E5420"/>
    <mergeCell ref="A7541:E7541"/>
    <mergeCell ref="A8179:E8179"/>
    <mergeCell ref="A6069:E6069"/>
    <mergeCell ref="B1940:E1940"/>
    <mergeCell ref="A6025:E6025"/>
    <mergeCell ref="A2883:E2883"/>
    <mergeCell ref="B1477:E1477"/>
    <mergeCell ref="A177:E177"/>
    <mergeCell ref="A2420:E2420"/>
    <mergeCell ref="A335:E335"/>
    <mergeCell ref="B4813:E4813"/>
    <mergeCell ref="A5720:E5720"/>
    <mergeCell ref="A8485:E8485"/>
    <mergeCell ref="A5756:E5756"/>
    <mergeCell ref="B7237:E7237"/>
    <mergeCell ref="A1504:E1504"/>
    <mergeCell ref="A5293:E5293"/>
    <mergeCell ref="B7783:E7783"/>
    <mergeCell ref="A6483:E6483"/>
    <mergeCell ref="B2992:E2992"/>
    <mergeCell ref="B1935:E1935"/>
    <mergeCell ref="B5113:E5113"/>
    <mergeCell ref="A3935:E3935"/>
    <mergeCell ref="A6020:E6020"/>
    <mergeCell ref="B4814:E4814"/>
    <mergeCell ref="B3755:E3755"/>
    <mergeCell ref="B5840:E5840"/>
    <mergeCell ref="B7030:E7030"/>
    <mergeCell ref="A3537:E3537"/>
    <mergeCell ref="B7626:E7626"/>
    <mergeCell ref="B5541:E5541"/>
    <mergeCell ref="B1624:E1624"/>
    <mergeCell ref="A4721:E4721"/>
    <mergeCell ref="B6603:E6603"/>
    <mergeCell ref="A4264:E4264"/>
    <mergeCell ref="A2567:E2567"/>
    <mergeCell ref="B5114:E5114"/>
    <mergeCell ref="A5448:E5448"/>
    <mergeCell ref="B5108:E5108"/>
    <mergeCell ref="A19:E19"/>
    <mergeCell ref="B7357:E7357"/>
    <mergeCell ref="A8653:E8653"/>
    <mergeCell ref="B1897:C1897"/>
    <mergeCell ref="A2778:E2778"/>
    <mergeCell ref="A3837:E3837"/>
    <mergeCell ref="A5027:E5027"/>
    <mergeCell ref="A6053:E6053"/>
    <mergeCell ref="A6080:E6080"/>
    <mergeCell ref="A5021:E5021"/>
    <mergeCell ref="A7137:E7137"/>
    <mergeCell ref="B8600:E8600"/>
    <mergeCell ref="A4564:E4564"/>
    <mergeCell ref="A782:E782"/>
    <mergeCell ref="A2473:E2473"/>
    <mergeCell ref="A1835:E1835"/>
    <mergeCell ref="A5748:E5748"/>
    <mergeCell ref="A319:E319"/>
    <mergeCell ref="A2052:E2052"/>
    <mergeCell ref="B6627:E6627"/>
    <mergeCell ref="B5568:E5568"/>
    <mergeCell ref="A6405:E6405"/>
    <mergeCell ref="B1198:E1198"/>
    <mergeCell ref="B139:E139"/>
    <mergeCell ref="A6380:E6380"/>
    <mergeCell ref="B804:E804"/>
    <mergeCell ref="A8648:E8648"/>
    <mergeCell ref="B2382:E2382"/>
    <mergeCell ref="B3020:E3020"/>
    <mergeCell ref="A79:E79"/>
    <mergeCell ref="B1986:E1986"/>
    <mergeCell ref="B4193:E4193"/>
    <mergeCell ref="A7168:E7168"/>
    <mergeCell ref="A7737:E7737"/>
    <mergeCell ref="A5652:E5652"/>
    <mergeCell ref="A6705:E6705"/>
    <mergeCell ref="B4798:E4798"/>
    <mergeCell ref="A7895:E7895"/>
    <mergeCell ref="A3521:E3521"/>
    <mergeCell ref="A3679:E3679"/>
    <mergeCell ref="A7468:E7468"/>
    <mergeCell ref="B5167:E5167"/>
    <mergeCell ref="A3252:E3252"/>
    <mergeCell ref="B2594:E2594"/>
    <mergeCell ref="A3374:E3374"/>
    <mergeCell ref="B3036:E3036"/>
    <mergeCell ref="B951:E951"/>
    <mergeCell ref="A4436:E4436"/>
    <mergeCell ref="A5495:E5495"/>
    <mergeCell ref="B8015:E8015"/>
    <mergeCell ref="A679:E679"/>
    <mergeCell ref="A3979:E3979"/>
    <mergeCell ref="A247:E247"/>
    <mergeCell ref="A2947:E2947"/>
    <mergeCell ref="B6526:E6526"/>
    <mergeCell ref="A6738:E6738"/>
    <mergeCell ref="A3674:E3674"/>
    <mergeCell ref="A6852:E6852"/>
    <mergeCell ref="A5380:E5380"/>
    <mergeCell ref="B2310:E2310"/>
    <mergeCell ref="A7492:E7492"/>
    <mergeCell ref="A1004:E1004"/>
    <mergeCell ref="A4279:E4279"/>
    <mergeCell ref="A3247:E3247"/>
    <mergeCell ref="A8097:E8097"/>
    <mergeCell ref="B1340:E1340"/>
    <mergeCell ref="B1856:E1856"/>
    <mergeCell ref="A7160:E7160"/>
    <mergeCell ref="B824:E824"/>
    <mergeCell ref="A8219:E8219"/>
    <mergeCell ref="A7196:E7196"/>
    <mergeCell ref="B3609:C3609"/>
    <mergeCell ref="A1889:E1889"/>
    <mergeCell ref="A5067:E5067"/>
    <mergeCell ref="B6980:E6980"/>
    <mergeCell ref="B2610:E2610"/>
    <mergeCell ref="A6733:E6733"/>
    <mergeCell ref="A7152:E7152"/>
    <mergeCell ref="A1304:E1304"/>
    <mergeCell ref="B4878:E4878"/>
    <mergeCell ref="B3794:E3794"/>
    <mergeCell ref="A5663:E5663"/>
    <mergeCell ref="A3547:E3547"/>
    <mergeCell ref="B3337:E3337"/>
    <mergeCell ref="A8519:E8519"/>
    <mergeCell ref="B8190:C8190"/>
    <mergeCell ref="A8580:E8580"/>
    <mergeCell ref="B8364:E8364"/>
    <mergeCell ref="A2631:E2631"/>
    <mergeCell ref="A546:E546"/>
    <mergeCell ref="B6210:E6210"/>
    <mergeCell ref="A2848:E2848"/>
    <mergeCell ref="A5091:E5091"/>
    <mergeCell ref="A846:E846"/>
    <mergeCell ref="A4664:E4664"/>
    <mergeCell ref="A3605:E3605"/>
    <mergeCell ref="B666:E666"/>
    <mergeCell ref="A1451:E1451"/>
    <mergeCell ref="A4201:E4201"/>
    <mergeCell ref="A419:E419"/>
    <mergeCell ref="B5638:E5638"/>
    <mergeCell ref="A2668:E2668"/>
    <mergeCell ref="A3694:E3694"/>
    <mergeCell ref="A5848:E5848"/>
    <mergeCell ref="A6444:E6444"/>
    <mergeCell ref="A6581:E6581"/>
    <mergeCell ref="A6575:E6575"/>
    <mergeCell ref="B1420:E1420"/>
    <mergeCell ref="A1146:E1146"/>
    <mergeCell ref="A2205:E2205"/>
    <mergeCell ref="A4964:E4964"/>
    <mergeCell ref="A2879:E2879"/>
    <mergeCell ref="A8264:E8264"/>
    <mergeCell ref="A6154:E6154"/>
    <mergeCell ref="A2932:E2932"/>
    <mergeCell ref="A1363:E1363"/>
    <mergeCell ref="A6148:E6148"/>
    <mergeCell ref="A2416:E2416"/>
    <mergeCell ref="A719:E719"/>
    <mergeCell ref="B509:E509"/>
    <mergeCell ref="A3606:E3606"/>
    <mergeCell ref="A4659:E4659"/>
    <mergeCell ref="A6875:E6875"/>
    <mergeCell ref="B5511:E5511"/>
    <mergeCell ref="B3426:E3426"/>
    <mergeCell ref="B5633:E5633"/>
    <mergeCell ref="A8564:E8564"/>
    <mergeCell ref="B7754:E7754"/>
    <mergeCell ref="B5669:E5669"/>
    <mergeCell ref="B6695:E6695"/>
    <mergeCell ref="B240:E240"/>
    <mergeCell ref="B5212:E5212"/>
    <mergeCell ref="A8265:E8265"/>
    <mergeCell ref="A2263:E2263"/>
    <mergeCell ref="B3052:E3052"/>
    <mergeCell ref="B2536:E2536"/>
    <mergeCell ref="A1206:E1206"/>
    <mergeCell ref="B5969:E5969"/>
    <mergeCell ref="B1568:C1568"/>
    <mergeCell ref="B4480:E4480"/>
    <mergeCell ref="B3421:E3421"/>
    <mergeCell ref="B563:E563"/>
    <mergeCell ref="A3616:E3616"/>
    <mergeCell ref="A1531:E1531"/>
    <mergeCell ref="A1506:E1506"/>
    <mergeCell ref="A4806:E4806"/>
    <mergeCell ref="B1290:E1290"/>
    <mergeCell ref="B6294:E6294"/>
    <mergeCell ref="A4343:E4343"/>
    <mergeCell ref="B7922:E7922"/>
    <mergeCell ref="A6586:E6586"/>
    <mergeCell ref="A4379:E4379"/>
    <mergeCell ref="A2294:E2294"/>
    <mergeCell ref="A5017:E5017"/>
    <mergeCell ref="B7954:C7954"/>
    <mergeCell ref="B4163:E4163"/>
    <mergeCell ref="A5771:E5771"/>
    <mergeCell ref="A4074:E4074"/>
    <mergeCell ref="B7653:E7653"/>
    <mergeCell ref="A7865:E7865"/>
    <mergeCell ref="A7987:E7987"/>
    <mergeCell ref="A2558:E2558"/>
    <mergeCell ref="B5564:E5564"/>
    <mergeCell ref="A6376:E6376"/>
    <mergeCell ref="A5317:E5317"/>
    <mergeCell ref="B4469:E4469"/>
    <mergeCell ref="A8592:E8592"/>
    <mergeCell ref="A6507:E6507"/>
    <mergeCell ref="A2131:E2131"/>
    <mergeCell ref="B1921:E1921"/>
    <mergeCell ref="B224:E224"/>
    <mergeCell ref="A3321:E3321"/>
    <mergeCell ref="A8293:E8293"/>
    <mergeCell ref="A4374:E4374"/>
    <mergeCell ref="B4164:E4164"/>
    <mergeCell ref="B2073:E2073"/>
    <mergeCell ref="B6923:E6923"/>
    <mergeCell ref="B5864:E5864"/>
    <mergeCell ref="A4591:E4591"/>
    <mergeCell ref="A3016:E3016"/>
    <mergeCell ref="B2678:E2678"/>
    <mergeCell ref="B7037:E7037"/>
    <mergeCell ref="B5980:E5980"/>
    <mergeCell ref="B4921:E4921"/>
    <mergeCell ref="A5318:E5318"/>
    <mergeCell ref="B4464:E4464"/>
    <mergeCell ref="B2379:E2379"/>
    <mergeCell ref="B5138:E5138"/>
    <mergeCell ref="A489:E489"/>
    <mergeCell ref="A464:E464"/>
    <mergeCell ref="A2155:E2155"/>
    <mergeCell ref="B7381:E7381"/>
    <mergeCell ref="B7337:E7337"/>
    <mergeCell ref="A2286:E2286"/>
    <mergeCell ref="A6060:E6060"/>
    <mergeCell ref="A3975:E3975"/>
    <mergeCell ref="A2278:E2278"/>
    <mergeCell ref="B2106:E2106"/>
    <mergeCell ref="A3950:E3950"/>
    <mergeCell ref="A2918:E2918"/>
    <mergeCell ref="B8738:E8738"/>
    <mergeCell ref="A1842:E1842"/>
    <mergeCell ref="A5755:E5755"/>
    <mergeCell ref="A4275:E4275"/>
    <mergeCell ref="B3465:E3465"/>
    <mergeCell ref="A6975:E6975"/>
    <mergeCell ref="B1336:E1336"/>
    <mergeCell ref="B304:E304"/>
    <mergeCell ref="A30:E30"/>
    <mergeCell ref="A1089:E1089"/>
    <mergeCell ref="A7708:E7708"/>
    <mergeCell ref="A7788:E7788"/>
    <mergeCell ref="B1031:E1031"/>
    <mergeCell ref="A6091:E6091"/>
    <mergeCell ref="A7281:E7281"/>
    <mergeCell ref="A7919:E7919"/>
    <mergeCell ref="B3790:E3790"/>
    <mergeCell ref="A2490:E2490"/>
    <mergeCell ref="B1680:E1680"/>
    <mergeCell ref="A4575:E4575"/>
    <mergeCell ref="B3333:E3333"/>
    <mergeCell ref="B1636:E1636"/>
    <mergeCell ref="B7065:E7065"/>
    <mergeCell ref="B604:E604"/>
    <mergeCell ref="A359:E359"/>
    <mergeCell ref="A4118:E4118"/>
    <mergeCell ref="B7697:E7697"/>
    <mergeCell ref="A8088:E8088"/>
    <mergeCell ref="B6339:E6339"/>
    <mergeCell ref="A54:E54"/>
    <mergeCell ref="B7392:E7392"/>
    <mergeCell ref="B4248:E4248"/>
    <mergeCell ref="A3390:E3390"/>
    <mergeCell ref="B4975:E4975"/>
    <mergeCell ref="B8153:E8153"/>
    <mergeCell ref="B4786:C4786"/>
    <mergeCell ref="B3364:E3364"/>
    <mergeCell ref="B7692:E7692"/>
    <mergeCell ref="A3690:E3690"/>
    <mergeCell ref="A3271:E3271"/>
    <mergeCell ref="A2201:E2201"/>
    <mergeCell ref="B332:E332"/>
    <mergeCell ref="A85:E85"/>
    <mergeCell ref="A3385:E3385"/>
    <mergeCell ref="B6964:E6964"/>
    <mergeCell ref="A7203:E7203"/>
    <mergeCell ref="A6144:E6144"/>
    <mergeCell ref="A2964:E2964"/>
    <mergeCell ref="A3990:E3990"/>
    <mergeCell ref="A2501:E2501"/>
    <mergeCell ref="A6898:E6898"/>
    <mergeCell ref="B632:E632"/>
    <mergeCell ref="B4991:E4991"/>
    <mergeCell ref="A4744:E4744"/>
    <mergeCell ref="B175:E175"/>
    <mergeCell ref="A3272:E3272"/>
    <mergeCell ref="A3685:E3685"/>
    <mergeCell ref="B6691:E6691"/>
    <mergeCell ref="B7750:E7750"/>
    <mergeCell ref="A8693:E8693"/>
    <mergeCell ref="B7287:E7287"/>
    <mergeCell ref="B3505:E3505"/>
    <mergeCell ref="B8477:E8477"/>
    <mergeCell ref="A3889:E3889"/>
    <mergeCell ref="B4695:E4695"/>
    <mergeCell ref="B3048:E3048"/>
    <mergeCell ref="A6145:E6145"/>
    <mergeCell ref="A8687:E8687"/>
    <mergeCell ref="A3287:E3287"/>
    <mergeCell ref="A1202:E1202"/>
    <mergeCell ref="A143:E143"/>
    <mergeCell ref="A8388:E8388"/>
    <mergeCell ref="B8172:E8172"/>
    <mergeCell ref="A739:E739"/>
    <mergeCell ref="B5965:E5965"/>
    <mergeCell ref="A1929:E1929"/>
    <mergeCell ref="B4449:E4449"/>
    <mergeCell ref="A5204:E5204"/>
    <mergeCell ref="B4864:E4864"/>
    <mergeCell ref="B7751:E7751"/>
    <mergeCell ref="B7745:E7745"/>
    <mergeCell ref="A6445:E6445"/>
    <mergeCell ref="A2648:E2648"/>
    <mergeCell ref="A1039:E1039"/>
    <mergeCell ref="B6265:E6265"/>
    <mergeCell ref="A1591:E1591"/>
    <mergeCell ref="A3282:E3282"/>
    <mergeCell ref="A1197:E1197"/>
    <mergeCell ref="B6992:E6992"/>
    <mergeCell ref="A6618:E6618"/>
    <mergeCell ref="A1802:E1802"/>
    <mergeCell ref="A5102:E5102"/>
    <mergeCell ref="B3233:E3233"/>
    <mergeCell ref="A6292:E6292"/>
    <mergeCell ref="A7345:E7345"/>
    <mergeCell ref="A444:E444"/>
    <mergeCell ref="A8615:E8615"/>
    <mergeCell ref="A6918:E6918"/>
    <mergeCell ref="A4370:E4370"/>
    <mergeCell ref="A6592:E6592"/>
    <mergeCell ref="A5560:E5560"/>
    <mergeCell ref="B991:E991"/>
    <mergeCell ref="A1186:E1186"/>
    <mergeCell ref="A7346:E7346"/>
    <mergeCell ref="B7465:E7465"/>
    <mergeCell ref="A7862:E7862"/>
    <mergeCell ref="A3429:E3429"/>
    <mergeCell ref="B7008:E7008"/>
    <mergeCell ref="B4923:E4923"/>
    <mergeCell ref="B3864:E3864"/>
    <mergeCell ref="B5976:E5976"/>
    <mergeCell ref="B8192:E8192"/>
    <mergeCell ref="A881:E881"/>
    <mergeCell ref="B101:E101"/>
    <mergeCell ref="A5860:E5860"/>
    <mergeCell ref="B6703:E6703"/>
    <mergeCell ref="A4830:E4830"/>
    <mergeCell ref="A460:E460"/>
    <mergeCell ref="B8403:E8403"/>
    <mergeCell ref="A454:E454"/>
    <mergeCell ref="A2282:E2282"/>
    <mergeCell ref="B5217:E5217"/>
    <mergeCell ref="B7466:E7466"/>
    <mergeCell ref="A155:E155"/>
    <mergeCell ref="A1181:E1181"/>
    <mergeCell ref="B6407:E6407"/>
    <mergeCell ref="B1007:E1007"/>
    <mergeCell ref="A6189:E6189"/>
    <mergeCell ref="B7677:E7677"/>
    <mergeCell ref="A3028:E3028"/>
    <mergeCell ref="A2582:E2582"/>
    <mergeCell ref="A6916:E6916"/>
    <mergeCell ref="B702:E702"/>
    <mergeCell ref="B90:C90"/>
    <mergeCell ref="B8404:E8404"/>
    <mergeCell ref="A6946:E6946"/>
    <mergeCell ref="A1639:E1639"/>
    <mergeCell ref="A4404:E4404"/>
    <mergeCell ref="B275:E275"/>
    <mergeCell ref="B3575:E3575"/>
    <mergeCell ref="A8757:E8757"/>
    <mergeCell ref="B1465:E1465"/>
    <mergeCell ref="B406:E406"/>
    <mergeCell ref="B2491:E2491"/>
    <mergeCell ref="A3941:E3941"/>
    <mergeCell ref="B5241:E5241"/>
    <mergeCell ref="A6184:E6184"/>
    <mergeCell ref="A5125:E5125"/>
    <mergeCell ref="A7277:E7277"/>
    <mergeCell ref="B4951:E4951"/>
    <mergeCell ref="B6004:E6004"/>
    <mergeCell ref="B4928:E4928"/>
    <mergeCell ref="A3628:E3628"/>
    <mergeCell ref="B2818:E2818"/>
    <mergeCell ref="A2598:E2598"/>
    <mergeCell ref="B1302:E1302"/>
    <mergeCell ref="A1541:E1541"/>
    <mergeCell ref="B1976:E1976"/>
    <mergeCell ref="B4638:E4638"/>
    <mergeCell ref="B7361:E7361"/>
    <mergeCell ref="B7388:E7388"/>
    <mergeCell ref="B4219:E4219"/>
    <mergeCell ref="A596:E596"/>
    <mergeCell ref="B4175:E4175"/>
    <mergeCell ref="A7272:E7272"/>
    <mergeCell ref="A8331:E8331"/>
    <mergeCell ref="A2329:E2329"/>
    <mergeCell ref="B8124:E8124"/>
    <mergeCell ref="A813:E813"/>
    <mergeCell ref="A1866:E1866"/>
    <mergeCell ref="A5141:E5141"/>
    <mergeCell ref="A3056:E3056"/>
    <mergeCell ref="A1997:E1997"/>
    <mergeCell ref="A6331:E6331"/>
    <mergeCell ref="A902:E902"/>
    <mergeCell ref="A8058:E8058"/>
    <mergeCell ref="A2629:E2629"/>
    <mergeCell ref="A2751:E2751"/>
    <mergeCell ref="A5904:E5904"/>
    <mergeCell ref="B6204:C6204"/>
    <mergeCell ref="A2172:E2172"/>
    <mergeCell ref="A597:E597"/>
    <mergeCell ref="A1113:E1113"/>
    <mergeCell ref="B4050:C4050"/>
    <mergeCell ref="A3356:E3356"/>
    <mergeCell ref="A6631:E6631"/>
    <mergeCell ref="A4546:E4546"/>
    <mergeCell ref="A8322:E8322"/>
    <mergeCell ref="B417:E417"/>
    <mergeCell ref="A6115:E6115"/>
    <mergeCell ref="B1470:E1470"/>
    <mergeCell ref="A170:E170"/>
    <mergeCell ref="A2929:E2929"/>
    <mergeCell ref="B2719:E2719"/>
    <mergeCell ref="A4119:E4119"/>
    <mergeCell ref="A8478:E8478"/>
    <mergeCell ref="B628:E628"/>
    <mergeCell ref="A5810:E5810"/>
    <mergeCell ref="B8726:C8726"/>
    <mergeCell ref="A7000:E7000"/>
    <mergeCell ref="A2013:E2013"/>
    <mergeCell ref="B2414:E2414"/>
    <mergeCell ref="B5630:E5630"/>
    <mergeCell ref="A956:E956"/>
    <mergeCell ref="A7588:E7588"/>
    <mergeCell ref="A5503:E5503"/>
    <mergeCell ref="A6529:E6529"/>
    <mergeCell ref="B1987:E1987"/>
    <mergeCell ref="A2313:E2313"/>
    <mergeCell ref="A4556:E4556"/>
    <mergeCell ref="A2471:E2471"/>
    <mergeCell ref="B6050:E6050"/>
    <mergeCell ref="B7103:E7103"/>
    <mergeCell ref="B6044:E6044"/>
    <mergeCell ref="B5631:E5631"/>
    <mergeCell ref="B7716:E7716"/>
    <mergeCell ref="A2008:E2008"/>
    <mergeCell ref="A4773:E4773"/>
    <mergeCell ref="A2044:E2044"/>
    <mergeCell ref="A2657:E2657"/>
    <mergeCell ref="A5957:E5957"/>
    <mergeCell ref="B6771:E6771"/>
    <mergeCell ref="A1587:E1587"/>
    <mergeCell ref="B7830:E7830"/>
    <mergeCell ref="B8504:E8504"/>
    <mergeCell ref="A3830:E3830"/>
    <mergeCell ref="A5494:E5494"/>
    <mergeCell ref="A1282:E1282"/>
    <mergeCell ref="A223:E223"/>
    <mergeCell ref="A5073:E5073"/>
    <mergeCell ref="B6373:E6373"/>
    <mergeCell ref="A2344:E2344"/>
    <mergeCell ref="B6045:E6045"/>
    <mergeCell ref="A7316:E7316"/>
    <mergeCell ref="B1102:E1102"/>
    <mergeCell ref="B43:E43"/>
    <mergeCell ref="A3715:E3715"/>
    <mergeCell ref="A2045:E2045"/>
    <mergeCell ref="B639:E639"/>
    <mergeCell ref="A3071:E3071"/>
    <mergeCell ref="A3709:E3709"/>
    <mergeCell ref="B1829:E1829"/>
    <mergeCell ref="A5952:E5952"/>
    <mergeCell ref="A5958:E5958"/>
    <mergeCell ref="A7011:E7011"/>
    <mergeCell ref="A8043:E8043"/>
    <mergeCell ref="A1713:E1713"/>
    <mergeCell ref="A4341:E4341"/>
    <mergeCell ref="B2434:E2434"/>
    <mergeCell ref="A5531:E5531"/>
    <mergeCell ref="B4125:E4125"/>
    <mergeCell ref="B6831:E6831"/>
    <mergeCell ref="B7409:C7409"/>
    <mergeCell ref="B6368:E6368"/>
    <mergeCell ref="A5068:E5068"/>
    <mergeCell ref="B2586:E2586"/>
    <mergeCell ref="A5226:E5226"/>
    <mergeCell ref="B6078:E6078"/>
    <mergeCell ref="A6915:E6915"/>
    <mergeCell ref="B1287:E1287"/>
    <mergeCell ref="B5046:E5046"/>
    <mergeCell ref="B1702:E1702"/>
    <mergeCell ref="A8712:E8712"/>
    <mergeCell ref="A7642:E7642"/>
    <mergeCell ref="B2915:E2915"/>
    <mergeCell ref="A1615:E1615"/>
    <mergeCell ref="A3883:E3883"/>
    <mergeCell ref="A257:E257"/>
    <mergeCell ref="B8646:E8646"/>
    <mergeCell ref="A4610:E4610"/>
    <mergeCell ref="B2187:E2187"/>
    <mergeCell ref="A7369:E7369"/>
    <mergeCell ref="A2999:E2999"/>
    <mergeCell ref="B5909:C5909"/>
    <mergeCell ref="B1130:E1130"/>
    <mergeCell ref="A2993:E2993"/>
    <mergeCell ref="A908:E908"/>
    <mergeCell ref="A3130:E3130"/>
    <mergeCell ref="B4430:E4430"/>
    <mergeCell ref="A7458:E7458"/>
    <mergeCell ref="B667:E667"/>
    <mergeCell ref="A6942:E6942"/>
    <mergeCell ref="B781:E781"/>
    <mergeCell ref="A3878:E3878"/>
    <mergeCell ref="B2487:E2487"/>
    <mergeCell ref="B2514:E2514"/>
    <mergeCell ref="A2240:E2240"/>
    <mergeCell ref="B1430:E1430"/>
    <mergeCell ref="A3299:E3299"/>
    <mergeCell ref="B3540:E3540"/>
    <mergeCell ref="B4730:E4730"/>
    <mergeCell ref="A4483:E4483"/>
    <mergeCell ref="A5121:E5121"/>
    <mergeCell ref="A5673:E5673"/>
    <mergeCell ref="B3119:E3119"/>
    <mergeCell ref="B2182:E2182"/>
    <mergeCell ref="A7242:E7242"/>
    <mergeCell ref="A7364:E7364"/>
    <mergeCell ref="A8423:E8423"/>
    <mergeCell ref="B6000:E6000"/>
    <mergeCell ref="A267:E267"/>
    <mergeCell ref="B3846:E3846"/>
    <mergeCell ref="B1761:E1761"/>
    <mergeCell ref="A6943:E6943"/>
    <mergeCell ref="B2814:E2814"/>
    <mergeCell ref="B4004:E4004"/>
    <mergeCell ref="B2945:E2945"/>
    <mergeCell ref="B1298:E1298"/>
    <mergeCell ref="B3998:E3998"/>
    <mergeCell ref="A7670:E7670"/>
    <mergeCell ref="B2482:E2482"/>
    <mergeCell ref="B8543:E8543"/>
    <mergeCell ref="B3114:E3114"/>
    <mergeCell ref="B1029:E1029"/>
    <mergeCell ref="B6414:E6414"/>
    <mergeCell ref="B7185:E7185"/>
    <mergeCell ref="A1355:E1355"/>
    <mergeCell ref="A1968:E1968"/>
    <mergeCell ref="A6327:E6327"/>
    <mergeCell ref="B4515:E4515"/>
    <mergeCell ref="A3141:E3141"/>
    <mergeCell ref="B5688:E5688"/>
    <mergeCell ref="A6022:E6022"/>
    <mergeCell ref="B5242:E5242"/>
    <mergeCell ref="A6953:E6953"/>
    <mergeCell ref="A593:E593"/>
    <mergeCell ref="B5684:E5684"/>
    <mergeCell ref="B3599:E3599"/>
    <mergeCell ref="A7084:E7084"/>
    <mergeCell ref="A8143:E8143"/>
    <mergeCell ref="A2714:E2714"/>
    <mergeCell ref="A1655:E1655"/>
    <mergeCell ref="B2542:E2542"/>
    <mergeCell ref="A2836:E2836"/>
    <mergeCell ref="A166:E166"/>
    <mergeCell ref="A3441:E3441"/>
    <mergeCell ref="A7838:E7838"/>
    <mergeCell ref="A6200:E6200"/>
    <mergeCell ref="A4115:E4115"/>
    <mergeCell ref="A8443:E8443"/>
    <mergeCell ref="B2202:E2202"/>
    <mergeCell ref="A4711:E4711"/>
    <mergeCell ref="B2229:E2229"/>
    <mergeCell ref="B2842:E2842"/>
    <mergeCell ref="B6142:E6142"/>
    <mergeCell ref="A4842:E4842"/>
    <mergeCell ref="A6358:E6358"/>
    <mergeCell ref="A6927:E6927"/>
    <mergeCell ref="A7085:E7085"/>
    <mergeCell ref="A8138:E8138"/>
    <mergeCell ref="A8654:E8654"/>
    <mergeCell ref="A1679:E1679"/>
    <mergeCell ref="B4199:E4199"/>
    <mergeCell ref="B2114:E2114"/>
    <mergeCell ref="B4226:E4226"/>
    <mergeCell ref="A6658:E6658"/>
    <mergeCell ref="B3142:E3142"/>
    <mergeCell ref="B7958:E7958"/>
    <mergeCell ref="B4357:E4357"/>
    <mergeCell ref="A7254:E7254"/>
    <mergeCell ref="B2230:E2230"/>
    <mergeCell ref="A8438:E8438"/>
    <mergeCell ref="B6015:E6015"/>
    <mergeCell ref="A5323:E5323"/>
    <mergeCell ref="B7205:E7205"/>
    <mergeCell ref="B8258:E8258"/>
    <mergeCell ref="B6173:E6173"/>
    <mergeCell ref="B7801:E7801"/>
    <mergeCell ref="B5716:E5716"/>
    <mergeCell ref="B4657:E4657"/>
    <mergeCell ref="B1799:E1799"/>
    <mergeCell ref="A4896:E4896"/>
    <mergeCell ref="B8475:E8475"/>
    <mergeCell ref="A8769:E8769"/>
    <mergeCell ref="B2377:C2377"/>
    <mergeCell ref="A2742:E2742"/>
    <mergeCell ref="A657:E657"/>
    <mergeCell ref="A2348:E2348"/>
    <mergeCell ref="A5623:E5623"/>
    <mergeCell ref="A1253:E1253"/>
    <mergeCell ref="A1384:E1384"/>
    <mergeCell ref="B2221:E2221"/>
    <mergeCell ref="B136:E136"/>
    <mergeCell ref="B3314:E3314"/>
    <mergeCell ref="B2257:E2257"/>
    <mergeCell ref="B610:E610"/>
    <mergeCell ref="A2035:E2035"/>
    <mergeCell ref="B1825:E1825"/>
    <mergeCell ref="B1800:E1800"/>
    <mergeCell ref="B741:E741"/>
    <mergeCell ref="A4257:E4257"/>
    <mergeCell ref="A5316:E5316"/>
    <mergeCell ref="A4891:E4891"/>
    <mergeCell ref="A6369:E6369"/>
    <mergeCell ref="A7007:E7007"/>
    <mergeCell ref="B6827:E6827"/>
    <mergeCell ref="B5743:E5743"/>
    <mergeCell ref="B4673:E4673"/>
    <mergeCell ref="B3614:E3614"/>
    <mergeCell ref="A3367:E3367"/>
    <mergeCell ref="A8339:E8339"/>
    <mergeCell ref="A6669:E6669"/>
    <mergeCell ref="A7307:E7307"/>
    <mergeCell ref="B4246:E4246"/>
    <mergeCell ref="B4368:E4368"/>
    <mergeCell ref="B8159:E8159"/>
    <mergeCell ref="B6074:E6074"/>
    <mergeCell ref="B7127:E7127"/>
    <mergeCell ref="A5311:E5311"/>
    <mergeCell ref="A1394:E1394"/>
    <mergeCell ref="B2888:E2888"/>
    <mergeCell ref="A8070:E8070"/>
    <mergeCell ref="A1611:E1611"/>
    <mergeCell ref="A2664:E2664"/>
    <mergeCell ref="A2795:E2795"/>
    <mergeCell ref="B6374:E6374"/>
    <mergeCell ref="A668:E668"/>
    <mergeCell ref="A4581:E4581"/>
    <mergeCell ref="B4241:E4241"/>
    <mergeCell ref="A3549:E3549"/>
    <mergeCell ref="B8154:E8154"/>
    <mergeCell ref="B1126:E1126"/>
    <mergeCell ref="A1911:E1911"/>
    <mergeCell ref="A8524:E8524"/>
    <mergeCell ref="B3369:E3369"/>
    <mergeCell ref="A4154:E4154"/>
    <mergeCell ref="B2757:C2757"/>
    <mergeCell ref="A7454:E7454"/>
    <mergeCell ref="B1240:E1240"/>
    <mergeCell ref="B1853:E1853"/>
    <mergeCell ref="B156:E156"/>
    <mergeCell ref="A1606:E1606"/>
    <mergeCell ref="A2796:E2796"/>
    <mergeCell ref="B7843:C7843"/>
    <mergeCell ref="A7027:E7027"/>
    <mergeCell ref="A4942:E4942"/>
    <mergeCell ref="B1426:E1426"/>
    <mergeCell ref="B8492:C8492"/>
    <mergeCell ref="A8211:E8211"/>
    <mergeCell ref="A5538:E5538"/>
    <mergeCell ref="B8612:E8612"/>
    <mergeCell ref="B3669:E3669"/>
    <mergeCell ref="A6722:E6722"/>
    <mergeCell ref="B3206:E3206"/>
    <mergeCell ref="B1121:E1121"/>
    <mergeCell ref="A7912:E7912"/>
    <mergeCell ref="B6542:E6542"/>
    <mergeCell ref="B6085:E6085"/>
    <mergeCell ref="A7485:E7485"/>
    <mergeCell ref="B2916:E2916"/>
    <mergeCell ref="B3969:E3969"/>
    <mergeCell ref="A7022:E7022"/>
    <mergeCell ref="A4937:E4937"/>
    <mergeCell ref="A8212:E8212"/>
    <mergeCell ref="B5780:E5780"/>
    <mergeCell ref="B8539:E8539"/>
    <mergeCell ref="A1753:E1753"/>
    <mergeCell ref="A2806:E2806"/>
    <mergeCell ref="A721:E721"/>
    <mergeCell ref="A3996:E3996"/>
    <mergeCell ref="A3480:E3480"/>
    <mergeCell ref="B6543:E6543"/>
    <mergeCell ref="A258:E258"/>
    <mergeCell ref="B5484:E5484"/>
    <mergeCell ref="A1448:E1448"/>
    <mergeCell ref="A4207:E4207"/>
    <mergeCell ref="A2053:E2053"/>
    <mergeCell ref="A2080:E2080"/>
    <mergeCell ref="A5993:E5993"/>
    <mergeCell ref="A4296:E4296"/>
    <mergeCell ref="A5566:E5566"/>
    <mergeCell ref="A4507:E4507"/>
    <mergeCell ref="A1784:E1784"/>
    <mergeCell ref="B378:E378"/>
    <mergeCell ref="A6756:E6756"/>
    <mergeCell ref="A6750:E6750"/>
    <mergeCell ref="B3843:C3843"/>
    <mergeCell ref="A6293:E6293"/>
    <mergeCell ref="A2511:E2511"/>
    <mergeCell ref="B1263:E1263"/>
    <mergeCell ref="A2048:E2048"/>
    <mergeCell ref="B4441:E4441"/>
    <mergeCell ref="A5866:E5866"/>
    <mergeCell ref="A3781:E3781"/>
    <mergeCell ref="A8134:E8134"/>
    <mergeCell ref="B2927:E2927"/>
    <mergeCell ref="B836:E836"/>
    <mergeCell ref="B5686:E5686"/>
    <mergeCell ref="B5922:E5922"/>
    <mergeCell ref="B4328:E4328"/>
    <mergeCell ref="B8681:E8681"/>
    <mergeCell ref="B6527:E6527"/>
    <mergeCell ref="A3165:E3165"/>
    <mergeCell ref="A4218:E4218"/>
    <mergeCell ref="B7797:E7797"/>
    <mergeCell ref="A5408:E5408"/>
    <mergeCell ref="A1032:E1032"/>
    <mergeCell ref="A4945:E4945"/>
    <mergeCell ref="B1467:E1467"/>
    <mergeCell ref="A2738:E2738"/>
    <mergeCell ref="A4981:E4981"/>
    <mergeCell ref="B4159:C4159"/>
    <mergeCell ref="B4765:E4765"/>
    <mergeCell ref="B2680:E2680"/>
    <mergeCell ref="A6165:E6165"/>
    <mergeCell ref="B1579:E1579"/>
    <mergeCell ref="A4676:E4676"/>
    <mergeCell ref="A6382:E6382"/>
    <mergeCell ref="B2253:E2253"/>
    <mergeCell ref="A953:E953"/>
    <mergeCell ref="A2522:E2522"/>
    <mergeCell ref="A3160:E3160"/>
    <mergeCell ref="B99:E99"/>
    <mergeCell ref="B737:E737"/>
    <mergeCell ref="A1549:E1549"/>
    <mergeCell ref="A3196:E3196"/>
    <mergeCell ref="A7109:E7109"/>
    <mergeCell ref="B2980:E2980"/>
    <mergeCell ref="A8162:E8162"/>
    <mergeCell ref="A8581:E8581"/>
    <mergeCell ref="A2733:E2733"/>
    <mergeCell ref="A6008:E6008"/>
    <mergeCell ref="A7741:E7741"/>
    <mergeCell ref="B3734:E3734"/>
    <mergeCell ref="A1792:E1792"/>
    <mergeCell ref="A6796:E6796"/>
    <mergeCell ref="B8709:E8709"/>
    <mergeCell ref="B4339:E4339"/>
    <mergeCell ref="B3280:E3280"/>
    <mergeCell ref="B557:E557"/>
    <mergeCell ref="A7436:E7436"/>
    <mergeCell ref="B2248:E2248"/>
    <mergeCell ref="A8462:E8462"/>
    <mergeCell ref="B94:E94"/>
    <mergeCell ref="B8282:E8282"/>
    <mergeCell ref="B8402:E8402"/>
    <mergeCell ref="A2275:E2275"/>
    <mergeCell ref="A7736:E7736"/>
    <mergeCell ref="A1696:E1696"/>
    <mergeCell ref="B1937:E1937"/>
    <mergeCell ref="A6093:E6093"/>
    <mergeCell ref="A2880:E2880"/>
    <mergeCell ref="B7512:E7512"/>
    <mergeCell ref="B3882:C3882"/>
    <mergeCell ref="A2453:E2453"/>
    <mergeCell ref="A2575:E2575"/>
    <mergeCell ref="A7425:E7425"/>
    <mergeCell ref="B1211:E1211"/>
    <mergeCell ref="B152:E152"/>
    <mergeCell ref="B2264:E2264"/>
    <mergeCell ref="A964:E964"/>
    <mergeCell ref="A6393:E6393"/>
    <mergeCell ref="B2395:E2395"/>
    <mergeCell ref="A1095:E1095"/>
    <mergeCell ref="A3180:E3180"/>
    <mergeCell ref="A2148:E2148"/>
    <mergeCell ref="A7577:E7577"/>
    <mergeCell ref="A5423:E5423"/>
    <mergeCell ref="A1691:E1691"/>
    <mergeCell ref="B4697:E4697"/>
    <mergeCell ref="B5750:E5750"/>
    <mergeCell ref="B3665:E3665"/>
    <mergeCell ref="A2875:E2875"/>
    <mergeCell ref="B6940:E6940"/>
    <mergeCell ref="B1633:E1633"/>
    <mergeCell ref="B452:E452"/>
    <mergeCell ref="A7883:E7883"/>
    <mergeCell ref="B3754:E3754"/>
    <mergeCell ref="B2695:E2695"/>
    <mergeCell ref="B4392:E4392"/>
    <mergeCell ref="A5177:E5177"/>
    <mergeCell ref="A2448:E2448"/>
    <mergeCell ref="B6635:E6635"/>
    <mergeCell ref="A7420:E7420"/>
    <mergeCell ref="A2477:E2477"/>
    <mergeCell ref="A392:E392"/>
    <mergeCell ref="B3965:E3965"/>
    <mergeCell ref="B2390:E2390"/>
    <mergeCell ref="B7240:E7240"/>
    <mergeCell ref="B6208:E6208"/>
    <mergeCell ref="A1119:E1119"/>
    <mergeCell ref="A8208:E8208"/>
    <mergeCell ref="B4054:E4054"/>
    <mergeCell ref="B6935:E6935"/>
    <mergeCell ref="A3992:E3992"/>
    <mergeCell ref="B4265:E4265"/>
    <mergeCell ref="A8508:E8508"/>
    <mergeCell ref="A2472:E2472"/>
    <mergeCell ref="A387:E387"/>
    <mergeCell ref="A1413:E1413"/>
    <mergeCell ref="A3565:E3565"/>
    <mergeCell ref="A343:E343"/>
    <mergeCell ref="B3966:E3966"/>
    <mergeCell ref="B7235:E7235"/>
    <mergeCell ref="A4292:E4292"/>
    <mergeCell ref="B163:E163"/>
    <mergeCell ref="A3260:E3260"/>
    <mergeCell ref="A6535:E6535"/>
    <mergeCell ref="A1719:E1719"/>
    <mergeCell ref="A687:E687"/>
    <mergeCell ref="A3987:E3987"/>
    <mergeCell ref="A1780:E1780"/>
    <mergeCell ref="B7566:E7566"/>
    <mergeCell ref="A6108:E6108"/>
    <mergeCell ref="A4023:E4023"/>
    <mergeCell ref="A6746:E6746"/>
    <mergeCell ref="B507:E507"/>
    <mergeCell ref="B3807:E3807"/>
    <mergeCell ref="A2507:E2507"/>
    <mergeCell ref="A4592:E4592"/>
    <mergeCell ref="B5892:E5892"/>
    <mergeCell ref="A8410:E8410"/>
    <mergeCell ref="A6835:E6835"/>
    <mergeCell ref="A4287:E4287"/>
    <mergeCell ref="B7293:E7293"/>
    <mergeCell ref="B7740:C7740"/>
    <mergeCell ref="B2923:E2923"/>
    <mergeCell ref="B1864:E1864"/>
    <mergeCell ref="A7046:E7046"/>
    <mergeCell ref="B2917:E2917"/>
    <mergeCell ref="B832:E832"/>
    <mergeCell ref="B5166:E5166"/>
    <mergeCell ref="B4107:E4107"/>
    <mergeCell ref="A7166:E7166"/>
    <mergeCell ref="A8105:E8105"/>
    <mergeCell ref="A71:E71"/>
    <mergeCell ref="B5297:E5297"/>
    <mergeCell ref="A8236:E8236"/>
    <mergeCell ref="B8467:C8467"/>
    <mergeCell ref="A6103:E6103"/>
    <mergeCell ref="B5929:E5929"/>
    <mergeCell ref="B5923:E5923"/>
    <mergeCell ref="B3375:E3375"/>
    <mergeCell ref="B8347:E8347"/>
    <mergeCell ref="B7288:E7288"/>
    <mergeCell ref="A407:E407"/>
    <mergeCell ref="B4108:E4108"/>
    <mergeCell ref="A4320:E4320"/>
    <mergeCell ref="B191:E191"/>
    <mergeCell ref="B6867:E6867"/>
    <mergeCell ref="B7594:E7594"/>
    <mergeCell ref="A7220:E7220"/>
    <mergeCell ref="A1791:E1791"/>
    <mergeCell ref="A5066:E5066"/>
    <mergeCell ref="B3229:C3229"/>
    <mergeCell ref="A5704:E5704"/>
    <mergeCell ref="A4672:E4672"/>
    <mergeCell ref="B2765:E2765"/>
    <mergeCell ref="A3588:E3588"/>
    <mergeCell ref="A7947:E7947"/>
    <mergeCell ref="A2518:E2518"/>
    <mergeCell ref="A1459:E1459"/>
    <mergeCell ref="B7609:E7609"/>
    <mergeCell ref="A5399:E5399"/>
    <mergeCell ref="A7520:E7520"/>
    <mergeCell ref="A6461:E6461"/>
    <mergeCell ref="A2091:E2091"/>
    <mergeCell ref="B1875:E1875"/>
    <mergeCell ref="A4972:E4972"/>
    <mergeCell ref="B8494:E8494"/>
    <mergeCell ref="B3065:E3065"/>
    <mergeCell ref="A8247:E8247"/>
    <mergeCell ref="B2033:E2033"/>
    <mergeCell ref="A7215:E7215"/>
    <mergeCell ref="B4792:E4792"/>
    <mergeCell ref="B4335:E4335"/>
    <mergeCell ref="B2760:E2760"/>
    <mergeCell ref="B553:E553"/>
    <mergeCell ref="A5735:E5735"/>
    <mergeCell ref="A6304:E6304"/>
    <mergeCell ref="A1361:E1361"/>
    <mergeCell ref="A1483:E1483"/>
    <mergeCell ref="B3365:E3365"/>
    <mergeCell ref="B5062:E5062"/>
    <mergeCell ref="A6462:E6462"/>
    <mergeCell ref="A3604:E3604"/>
    <mergeCell ref="B7183:E7183"/>
    <mergeCell ref="B6124:E6124"/>
    <mergeCell ref="B4039:E4039"/>
    <mergeCell ref="A8547:E8547"/>
    <mergeCell ref="A2088:E2088"/>
    <mergeCell ref="B7341:E7341"/>
    <mergeCell ref="B4635:E4635"/>
    <mergeCell ref="A7732:E7732"/>
    <mergeCell ref="B6878:E6878"/>
    <mergeCell ref="B5819:E5819"/>
    <mergeCell ref="B8068:E8068"/>
    <mergeCell ref="A1783:E1783"/>
    <mergeCell ref="B5977:E5977"/>
    <mergeCell ref="B5813:C5813"/>
    <mergeCell ref="A7204:E7204"/>
    <mergeCell ref="A1514:E1514"/>
    <mergeCell ref="B1182:E1182"/>
    <mergeCell ref="A4692:E4692"/>
    <mergeCell ref="A7548:E7548"/>
    <mergeCell ref="A5463:E5463"/>
    <mergeCell ref="B1334:E1334"/>
    <mergeCell ref="A2119:E2119"/>
    <mergeCell ref="A5419:E5419"/>
    <mergeCell ref="A7116:E7116"/>
    <mergeCell ref="A4387:E4387"/>
    <mergeCell ref="A3930:E3930"/>
    <mergeCell ref="A2871:E2871"/>
    <mergeCell ref="A2846:E2846"/>
    <mergeCell ref="A761:E761"/>
    <mergeCell ref="A1814:E1814"/>
    <mergeCell ref="A4992:E4992"/>
    <mergeCell ref="A7879:E7879"/>
    <mergeCell ref="B3750:E3750"/>
    <mergeCell ref="B3725:E3725"/>
    <mergeCell ref="B2666:E2666"/>
    <mergeCell ref="A7873:E7873"/>
    <mergeCell ref="A7416:E7416"/>
    <mergeCell ref="A5719:E5719"/>
    <mergeCell ref="A3634:E3634"/>
    <mergeCell ref="A6359:E6359"/>
    <mergeCell ref="B4477:E4477"/>
    <mergeCell ref="B7236:E7236"/>
    <mergeCell ref="B8420:E8420"/>
    <mergeCell ref="B2991:E2991"/>
    <mergeCell ref="A3746:E3746"/>
    <mergeCell ref="A3803:E3803"/>
    <mergeCell ref="B5240:E5240"/>
    <mergeCell ref="B6931:E6931"/>
    <mergeCell ref="A7874:E7874"/>
    <mergeCell ref="A5016:E5016"/>
    <mergeCell ref="A2931:E2931"/>
    <mergeCell ref="B7536:E7536"/>
    <mergeCell ref="A2468:E2468"/>
    <mergeCell ref="B7694:E7694"/>
    <mergeCell ref="B4350:E4350"/>
    <mergeCell ref="A3658:E3658"/>
    <mergeCell ref="A1961:E1961"/>
    <mergeCell ref="A7447:E7447"/>
    <mergeCell ref="A929:E929"/>
    <mergeCell ref="B8421:E8421"/>
    <mergeCell ref="B5563:E5563"/>
    <mergeCell ref="B134:E134"/>
    <mergeCell ref="A6531:E6531"/>
    <mergeCell ref="A5447:E5447"/>
    <mergeCell ref="A683:E683"/>
    <mergeCell ref="A3836:E3836"/>
    <mergeCell ref="A3958:E3958"/>
    <mergeCell ref="A2926:E2926"/>
    <mergeCell ref="B503:E503"/>
    <mergeCell ref="A772:E772"/>
    <mergeCell ref="A1446:E1446"/>
    <mergeCell ref="A5799:E5799"/>
    <mergeCell ref="B3892:E3892"/>
    <mergeCell ref="B3473:E3473"/>
    <mergeCell ref="A2173:E2173"/>
    <mergeCell ref="A4258:E4258"/>
    <mergeCell ref="B803:E803"/>
    <mergeCell ref="B5162:E5162"/>
    <mergeCell ref="A6562:E6562"/>
    <mergeCell ref="A8647:E8647"/>
    <mergeCell ref="A7131:E7131"/>
    <mergeCell ref="A2188:E2188"/>
    <mergeCell ref="A6099:E6099"/>
    <mergeCell ref="B8596:C8596"/>
    <mergeCell ref="B8010:E8010"/>
    <mergeCell ref="B4866:E4866"/>
    <mergeCell ref="B5919:E5919"/>
    <mergeCell ref="B7705:E7705"/>
    <mergeCell ref="A5346:E5346"/>
    <mergeCell ref="B1217:E1217"/>
    <mergeCell ref="A403:E403"/>
    <mergeCell ref="A7589:E7589"/>
    <mergeCell ref="B187:E187"/>
    <mergeCell ref="A2646:E2646"/>
    <mergeCell ref="A6559:E6559"/>
    <mergeCell ref="A3373:E3373"/>
    <mergeCell ref="A861:E861"/>
    <mergeCell ref="B1704:E1704"/>
    <mergeCell ref="B3920:E3920"/>
    <mergeCell ref="A398:E398"/>
    <mergeCell ref="B188:E188"/>
    <mergeCell ref="A3673:E3673"/>
    <mergeCell ref="A1588:E1588"/>
    <mergeCell ref="A4732:E4732"/>
    <mergeCell ref="A2641:E2641"/>
    <mergeCell ref="B2309:E2309"/>
    <mergeCell ref="B1250:E1250"/>
    <mergeCell ref="A5783:E5783"/>
    <mergeCell ref="B6220:E6220"/>
    <mergeCell ref="A6432:E6432"/>
    <mergeCell ref="A6554:E6554"/>
    <mergeCell ref="B4220:E4220"/>
    <mergeCell ref="A5057:E5057"/>
    <mergeCell ref="B2731:E2731"/>
    <mergeCell ref="B4877:E4877"/>
    <mergeCell ref="B8152:E8152"/>
    <mergeCell ref="A5243:E5243"/>
    <mergeCell ref="A3158:E3158"/>
    <mergeCell ref="B5604:E5604"/>
    <mergeCell ref="A414:E414"/>
    <mergeCell ref="B2911:C2911"/>
    <mergeCell ref="A1604:E1604"/>
    <mergeCell ref="A545:E545"/>
    <mergeCell ref="B7331:E7331"/>
    <mergeCell ref="A126:E126"/>
    <mergeCell ref="B3092:E3092"/>
    <mergeCell ref="B3705:E3705"/>
    <mergeCell ref="B6367:E6367"/>
    <mergeCell ref="B7005:E7005"/>
    <mergeCell ref="A109:E109"/>
    <mergeCell ref="A6758:E6758"/>
    <mergeCell ref="B3819:E3819"/>
    <mergeCell ref="B3693:C3693"/>
    <mergeCell ref="B7637:E7637"/>
    <mergeCell ref="A1904:E1904"/>
    <mergeCell ref="A845:E845"/>
    <mergeCell ref="A3595:E3595"/>
    <mergeCell ref="B5032:E5032"/>
    <mergeCell ref="B2362:E2362"/>
    <mergeCell ref="A1599:E1599"/>
    <mergeCell ref="A7658:E7658"/>
    <mergeCell ref="A7633:E7633"/>
    <mergeCell ref="A5548:E5548"/>
    <mergeCell ref="A3901:E3901"/>
    <mergeCell ref="B1419:E1419"/>
    <mergeCell ref="A6574:E6574"/>
    <mergeCell ref="A5085:E5085"/>
    <mergeCell ref="A142:E142"/>
    <mergeCell ref="B3721:E3721"/>
    <mergeCell ref="A7844:E7844"/>
    <mergeCell ref="A7966:E7966"/>
    <mergeCell ref="B1630:E1630"/>
    <mergeCell ref="A869:E869"/>
    <mergeCell ref="B7180:C7180"/>
    <mergeCell ref="B4600:E4600"/>
    <mergeCell ref="A3300:E3300"/>
    <mergeCell ref="A3742:E3742"/>
    <mergeCell ref="B2962:E2962"/>
    <mergeCell ref="B7359:E7359"/>
    <mergeCell ref="B1473:E1473"/>
    <mergeCell ref="A1169:E1169"/>
    <mergeCell ref="A7232:E7232"/>
    <mergeCell ref="B8532:E8532"/>
    <mergeCell ref="B7016:E7016"/>
    <mergeCell ref="B3847:E3847"/>
    <mergeCell ref="B4900:E4900"/>
    <mergeCell ref="B7052:E7052"/>
    <mergeCell ref="A4042:E4042"/>
    <mergeCell ref="A1957:E1957"/>
    <mergeCell ref="B1103:E1103"/>
    <mergeCell ref="A6285:E6285"/>
    <mergeCell ref="B7779:E7779"/>
    <mergeCell ref="A3737:E3737"/>
    <mergeCell ref="A1530:E1530"/>
    <mergeCell ref="A1652:E1652"/>
    <mergeCell ref="A5443:E5443"/>
    <mergeCell ref="A6502:E6502"/>
    <mergeCell ref="A3773:E3773"/>
    <mergeCell ref="A2126:E2126"/>
    <mergeCell ref="A7686:E7686"/>
    <mergeCell ref="A8745:E8745"/>
    <mergeCell ref="A3954:E3954"/>
    <mergeCell ref="A6075:E6075"/>
    <mergeCell ref="A6197:E6197"/>
    <mergeCell ref="B8717:E8717"/>
    <mergeCell ref="A4043:E4043"/>
    <mergeCell ref="A7259:E7259"/>
    <mergeCell ref="B1045:E1045"/>
    <mergeCell ref="B1620:E1620"/>
    <mergeCell ref="A1830:E1830"/>
    <mergeCell ref="A1952:E1952"/>
    <mergeCell ref="B588:E588"/>
    <mergeCell ref="A4073:E4073"/>
    <mergeCell ref="A4717:E4717"/>
    <mergeCell ref="A5770:E5770"/>
    <mergeCell ref="A6960:E6960"/>
    <mergeCell ref="A7986:E7986"/>
    <mergeCell ref="B1772:E1772"/>
    <mergeCell ref="A2557:E2557"/>
    <mergeCell ref="B5047:E5047"/>
    <mergeCell ref="A1525:E1525"/>
    <mergeCell ref="A5859:E5859"/>
    <mergeCell ref="A3774:E3774"/>
    <mergeCell ref="A4800:E4800"/>
    <mergeCell ref="A6954:E6954"/>
    <mergeCell ref="A7681:E7681"/>
    <mergeCell ref="B3042:E3042"/>
    <mergeCell ref="B6317:E6317"/>
    <mergeCell ref="B4620:E4620"/>
    <mergeCell ref="A7260:E7260"/>
    <mergeCell ref="B4828:E4828"/>
    <mergeCell ref="B2072:E2072"/>
    <mergeCell ref="B7044:E7044"/>
    <mergeCell ref="B6012:E6012"/>
    <mergeCell ref="A4712:E4712"/>
    <mergeCell ref="B8675:C8675"/>
    <mergeCell ref="B3858:E3858"/>
    <mergeCell ref="B3342:E3342"/>
    <mergeCell ref="A915:E915"/>
    <mergeCell ref="B4532:E4532"/>
    <mergeCell ref="A909:E909"/>
    <mergeCell ref="B7807:E7807"/>
    <mergeCell ref="A7585:E7585"/>
    <mergeCell ref="B4459:C4459"/>
    <mergeCell ref="B3431:E3431"/>
    <mergeCell ref="B6318:E6318"/>
    <mergeCell ref="B7344:E7344"/>
    <mergeCell ref="A488:E488"/>
    <mergeCell ref="A2285:E2285"/>
    <mergeCell ref="A1215:E1215"/>
    <mergeCell ref="A5612:E5612"/>
    <mergeCell ref="A2268:E2268"/>
    <mergeCell ref="A183:E183"/>
    <mergeCell ref="B8132:E8132"/>
    <mergeCell ref="A6855:E6855"/>
    <mergeCell ref="A910:E910"/>
    <mergeCell ref="A5185:E5185"/>
    <mergeCell ref="A4722:E4722"/>
    <mergeCell ref="A2637:E2637"/>
    <mergeCell ref="A4859:E4859"/>
    <mergeCell ref="B730:E730"/>
    <mergeCell ref="B311:E311"/>
    <mergeCell ref="B3489:E3489"/>
    <mergeCell ref="A8671:E8671"/>
    <mergeCell ref="A7155:E7155"/>
    <mergeCell ref="A4432:E4432"/>
    <mergeCell ref="B2510:E2510"/>
    <mergeCell ref="B303:E303"/>
    <mergeCell ref="A6123:E6123"/>
    <mergeCell ref="B4243:E4243"/>
    <mergeCell ref="B3184:E3184"/>
    <mergeCell ref="B5269:E5269"/>
    <mergeCell ref="B2727:E2727"/>
    <mergeCell ref="B1030:E1030"/>
    <mergeCell ref="A7271:E7271"/>
    <mergeCell ref="A5180:E5180"/>
    <mergeCell ref="B611:E611"/>
    <mergeCell ref="B3789:E3789"/>
    <mergeCell ref="B7729:E7729"/>
    <mergeCell ref="A4854:E4854"/>
    <mergeCell ref="A7482:E7482"/>
    <mergeCell ref="B603:E603"/>
    <mergeCell ref="A1996:E1996"/>
    <mergeCell ref="B5575:E5575"/>
    <mergeCell ref="A8672:E8672"/>
    <mergeCell ref="A8628:E8628"/>
    <mergeCell ref="B6759:E6759"/>
    <mergeCell ref="A4869:E4869"/>
    <mergeCell ref="A2784:E2784"/>
    <mergeCell ref="A3397:E3397"/>
    <mergeCell ref="B2543:E2543"/>
    <mergeCell ref="B515:E515"/>
    <mergeCell ref="A211:E211"/>
    <mergeCell ref="A2970:E2970"/>
    <mergeCell ref="B8445:E8445"/>
    <mergeCell ref="A4143:E4143"/>
    <mergeCell ref="A3084:E3084"/>
    <mergeCell ref="B627:E627"/>
    <mergeCell ref="A2665:E2665"/>
    <mergeCell ref="A1595:E1595"/>
    <mergeCell ref="A536:E536"/>
    <mergeCell ref="A2621:E2621"/>
    <mergeCell ref="B7417:E7417"/>
    <mergeCell ref="A6570:E6570"/>
    <mergeCell ref="A8682:E8682"/>
    <mergeCell ref="B1390:E1390"/>
    <mergeCell ref="A4443:E4443"/>
    <mergeCell ref="B4691:C4691"/>
    <mergeCell ref="A5081:E5081"/>
    <mergeCell ref="A7202:E7202"/>
    <mergeCell ref="A7324:E7324"/>
    <mergeCell ref="B1058:E1058"/>
    <mergeCell ref="A1895:E1895"/>
    <mergeCell ref="A865:E865"/>
    <mergeCell ref="B4386:C4386"/>
    <mergeCell ref="B2747:E2747"/>
    <mergeCell ref="A7929:E7929"/>
    <mergeCell ref="B1715:E1715"/>
    <mergeCell ref="B4990:E4990"/>
    <mergeCell ref="B5628:E5628"/>
    <mergeCell ref="A6440:E6440"/>
    <mergeCell ref="A8087:E8087"/>
    <mergeCell ref="B2442:E2442"/>
    <mergeCell ref="B6260:E6260"/>
    <mergeCell ref="B7450:E7450"/>
    <mergeCell ref="A1165:E1165"/>
    <mergeCell ref="B8476:E8476"/>
    <mergeCell ref="B7444:E7444"/>
    <mergeCell ref="A8387:E8387"/>
    <mergeCell ref="A1928:E1928"/>
    <mergeCell ref="A5839:E5839"/>
    <mergeCell ref="A439:E439"/>
    <mergeCell ref="B7744:E7744"/>
    <mergeCell ref="B7902:E7902"/>
    <mergeCell ref="A591:E591"/>
    <mergeCell ref="A8741:E8741"/>
    <mergeCell ref="B7445:E7445"/>
    <mergeCell ref="B6386:E6386"/>
    <mergeCell ref="A7682:E7682"/>
    <mergeCell ref="A6625:E6625"/>
    <mergeCell ref="A1196:E1196"/>
    <mergeCell ref="A4496:E4496"/>
    <mergeCell ref="A1923:E1923"/>
    <mergeCell ref="A6160:E6160"/>
    <mergeCell ref="A7982:E7982"/>
    <mergeCell ref="B1743:E1743"/>
    <mergeCell ref="B5043:E5043"/>
    <mergeCell ref="A1496:E1496"/>
    <mergeCell ref="A4796:E4796"/>
    <mergeCell ref="A5855:E5855"/>
    <mergeCell ref="B7286:E7286"/>
    <mergeCell ref="A3764:E3764"/>
    <mergeCell ref="A5986:E5986"/>
    <mergeCell ref="A8071:E8071"/>
    <mergeCell ref="A8098:E8098"/>
    <mergeCell ref="A6582:E6582"/>
    <mergeCell ref="B8556:E8556"/>
    <mergeCell ref="B6859:E6859"/>
    <mergeCell ref="A7256:E7256"/>
    <mergeCell ref="B7040:E7040"/>
    <mergeCell ref="B5343:E5343"/>
    <mergeCell ref="A6155:E6155"/>
    <mergeCell ref="A5096:E5096"/>
    <mergeCell ref="B8645:E8645"/>
    <mergeCell ref="B7586:E7586"/>
    <mergeCell ref="B554:E554"/>
    <mergeCell ref="B3854:E3854"/>
    <mergeCell ref="A7983:E7983"/>
    <mergeCell ref="A2396:E2396"/>
    <mergeCell ref="B1738:E1738"/>
    <mergeCell ref="B5038:E5038"/>
    <mergeCell ref="A5283:E5283"/>
    <mergeCell ref="B5975:E5975"/>
    <mergeCell ref="B7672:E7672"/>
    <mergeCell ref="B7803:E7803"/>
    <mergeCell ref="B7159:E7159"/>
    <mergeCell ref="B3427:E3427"/>
    <mergeCell ref="A2097:E2097"/>
    <mergeCell ref="A1038:E1038"/>
    <mergeCell ref="B7340:E7340"/>
    <mergeCell ref="B6860:E6860"/>
    <mergeCell ref="B2069:E2069"/>
    <mergeCell ref="A4393:E4393"/>
    <mergeCell ref="B7972:E7972"/>
    <mergeCell ref="B401:E401"/>
    <mergeCell ref="A5583:E5583"/>
    <mergeCell ref="A3454:E3454"/>
    <mergeCell ref="B7071:E7071"/>
    <mergeCell ref="B7461:C7461"/>
    <mergeCell ref="B3727:E3727"/>
    <mergeCell ref="A2397:E2397"/>
    <mergeCell ref="A1338:E1338"/>
    <mergeCell ref="A5120:E5120"/>
    <mergeCell ref="B96:E96"/>
    <mergeCell ref="B7798:E7798"/>
    <mergeCell ref="B2855:E2855"/>
    <mergeCell ref="A1555:E1555"/>
    <mergeCell ref="A3640:E3640"/>
    <mergeCell ref="A2608:E2608"/>
    <mergeCell ref="A7993:E7993"/>
    <mergeCell ref="B701:E701"/>
    <mergeCell ref="A3798:E3798"/>
    <mergeCell ref="A5883:E5883"/>
    <mergeCell ref="B1885:E1885"/>
    <mergeCell ref="B7329:C7329"/>
    <mergeCell ref="A2697:E2697"/>
    <mergeCell ref="A1638:E1638"/>
    <mergeCell ref="A3335:E3335"/>
    <mergeCell ref="B274:E274"/>
    <mergeCell ref="B396:E396"/>
    <mergeCell ref="A6671:E6671"/>
    <mergeCell ref="A8756:E8756"/>
    <mergeCell ref="B8540:E8540"/>
    <mergeCell ref="A2908:E2908"/>
    <mergeCell ref="B2244:C2244"/>
    <mergeCell ref="B7087:E7087"/>
    <mergeCell ref="A1992:E1992"/>
    <mergeCell ref="A295:E295"/>
    <mergeCell ref="B696:E696"/>
    <mergeCell ref="A6971:E6971"/>
    <mergeCell ref="B8271:E8271"/>
    <mergeCell ref="B4645:E4645"/>
    <mergeCell ref="A6508:E6508"/>
    <mergeCell ref="B6782:E6782"/>
    <mergeCell ref="B271:C271"/>
    <mergeCell ref="A6666:E6666"/>
    <mergeCell ref="B7387:E7387"/>
    <mergeCell ref="A2292:E2292"/>
    <mergeCell ref="A207:E207"/>
    <mergeCell ref="A182:E182"/>
    <mergeCell ref="B7518:E7518"/>
    <mergeCell ref="A4535:E4535"/>
    <mergeCell ref="B6023:E6023"/>
    <mergeCell ref="A296:E296"/>
    <mergeCell ref="A5209:E5209"/>
    <mergeCell ref="B7213:E7213"/>
    <mergeCell ref="B8272:E8272"/>
    <mergeCell ref="A4114:E4114"/>
    <mergeCell ref="A3055:E3055"/>
    <mergeCell ref="A3177:E3177"/>
    <mergeCell ref="A5936:E5936"/>
    <mergeCell ref="A1566:E1566"/>
    <mergeCell ref="A2628:E2628"/>
    <mergeCell ref="A2750:E2750"/>
    <mergeCell ref="A3388:E3388"/>
    <mergeCell ref="A2293:E2293"/>
    <mergeCell ref="B2570:E2570"/>
    <mergeCell ref="A7752:E7752"/>
    <mergeCell ref="B2113:E2113"/>
    <mergeCell ref="B1054:E1054"/>
    <mergeCell ref="A6236:E6236"/>
    <mergeCell ref="B1081:E1081"/>
    <mergeCell ref="B22:E22"/>
    <mergeCell ref="A807:E807"/>
    <mergeCell ref="B2107:E2107"/>
    <mergeCell ref="B4356:E4356"/>
    <mergeCell ref="A7295:E7295"/>
    <mergeCell ref="A8022:E8022"/>
    <mergeCell ref="B1808:E1808"/>
    <mergeCell ref="A1692:E1692"/>
    <mergeCell ref="B6170:E6170"/>
    <mergeCell ref="A5510:E5510"/>
    <mergeCell ref="B4681:E4681"/>
    <mergeCell ref="A7709:E7709"/>
    <mergeCell ref="B7415:E7415"/>
    <mergeCell ref="A681:E681"/>
    <mergeCell ref="A8383:E8383"/>
    <mergeCell ref="A6252:E6252"/>
    <mergeCell ref="B6171:E6171"/>
    <mergeCell ref="A5351:E5351"/>
    <mergeCell ref="A3704:E3704"/>
    <mergeCell ref="A981:E981"/>
    <mergeCell ref="A4894:E4894"/>
    <mergeCell ref="A5947:E5947"/>
    <mergeCell ref="A518:E518"/>
    <mergeCell ref="A1708:E1708"/>
    <mergeCell ref="A676:E676"/>
    <mergeCell ref="A4589:E4589"/>
    <mergeCell ref="A6710:E6710"/>
    <mergeCell ref="A5651:E5651"/>
    <mergeCell ref="B496:E496"/>
    <mergeCell ref="A1281:E1281"/>
    <mergeCell ref="A1919:E1919"/>
    <mergeCell ref="A5194:E5194"/>
    <mergeCell ref="B2798:E2798"/>
    <mergeCell ref="B1223:E1223"/>
    <mergeCell ref="B164:E164"/>
    <mergeCell ref="B3308:E3308"/>
    <mergeCell ref="A8111:E8111"/>
    <mergeCell ref="A4767:E4767"/>
    <mergeCell ref="B3525:E3525"/>
    <mergeCell ref="B1828:E1828"/>
    <mergeCell ref="B2466:E2466"/>
    <mergeCell ref="A4925:E4925"/>
    <mergeCell ref="B796:E796"/>
    <mergeCell ref="A7010:E7010"/>
    <mergeCell ref="B3012:E3012"/>
    <mergeCell ref="B5156:C5156"/>
    <mergeCell ref="B3098:E3098"/>
    <mergeCell ref="A2794:E2794"/>
    <mergeCell ref="B3825:E3825"/>
    <mergeCell ref="B2766:E2766"/>
    <mergeCell ref="A8525:E8525"/>
    <mergeCell ref="B1096:E1096"/>
    <mergeCell ref="B2924:E2924"/>
    <mergeCell ref="B66:E66"/>
    <mergeCell ref="B3977:E3977"/>
    <mergeCell ref="B1823:E1823"/>
    <mergeCell ref="A1009:E1009"/>
    <mergeCell ref="B793:E793"/>
    <mergeCell ref="A8694:E8694"/>
    <mergeCell ref="A6609:E6609"/>
    <mergeCell ref="A6605:E6605"/>
    <mergeCell ref="B3666:E3666"/>
    <mergeCell ref="B1581:E1581"/>
    <mergeCell ref="A1309:E1309"/>
    <mergeCell ref="A6306:E6306"/>
    <mergeCell ref="B480:E480"/>
    <mergeCell ref="B67:E67"/>
    <mergeCell ref="A877:E877"/>
    <mergeCell ref="A3577:E3577"/>
    <mergeCell ref="B61:E61"/>
    <mergeCell ref="A3120:E3120"/>
    <mergeCell ref="B7156:E7156"/>
    <mergeCell ref="A8549:E8549"/>
    <mergeCell ref="B1698:C1698"/>
    <mergeCell ref="A5879:E5879"/>
    <mergeCell ref="A4182:E4182"/>
    <mergeCell ref="B1750:E1750"/>
    <mergeCell ref="A4304:E4304"/>
    <mergeCell ref="B2940:E2940"/>
    <mergeCell ref="B1881:E1881"/>
    <mergeCell ref="A7063:E7063"/>
    <mergeCell ref="A2693:E2693"/>
    <mergeCell ref="A1634:E1634"/>
    <mergeCell ref="A6606:E6606"/>
    <mergeCell ref="B4124:E4124"/>
    <mergeCell ref="A2824:E2824"/>
    <mergeCell ref="B5184:C5184"/>
    <mergeCell ref="A3877:E3877"/>
    <mergeCell ref="A8253:E8253"/>
    <mergeCell ref="A8727:E8727"/>
    <mergeCell ref="B2513:E2513"/>
    <mergeCell ref="B1576:E1576"/>
    <mergeCell ref="B5394:E5394"/>
    <mergeCell ref="B3697:E3697"/>
    <mergeCell ref="A2519:E2519"/>
    <mergeCell ref="A6179:E6179"/>
    <mergeCell ref="B7610:E7610"/>
    <mergeCell ref="B3240:E3240"/>
    <mergeCell ref="B2181:E2181"/>
    <mergeCell ref="B8206:E8206"/>
    <mergeCell ref="A6906:E6906"/>
    <mergeCell ref="B4424:E4424"/>
    <mergeCell ref="A4821:E4821"/>
    <mergeCell ref="B692:E692"/>
    <mergeCell ref="A4177:E4177"/>
    <mergeCell ref="B8242:E8242"/>
    <mergeCell ref="A931:E931"/>
    <mergeCell ref="B2813:E2813"/>
    <mergeCell ref="B1876:E1876"/>
    <mergeCell ref="A1062:E1062"/>
    <mergeCell ref="B4641:E4641"/>
    <mergeCell ref="A6637:E6637"/>
    <mergeCell ref="B2508:E2508"/>
    <mergeCell ref="B6421:E6421"/>
    <mergeCell ref="B3698:E3698"/>
    <mergeCell ref="A1231:E1231"/>
    <mergeCell ref="A172:E172"/>
    <mergeCell ref="B6457:E6457"/>
    <mergeCell ref="A2421:E2421"/>
    <mergeCell ref="A5721:E5721"/>
    <mergeCell ref="A292:E292"/>
    <mergeCell ref="B7184:E7184"/>
    <mergeCell ref="A899:E899"/>
    <mergeCell ref="A5294:E5294"/>
    <mergeCell ref="B5695:E5695"/>
    <mergeCell ref="A7537:E7537"/>
    <mergeCell ref="A6478:E6478"/>
    <mergeCell ref="A4831:E4831"/>
    <mergeCell ref="A2746:E2746"/>
    <mergeCell ref="B1936:E1936"/>
    <mergeCell ref="A6021:E6021"/>
    <mergeCell ref="A592:E592"/>
    <mergeCell ref="A5594:E5594"/>
    <mergeCell ref="A3509:E3509"/>
    <mergeCell ref="B4352:E4352"/>
    <mergeCell ref="B3293:E3293"/>
    <mergeCell ref="A5752:E5752"/>
    <mergeCell ref="A7837:E7837"/>
    <mergeCell ref="B7621:E7621"/>
    <mergeCell ref="A4236:E4236"/>
    <mergeCell ref="B107:E107"/>
    <mergeCell ref="A8054:E8054"/>
    <mergeCell ref="A6479:E6479"/>
    <mergeCell ref="A8048:E8048"/>
    <mergeCell ref="B5109:E5109"/>
    <mergeCell ref="B8416:C8416"/>
    <mergeCell ref="A6052:E6052"/>
    <mergeCell ref="B4646:E4646"/>
    <mergeCell ref="B5842:E5842"/>
    <mergeCell ref="B1466:E1466"/>
    <mergeCell ref="A5589:E5589"/>
    <mergeCell ref="A646:E646"/>
    <mergeCell ref="B8715:E8715"/>
    <mergeCell ref="A320:E320"/>
    <mergeCell ref="A347:E347"/>
    <mergeCell ref="A314:E314"/>
    <mergeCell ref="A1373:E1373"/>
    <mergeCell ref="A8049:E8049"/>
    <mergeCell ref="B9:E9"/>
    <mergeCell ref="A2047:E2047"/>
    <mergeCell ref="B5110:E5110"/>
    <mergeCell ref="B6136:E6136"/>
    <mergeCell ref="A51:E51"/>
    <mergeCell ref="A5436:E5436"/>
    <mergeCell ref="A620:E620"/>
    <mergeCell ref="A647:E647"/>
    <mergeCell ref="A7738:E7738"/>
    <mergeCell ref="A2469:E2469"/>
    <mergeCell ref="A6681:E6681"/>
    <mergeCell ref="A6706:E6706"/>
    <mergeCell ref="A315:E315"/>
    <mergeCell ref="A1408:E1408"/>
    <mergeCell ref="A3520:E3520"/>
    <mergeCell ref="A2461:E2461"/>
    <mergeCell ref="A7433:E7433"/>
    <mergeCell ref="A2004:E2004"/>
    <mergeCell ref="A6401:E6401"/>
    <mergeCell ref="B135:E135"/>
    <mergeCell ref="A947:E947"/>
    <mergeCell ref="A8038:E8038"/>
    <mergeCell ref="A7006:E7006"/>
    <mergeCell ref="B1795:C1795"/>
    <mergeCell ref="B3008:E3008"/>
    <mergeCell ref="B3648:E3648"/>
    <mergeCell ref="A7733:E7733"/>
    <mergeCell ref="B1494:E1494"/>
    <mergeCell ref="B4794:E4794"/>
    <mergeCell ref="B5847:E5847"/>
    <mergeCell ref="B3762:E3762"/>
    <mergeCell ref="A2462:E2462"/>
    <mergeCell ref="B2703:E2703"/>
    <mergeCell ref="A4547:E4547"/>
    <mergeCell ref="B6521:E6521"/>
    <mergeCell ref="A7306:E7306"/>
    <mergeCell ref="A788:E788"/>
    <mergeCell ref="B3948:E3948"/>
    <mergeCell ref="A8033:E8033"/>
    <mergeCell ref="A5948:E5948"/>
    <mergeCell ref="A3090:E3090"/>
    <mergeCell ref="A1005:E1005"/>
    <mergeCell ref="B5094:E5094"/>
    <mergeCell ref="B3009:E3009"/>
    <mergeCell ref="A8191:E8191"/>
    <mergeCell ref="B4062:E4062"/>
    <mergeCell ref="A3248:E3248"/>
    <mergeCell ref="B7853:E7853"/>
    <mergeCell ref="A3817:E3817"/>
    <mergeCell ref="B6821:E6821"/>
    <mergeCell ref="A2785:E2785"/>
    <mergeCell ref="B6364:E6364"/>
    <mergeCell ref="B5305:E5305"/>
    <mergeCell ref="A7764:E7764"/>
    <mergeCell ref="B8607:E8607"/>
    <mergeCell ref="A4580:E4580"/>
    <mergeCell ref="A3573:E3573"/>
    <mergeCell ref="A3548:E3548"/>
    <mergeCell ref="A6848:E6848"/>
    <mergeCell ref="B3332:E3332"/>
    <mergeCell ref="B1247:E1247"/>
    <mergeCell ref="A6429:E6429"/>
    <mergeCell ref="B8311:E8311"/>
    <mergeCell ref="A362:E362"/>
    <mergeCell ref="A4300:E4300"/>
    <mergeCell ref="A8118:E8118"/>
    <mergeCell ref="B820:E820"/>
    <mergeCell ref="A1605:E1605"/>
    <mergeCell ref="A5964:E5964"/>
    <mergeCell ref="A6116:E6116"/>
    <mergeCell ref="B1425:E1425"/>
    <mergeCell ref="A6729:E6729"/>
    <mergeCell ref="B8665:E8665"/>
    <mergeCell ref="A6721:E6721"/>
    <mergeCell ref="B2152:E2152"/>
    <mergeCell ref="A6843:E6843"/>
    <mergeCell ref="B1120:E1120"/>
    <mergeCell ref="B4420:E4420"/>
    <mergeCell ref="B4395:E4395"/>
    <mergeCell ref="A5232:E5232"/>
    <mergeCell ref="B5479:E5479"/>
    <mergeCell ref="B3363:E3363"/>
    <mergeCell ref="B7722:E7722"/>
    <mergeCell ref="A5363:E5363"/>
    <mergeCell ref="B8142:C8142"/>
    <mergeCell ref="A8507:E8507"/>
    <mergeCell ref="B1847:E1847"/>
    <mergeCell ref="B6084:E6084"/>
    <mergeCell ref="B6206:E6206"/>
    <mergeCell ref="B777:E777"/>
    <mergeCell ref="B8327:E8327"/>
    <mergeCell ref="B7933:E7933"/>
    <mergeCell ref="A6633:E6633"/>
    <mergeCell ref="A1147:E1147"/>
    <mergeCell ref="A8718:E8718"/>
    <mergeCell ref="B5779:E5779"/>
    <mergeCell ref="A7360:E7360"/>
    <mergeCell ref="A720:E720"/>
    <mergeCell ref="A842:E842"/>
    <mergeCell ref="A1358:E1358"/>
    <mergeCell ref="B504:E504"/>
    <mergeCell ref="A3601:E3601"/>
    <mergeCell ref="A1316:E1316"/>
    <mergeCell ref="A4660:E4660"/>
    <mergeCell ref="A1447:E1447"/>
    <mergeCell ref="A415:E415"/>
    <mergeCell ref="B6079:E6079"/>
    <mergeCell ref="B6237:E6237"/>
    <mergeCell ref="B235:E235"/>
    <mergeCell ref="A5379:E5379"/>
    <mergeCell ref="A5992:E5992"/>
    <mergeCell ref="B7292:E7292"/>
    <mergeCell ref="A3263:E3263"/>
    <mergeCell ref="B831:E831"/>
    <mergeCell ref="A7176:E7176"/>
    <mergeCell ref="A8260:E8260"/>
    <mergeCell ref="B505:E505"/>
    <mergeCell ref="A5687:E5687"/>
    <mergeCell ref="B1558:E1558"/>
    <mergeCell ref="B499:E499"/>
    <mergeCell ref="A7833:E7833"/>
    <mergeCell ref="A7808:E7808"/>
    <mergeCell ref="B2232:E2232"/>
    <mergeCell ref="A932:E932"/>
    <mergeCell ref="A1442:E1442"/>
    <mergeCell ref="A6344:E6344"/>
    <mergeCell ref="B4475:E4475"/>
    <mergeCell ref="A3175:E3175"/>
    <mergeCell ref="A5260:E5260"/>
    <mergeCell ref="A3131:E3131"/>
    <mergeCell ref="B2321:E2321"/>
    <mergeCell ref="A7528:E7528"/>
    <mergeCell ref="B5622:C5622"/>
    <mergeCell ref="A5987:E5987"/>
    <mergeCell ref="A3902:E3902"/>
    <mergeCell ref="B8380:E8380"/>
    <mergeCell ref="A6048:E6048"/>
    <mergeCell ref="B2532:E2532"/>
    <mergeCell ref="B6866:E6866"/>
    <mergeCell ref="B3722:E3722"/>
    <mergeCell ref="B8680:E8680"/>
    <mergeCell ref="B6595:E6595"/>
    <mergeCell ref="A2559:E2559"/>
    <mergeCell ref="B7191:E7191"/>
    <mergeCell ref="B6132:E6132"/>
    <mergeCell ref="A4802:E4802"/>
    <mergeCell ref="A8591:E8591"/>
    <mergeCell ref="A1458:E1458"/>
    <mergeCell ref="B1733:C1733"/>
    <mergeCell ref="A2132:E2132"/>
    <mergeCell ref="A1675:E1675"/>
    <mergeCell ref="A4375:E4375"/>
    <mergeCell ref="A2859:E2859"/>
    <mergeCell ref="A1827:E1827"/>
    <mergeCell ref="A4586:E4586"/>
    <mergeCell ref="B2222:E2222"/>
    <mergeCell ref="A8457:E8457"/>
    <mergeCell ref="B1190:E1190"/>
    <mergeCell ref="B131:E131"/>
    <mergeCell ref="B2216:E2216"/>
    <mergeCell ref="A2590:E2590"/>
    <mergeCell ref="A4675:E4675"/>
    <mergeCell ref="A6372:E6372"/>
    <mergeCell ref="A3159:E3159"/>
    <mergeCell ref="A1074:E1074"/>
    <mergeCell ref="A8588:E8588"/>
    <mergeCell ref="A2127:E2127"/>
    <mergeCell ref="A5427:E5427"/>
    <mergeCell ref="A6486:E6486"/>
    <mergeCell ref="A7099:E7099"/>
    <mergeCell ref="B4038:E4038"/>
    <mergeCell ref="B1947:E1947"/>
    <mergeCell ref="A7091:E7091"/>
    <mergeCell ref="B5222:E5222"/>
    <mergeCell ref="B1490:E1490"/>
    <mergeCell ref="B4190:E4190"/>
    <mergeCell ref="A6672:E6672"/>
    <mergeCell ref="B3733:E3733"/>
    <mergeCell ref="B2217:E2217"/>
    <mergeCell ref="B7796:E7796"/>
    <mergeCell ref="A4887:E4887"/>
    <mergeCell ref="A5329:E5329"/>
    <mergeCell ref="B4033:E4033"/>
    <mergeCell ref="B2974:E2974"/>
    <mergeCell ref="B7333:E7333"/>
    <mergeCell ref="A1090:E1090"/>
    <mergeCell ref="A31:E31"/>
    <mergeCell ref="A1084:E1084"/>
    <mergeCell ref="A7760:E7760"/>
    <mergeCell ref="A2274:E2274"/>
    <mergeCell ref="A785:E785"/>
    <mergeCell ref="A5629:E5629"/>
    <mergeCell ref="A1969:E1969"/>
    <mergeCell ref="A6819:E6819"/>
    <mergeCell ref="B2690:E2690"/>
    <mergeCell ref="B605:E605"/>
    <mergeCell ref="B1631:E1631"/>
    <mergeCell ref="A7872:E7872"/>
    <mergeCell ref="A358:E358"/>
    <mergeCell ref="A2574:E2574"/>
    <mergeCell ref="A5324:E5324"/>
    <mergeCell ref="B2385:E2385"/>
    <mergeCell ref="A8660:E8660"/>
    <mergeCell ref="A3844:E3844"/>
    <mergeCell ref="A6087:E6087"/>
    <mergeCell ref="A658:E658"/>
    <mergeCell ref="B3148:E3148"/>
    <mergeCell ref="B3786:E3786"/>
    <mergeCell ref="A4571:E4571"/>
    <mergeCell ref="A6839:E6839"/>
    <mergeCell ref="B1632:E1632"/>
    <mergeCell ref="B2685:E2685"/>
    <mergeCell ref="A1871:E1871"/>
    <mergeCell ref="B4391:E4391"/>
    <mergeCell ref="B3359:E3359"/>
    <mergeCell ref="A4144:E4144"/>
    <mergeCell ref="B2902:E2902"/>
    <mergeCell ref="B148:C148"/>
    <mergeCell ref="A4302:E4302"/>
    <mergeCell ref="B6177:E6177"/>
    <mergeCell ref="A8215:E8215"/>
    <mergeCell ref="A385:E385"/>
    <mergeCell ref="B3964:E3964"/>
    <mergeCell ref="A50:E50"/>
    <mergeCell ref="A7114:E7114"/>
    <mergeCell ref="A2171:E2171"/>
    <mergeCell ref="A86:E86"/>
    <mergeCell ref="A42:E42"/>
    <mergeCell ref="B3659:E3659"/>
    <mergeCell ref="B6934:E6934"/>
    <mergeCell ref="A5044:E5044"/>
    <mergeCell ref="A2959:E2959"/>
    <mergeCell ref="B1663:E1663"/>
    <mergeCell ref="B5445:E5445"/>
    <mergeCell ref="B2718:E2718"/>
    <mergeCell ref="A2496:E2496"/>
    <mergeCell ref="A411:E411"/>
    <mergeCell ref="A386:E386"/>
    <mergeCell ref="A3686:E3686"/>
    <mergeCell ref="A1138:E1138"/>
    <mergeCell ref="A4956:E4956"/>
    <mergeCell ref="A3259:E3259"/>
    <mergeCell ref="B3049:E3049"/>
    <mergeCell ref="A3381:E3381"/>
    <mergeCell ref="A5466:E5466"/>
    <mergeCell ref="A2802:E2802"/>
    <mergeCell ref="B3043:E3043"/>
    <mergeCell ref="A5502:E5502"/>
    <mergeCell ref="A1770:E1770"/>
    <mergeCell ref="A711:E711"/>
    <mergeCell ref="A7199:E7199"/>
    <mergeCell ref="A7804:E7804"/>
    <mergeCell ref="A6745:E6745"/>
    <mergeCell ref="A5256:E5256"/>
    <mergeCell ref="B2774:E2774"/>
    <mergeCell ref="A3681:E3681"/>
    <mergeCell ref="A6446:E6446"/>
    <mergeCell ref="B7746:E7746"/>
    <mergeCell ref="B2317:E2317"/>
    <mergeCell ref="A5802:E5802"/>
    <mergeCell ref="A7499:E7499"/>
    <mergeCell ref="A2070:E2070"/>
    <mergeCell ref="B4560:E4560"/>
    <mergeCell ref="A4286:E4286"/>
    <mergeCell ref="A5983:E5983"/>
    <mergeCell ref="B8473:E8473"/>
    <mergeCell ref="A3254:E3254"/>
    <mergeCell ref="B3044:E3044"/>
    <mergeCell ref="A6019:E6019"/>
    <mergeCell ref="A4444:E4444"/>
    <mergeCell ref="B5165:E5165"/>
    <mergeCell ref="B6856:E6856"/>
    <mergeCell ref="A5556:E5556"/>
    <mergeCell ref="A70:E70"/>
    <mergeCell ref="A3471:E3471"/>
    <mergeCell ref="B6349:E6349"/>
    <mergeCell ref="B6993:E6993"/>
    <mergeCell ref="A7799:E7799"/>
    <mergeCell ref="A5714:E5714"/>
    <mergeCell ref="B5917:E5917"/>
    <mergeCell ref="A2943:E2943"/>
    <mergeCell ref="B3344:E3344"/>
    <mergeCell ref="A2524:E2524"/>
    <mergeCell ref="A3714:E3714"/>
    <mergeCell ref="A2638:E2638"/>
    <mergeCell ref="B6217:E6217"/>
    <mergeCell ref="A6456:E6456"/>
    <mergeCell ref="A4371:E4371"/>
    <mergeCell ref="A4346:E4346"/>
    <mergeCell ref="B5160:E5160"/>
    <mergeCell ref="A5098:E5098"/>
    <mergeCell ref="B8677:E8677"/>
    <mergeCell ref="A1754:E1754"/>
    <mergeCell ref="A1912:E1912"/>
    <mergeCell ref="B7003:E7003"/>
    <mergeCell ref="A5703:E5703"/>
    <mergeCell ref="A4671:E4671"/>
    <mergeCell ref="A7946:E7946"/>
    <mergeCell ref="A8584:E8584"/>
    <mergeCell ref="A6914:E6914"/>
    <mergeCell ref="B673:E673"/>
    <mergeCell ref="A2098:E2098"/>
    <mergeCell ref="B7145:C7145"/>
    <mergeCell ref="B1269:E1269"/>
    <mergeCell ref="A4366:E4366"/>
    <mergeCell ref="A7641:E7641"/>
    <mergeCell ref="A2825:E2825"/>
    <mergeCell ref="B5218:E5218"/>
    <mergeCell ref="A4971:E4971"/>
    <mergeCell ref="A6161:E6161"/>
    <mergeCell ref="B3729:E3729"/>
    <mergeCell ref="B2032:E2032"/>
    <mergeCell ref="B4755:E4755"/>
    <mergeCell ref="A5129:E5129"/>
    <mergeCell ref="B5972:E5972"/>
    <mergeCell ref="B4791:E4791"/>
    <mergeCell ref="A5698:E5698"/>
    <mergeCell ref="A6757:E6757"/>
    <mergeCell ref="B6998:E6998"/>
    <mergeCell ref="B2759:E2759"/>
    <mergeCell ref="A7431:E7431"/>
    <mergeCell ref="A7941:E7941"/>
    <mergeCell ref="A2998:E2998"/>
    <mergeCell ref="A913:E913"/>
    <mergeCell ref="B4492:E4492"/>
    <mergeCell ref="B5518:E5518"/>
    <mergeCell ref="B6699:E6699"/>
    <mergeCell ref="A1482:E1482"/>
    <mergeCell ref="B8399:E8399"/>
    <mergeCell ref="B4029:E4029"/>
    <mergeCell ref="B2332:E2332"/>
    <mergeCell ref="A1640:E1640"/>
    <mergeCell ref="B5219:E5219"/>
    <mergeCell ref="B5213:E5213"/>
    <mergeCell ref="A6484:E6484"/>
    <mergeCell ref="A1177:E1177"/>
    <mergeCell ref="B4630:C4630"/>
    <mergeCell ref="A6598:E6598"/>
    <mergeCell ref="A5126:E5126"/>
    <mergeCell ref="B391:C391"/>
    <mergeCell ref="B8092:E8092"/>
    <mergeCell ref="A750:E750"/>
    <mergeCell ref="A7999:E7999"/>
    <mergeCell ref="B8400:E8400"/>
    <mergeCell ref="A3629:E3629"/>
    <mergeCell ref="A3623:E3623"/>
    <mergeCell ref="A1538:E1538"/>
    <mergeCell ref="A1513:E1513"/>
    <mergeCell ref="A5426:E5426"/>
    <mergeCell ref="A8631:E8631"/>
    <mergeCell ref="A3324:E3324"/>
    <mergeCell ref="A8168:E8168"/>
    <mergeCell ref="A8299:E8299"/>
    <mergeCell ref="B3144:E3144"/>
    <mergeCell ref="A3929:E3929"/>
    <mergeCell ref="B6419:E6419"/>
    <mergeCell ref="B7504:C7504"/>
    <mergeCell ref="A8326:E8326"/>
    <mergeCell ref="B1628:E1628"/>
    <mergeCell ref="B5387:E5387"/>
    <mergeCell ref="A6810:E6810"/>
    <mergeCell ref="A7994:E7994"/>
    <mergeCell ref="A6899:E6899"/>
    <mergeCell ref="A6383:E6383"/>
    <mergeCell ref="A897:E897"/>
    <mergeCell ref="B4476:E4476"/>
    <mergeCell ref="B2391:E2391"/>
    <mergeCell ref="A8626:E8626"/>
    <mergeCell ref="B6719:E6719"/>
    <mergeCell ref="B4634:E4634"/>
    <mergeCell ref="A2167:E2167"/>
    <mergeCell ref="B871:E871"/>
    <mergeCell ref="B4171:E4171"/>
    <mergeCell ref="A5442:E5442"/>
    <mergeCell ref="B6930:E6930"/>
    <mergeCell ref="B5898:E5898"/>
    <mergeCell ref="A171:E171"/>
    <mergeCell ref="A6683:E6683"/>
    <mergeCell ref="A165:E165"/>
    <mergeCell ref="A5137:E5137"/>
    <mergeCell ref="B1659:E1659"/>
    <mergeCell ref="B5572:E5572"/>
    <mergeCell ref="A898:E898"/>
    <mergeCell ref="B7693:E7693"/>
    <mergeCell ref="A892:E892"/>
    <mergeCell ref="B4471:E4471"/>
    <mergeCell ref="B2386:E2386"/>
    <mergeCell ref="A4710:E4710"/>
    <mergeCell ref="A2625:E2625"/>
    <mergeCell ref="B8289:E8289"/>
    <mergeCell ref="A4841:E4841"/>
    <mergeCell ref="B1771:E1771"/>
    <mergeCell ref="A77:E77"/>
    <mergeCell ref="A3230:E3230"/>
    <mergeCell ref="A3352:E3352"/>
    <mergeCell ref="A7583:E7583"/>
    <mergeCell ref="A5498:E5498"/>
    <mergeCell ref="A682:E682"/>
    <mergeCell ref="A3957:E3957"/>
    <mergeCell ref="A6225:E6225"/>
    <mergeCell ref="B502:E502"/>
    <mergeCell ref="A1409:E1409"/>
    <mergeCell ref="A5806:E5806"/>
    <mergeCell ref="A3652:E3652"/>
    <mergeCell ref="A7889:E7889"/>
    <mergeCell ref="A4745:E4745"/>
    <mergeCell ref="A5798:E5798"/>
    <mergeCell ref="A8047:E8047"/>
    <mergeCell ref="A6988:E6988"/>
    <mergeCell ref="B197:E197"/>
    <mergeCell ref="B4531:E4531"/>
    <mergeCell ref="A3225:E3225"/>
    <mergeCell ref="B1343:E1343"/>
    <mergeCell ref="A6525:E6525"/>
    <mergeCell ref="A7584:E7584"/>
    <mergeCell ref="A1582:E1582"/>
    <mergeCell ref="B286:E286"/>
    <mergeCell ref="A5493:E5493"/>
    <mergeCell ref="A7715:E7715"/>
    <mergeCell ref="A8774:E8774"/>
    <mergeCell ref="B6345:E6345"/>
    <mergeCell ref="B3003:C3003"/>
    <mergeCell ref="B1975:E1975"/>
    <mergeCell ref="A6098:E6098"/>
    <mergeCell ref="B5888:E5888"/>
    <mergeCell ref="B4987:E4987"/>
    <mergeCell ref="A2040:E2040"/>
    <mergeCell ref="A7012:E7012"/>
    <mergeCell ref="B7826:E7826"/>
    <mergeCell ref="A1583:E1583"/>
    <mergeCell ref="A524:E524"/>
    <mergeCell ref="A4342:E4342"/>
    <mergeCell ref="A2767:E2767"/>
    <mergeCell ref="B6346:E6346"/>
    <mergeCell ref="B8431:E8431"/>
    <mergeCell ref="B6340:E6340"/>
    <mergeCell ref="A2304:E2304"/>
    <mergeCell ref="A97:E97"/>
    <mergeCell ref="A219:E219"/>
    <mergeCell ref="A4456:E4456"/>
    <mergeCell ref="A5069:E5069"/>
    <mergeCell ref="B7616:E7616"/>
    <mergeCell ref="A693:E693"/>
    <mergeCell ref="A1883:E1883"/>
    <mergeCell ref="A6849:E6849"/>
    <mergeCell ref="B3371:E3371"/>
    <mergeCell ref="A3067:E3067"/>
    <mergeCell ref="A4642:E4642"/>
    <mergeCell ref="B1703:E1703"/>
    <mergeCell ref="B4584:E4584"/>
    <mergeCell ref="A5369:E5369"/>
    <mergeCell ref="A2640:E2640"/>
    <mergeCell ref="B2430:E2430"/>
    <mergeCell ref="A5527:E5527"/>
    <mergeCell ref="A6553:E6553"/>
    <mergeCell ref="B1398:E1398"/>
    <mergeCell ref="A5483:E5483"/>
    <mergeCell ref="A2337:E2337"/>
    <mergeCell ref="A5056:E5056"/>
    <mergeCell ref="B4884:E4884"/>
    <mergeCell ref="B3187:E3187"/>
    <mergeCell ref="A4637:E4637"/>
    <mergeCell ref="B1723:E1723"/>
    <mergeCell ref="B4998:E4998"/>
    <mergeCell ref="B5611:E5611"/>
    <mergeCell ref="B7757:E7757"/>
    <mergeCell ref="A998:E998"/>
    <mergeCell ref="B7300:E7300"/>
    <mergeCell ref="A552:E552"/>
    <mergeCell ref="A7211:E7211"/>
    <mergeCell ref="A1725:E1725"/>
    <mergeCell ref="A2241:E2241"/>
    <mergeCell ref="A3294:E3294"/>
    <mergeCell ref="A1209:E1209"/>
    <mergeCell ref="B1998:E1998"/>
    <mergeCell ref="B5911:E5911"/>
    <mergeCell ref="A6152:E6152"/>
    <mergeCell ref="A5537:E5537"/>
    <mergeCell ref="A3452:E3452"/>
    <mergeCell ref="B7004:E7004"/>
    <mergeCell ref="B7031:E7031"/>
    <mergeCell ref="A4021:E4021"/>
    <mergeCell ref="B1082:E1082"/>
    <mergeCell ref="A4179:E4179"/>
    <mergeCell ref="A6264:E6264"/>
    <mergeCell ref="A2025:E2025"/>
    <mergeCell ref="A6938:E6938"/>
    <mergeCell ref="A1509:E1509"/>
    <mergeCell ref="A4784:E4784"/>
    <mergeCell ref="A2699:E2699"/>
    <mergeCell ref="B1293:E1293"/>
    <mergeCell ref="A3752:E3752"/>
    <mergeCell ref="A8724:E8724"/>
    <mergeCell ref="B2898:E2898"/>
    <mergeCell ref="A1598:E1598"/>
    <mergeCell ref="A2236:E2236"/>
    <mergeCell ref="A3295:E3295"/>
    <mergeCell ref="B3115:E3115"/>
    <mergeCell ref="A4022:E4022"/>
    <mergeCell ref="B6415:E6415"/>
    <mergeCell ref="A7238:E7238"/>
    <mergeCell ref="A5749:E5749"/>
    <mergeCell ref="A263:E263"/>
    <mergeCell ref="B2810:E2810"/>
    <mergeCell ref="A4779:E4779"/>
    <mergeCell ref="B3415:E3415"/>
    <mergeCell ref="B2356:E2356"/>
    <mergeCell ref="B7768:E7768"/>
    <mergeCell ref="B5683:E5683"/>
    <mergeCell ref="B4599:E4599"/>
    <mergeCell ref="B7899:E7899"/>
    <mergeCell ref="B1931:C1931"/>
    <mergeCell ref="B6410:E6410"/>
    <mergeCell ref="B8531:E8531"/>
    <mergeCell ref="A2410:E2410"/>
    <mergeCell ref="A1351:E1351"/>
    <mergeCell ref="A3436:E3436"/>
    <mergeCell ref="B4930:E4930"/>
    <mergeCell ref="A894:E894"/>
    <mergeCell ref="B8199:E8199"/>
    <mergeCell ref="A4706:E4706"/>
    <mergeCell ref="A924:E924"/>
    <mergeCell ref="B1767:E1767"/>
    <mergeCell ref="B7900:E7900"/>
    <mergeCell ref="A8139:E8139"/>
    <mergeCell ref="A461:E461"/>
    <mergeCell ref="A5433:E5433"/>
    <mergeCell ref="A2710:E2710"/>
    <mergeCell ref="A1651:E1651"/>
    <mergeCell ref="A3348:E3348"/>
    <mergeCell ref="A1194:E1194"/>
    <mergeCell ref="B4198:E4198"/>
    <mergeCell ref="A5591:E5591"/>
    <mergeCell ref="B7473:E7473"/>
    <mergeCell ref="B5253:E5253"/>
    <mergeCell ref="A3437:E3437"/>
    <mergeCell ref="A5006:E5006"/>
    <mergeCell ref="A2405:E2405"/>
    <mergeCell ref="A1346:E1346"/>
    <mergeCell ref="A6196:E6196"/>
    <mergeCell ref="B3257:E3257"/>
    <mergeCell ref="B3895:E3895"/>
    <mergeCell ref="A7380:E7380"/>
    <mergeCell ref="B2225:E2225"/>
    <mergeCell ref="A925:E925"/>
    <mergeCell ref="A1951:E1951"/>
    <mergeCell ref="A3010:E3010"/>
    <mergeCell ref="B6138:E6138"/>
    <mergeCell ref="A5769:E5769"/>
    <mergeCell ref="B8223:E8223"/>
    <mergeCell ref="B4527:E4527"/>
    <mergeCell ref="B3468:E3468"/>
    <mergeCell ref="B6743:E6743"/>
    <mergeCell ref="A3221:E3221"/>
    <mergeCell ref="A6496:E6496"/>
    <mergeCell ref="B282:E282"/>
    <mergeCell ref="A5464:E5464"/>
    <mergeCell ref="B4195:E4195"/>
    <mergeCell ref="B5667:E5667"/>
    <mergeCell ref="A6654:E6654"/>
    <mergeCell ref="A8764:E8764"/>
    <mergeCell ref="A8343:E8343"/>
    <mergeCell ref="B7095:E7095"/>
    <mergeCell ref="A309:E309"/>
    <mergeCell ref="B6011:E6011"/>
    <mergeCell ref="A5764:E5764"/>
    <mergeCell ref="B7822:E7822"/>
    <mergeCell ref="B740:E740"/>
    <mergeCell ref="A1554:E1554"/>
    <mergeCell ref="A495:E495"/>
    <mergeCell ref="A1548:E1548"/>
    <mergeCell ref="A4848:E4848"/>
    <mergeCell ref="B8427:E8427"/>
    <mergeCell ref="B7395:E7395"/>
    <mergeCell ref="B1909:E1909"/>
    <mergeCell ref="A609:E609"/>
    <mergeCell ref="B4184:C4184"/>
    <mergeCell ref="A8338:E8338"/>
    <mergeCell ref="A2336:E2336"/>
    <mergeCell ref="A7308:E7308"/>
    <mergeCell ref="A6249:E6249"/>
    <mergeCell ref="A8334:E8334"/>
    <mergeCell ref="B10:E10"/>
    <mergeCell ref="B3310:E3310"/>
    <mergeCell ref="A4122:E4122"/>
    <mergeCell ref="A3063:E3063"/>
    <mergeCell ref="A8035:E8035"/>
    <mergeCell ref="A6338:E6338"/>
    <mergeCell ref="A2606:E2606"/>
    <mergeCell ref="A490:E490"/>
    <mergeCell ref="B3942:E3942"/>
    <mergeCell ref="A4849:E4849"/>
    <mergeCell ref="A8065:E8065"/>
    <mergeCell ref="A2636:E2636"/>
    <mergeCell ref="B2426:E2426"/>
    <mergeCell ref="A6549:E6549"/>
    <mergeCell ref="A6970:E6970"/>
    <mergeCell ref="A8661:E8661"/>
    <mergeCell ref="B310:E310"/>
    <mergeCell ref="B5853:E5853"/>
    <mergeCell ref="A6665:E6665"/>
    <mergeCell ref="A8371:E8371"/>
    <mergeCell ref="B4242:E4242"/>
    <mergeCell ref="B3183:E3183"/>
    <mergeCell ref="B3305:E3305"/>
    <mergeCell ref="B4364:E4364"/>
    <mergeCell ref="A5149:E5149"/>
    <mergeCell ref="B2726:E2726"/>
    <mergeCell ref="B7542:E7542"/>
    <mergeCell ref="A7908:E7908"/>
    <mergeCell ref="B8155:E8155"/>
    <mergeCell ref="B3910:E3910"/>
    <mergeCell ref="A8066:E8066"/>
    <mergeCell ref="B3937:E3937"/>
    <mergeCell ref="B7728:E7728"/>
    <mergeCell ref="A2660:E2660"/>
    <mergeCell ref="A963:E963"/>
    <mergeCell ref="A3850:E3850"/>
    <mergeCell ref="A4876:E4876"/>
    <mergeCell ref="B6370:E6370"/>
    <mergeCell ref="B8455:E8455"/>
    <mergeCell ref="B1331:C1331"/>
    <mergeCell ref="B7423:E7423"/>
    <mergeCell ref="A8366:E8366"/>
    <mergeCell ref="A6723:E6723"/>
    <mergeCell ref="B8150:E8150"/>
    <mergeCell ref="A3379:E3379"/>
    <mergeCell ref="A210:E210"/>
    <mergeCell ref="A2960:E2960"/>
    <mergeCell ref="A875:E875"/>
    <mergeCell ref="B1078:E1078"/>
    <mergeCell ref="B21:E21"/>
    <mergeCell ref="A2021:E2021"/>
    <mergeCell ref="B7723:E7723"/>
    <mergeCell ref="B599:C599"/>
    <mergeCell ref="A1602:E1602"/>
    <mergeCell ref="A5833:E5833"/>
    <mergeCell ref="A7023:E7023"/>
    <mergeCell ref="B2894:E2894"/>
    <mergeCell ref="A1594:E1594"/>
    <mergeCell ref="B1378:E1378"/>
    <mergeCell ref="A6560:E6560"/>
    <mergeCell ref="B3621:E3621"/>
    <mergeCell ref="A6718:E6718"/>
    <mergeCell ref="B3780:C3780"/>
    <mergeCell ref="A7323:E7323"/>
    <mergeCell ref="B1109:E1109"/>
    <mergeCell ref="A7481:E7481"/>
    <mergeCell ref="A5834:E5834"/>
    <mergeCell ref="A4775:E4775"/>
    <mergeCell ref="B7265:E7265"/>
    <mergeCell ref="A8050:E8050"/>
    <mergeCell ref="B1836:E1836"/>
    <mergeCell ref="A7018:E7018"/>
    <mergeCell ref="B5627:E5627"/>
    <mergeCell ref="B5785:E5785"/>
    <mergeCell ref="B4138:E4138"/>
    <mergeCell ref="A8261:E8261"/>
    <mergeCell ref="B8535:E8535"/>
    <mergeCell ref="B7571:E7571"/>
    <mergeCell ref="A138:E138"/>
    <mergeCell ref="B7565:E7565"/>
    <mergeCell ref="A132:E132"/>
    <mergeCell ref="B3195:E3195"/>
    <mergeCell ref="B2136:E2136"/>
    <mergeCell ref="A2375:E2375"/>
    <mergeCell ref="B494:C494"/>
    <mergeCell ref="A859:E859"/>
    <mergeCell ref="B8222:E8222"/>
    <mergeCell ref="B1709:E1709"/>
    <mergeCell ref="A3102:E3102"/>
    <mergeCell ref="B4596:E4596"/>
    <mergeCell ref="A3776:E3776"/>
    <mergeCell ref="A4949:E4949"/>
    <mergeCell ref="B380:E380"/>
    <mergeCell ref="B1433:E1433"/>
    <mergeCell ref="A7165:E7165"/>
    <mergeCell ref="A3433:E3433"/>
    <mergeCell ref="A264:E264"/>
    <mergeCell ref="A1317:E1317"/>
    <mergeCell ref="A4495:E4495"/>
    <mergeCell ref="A5554:E5554"/>
    <mergeCell ref="A8435:E8435"/>
    <mergeCell ref="A7376:E7376"/>
    <mergeCell ref="A7351:E7351"/>
    <mergeCell ref="A6281:E6281"/>
    <mergeCell ref="B674:E674"/>
    <mergeCell ref="A8130:E8130"/>
    <mergeCell ref="B7283:C7283"/>
    <mergeCell ref="B794:E794"/>
    <mergeCell ref="B4010:E4010"/>
    <mergeCell ref="B253:E253"/>
    <mergeCell ref="B4606:E4606"/>
    <mergeCell ref="B4737:E4737"/>
    <mergeCell ref="A3464:E3464"/>
    <mergeCell ref="A4490:E4490"/>
    <mergeCell ref="B8555:E8555"/>
    <mergeCell ref="B5333:E5333"/>
    <mergeCell ref="B5491:E5491"/>
    <mergeCell ref="A4191:E4191"/>
    <mergeCell ref="B6007:E6007"/>
    <mergeCell ref="A1971:E1971"/>
    <mergeCell ref="B3853:E3853"/>
    <mergeCell ref="B1768:E1768"/>
    <mergeCell ref="A6950:E6950"/>
    <mergeCell ref="B2821:E2821"/>
    <mergeCell ref="A4092:E4092"/>
    <mergeCell ref="A432:E432"/>
    <mergeCell ref="B4011:E4011"/>
    <mergeCell ref="B5037:E5037"/>
    <mergeCell ref="B6096:E6096"/>
    <mergeCell ref="B8250:E8250"/>
    <mergeCell ref="A1544:E1544"/>
    <mergeCell ref="A2734:E2734"/>
    <mergeCell ref="A3787:E3787"/>
    <mergeCell ref="B4738:E4738"/>
    <mergeCell ref="A4977:E4977"/>
    <mergeCell ref="A2271:E2271"/>
    <mergeCell ref="A186:E186"/>
    <mergeCell ref="B5208:C5208"/>
    <mergeCell ref="B3121:E3121"/>
    <mergeCell ref="A732:E732"/>
    <mergeCell ref="B5364:E5364"/>
    <mergeCell ref="A7850:E7850"/>
    <mergeCell ref="B7192:E7192"/>
    <mergeCell ref="A4093:E4093"/>
    <mergeCell ref="B2249:E2249"/>
    <mergeCell ref="A3034:E3034"/>
    <mergeCell ref="A4087:E4087"/>
    <mergeCell ref="A6309:E6309"/>
    <mergeCell ref="A5302:E5302"/>
    <mergeCell ref="B95:E95"/>
    <mergeCell ref="A8577:E8577"/>
    <mergeCell ref="A1545:E1545"/>
    <mergeCell ref="A486:E486"/>
    <mergeCell ref="B2976:E2976"/>
    <mergeCell ref="A3761:E3761"/>
    <mergeCell ref="A2729:E2729"/>
    <mergeCell ref="A6966:E6966"/>
    <mergeCell ref="B306:E306"/>
    <mergeCell ref="B4640:E4640"/>
    <mergeCell ref="B2549:E2549"/>
    <mergeCell ref="B2505:E2505"/>
    <mergeCell ref="A6661:E6661"/>
    <mergeCell ref="B395:E395"/>
    <mergeCell ref="A3492:E3492"/>
    <mergeCell ref="A5577:E5577"/>
    <mergeCell ref="B5397:E5397"/>
    <mergeCell ref="A7042:E7042"/>
    <mergeCell ref="B4327:E4327"/>
    <mergeCell ref="A8572:E8572"/>
    <mergeCell ref="A6961:E6961"/>
    <mergeCell ref="A5902:E5902"/>
    <mergeCell ref="B8392:E8392"/>
    <mergeCell ref="A7092:E7092"/>
    <mergeCell ref="A1686:E1686"/>
    <mergeCell ref="B7965:E7965"/>
    <mergeCell ref="A8362:E8362"/>
    <mergeCell ref="B7508:E7508"/>
    <mergeCell ref="B6449:E6449"/>
    <mergeCell ref="B1020:E1020"/>
    <mergeCell ref="A206:E206"/>
    <mergeCell ref="B8692:E8692"/>
    <mergeCell ref="A1259:E1259"/>
    <mergeCell ref="A3508:E3508"/>
    <mergeCell ref="A2449:E2449"/>
    <mergeCell ref="B17:E17"/>
    <mergeCell ref="B2233:E2233"/>
    <mergeCell ref="B1654:C1654"/>
    <mergeCell ref="A6389:E6389"/>
    <mergeCell ref="A4235:E4235"/>
    <mergeCell ref="A3176:E3176"/>
    <mergeCell ref="A5935:E5935"/>
    <mergeCell ref="B2865:E2865"/>
    <mergeCell ref="A1687:E1687"/>
    <mergeCell ref="A506:E506"/>
    <mergeCell ref="A4446:E4446"/>
    <mergeCell ref="A2749:E2749"/>
    <mergeCell ref="B6936:E6936"/>
    <mergeCell ref="A5636:E5636"/>
    <mergeCell ref="A7108:E7108"/>
    <mergeCell ref="A7721:E7721"/>
    <mergeCell ref="B448:E448"/>
    <mergeCell ref="B2691:E2691"/>
    <mergeCell ref="A3476:E3476"/>
    <mergeCell ref="A3503:E3503"/>
    <mergeCell ref="A2444:E2444"/>
    <mergeCell ref="B1080:E1080"/>
    <mergeCell ref="B2228:E2228"/>
    <mergeCell ref="B6465:E6465"/>
    <mergeCell ref="B6046:E6046"/>
    <mergeCell ref="A4746:E4746"/>
    <mergeCell ref="A2661:E2661"/>
    <mergeCell ref="A7014:E7014"/>
    <mergeCell ref="B1807:E1807"/>
    <mergeCell ref="A4904:E4904"/>
    <mergeCell ref="B775:E775"/>
    <mergeCell ref="A987:E987"/>
    <mergeCell ref="A4860:E4860"/>
    <mergeCell ref="B8620:E8620"/>
    <mergeCell ref="B7561:E7561"/>
    <mergeCell ref="A6261:E6261"/>
    <mergeCell ref="B3191:E3191"/>
    <mergeCell ref="A3561:E3561"/>
    <mergeCell ref="A217:E217"/>
    <mergeCell ref="A2460:E2460"/>
    <mergeCell ref="B623:C623"/>
    <mergeCell ref="A988:E988"/>
    <mergeCell ref="B2895:E2895"/>
    <mergeCell ref="A4288:E4288"/>
    <mergeCell ref="A2677:E2677"/>
    <mergeCell ref="A2671:E2671"/>
    <mergeCell ref="A7161:E7161"/>
    <mergeCell ref="B3007:E3007"/>
    <mergeCell ref="A3404:E3404"/>
    <mergeCell ref="B3645:E3645"/>
    <mergeCell ref="A2372:E2372"/>
    <mergeCell ref="A3398:E3398"/>
    <mergeCell ref="A4588:E4588"/>
    <mergeCell ref="B459:E459"/>
    <mergeCell ref="A3556:E3556"/>
    <mergeCell ref="A5641:E5641"/>
    <mergeCell ref="B7135:E7135"/>
    <mergeCell ref="A7793:E7793"/>
    <mergeCell ref="B3218:E3218"/>
    <mergeCell ref="A1402:E1402"/>
    <mergeCell ref="A5220:E5220"/>
    <mergeCell ref="B3951:E3951"/>
    <mergeCell ref="A7488:E7488"/>
    <mergeCell ref="B2919:E2919"/>
    <mergeCell ref="B1222:E1222"/>
    <mergeCell ref="B1860:E1860"/>
    <mergeCell ref="B3945:E3945"/>
    <mergeCell ref="B3972:E3972"/>
    <mergeCell ref="A4319:E4319"/>
    <mergeCell ref="B4103:E4103"/>
    <mergeCell ref="A2803:E2803"/>
    <mergeCell ref="A4888:E4888"/>
    <mergeCell ref="A3856:E3856"/>
    <mergeCell ref="B3646:E3646"/>
    <mergeCell ref="B6862:E6862"/>
    <mergeCell ref="B795:E795"/>
    <mergeCell ref="B1366:C1366"/>
    <mergeCell ref="A7761:E7761"/>
    <mergeCell ref="A5676:E5676"/>
    <mergeCell ref="A8401:E8401"/>
    <mergeCell ref="B2160:E2160"/>
    <mergeCell ref="A5788:E5788"/>
    <mergeCell ref="B8335:E8335"/>
    <mergeCell ref="B3934:C3934"/>
    <mergeCell ref="A2086:E2086"/>
    <mergeCell ref="A7058:E7058"/>
    <mergeCell ref="B4703:E4703"/>
    <mergeCell ref="A2819:E2819"/>
    <mergeCell ref="A1787:E1787"/>
    <mergeCell ref="B8635:E8635"/>
    <mergeCell ref="B6550:E6550"/>
    <mergeCell ref="A6305:E6305"/>
    <mergeCell ref="A8548:E8548"/>
    <mergeCell ref="B3360:E3360"/>
    <mergeCell ref="A2087:E2087"/>
    <mergeCell ref="A1028:E1028"/>
    <mergeCell ref="A5362:E5362"/>
    <mergeCell ref="A4303:E4303"/>
    <mergeCell ref="A5878:E5878"/>
    <mergeCell ref="A571:E571"/>
    <mergeCell ref="A8121:E8121"/>
    <mergeCell ref="B2545:E2545"/>
    <mergeCell ref="B3091:E3091"/>
    <mergeCell ref="B1444:E1444"/>
    <mergeCell ref="A6763:E6763"/>
    <mergeCell ref="B2634:E2634"/>
    <mergeCell ref="A7816:E7816"/>
    <mergeCell ref="B5393:E5393"/>
    <mergeCell ref="B3818:E3818"/>
    <mergeCell ref="B5515:E5515"/>
    <mergeCell ref="A6300:E6300"/>
    <mergeCell ref="B3361:E3361"/>
    <mergeCell ref="A6031:E6031"/>
    <mergeCell ref="B2808:C2808"/>
    <mergeCell ref="B5693:E5693"/>
    <mergeCell ref="B5815:E5815"/>
    <mergeCell ref="B3661:E3661"/>
    <mergeCell ref="A2847:E2847"/>
    <mergeCell ref="B4594:C4594"/>
    <mergeCell ref="A3900:E3900"/>
    <mergeCell ref="A1815:E1815"/>
    <mergeCell ref="B6420:E6420"/>
    <mergeCell ref="A7200:E7200"/>
    <mergeCell ref="B7936:E7936"/>
    <mergeCell ref="B5388:E5388"/>
    <mergeCell ref="A299:E299"/>
    <mergeCell ref="B8688:E8688"/>
    <mergeCell ref="A1352:E1352"/>
    <mergeCell ref="A293:E293"/>
    <mergeCell ref="A3504:E3504"/>
    <mergeCell ref="B5382:C5382"/>
    <mergeCell ref="B4323:C4323"/>
    <mergeCell ref="A4688:E4688"/>
    <mergeCell ref="A2140:E2140"/>
    <mergeCell ref="A5415:E5415"/>
    <mergeCell ref="B1899:E1899"/>
    <mergeCell ref="A8174:E8174"/>
    <mergeCell ref="A2867:E2867"/>
    <mergeCell ref="A8770:E8770"/>
    <mergeCell ref="A7195:E7195"/>
    <mergeCell ref="A7711:E7711"/>
    <mergeCell ref="A5584:E5584"/>
    <mergeCell ref="B3109:C3109"/>
    <mergeCell ref="A2440:E2440"/>
    <mergeCell ref="A3499:E3499"/>
    <mergeCell ref="A5715:E5715"/>
    <mergeCell ref="B6505:E6505"/>
    <mergeCell ref="B560:E560"/>
    <mergeCell ref="A4683:E4683"/>
    <mergeCell ref="B4351:E4351"/>
    <mergeCell ref="A8474:E8474"/>
    <mergeCell ref="B2260:E2260"/>
    <mergeCell ref="B2235:E2235"/>
    <mergeCell ref="A6985:E6985"/>
    <mergeCell ref="B106:E106"/>
    <mergeCell ref="B2856:E2856"/>
    <mergeCell ref="B771:E771"/>
    <mergeCell ref="B5078:E5078"/>
    <mergeCell ref="A5288:E5288"/>
    <mergeCell ref="B2987:E2987"/>
    <mergeCell ref="A7531:E7531"/>
    <mergeCell ref="A8169:E8169"/>
    <mergeCell ref="A8175:E8175"/>
    <mergeCell ref="A4983:E4983"/>
    <mergeCell ref="B6894:E6894"/>
    <mergeCell ref="A5200:E5200"/>
    <mergeCell ref="B8295:E8295"/>
    <mergeCell ref="B130:E130"/>
    <mergeCell ref="A3227:E3227"/>
    <mergeCell ref="A4253:E4253"/>
    <mergeCell ref="A5312:E5312"/>
    <mergeCell ref="B5747:E5747"/>
    <mergeCell ref="B7832:E7832"/>
    <mergeCell ref="A14:E14"/>
    <mergeCell ref="A7132:E7132"/>
    <mergeCell ref="A8185:E8185"/>
    <mergeCell ref="A6100:E6100"/>
    <mergeCell ref="B1462:C1462"/>
    <mergeCell ref="A3946:E3946"/>
    <mergeCell ref="A2887:E2887"/>
    <mergeCell ref="B3888:E3888"/>
    <mergeCell ref="A3519:E3519"/>
    <mergeCell ref="A1434:E1434"/>
    <mergeCell ref="A7432:E7432"/>
    <mergeCell ref="A5347:E5347"/>
    <mergeCell ref="B8732:E8732"/>
    <mergeCell ref="B1218:E1218"/>
    <mergeCell ref="A6400:E6400"/>
    <mergeCell ref="A7590:E7590"/>
    <mergeCell ref="A5943:E5943"/>
    <mergeCell ref="B3461:E3461"/>
    <mergeCell ref="A3827:E3827"/>
    <mergeCell ref="B4188:E4188"/>
    <mergeCell ref="B8006:E8006"/>
    <mergeCell ref="B1518:E1518"/>
    <mergeCell ref="A7890:E7890"/>
    <mergeCell ref="B4399:E4399"/>
    <mergeCell ref="B7701:E7701"/>
    <mergeCell ref="B6520:E6520"/>
    <mergeCell ref="A5342:E5342"/>
    <mergeCell ref="A7427:E7427"/>
    <mergeCell ref="B1213:E1213"/>
    <mergeCell ref="A8486:E8486"/>
    <mergeCell ref="B1820:C1820"/>
    <mergeCell ref="A3211:E3211"/>
    <mergeCell ref="B5758:E5758"/>
    <mergeCell ref="B4061:E4061"/>
    <mergeCell ref="B4699:E4699"/>
    <mergeCell ref="B6948:E6948"/>
    <mergeCell ref="A25:E25"/>
    <mergeCell ref="B8001:E8001"/>
    <mergeCell ref="A7187:E7187"/>
    <mergeCell ref="A1731:E1731"/>
    <mergeCell ref="A8213:E8213"/>
    <mergeCell ref="A699:E699"/>
    <mergeCell ref="B483:E483"/>
    <mergeCell ref="A236:E236"/>
    <mergeCell ref="A4631:E4631"/>
    <mergeCell ref="A8544:E8544"/>
    <mergeCell ref="B56:E56"/>
    <mergeCell ref="A6428:E6428"/>
    <mergeCell ref="A5358:E5358"/>
    <mergeCell ref="A4299:E4299"/>
    <mergeCell ref="A5352:E5352"/>
    <mergeCell ref="A3267:E3267"/>
    <mergeCell ref="A7601:E7601"/>
    <mergeCell ref="A8239:E8239"/>
    <mergeCell ref="A1726:E1726"/>
    <mergeCell ref="A5053:E5053"/>
    <mergeCell ref="A7812:E7812"/>
    <mergeCell ref="A7787:E7787"/>
    <mergeCell ref="B4873:E4873"/>
    <mergeCell ref="B3814:E3814"/>
    <mergeCell ref="B8148:E8148"/>
    <mergeCell ref="A4626:E4626"/>
    <mergeCell ref="B57:E57"/>
    <mergeCell ref="A7901:E7901"/>
    <mergeCell ref="A6842:E6842"/>
    <mergeCell ref="B1241:E1241"/>
    <mergeCell ref="B4419:E4419"/>
    <mergeCell ref="B5600:E5600"/>
    <mergeCell ref="A8575:E8575"/>
    <mergeCell ref="B8359:E8359"/>
    <mergeCell ref="A8112:E8112"/>
    <mergeCell ref="A541:E541"/>
    <mergeCell ref="B6870:E6870"/>
    <mergeCell ref="B5173:E5173"/>
    <mergeCell ref="B8448:E8448"/>
    <mergeCell ref="B7932:E7932"/>
    <mergeCell ref="A114:E114"/>
    <mergeCell ref="B5900:E5900"/>
    <mergeCell ref="A710:E710"/>
    <mergeCell ref="A4623:E4623"/>
    <mergeCell ref="A841:E841"/>
    <mergeCell ref="A1894:E1894"/>
    <mergeCell ref="B5473:E5473"/>
    <mergeCell ref="A4196:E4196"/>
    <mergeCell ref="A7496:E7496"/>
    <mergeCell ref="B204:E204"/>
    <mergeCell ref="A6439:E6439"/>
    <mergeCell ref="A4310:E4310"/>
    <mergeCell ref="B4016:E4016"/>
    <mergeCell ref="A2200:E2200"/>
    <mergeCell ref="B356:E356"/>
    <mergeCell ref="A1141:E1141"/>
    <mergeCell ref="B2500:C2500"/>
    <mergeCell ref="B1984:E1984"/>
    <mergeCell ref="A2838:E2838"/>
    <mergeCell ref="A2874:E2874"/>
    <mergeCell ref="B6259:E6259"/>
    <mergeCell ref="B4130:E4130"/>
    <mergeCell ref="A7227:E7227"/>
    <mergeCell ref="B2658:E2658"/>
    <mergeCell ref="A2411:E2411"/>
    <mergeCell ref="B1626:E1626"/>
    <mergeCell ref="A5711:E5711"/>
    <mergeCell ref="A6770:E6770"/>
    <mergeCell ref="B531:E531"/>
    <mergeCell ref="A4654:E4654"/>
    <mergeCell ref="A4679:E4679"/>
    <mergeCell ref="B2231:E2231"/>
    <mergeCell ref="B2353:E2353"/>
    <mergeCell ref="B199:E199"/>
    <mergeCell ref="B7774:E7774"/>
    <mergeCell ref="A8559:E8559"/>
    <mergeCell ref="A438:E438"/>
    <mergeCell ref="A7527:E7527"/>
    <mergeCell ref="A2711:E2711"/>
    <mergeCell ref="A4954:E4954"/>
    <mergeCell ref="A8254:E8254"/>
    <mergeCell ref="B7617:E7617"/>
    <mergeCell ref="A6797:E6797"/>
    <mergeCell ref="A342:E342"/>
    <mergeCell ref="A852:E852"/>
    <mergeCell ref="B7769:E7769"/>
    <mergeCell ref="B8218:C8218"/>
    <mergeCell ref="A5854:E5854"/>
    <mergeCell ref="A3769:E3769"/>
    <mergeCell ref="A2122:E2122"/>
    <mergeCell ref="A1063:E1063"/>
    <mergeCell ref="A642:E642"/>
    <mergeCell ref="A7255:E7255"/>
    <mergeCell ref="A6185:E6185"/>
    <mergeCell ref="A6798:E6798"/>
    <mergeCell ref="A5101:E5101"/>
    <mergeCell ref="B3859:E3859"/>
    <mergeCell ref="A337:E337"/>
    <mergeCell ref="B8286:E8286"/>
    <mergeCell ref="A2553:E2553"/>
    <mergeCell ref="A6912:E6912"/>
    <mergeCell ref="A1521:E1521"/>
    <mergeCell ref="A6493:E6493"/>
    <mergeCell ref="B7792:C7792"/>
    <mergeCell ref="A6485:E6485"/>
    <mergeCell ref="A7098:E7098"/>
    <mergeCell ref="A5013:E5013"/>
    <mergeCell ref="B8398:E8398"/>
    <mergeCell ref="A6066:E6066"/>
    <mergeCell ref="B2068:E2068"/>
    <mergeCell ref="A2853:E2853"/>
    <mergeCell ref="A7212:E7212"/>
    <mergeCell ref="A7886:E7886"/>
    <mergeCell ref="B3732:E3732"/>
    <mergeCell ref="B7032:E7032"/>
    <mergeCell ref="B3338:E3338"/>
    <mergeCell ref="A6785:E6785"/>
    <mergeCell ref="A8482:E8482"/>
    <mergeCell ref="B2212:C2212"/>
    <mergeCell ref="B4484:E4484"/>
    <mergeCell ref="B8759:E8759"/>
    <mergeCell ref="A364:E364"/>
    <mergeCell ref="B6727:E6727"/>
    <mergeCell ref="B4520:E4520"/>
    <mergeCell ref="B8433:E8433"/>
    <mergeCell ref="A484:E484"/>
    <mergeCell ref="A1537:E1537"/>
    <mergeCell ref="A5450:E5450"/>
    <mergeCell ref="B7332:E7332"/>
    <mergeCell ref="B5247:E5247"/>
    <mergeCell ref="B1486:C1486"/>
    <mergeCell ref="A5023:E5023"/>
    <mergeCell ref="B2084:E2084"/>
    <mergeCell ref="A784:E784"/>
    <mergeCell ref="A3507:E3507"/>
    <mergeCell ref="A1837:E1837"/>
    <mergeCell ref="A5181:E5181"/>
    <mergeCell ref="A3027:E3027"/>
    <mergeCell ref="B3275:C3275"/>
    <mergeCell ref="B2811:E2811"/>
    <mergeCell ref="A479:E479"/>
    <mergeCell ref="B4544:E4544"/>
    <mergeCell ref="A4270:E4270"/>
    <mergeCell ref="A2185:E2185"/>
    <mergeCell ref="B5570:E5570"/>
    <mergeCell ref="A8623:E8623"/>
    <mergeCell ref="A8667:E8667"/>
    <mergeCell ref="A6513:E6513"/>
    <mergeCell ref="A2781:E2781"/>
    <mergeCell ref="A1722:E1722"/>
    <mergeCell ref="B3022:E3022"/>
    <mergeCell ref="A5024:E5024"/>
    <mergeCell ref="B1026:E1026"/>
    <mergeCell ref="B4844:E4844"/>
    <mergeCell ref="B3785:E3785"/>
    <mergeCell ref="B443:C443"/>
    <mergeCell ref="A6838:E6838"/>
    <mergeCell ref="B2296:E2296"/>
    <mergeCell ref="A352:E352"/>
    <mergeCell ref="B5565:E5565"/>
    <mergeCell ref="B7717:E7717"/>
    <mergeCell ref="A8624:E8624"/>
    <mergeCell ref="A2622:E2622"/>
    <mergeCell ref="A1565:E1565"/>
    <mergeCell ref="B4085:E4085"/>
    <mergeCell ref="B8444:E8444"/>
    <mergeCell ref="A49:E49"/>
    <mergeCell ref="B5275:E5275"/>
    <mergeCell ref="B6328:E6328"/>
    <mergeCell ref="A7138:E7138"/>
    <mergeCell ref="B7412:E7412"/>
    <mergeCell ref="B5896:E5896"/>
    <mergeCell ref="A8197:E8197"/>
    <mergeCell ref="A4438:E4438"/>
    <mergeCell ref="B8017:E8017"/>
    <mergeCell ref="A2922:E2922"/>
    <mergeCell ref="A837:E837"/>
    <mergeCell ref="A812:E812"/>
    <mergeCell ref="A4139:E4139"/>
    <mergeCell ref="A3080:E3080"/>
    <mergeCell ref="B6659:E6659"/>
    <mergeCell ref="B3355:C3355"/>
    <mergeCell ref="A2623:E2623"/>
    <mergeCell ref="A2617:E2617"/>
    <mergeCell ref="A6435:E6435"/>
    <mergeCell ref="B3960:C3960"/>
    <mergeCell ref="A2653:E2653"/>
    <mergeCell ref="A6566:E6566"/>
    <mergeCell ref="A2196:E2196"/>
    <mergeCell ref="A1137:E1137"/>
    <mergeCell ref="A4439:E4439"/>
    <mergeCell ref="A3380:E3380"/>
    <mergeCell ref="A5077:E5077"/>
    <mergeCell ref="B8012:E8012"/>
    <mergeCell ref="A8382:E8382"/>
    <mergeCell ref="A3075:E3075"/>
    <mergeCell ref="A7925:E7925"/>
    <mergeCell ref="B3796:E3796"/>
    <mergeCell ref="B1711:E1711"/>
    <mergeCell ref="A6893:E6893"/>
    <mergeCell ref="B6039:E6039"/>
    <mergeCell ref="B195:E195"/>
    <mergeCell ref="A2654:E2654"/>
    <mergeCell ref="A3680:E3680"/>
    <mergeCell ref="B4470:E4470"/>
    <mergeCell ref="B4523:E4523"/>
    <mergeCell ref="B2438:E2438"/>
    <mergeCell ref="B231:E231"/>
    <mergeCell ref="A5377:E5377"/>
    <mergeCell ref="B6555:E6555"/>
    <mergeCell ref="B6256:E6256"/>
    <mergeCell ref="B5197:E5197"/>
    <mergeCell ref="A7498:E7498"/>
    <mergeCell ref="B827:E827"/>
    <mergeCell ref="A4950:E4950"/>
    <mergeCell ref="B8472:E8472"/>
    <mergeCell ref="B7440:E7440"/>
    <mergeCell ref="A6140:E6140"/>
    <mergeCell ref="A8225:E8225"/>
    <mergeCell ref="B7396:E7396"/>
    <mergeCell ref="B4254:E4254"/>
    <mergeCell ref="A4009:E4009"/>
    <mergeCell ref="A1924:E1924"/>
    <mergeCell ref="B4465:E4465"/>
    <mergeCell ref="B6687:E6687"/>
    <mergeCell ref="B2311:E2311"/>
    <mergeCell ref="A6882:E6882"/>
    <mergeCell ref="A4334:E4334"/>
    <mergeCell ref="A1192:E1192"/>
    <mergeCell ref="A6577:E6577"/>
    <mergeCell ref="A1148:E1148"/>
    <mergeCell ref="A2338:E2338"/>
    <mergeCell ref="A6156:E6156"/>
    <mergeCell ref="A5097:E5097"/>
    <mergeCell ref="A7978:E7978"/>
    <mergeCell ref="A6308:E6308"/>
    <mergeCell ref="B1739:E1739"/>
    <mergeCell ref="A1517:E1517"/>
    <mergeCell ref="A422:E422"/>
    <mergeCell ref="B663:E663"/>
    <mergeCell ref="B1276:E1276"/>
    <mergeCell ref="B3428:E3428"/>
    <mergeCell ref="B3938:E3938"/>
    <mergeCell ref="B5513:E5513"/>
    <mergeCell ref="A6913:E6913"/>
    <mergeCell ref="B5671:E5671"/>
    <mergeCell ref="B4612:E4612"/>
    <mergeCell ref="A7551:E7551"/>
    <mergeCell ref="B242:E242"/>
    <mergeCell ref="A6062:E6062"/>
    <mergeCell ref="A8699:E8699"/>
    <mergeCell ref="B2458:E2458"/>
    <mergeCell ref="A5555:E5555"/>
    <mergeCell ref="B3123:E3123"/>
    <mergeCell ref="B2064:E2064"/>
    <mergeCell ref="B2039:E2039"/>
    <mergeCell ref="A2849:E2849"/>
    <mergeCell ref="A3908:E3908"/>
    <mergeCell ref="B4149:E4149"/>
    <mergeCell ref="A5092:E5092"/>
    <mergeCell ref="A6608:E6608"/>
    <mergeCell ref="A149:E149"/>
    <mergeCell ref="B3212:E3212"/>
    <mergeCell ref="B3728:E3728"/>
    <mergeCell ref="A6282:E6282"/>
    <mergeCell ref="B5971:E5971"/>
    <mergeCell ref="A876:E876"/>
    <mergeCell ref="A7552:E7552"/>
    <mergeCell ref="B3423:E3423"/>
    <mergeCell ref="A6908:E6908"/>
    <mergeCell ref="B6698:E6698"/>
    <mergeCell ref="B4607:E4607"/>
    <mergeCell ref="B4186:E4186"/>
    <mergeCell ref="A144:E144"/>
    <mergeCell ref="B4751:C4751"/>
    <mergeCell ref="A8294:E8294"/>
    <mergeCell ref="A3023:E3023"/>
    <mergeCell ref="A6298:E6298"/>
    <mergeCell ref="A4689:E4689"/>
    <mergeCell ref="A2604:E2604"/>
    <mergeCell ref="A907:E907"/>
    <mergeCell ref="B697:E697"/>
    <mergeCell ref="A2560:E2560"/>
    <mergeCell ref="A3630:E3630"/>
    <mergeCell ref="A450:E450"/>
    <mergeCell ref="B691:E691"/>
    <mergeCell ref="B4025:C4025"/>
    <mergeCell ref="B234:E234"/>
    <mergeCell ref="A4803:E4803"/>
    <mergeCell ref="A6509:E6509"/>
    <mergeCell ref="A3323:E3323"/>
    <mergeCell ref="B4754:E4754"/>
    <mergeCell ref="A2904:E2904"/>
    <mergeCell ref="B1022:E1022"/>
    <mergeCell ref="B3143:E3143"/>
    <mergeCell ref="B3265:E3265"/>
    <mergeCell ref="A6809:E6809"/>
    <mergeCell ref="A5777:E5777"/>
    <mergeCell ref="A291:E291"/>
    <mergeCell ref="B5567:E5567"/>
    <mergeCell ref="A6967:E6967"/>
    <mergeCell ref="B6751:E6751"/>
    <mergeCell ref="A2593:E2593"/>
    <mergeCell ref="A8610:E8610"/>
    <mergeCell ref="A1561:E1561"/>
    <mergeCell ref="A8747:E8747"/>
    <mergeCell ref="B7356:E7356"/>
    <mergeCell ref="B5271:E5271"/>
    <mergeCell ref="B7383:E7383"/>
    <mergeCell ref="B6324:E6324"/>
    <mergeCell ref="A1650:E1650"/>
    <mergeCell ref="B7514:E7514"/>
    <mergeCell ref="B8567:E8567"/>
    <mergeCell ref="A7267:E7267"/>
    <mergeCell ref="B3138:E3138"/>
    <mergeCell ref="B6413:E6413"/>
    <mergeCell ref="B1622:E1622"/>
    <mergeCell ref="A808:E808"/>
    <mergeCell ref="A1867:E1867"/>
    <mergeCell ref="B3745:C3745"/>
    <mergeCell ref="B4924:E4924"/>
    <mergeCell ref="A2019:E2019"/>
    <mergeCell ref="B5598:E5598"/>
    <mergeCell ref="A1562:E1562"/>
    <mergeCell ref="A381:E381"/>
    <mergeCell ref="A2588:E2588"/>
    <mergeCell ref="A8651:E8651"/>
    <mergeCell ref="A2624:E2624"/>
    <mergeCell ref="B6325:E6325"/>
    <mergeCell ref="B7231:C7231"/>
    <mergeCell ref="B1382:E1382"/>
    <mergeCell ref="A1108:E1108"/>
    <mergeCell ref="A5467:E5467"/>
    <mergeCell ref="A5505:E5505"/>
    <mergeCell ref="A76:E76"/>
    <mergeCell ref="A4435:E4435"/>
    <mergeCell ref="A3351:E3351"/>
    <mergeCell ref="A6678:E6678"/>
    <mergeCell ref="A5619:E5619"/>
    <mergeCell ref="A6614:E6614"/>
    <mergeCell ref="A7704:E7704"/>
    <mergeCell ref="A6224:E6224"/>
    <mergeCell ref="B3898:E3898"/>
    <mergeCell ref="B4519:E4519"/>
    <mergeCell ref="A6978:E6978"/>
    <mergeCell ref="A6532:E6532"/>
    <mergeCell ref="B3462:E3462"/>
    <mergeCell ref="B1377:E1377"/>
    <mergeCell ref="B5739:E5739"/>
    <mergeCell ref="B1982:E1982"/>
    <mergeCell ref="B4250:E4250"/>
    <mergeCell ref="B5276:E5276"/>
    <mergeCell ref="B8578:E8578"/>
    <mergeCell ref="A7278:E7278"/>
    <mergeCell ref="A6219:E6219"/>
    <mergeCell ref="A6248:E6248"/>
    <mergeCell ref="B2770:E2770"/>
    <mergeCell ref="A3104:E3104"/>
    <mergeCell ref="A8521:E8521"/>
    <mergeCell ref="A2009:E2009"/>
    <mergeCell ref="A3700:E3700"/>
    <mergeCell ref="A977:E977"/>
    <mergeCell ref="A2003:E2003"/>
    <mergeCell ref="B3497:E3497"/>
    <mergeCell ref="B5740:E5740"/>
    <mergeCell ref="A523:E523"/>
    <mergeCell ref="A3273:E3273"/>
    <mergeCell ref="A5516:E5516"/>
    <mergeCell ref="A1734:E1734"/>
    <mergeCell ref="A87:E87"/>
    <mergeCell ref="A3387:E3387"/>
    <mergeCell ref="B3093:E3093"/>
    <mergeCell ref="A1277:E1277"/>
    <mergeCell ref="A218:E218"/>
    <mergeCell ref="B2102:C2102"/>
    <mergeCell ref="A1271:E1271"/>
    <mergeCell ref="A1915:E1915"/>
    <mergeCell ref="A4036:E4036"/>
    <mergeCell ref="A7336:E7336"/>
    <mergeCell ref="B1097:E1097"/>
    <mergeCell ref="B1735:E1735"/>
    <mergeCell ref="A5182:E5182"/>
    <mergeCell ref="B634:E634"/>
    <mergeCell ref="B1824:E1824"/>
    <mergeCell ref="B792:E792"/>
    <mergeCell ref="A8695:E8695"/>
    <mergeCell ref="A7636:E7636"/>
    <mergeCell ref="A1788:E1788"/>
    <mergeCell ref="A6147:E6147"/>
    <mergeCell ref="B4278:E4278"/>
    <mergeCell ref="B7151:E7151"/>
    <mergeCell ref="A6904:E6904"/>
    <mergeCell ref="B6694:E6694"/>
    <mergeCell ref="B5610:E5610"/>
    <mergeCell ref="B5662:E5662"/>
    <mergeCell ref="A961:E961"/>
    <mergeCell ref="B4603:E4603"/>
    <mergeCell ref="B1236:C1236"/>
    <mergeCell ref="A8094:E8094"/>
    <mergeCell ref="A2694:E2694"/>
    <mergeCell ref="A1635:E1635"/>
    <mergeCell ref="A3720:E3720"/>
    <mergeCell ref="A1178:E1178"/>
    <mergeCell ref="B8483:E8483"/>
    <mergeCell ref="A656:E656"/>
    <mergeCell ref="A1172:E1172"/>
    <mergeCell ref="A115:E115"/>
    <mergeCell ref="B2024:C2024"/>
    <mergeCell ref="B6994:E6994"/>
    <mergeCell ref="B8641:E8641"/>
    <mergeCell ref="A4605:E4605"/>
    <mergeCell ref="B476:E476"/>
    <mergeCell ref="A4089:E4089"/>
    <mergeCell ref="A229:E229"/>
    <mergeCell ref="B1150:E1150"/>
    <mergeCell ref="A5237:E5237"/>
    <mergeCell ref="A4178:E4178"/>
    <mergeCell ref="B1746:E1746"/>
    <mergeCell ref="A5231:E5231"/>
    <mergeCell ref="B1877:E1877"/>
    <mergeCell ref="A7059:E7059"/>
    <mergeCell ref="B7452:E7452"/>
    <mergeCell ref="A7664:E7664"/>
    <mergeCell ref="A8723:E8723"/>
    <mergeCell ref="B2509:E2509"/>
    <mergeCell ref="A3416:E3416"/>
    <mergeCell ref="A6594:E6594"/>
    <mergeCell ref="A6175:E6175"/>
    <mergeCell ref="B4289:E4289"/>
    <mergeCell ref="B7467:E7467"/>
    <mergeCell ref="A6289:E6289"/>
    <mergeCell ref="B566:E566"/>
    <mergeCell ref="B2782:E2782"/>
    <mergeCell ref="A5862:E5862"/>
    <mergeCell ref="B5690:E5690"/>
    <mergeCell ref="A6475:E6475"/>
    <mergeCell ref="B7775:E7775"/>
    <mergeCell ref="B261:E261"/>
    <mergeCell ref="A4832:E4832"/>
    <mergeCell ref="B3536:E3536"/>
    <mergeCell ref="B5646:E5646"/>
    <mergeCell ref="B2504:E2504"/>
    <mergeCell ref="B5682:E5682"/>
    <mergeCell ref="B6417:E6417"/>
    <mergeCell ref="A6589:E6589"/>
    <mergeCell ref="A1646:E1646"/>
    <mergeCell ref="B8563:E8563"/>
    <mergeCell ref="A8316:E8316"/>
    <mergeCell ref="A745:E745"/>
    <mergeCell ref="B6409:E6409"/>
    <mergeCell ref="A6162:E6162"/>
    <mergeCell ref="A5132:E5132"/>
    <mergeCell ref="A3047:E3047"/>
    <mergeCell ref="A2403:E2403"/>
    <mergeCell ref="B6104:E6104"/>
    <mergeCell ref="A7375:E7375"/>
    <mergeCell ref="A4231:E4231"/>
    <mergeCell ref="A1946:E1946"/>
    <mergeCell ref="A4827:E4827"/>
    <mergeCell ref="A6017:E6017"/>
    <mergeCell ref="B1888:E1888"/>
    <mergeCell ref="A2673:E2673"/>
    <mergeCell ref="A4406:E4406"/>
    <mergeCell ref="A2709:E2709"/>
    <mergeCell ref="A2831:E2831"/>
    <mergeCell ref="A3347:E3347"/>
    <mergeCell ref="A6622:E6622"/>
    <mergeCell ref="A5590:E5590"/>
    <mergeCell ref="B8527:C8527"/>
    <mergeCell ref="A5133:E5133"/>
    <mergeCell ref="B1592:E1592"/>
    <mergeCell ref="A5127:E5127"/>
    <mergeCell ref="A2404:E2404"/>
    <mergeCell ref="A5285:E5285"/>
    <mergeCell ref="A8463:E8463"/>
    <mergeCell ref="B3894:E3894"/>
    <mergeCell ref="B3921:E3921"/>
    <mergeCell ref="B2224:E2224"/>
    <mergeCell ref="A3647:E3647"/>
    <mergeCell ref="B6137:E6137"/>
    <mergeCell ref="A2615:E2615"/>
    <mergeCell ref="B4526:E4526"/>
    <mergeCell ref="B2951:E2951"/>
    <mergeCell ref="A8771:E8771"/>
    <mergeCell ref="A6617:E6617"/>
    <mergeCell ref="B281:E281"/>
    <mergeCell ref="A615:E615"/>
    <mergeCell ref="A1674:E1674"/>
    <mergeCell ref="B4194:E4194"/>
    <mergeCell ref="B4221:E4221"/>
    <mergeCell ref="B7521:E7521"/>
    <mergeCell ref="A8763:E8763"/>
    <mergeCell ref="B5405:E5405"/>
    <mergeCell ref="A8464:E8464"/>
    <mergeCell ref="A7405:E7405"/>
    <mergeCell ref="B1166:E1166"/>
    <mergeCell ref="A2005:E2005"/>
    <mergeCell ref="A948:E948"/>
    <mergeCell ref="B8278:E8278"/>
    <mergeCell ref="A942:E942"/>
    <mergeCell ref="B4521:E4521"/>
    <mergeCell ref="B7821:E7821"/>
    <mergeCell ref="A5432:E5432"/>
    <mergeCell ref="A7734:E7734"/>
    <mergeCell ref="A1730:E1730"/>
    <mergeCell ref="A6064:E6064"/>
    <mergeCell ref="A5005:E5005"/>
    <mergeCell ref="B6312:C6312"/>
    <mergeCell ref="A2299:E2299"/>
    <mergeCell ref="B1489:E1489"/>
    <mergeCell ref="A4548:E4548"/>
    <mergeCell ref="B5236:C5236"/>
    <mergeCell ref="B6337:C6337"/>
    <mergeCell ref="A3516:E3516"/>
    <mergeCell ref="A2457:E2457"/>
    <mergeCell ref="A4542:E4542"/>
    <mergeCell ref="A5732:E5732"/>
    <mergeCell ref="B6036:E6036"/>
    <mergeCell ref="A2000:E2000"/>
    <mergeCell ref="B8279:E8279"/>
    <mergeCell ref="B5963:C5963"/>
    <mergeCell ref="B5421:E5421"/>
    <mergeCell ref="A3062:E3062"/>
    <mergeCell ref="A8034:E8034"/>
    <mergeCell ref="B736:E736"/>
    <mergeCell ref="A8186:E8186"/>
    <mergeCell ref="B6822:E6822"/>
    <mergeCell ref="B3636:E3636"/>
    <mergeCell ref="B4274:E4274"/>
    <mergeCell ref="A5059:E5059"/>
    <mergeCell ref="B2120:E2120"/>
    <mergeCell ref="B4820:E4820"/>
    <mergeCell ref="A6664:E6664"/>
    <mergeCell ref="B6473:E6473"/>
    <mergeCell ref="A7302:E7302"/>
    <mergeCell ref="B4363:E4363"/>
    <mergeCell ref="B3304:E3304"/>
    <mergeCell ref="B4810:C4810"/>
    <mergeCell ref="A4116:E4116"/>
    <mergeCell ref="A2031:E2031"/>
    <mergeCell ref="B7244:E7244"/>
    <mergeCell ref="B3936:E3936"/>
    <mergeCell ref="B7849:E7849"/>
    <mergeCell ref="B725:C725"/>
    <mergeCell ref="B6817:E6817"/>
    <mergeCell ref="A7602:E7602"/>
    <mergeCell ref="B6773:E6773"/>
    <mergeCell ref="A5959:E5959"/>
    <mergeCell ref="B2578:E2578"/>
    <mergeCell ref="B7422:E7422"/>
    <mergeCell ref="B7544:E7544"/>
    <mergeCell ref="A2773:E2773"/>
    <mergeCell ref="A1714:E1714"/>
    <mergeCell ref="A3386:E3386"/>
    <mergeCell ref="B4238:C4238"/>
    <mergeCell ref="B447:E447"/>
    <mergeCell ref="B3179:C3179"/>
    <mergeCell ref="A3500:E3500"/>
    <mergeCell ref="A996:E996"/>
    <mergeCell ref="A4174:E4174"/>
    <mergeCell ref="A5233:E5233"/>
    <mergeCell ref="A3869:E3869"/>
    <mergeCell ref="B3015:E3015"/>
    <mergeCell ref="A2328:E2328"/>
    <mergeCell ref="A3442:E3442"/>
    <mergeCell ref="A8414:E8414"/>
    <mergeCell ref="A6717:E6717"/>
    <mergeCell ref="B4416:E4416"/>
    <mergeCell ref="B1072:E1072"/>
    <mergeCell ref="A5228:E5228"/>
    <mergeCell ref="B8234:E8234"/>
    <mergeCell ref="A8503:E8503"/>
    <mergeCell ref="B3315:E3315"/>
    <mergeCell ref="A4774:E4774"/>
    <mergeCell ref="B3532:E3532"/>
    <mergeCell ref="B6232:E6232"/>
    <mergeCell ref="A558:E558"/>
    <mergeCell ref="A7640:E7640"/>
    <mergeCell ref="A1775:E1775"/>
    <mergeCell ref="A2801:E2801"/>
    <mergeCell ref="B5321:E5321"/>
    <mergeCell ref="A259:E259"/>
    <mergeCell ref="B7564:E7564"/>
    <mergeCell ref="B8229:E8229"/>
    <mergeCell ref="A1443:E1443"/>
    <mergeCell ref="A3132:E3132"/>
    <mergeCell ref="A4185:E4185"/>
    <mergeCell ref="A2075:E2075"/>
    <mergeCell ref="A5375:E5375"/>
    <mergeCell ref="A5982:E5982"/>
    <mergeCell ref="A3897:E3897"/>
    <mergeCell ref="A1612:E1612"/>
    <mergeCell ref="B4005:E4005"/>
    <mergeCell ref="A4948:E4948"/>
    <mergeCell ref="B379:E379"/>
  </mergeCells>
  <dataValidations count="1">
    <dataValidation sqref="B28 B36 B44 B73 B81 B89 B118 B168 B176 B205 B213 B246 B254 B262 B270 B317 B325 B333 B341 B349 B357 B365 B410 B418 B426 B434 B442 B467 B493 B525 B550 B574 B598 B644 B652 B660 B708 B716 B748 B756 B764 B789 B840 B848 B856 B864 B872 B880 B888 B896 B904 B912 B920 B928 B936 B944 B952 B960 B968 B976 B984 B992 B1000 B1008 B1016 B1041 B1066 B1093 B1135 B1143 B1151 B1159 B1167 B1175 B1183 B1191 B1199 B1207 B1235 B1260 B1306 B1314 B1322 B1349 B1357 B1383 B1391 B1399 B1407 B1437 B1445 B1453 B1461 B1503 B1511 B1519 B1527 B1535 B1543 B1551 B1559 B1585 B1593 B1601 B1609 B1637 B1645 B1673 B1681 B1689 B1716 B1724 B1732 B1778 B1786 B1794 B1819 B1844 B1872 B1914 B1922 B1948 B1956 B1964 B1991 B1999 B2007 B2015 B2043 B2051 B2077 B2085 B2093 B2121 B2129 B2137 B2145 B2153 B2161 B2169 B2195 B2203 B2211 B2265 B2273 B2281 B2289 B2297 B2325 B2333 B2341 B2349 B2399 B2407 B2415 B2443 B2451 B2459 B2467 B2475 B2499 B2555 B2563 B2571 B2579 B2587 B2595 B2603 B2611 B2619 B2627 B2635 B2643 B2651 B2659 B2667 B2696 B2704 B2732 B2740 B2748 B2775 B2783 B2791 B2799 B2827 B2835 B2843 B2869 B2877 B2885 B2910 B2955 B2963 B2971 B3002 B3058 B3066 B3074 B3082 B3108 B3154 B3162 B3170 B3178 B3203 B3250 B3258 B3266 B3274 B3301 B3327 B3376 B3384 B3392 B3400 B3432 B3440 B3448 B3474 B3482 B3490 B3498 B3506 B3514 B3544 B3552 B3560 B3568 B3576 B3584 B3592 B3600 B3608 B3632 B3676 B3684 B3692 B3718 B3763 B3771 B3779 B3826 B3834 B3865 B3873 B3881 B3906 B3933 B3978 B3986 B3994 B4024 B4070 B4078 B4086 B4094 B4142 B4150 B4158 B4183 B4210 B4237 B4282 B4290 B4298 B4306 B4314 B4322 B4369 B4377 B4385 B4434 B4442 B4450 B4485 B4493 B4501 B4537 B4545 B4553 B4561 B4569 B4577 B4585 B4613 B4621 B4650 B4658 B4666 B4674 B4682 B4708 B4716 B4724 B4769 B4777 B4785 B4829 B4837 B4845 B4853 B4885 B4893 B4901 B4909 B4936 B4944 B4952 B4960 B4968 B4976 B5004 B5012 B5020 B5055 B5063 B5071 B5079 B5087 B5095 B5123 B5131 B5139 B5147 B5155 B5183 B5207 B5235 B5282 B5290 B5298 B5306 B5314 B5322 B5349 B5357 B5365 B5373 B5406 B5414 B5422 B5430 B5438 B5446 B5454 B5462 B5492 B5500 B5526 B5534 B5542 B5550 B5579 B5587 B5595 B5639 B5647 B5655 B5701 B5709 B5717 B5725 B5751 B5759 B5767 B5796 B5804 B5812 B5857 B5865 B5873 B5881 B5930 B5938 B5946 B5954 B5981 B5989 B6016 B6024 B6051 B6059 B6089 B6097 B6105 B6113 B6143 B6151 B6159 B6187 B6195 B6203 B6228 B6271 B6279 B6287 B6295 B6303 B6311 B6336 B6379 B6387 B6395 B6426 B6434 B6442 B6450 B6458 B6466 B6474 B6482 B6490 B6498 B6506 B6514 B6556 B6564 B6572 B6580 B6588 B6596 B6604 B6612 B6620 B6628 B6636 B6644 B6652 B6660 B6668 B6676 B6704 B6712 B6720 B6728 B6736 B6744 B6752 B6760 B6787 B6795 B6803 B6837 B6845 B6871 B6879 B6887 B6895 B6903 B6911 B6941 B6949 B6957 B6965 B6973 B6981 B7009 B7017 B7045 B7053 B7080 B7088 B7096 B7104 B7112 B7120 B7128 B7136 B7163 B7171 B7198 B7206 B7214 B7222 B7250 B7258 B7266 B7274 B7304 B7312 B7320 B7328 B7352 B7378 B7408 B7434 B7479 B7487 B7495 B7503 B7529 B7579 B7587 B7595 B7630 B7638 B7646 B7654 B7662 B7687 B7713 B7739 B7765 B7791 B7817 B7861 B7869 B7877 B7885 B7893 B7937 B7945 B7973 B7981 B7989 B8021 B8029 B8037 B8045 B8053 B8061 B8069 B8077 B8085 B8093 B8101 B8109 B8117 B8125 B8133 B8165 B8173 B8181 B8189 B8235 B8243 B8251 B8259 B8296 B8304 B8312 B8320 B8328 B8336 B8365 B8373 B8381 B8389 B8415 B8441 B8466 B8510 B8518 B8526 B8571 B8579 B8587 B8613 B8621 B8650 B8658 B8666 B8674 B8700 B8744 B8752 B8760 B8768" showDropDown="0" showInputMessage="0" showErrorMessage="1" allowBlank="0" type="list">
      <formula1>"Đạt,Không đạt,Bị chặn,Không thực hiện,Chưa thực hiện"</formula1>
    </dataValidation>
  </dataValidations>
  <printOptions horizontalCentered="0"/>
  <pageMargins left="0.7" right="0.7" top="0.75" bottom="0.75" header="0.3" footer="0.3"/>
  <pageSetup orientation="portrait"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2026-10-04T11:11:31Z</dcterms:created>
  <dcterms:modified xmlns:dcterms="http://purl.org/dc/terms/" xmlns:xsi="http://www.w3.org/2001/XMLSchema-instance" xsi:type="dcterms:W3CDTF">2026-10-04T16:03:55Z</dcterms:modified>
</cp:coreProperties>
</file>

<file path=docProps/custom.xml><?xml version="1.0" encoding="utf-8"?>
<Properties xmlns="http://schemas.openxmlformats.org/officeDocument/2006/custom-properties">
  <property name="TemplateFamily" fmtid="{D5CDD505-2E9C-101B-9397-08002B2CF9AE}" pid="2">
    <vt:lpwstr xmlns:vt="http://schemas.openxmlformats.org/officeDocument/2006/docPropsVTypes">test-report</vt:lpwstr>
  </property>
  <property name="TemplateVersion" fmtid="{D5CDD505-2E9C-101B-9397-08002B2CF9AE}" pid="3">
    <vt:lpwstr xmlns:vt="http://schemas.openxmlformats.org/officeDocument/2006/docPropsVTypes">2.0.0</vt:lpwstr>
  </property>
  <property name="Language" fmtid="{D5CDD505-2E9C-101B-9397-08002B2CF9AE}" pid="4">
    <vt:lpwstr xmlns:vt="http://schemas.openxmlformats.org/officeDocument/2006/docPropsVTypes">vi</vt:lpwstr>
  </property>
</Properties>
</file>